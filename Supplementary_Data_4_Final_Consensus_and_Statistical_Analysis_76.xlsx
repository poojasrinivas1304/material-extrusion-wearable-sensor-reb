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54e4d588fd44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51cc0b64b86475f"/>
    <x:sheet xmlns:r="http://schemas.openxmlformats.org/officeDocument/2006/relationships" name="Source Manifest" sheetId="2" r:id="R337ae1aff6494867"/>
    <x:sheet xmlns:r="http://schemas.openxmlformats.org/officeDocument/2006/relationships" name="Provenance Audit" sheetId="3" r:id="R3da703533f474948"/>
    <x:sheet xmlns:r="http://schemas.openxmlformats.org/officeDocument/2006/relationships" name="REB Agreement" sheetId="4" r:id="R33df1eeb3c144d3c"/>
    <x:sheet xmlns:r="http://schemas.openxmlformats.org/officeDocument/2006/relationships" name="REB Independent Comparison" sheetId="5" r:id="Rab359a7b359b423c"/>
    <x:sheet xmlns:r="http://schemas.openxmlformats.org/officeDocument/2006/relationships" name="REB Consensus Profiles" sheetId="6" r:id="R5f003491974c42e2"/>
    <x:sheet xmlns:r="http://schemas.openxmlformats.org/officeDocument/2006/relationships" name="REB Consensus Evidence" sheetId="7" r:id="Rb24acf1805c24973"/>
    <x:sheet xmlns:r="http://schemas.openxmlformats.org/officeDocument/2006/relationships" name="REB Results Summary" sheetId="8" r:id="R105b2b3d637341c9"/>
    <x:sheet xmlns:r="http://schemas.openxmlformats.org/officeDocument/2006/relationships" name="Risk Agreement" sheetId="9" r:id="R1b9d9a0f84b04aa2"/>
    <x:sheet xmlns:r="http://schemas.openxmlformats.org/officeDocument/2006/relationships" name="Risk Independent Comparison" sheetId="10" r:id="R0e99ef26bd0a41ea"/>
    <x:sheet xmlns:r="http://schemas.openxmlformats.org/officeDocument/2006/relationships" name="Risk Consensus" sheetId="11" r:id="R3f6a7c8f684c45ef"/>
    <x:sheet xmlns:r="http://schemas.openxmlformats.org/officeDocument/2006/relationships" name="Risk Results Summary" sheetId="12" r:id="Rd3a37ead31074772"/>
    <x:sheet xmlns:r="http://schemas.openxmlformats.org/officeDocument/2006/relationships" name="Adjudication Log" sheetId="13" r:id="R03a0398ac1574526"/>
    <x:sheet xmlns:r="http://schemas.openxmlformats.org/officeDocument/2006/relationships" name="QA" sheetId="14" r:id="R5d0ee5a5af224c8e"/>
    <x:sheet xmlns:r="http://schemas.openxmlformats.org/officeDocument/2006/relationships" name="L6 Evidence Subtypes" sheetId="15" r:id="Rd2dabc0a96de4915"/>
    <x:sheet xmlns:r="http://schemas.openxmlformats.org/officeDocument/2006/relationships" name="Wearable Sensitivity" sheetId="16" r:id="R38e927b7f6204216"/>
    <x:sheet xmlns:r="http://schemas.openxmlformats.org/officeDocument/2006/relationships" name="L7 Evidence Routes" sheetId="17" r:id="R4cd34fd4d8e24735"/>
    <x:sheet xmlns:r="http://schemas.openxmlformats.org/officeDocument/2006/relationships" name="REB Scenario Profiles" sheetId="18" r:id="Rc0c3af342e29479f"/>
    <x:sheet xmlns:r="http://schemas.openxmlformats.org/officeDocument/2006/relationships" name="REB Robustness" sheetId="19" r:id="R97dffc5a9a5c48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0"/>
  </x:numFmts>
  <x:fonts count="6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0"/>
      <x:color rgb="FF1F1F1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6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BFBFBF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0" fontId="1" fillId="0" borderId="3" xfId="0" applyNumberFormat="1" applyFont="1" applyFill="1" applyBorder="1" applyAlignment="1">
      <x:alignment vertical="top" wrapText="1"/>
    </x:xf>
    <x:xf numFmtId="200" fontId="1" fillId="0" borderId="4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1" fontId="1" fillId="0" borderId="3" xfId="0" applyNumberFormat="1" applyFont="1" applyFill="1" applyBorder="1" applyAlignment="1">
      <x:alignment vertical="top" wrapText="1"/>
    </x:xf>
    <x:xf numFmtId="201" fontId="1" fillId="0" borderId="4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2" borderId="5" xfId="0" applyNumberFormat="1" applyFont="1" applyFill="1" applyBorder="1" applyAlignment="1">
      <x:alignment vertical="top" wrapText="1"/>
    </x:xf>
    <x:xf numFmtId="0" fontId="4" fillId="2" borderId="5" xfId="0" applyNumberFormat="1" applyFont="1" applyFill="1" applyBorder="1" applyAlignment="1">
      <x:alignment vertical="top" wrapText="1"/>
    </x:xf>
    <x:xf numFmtId="0" fontId="4" fillId="2" borderId="5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0" fontId="3" fillId="0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0" fontId="3" fillId="0" borderId="5" xfId="0" applyNumberFormat="1" applyFont="1" applyFill="1" applyBorder="1" applyAlignment="1">
      <x:alignment vertical="top" wrapText="1"/>
    </x:xf>
    <x:xf numFmtId="201" fontId="3" fillId="0" borderId="5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5" xfId="0" applyNumberFormat="1" applyFont="1" applyFill="1" applyBorder="1"/>
    <x:xf numFmtId="0" fontId="4" fillId="4" borderId="5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5" borderId="5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faa338ed7c4385" /><Relationship Type="http://schemas.openxmlformats.org/officeDocument/2006/relationships/theme" Target="/xl/theme/theme1.xml" Id="Rbe23b1f7e8d941cb" /><Relationship Type="http://schemas.openxmlformats.org/officeDocument/2006/relationships/sharedStrings" Target="/xl/sharedStrings.xml" Id="Rf38f6e370fab4ffd" /><Relationship Type="http://schemas.openxmlformats.org/officeDocument/2006/relationships/worksheet" Target="/xl/worksheets/sheet1.xml" Id="Rf51cc0b64b86475f" /><Relationship Type="http://schemas.openxmlformats.org/officeDocument/2006/relationships/worksheet" Target="/xl/worksheets/sheet2.xml" Id="R337ae1aff6494867" /><Relationship Type="http://schemas.openxmlformats.org/officeDocument/2006/relationships/worksheet" Target="/xl/worksheets/sheet3.xml" Id="R3da703533f474948" /><Relationship Type="http://schemas.openxmlformats.org/officeDocument/2006/relationships/worksheet" Target="/xl/worksheets/sheet4.xml" Id="R33df1eeb3c144d3c" /><Relationship Type="http://schemas.openxmlformats.org/officeDocument/2006/relationships/worksheet" Target="/xl/worksheets/sheet5.xml" Id="Rab359a7b359b423c" /><Relationship Type="http://schemas.openxmlformats.org/officeDocument/2006/relationships/worksheet" Target="/xl/worksheets/sheet6.xml" Id="R5f003491974c42e2" /><Relationship Type="http://schemas.openxmlformats.org/officeDocument/2006/relationships/worksheet" Target="/xl/worksheets/sheet7.xml" Id="Rb24acf1805c24973" /><Relationship Type="http://schemas.openxmlformats.org/officeDocument/2006/relationships/worksheet" Target="/xl/worksheets/sheet8.xml" Id="R105b2b3d637341c9" /><Relationship Type="http://schemas.openxmlformats.org/officeDocument/2006/relationships/worksheet" Target="/xl/worksheets/sheet9.xml" Id="R1b9d9a0f84b04aa2" /><Relationship Type="http://schemas.openxmlformats.org/officeDocument/2006/relationships/worksheet" Target="/xl/worksheets/sheet10.xml" Id="R0e99ef26bd0a41ea" /><Relationship Type="http://schemas.openxmlformats.org/officeDocument/2006/relationships/worksheet" Target="/xl/worksheets/sheet11.xml" Id="R3f6a7c8f684c45ef" /><Relationship Type="http://schemas.openxmlformats.org/officeDocument/2006/relationships/worksheet" Target="/xl/worksheets/sheet12.xml" Id="Rd3a37ead31074772" /><Relationship Type="http://schemas.openxmlformats.org/officeDocument/2006/relationships/worksheet" Target="/xl/worksheets/sheet13.xml" Id="R03a0398ac1574526" /><Relationship Type="http://schemas.openxmlformats.org/officeDocument/2006/relationships/worksheet" Target="/xl/worksheets/sheet14.xml" Id="R5d0ee5a5af224c8e" /><Relationship Type="http://schemas.openxmlformats.org/officeDocument/2006/relationships/worksheet" Target="/xl/worksheets/sheet15.xml" Id="Rd2dabc0a96de4915" /><Relationship Type="http://schemas.openxmlformats.org/officeDocument/2006/relationships/worksheet" Target="/xl/worksheets/sheet16.xml" Id="R38e927b7f6204216" /><Relationship Type="http://schemas.openxmlformats.org/officeDocument/2006/relationships/worksheet" Target="/xl/worksheets/sheet17.xml" Id="R4cd34fd4d8e24735" /><Relationship Type="http://schemas.openxmlformats.org/officeDocument/2006/relationships/worksheet" Target="/xl/worksheets/sheet18.xml" Id="Rc0c3af342e29479f" /><Relationship Type="http://schemas.openxmlformats.org/officeDocument/2006/relationships/worksheet" Target="/xl/worksheets/sheet19.xml" Id="R97dffc5a9a5c485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110" hidden="0" customWidth="1"/>
  </x:cols>
  <x:sheetData>
    <x:row r="1" ht="34" customHeight="1">
      <x:c r="A1" s="7" t="str">
        <x:v>Field</x:v>
      </x:c>
      <x:c r="B1" s="7" t="str">
        <x:v>Details</x:v>
      </x:c>
    </x:row>
    <x:row r="2">
      <x:c r="A2" s="8" t="str">
        <x:v>Purpose</x:v>
      </x:c>
      <x:c r="B2" s="8" t="str">
        <x:v>Final consensus decisions and reproducible agreement calculations for 76 included studies.</x:v>
      </x:c>
    </x:row>
    <x:row r="3">
      <x:c r="A3" s="9" t="str">
        <x:v>Final-round reviewer ratings</x:v>
      </x:c>
      <x:c r="B3" s="9" t="str">
        <x:v>Agreement uses the finalized Reviewer 1 and Reviewer 2 ratings after targeted reassessment. Two unresolved Reviewer 2 L7 entries are excluded only from that comparison.</x:v>
      </x:c>
    </x:row>
    <x:row r="4" ht="36" customHeight="1">
      <x:c r="A4" s="9" t="str">
        <x:v>Consensus ratings</x:v>
      </x:c>
      <x:c r="B4" s="9" t="str">
        <x:v>Consensus decisions incorporate the complete two-route L7 audit and corrected L6 rule. L6 evidence is separated into in-exposure cross-sensitivity and post-exposure retention. Independent reviewer-rating and agreement sheets are preserved unchanged.</x:v>
      </x:c>
    </x:row>
    <x:row r="5">
      <x:c r="A5" s="9" t="str">
        <x:v>Final-round REB agreement</x:v>
      </x:c>
      <x:c r="B5" s="9" t="str">
        <x:v>605/606 comparable decisions agreed (99.8%); pooled Cohen's kappa = 0.996.</x:v>
      </x:c>
    </x:row>
    <x:row r="6">
      <x:c r="A6" s="9" t="str">
        <x:v>Assessment reliability</x:v>
      </x:c>
      <x:c r="B6" s="9" t="str">
        <x:v>364/606 comparable judgments agreed (60.1%); pooled unweighted kappa = 0.361 and linear-weighted kappa = 0.466.</x:v>
      </x:c>
    </x:row>
    <x:row r="7">
      <x:c r="A7" s="9" t="str">
        <x:v>Figures</x:v>
      </x:c>
      <x:c r="B7" s="9" t="str">
        <x:v>Figure 5 uses the corrected final L1-L8 consensus. Figure 6 continues to use the unchanged final D1-D8 consensus.</x:v>
      </x:c>
    </x:row>
    <x:row r="8" ht="36" customHeight="1">
      <x:c r="A8" s="10" t="str">
        <x:v>Unit of analysis</x:v>
      </x:c>
      <x:c r="B8" s="10" t="str">
        <x:v>Study-level assessment: 76 studies x 8 dimensions or domains = 608 decisions.</x:v>
      </x:c>
    </x:row>
    <x:row r="9">
      <x:c r="A9" s="20" t="str">
        <x:v>Robustness analysis</x:v>
      </x:c>
      <x:c r="B9" s="20" t="str">
        <x:v>REB Robustness reports conservative and permissive reclassification scenarios for documented boundary cases. REB Scenario Profiles preserves all scenario-level component decisions; the primary consensus matrix is unchanged.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58" hidden="0" customWidth="1"/>
    <x:col min="2" max="2" width="78" hidden="0" customWidth="1"/>
    <x:col min="3" max="3" width="24" hidden="0" customWidth="1"/>
  </x:cols>
  <x:sheetData>
    <x:row r="1" ht="34" customHeight="1">
      <x:c r="A1" s="7" t="str">
        <x:v>File</x:v>
      </x:c>
      <x:c r="B1" s="7" t="str">
        <x:v>Role</x:v>
      </x:c>
      <x:c r="C1" s="7" t="str">
        <x:v>Status</x:v>
      </x:c>
    </x:row>
    <x:row r="2">
      <x:c r="A2" s="8" t="str">
        <x:v>REB_L1_L8_Reviewer_Ratings_Agreement_Consensus.xlsx</x:v>
      </x:c>
      <x:c r="B2" s="8" t="str">
        <x:v>Final L1-L8 reviewer ratings, agreement, and consensus</x:v>
      </x:c>
      <x:c r="C2" s="8" t="str">
        <x:v>Source preserved</x:v>
      </x:c>
    </x:row>
    <x:row r="3">
      <x:c r="A3" s="9" t="str">
        <x:v>Reviewer1_Independent_Assessment_76_CLEAN.xlsx</x:v>
      </x:c>
      <x:c r="B3" s="9" t="str">
        <x:v>Reviewer 1 D1-D8 judgments</x:v>
      </x:c>
      <x:c r="C3" s="9" t="str">
        <x:v>Source preserved</x:v>
      </x:c>
    </x:row>
    <x:row r="4">
      <x:c r="A4" s="9" t="str">
        <x:v>Reviewer2_Independent_Assessment_76_CLEAN.xlsx</x:v>
      </x:c>
      <x:c r="B4" s="9" t="str">
        <x:v>Reviewer 2 D1-D8 judgments</x:v>
      </x:c>
      <x:c r="C4" s="9" t="str">
        <x:v>Source preserved</x:v>
      </x:c>
    </x:row>
    <x:row r="5">
      <x:c r="A5" s="10" t="str">
        <x:v>Reviewer2_Post_Comparison_Reassessment_76_CLEAN.xlsx</x:v>
      </x:c>
      <x:c r="B5" s="10" t="str">
        <x:v>D1-D8 adjudication evidence</x:v>
      </x:c>
      <x:c r="C5" s="10" t="str">
        <x:v>Source preserved</x:v>
      </x:c>
    </x:row>
    <x:row r="6">
      <x:c r="A6" t="str">
        <x:v>Supplementary_Data_4_Final_Consensus_and_Statistical_Analysis_76.xlsx</x:v>
      </x:c>
      <x:c r="B6" t="str">
        <x:v>Current consolidated supplementary workbook</x:v>
      </x:c>
      <x:c r="C6" t="str">
        <x:v>This workbook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4" hidden="0" customWidth="1"/>
    <x:col min="2" max="2" width="92" hidden="0" customWidth="1"/>
    <x:col min="3" max="3" width="70" hidden="0" customWidth="1"/>
  </x:cols>
  <x:sheetData>
    <x:row r="1" ht="34" customHeight="1">
      <x:c r="A1" s="7" t="str">
        <x:v>Issue</x:v>
      </x:c>
      <x:c r="B1" s="7" t="str">
        <x:v>Verified finding</x:v>
      </x:c>
      <x:c r="C1" s="7" t="str">
        <x:v>Reporting action</x:v>
      </x:c>
    </x:row>
    <x:row r="2">
      <x:c r="A2" s="8" t="str">
        <x:v>Final-round REB agreement</x:v>
      </x:c>
      <x:c r="B2" s="8" t="str">
        <x:v>After targeted reassessment, 605/606 comparable ratings agreed (99.8%); pooled Cohen's kappa = 0.996.</x:v>
      </x:c>
      <x:c r="C2" s="8" t="str">
        <x:v>Report this single final-round agreement result.</x:v>
      </x:c>
    </x:row>
    <x:row r="3">
      <x:c r="A3" s="9" t="str">
        <x:v>Final REB consensus</x:v>
      </x:c>
      <x:c r="B3" s="9" t="str">
        <x:v>All 608 decisions are resolved; L1-L8 totals are 33, 75, 76, 76, 62, 30, 20, and 17. L6 contains 20 in-exposure-only, 8 post-exposure-only and 2 both.</x:v>
      </x:c>
      <x:c r="C3" s="9" t="str">
        <x:v>Use these values for Figure 5 and the REB results; retain Route A and Route B terminology for L7.</x:v>
      </x:c>
    </x:row>
    <x:row r="4">
      <x:c r="A4" s="9" t="str">
        <x:v>Assessment agreement</x:v>
      </x:c>
      <x:c r="B4" s="9" t="str">
        <x:v>364/606 comparable D1-D8 judgments agreed (60.1%); pooled unweighted kappa = 0.361 and linear-weighted kappa = 0.466.</x:v>
      </x:c>
      <x:c r="C4" s="9" t="str">
        <x:v>Use the domain-level assessment results reported in this workbook.</x:v>
      </x:c>
    </x:row>
    <x:row r="5">
      <x:c r="A5" s="9" t="str">
        <x:v>Figure 6 validation</x:v>
      </x:c>
      <x:c r="B5" s="9" t="str">
        <x:v>All 608 D1-D8 judgments and domain totals match the current Figure 6.</x:v>
      </x:c>
      <x:c r="C5" s="9" t="str">
        <x:v>No Figure 6 change is required.</x:v>
      </x:c>
    </x:row>
    <x:row r="6">
      <x:c r="A6" s="10" t="str">
        <x:v>Consensus</x:v>
      </x:c>
      <x:c r="B6" s="10" t="str">
        <x:v>All 608 final REB decisions and all 608 final D1-D8 judgments are resolved.</x:v>
      </x:c>
      <x:c r="C6" s="10" t="str">
        <x:v>Use consensus for scientific prevalence and study-level results.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" hidden="0" customWidth="1"/>
    <x:col min="2" max="2" width="10" hidden="0" customWidth="1"/>
    <x:col min="3" max="3" width="14" hidden="0" customWidth="1"/>
    <x:col min="4" max="4" width="12" hidden="0" customWidth="1"/>
    <x:col min="5" max="5" width="12" hidden="0" customWidth="1"/>
    <x:col min="6" max="6" width="14" hidden="0" customWidth="1"/>
    <x:col min="7" max="7" width="12" hidden="0" customWidth="1"/>
    <x:col min="8" max="8" width="12" hidden="0" customWidth="1"/>
    <x:col min="9" max="9" width="12" hidden="0" customWidth="1"/>
    <x:col min="10" max="10" width="18" hidden="0" customWidth="1"/>
    <x:col min="11" max="11" width="14" hidden="0" customWidth="1"/>
    <x:col min="12" max="12" width="65" hidden="0" customWidth="1"/>
  </x:cols>
  <x:sheetData>
    <x:row r="1" ht="34" customHeight="1">
      <x:c r="A1" s="7" t="str">
        <x:v>Item</x:v>
      </x:c>
      <x:c r="B1" s="7" t="str">
        <x:v>Total</x:v>
      </x:c>
      <x:c r="C1" s="7" t="str">
        <x:v>Comparable n</x:v>
      </x:c>
      <x:c r="D1" s="7" t="str">
        <x:v>U excluded</x:v>
      </x:c>
      <x:c r="E1" s="7" t="str">
        <x:v>Agreements</x:v>
      </x:c>
      <x:c r="F1" s="7" t="str">
        <x:v>Disagreements</x:v>
      </x:c>
      <x:c r="G1" s="7" t="str">
        <x:v>Agreement</x:v>
      </x:c>
      <x:c r="H1" s="7" t="str">
        <x:v>R1 positives</x:v>
      </x:c>
      <x:c r="I1" s="7" t="str">
        <x:v>R2 positives</x:v>
      </x:c>
      <x:c r="J1" s="7" t="str">
        <x:v>Expected agreement</x:v>
      </x:c>
      <x:c r="K1" s="7" t="str">
        <x:v>Cohen kappa</x:v>
      </x:c>
      <x:c r="L1" s="7" t="str">
        <x:v>Note</x:v>
      </x:c>
    </x:row>
    <x:row r="2">
      <x:c r="A2" s="8" t="str">
        <x:v>L1</x:v>
      </x:c>
      <x:c r="B2" s="8" t="n">
        <x:v>76</x:v>
      </x:c>
      <x:c r="C2" s="8" t="n">
        <x:v>76</x:v>
      </x:c>
      <x:c r="D2" s="8" t="n">
        <x:v>0</x:v>
      </x:c>
      <x:c r="E2" s="8" t="n">
        <x:v>76</x:v>
      </x:c>
      <x:c r="F2" s="8" t="n">
        <x:v>0</x:v>
      </x:c>
      <x:c r="G2" s="11" t="n">
        <x:v>1</x:v>
      </x:c>
      <x:c r="H2" s="8" t="n">
        <x:v>33</x:v>
      </x:c>
      <x:c r="I2" s="8" t="n">
        <x:v>33</x:v>
      </x:c>
      <x:c r="J2" s="14" t="n">
        <x:v>0.5086565096952909</x:v>
      </x:c>
      <x:c r="K2" s="14" t="n">
        <x:v>1</x:v>
      </x:c>
      <x:c r="L2" s="8"/>
    </x:row>
    <x:row r="3">
      <x:c r="A3" s="9" t="str">
        <x:v>L2</x:v>
      </x:c>
      <x:c r="B3" s="9" t="n">
        <x:v>76</x:v>
      </x:c>
      <x:c r="C3" s="9" t="n">
        <x:v>76</x:v>
      </x:c>
      <x:c r="D3" s="9" t="n">
        <x:v>0</x:v>
      </x:c>
      <x:c r="E3" s="9" t="n">
        <x:v>76</x:v>
      </x:c>
      <x:c r="F3" s="9" t="n">
        <x:v>0</x:v>
      </x:c>
      <x:c r="G3" s="12" t="n">
        <x:v>1</x:v>
      </x:c>
      <x:c r="H3" s="9" t="n">
        <x:v>75</x:v>
      </x:c>
      <x:c r="I3" s="9" t="n">
        <x:v>75</x:v>
      </x:c>
      <x:c r="J3" s="15" t="n">
        <x:v>0.9740304709141274</x:v>
      </x:c>
      <x:c r="K3" s="15" t="n">
        <x:v>1</x:v>
      </x:c>
      <x:c r="L3" s="9"/>
    </x:row>
    <x:row r="4">
      <x:c r="A4" s="9" t="str">
        <x:v>L3</x:v>
      </x:c>
      <x:c r="B4" s="9" t="n">
        <x:v>76</x:v>
      </x:c>
      <x:c r="C4" s="9" t="n">
        <x:v>76</x:v>
      </x:c>
      <x:c r="D4" s="9" t="n">
        <x:v>0</x:v>
      </x:c>
      <x:c r="E4" s="9" t="n">
        <x:v>76</x:v>
      </x:c>
      <x:c r="F4" s="9" t="n">
        <x:v>0</x:v>
      </x:c>
      <x:c r="G4" s="12" t="n">
        <x:v>1</x:v>
      </x:c>
      <x:c r="H4" s="9" t="n">
        <x:v>76</x:v>
      </x:c>
      <x:c r="I4" s="9" t="n">
        <x:v>76</x:v>
      </x:c>
      <x:c r="J4" s="15" t="n">
        <x:v>1</x:v>
      </x:c>
      <x:c r="K4" s="15" t="str">
        <x:v>n.a.</x:v>
      </x:c>
      <x:c r="L4" s="9"/>
    </x:row>
    <x:row r="5">
      <x:c r="A5" s="9" t="str">
        <x:v>L4</x:v>
      </x:c>
      <x:c r="B5" s="9" t="n">
        <x:v>76</x:v>
      </x:c>
      <x:c r="C5" s="9" t="n">
        <x:v>76</x:v>
      </x:c>
      <x:c r="D5" s="9" t="n">
        <x:v>0</x:v>
      </x:c>
      <x:c r="E5" s="9" t="n">
        <x:v>76</x:v>
      </x:c>
      <x:c r="F5" s="9" t="n">
        <x:v>0</x:v>
      </x:c>
      <x:c r="G5" s="12" t="n">
        <x:v>1</x:v>
      </x:c>
      <x:c r="H5" s="9" t="n">
        <x:v>76</x:v>
      </x:c>
      <x:c r="I5" s="9" t="n">
        <x:v>76</x:v>
      </x:c>
      <x:c r="J5" s="15" t="n">
        <x:v>1</x:v>
      </x:c>
      <x:c r="K5" s="15" t="str">
        <x:v>n.a.</x:v>
      </x:c>
      <x:c r="L5" s="9"/>
    </x:row>
    <x:row r="6">
      <x:c r="A6" s="9" t="str">
        <x:v>L5</x:v>
      </x:c>
      <x:c r="B6" s="9" t="n">
        <x:v>76</x:v>
      </x:c>
      <x:c r="C6" s="9" t="n">
        <x:v>76</x:v>
      </x:c>
      <x:c r="D6" s="9" t="n">
        <x:v>0</x:v>
      </x:c>
      <x:c r="E6" s="9" t="n">
        <x:v>76</x:v>
      </x:c>
      <x:c r="F6" s="9" t="n">
        <x:v>0</x:v>
      </x:c>
      <x:c r="G6" s="12" t="n">
        <x:v>1</x:v>
      </x:c>
      <x:c r="H6" s="9" t="n">
        <x:v>62</x:v>
      </x:c>
      <x:c r="I6" s="9" t="n">
        <x:v>62</x:v>
      </x:c>
      <x:c r="J6" s="15" t="n">
        <x:v>0.6994459833795014</x:v>
      </x:c>
      <x:c r="K6" s="15" t="n">
        <x:v>1</x:v>
      </x:c>
      <x:c r="L6" s="9"/>
    </x:row>
    <x:row r="7">
      <x:c r="A7" s="9" t="str">
        <x:v>L6</x:v>
      </x:c>
      <x:c r="B7" s="9" t="n">
        <x:v>76</x:v>
      </x:c>
      <x:c r="C7" s="9" t="n">
        <x:v>76</x:v>
      </x:c>
      <x:c r="D7" s="9" t="n">
        <x:v>0</x:v>
      </x:c>
      <x:c r="E7" s="9" t="n">
        <x:v>76</x:v>
      </x:c>
      <x:c r="F7" s="9" t="n">
        <x:v>0</x:v>
      </x:c>
      <x:c r="G7" s="12" t="n">
        <x:v>1</x:v>
      </x:c>
      <x:c r="H7" s="9" t="n">
        <x:v>31</x:v>
      </x:c>
      <x:c r="I7" s="9" t="n">
        <x:v>31</x:v>
      </x:c>
      <x:c r="J7" s="15" t="n">
        <x:v>0.5169667590027701</x:v>
      </x:c>
      <x:c r="K7" s="15" t="n">
        <x:v>1</x:v>
      </x:c>
      <x:c r="L7" s="9"/>
    </x:row>
    <x:row r="8">
      <x:c r="A8" s="9" t="str">
        <x:v>L7</x:v>
      </x:c>
      <x:c r="B8" s="9" t="n">
        <x:v>76</x:v>
      </x:c>
      <x:c r="C8" s="9" t="n">
        <x:v>74</x:v>
      </x:c>
      <x:c r="D8" s="9" t="n">
        <x:v>2</x:v>
      </x:c>
      <x:c r="E8" s="9" t="n">
        <x:v>73</x:v>
      </x:c>
      <x:c r="F8" s="9" t="n">
        <x:v>1</x:v>
      </x:c>
      <x:c r="G8" s="12" t="n">
        <x:v>0.9864864864864865</x:v>
      </x:c>
      <x:c r="H8" s="9" t="n">
        <x:v>29</x:v>
      </x:c>
      <x:c r="I8" s="9" t="n">
        <x:v>28</x:v>
      </x:c>
      <x:c r="J8" s="15" t="n">
        <x:v>0.5262965668371073</x:v>
      </x:c>
      <x:c r="K8" s="15" t="n">
        <x:v>0.971472629144179</x:v>
      </x:c>
      <x:c r="L8" s="9" t="str">
        <x:v>Two unresolved Reviewer 2 ratings are excluded.</x:v>
      </x:c>
    </x:row>
    <x:row r="9">
      <x:c r="A9" s="9" t="str">
        <x:v>L8</x:v>
      </x:c>
      <x:c r="B9" s="9" t="n">
        <x:v>76</x:v>
      </x:c>
      <x:c r="C9" s="9" t="n">
        <x:v>76</x:v>
      </x:c>
      <x:c r="D9" s="9" t="n">
        <x:v>0</x:v>
      </x:c>
      <x:c r="E9" s="9" t="n">
        <x:v>76</x:v>
      </x:c>
      <x:c r="F9" s="9" t="n">
        <x:v>0</x:v>
      </x:c>
      <x:c r="G9" s="12" t="n">
        <x:v>1</x:v>
      </x:c>
      <x:c r="H9" s="9" t="n">
        <x:v>17</x:v>
      </x:c>
      <x:c r="I9" s="9" t="n">
        <x:v>17</x:v>
      </x:c>
      <x:c r="J9" s="15" t="n">
        <x:v>0.6527008310249307</x:v>
      </x:c>
      <x:c r="K9" s="15" t="n">
        <x:v>1</x:v>
      </x:c>
      <x:c r="L9" s="9"/>
    </x:row>
    <x:row r="10">
      <x:c r="A10" s="10" t="str">
        <x:v>Overall</x:v>
      </x:c>
      <x:c r="B10" s="10" t="n">
        <x:v>608</x:v>
      </x:c>
      <x:c r="C10" s="10" t="n">
        <x:v>606</x:v>
      </x:c>
      <x:c r="D10" s="10" t="n">
        <x:v>2</x:v>
      </x:c>
      <x:c r="E10" s="10" t="n">
        <x:v>605</x:v>
      </x:c>
      <x:c r="F10" s="10" t="n">
        <x:v>1</x:v>
      </x:c>
      <x:c r="G10" s="13" t="n">
        <x:v>0.9983498349834984</x:v>
      </x:c>
      <x:c r="H10" s="10" t="n">
        <x:v>399</x:v>
      </x:c>
      <x:c r="I10" s="10" t="n">
        <x:v>398</x:v>
      </x:c>
      <x:c r="J10" s="16" t="n">
        <x:v>0.5496683331699507</x:v>
      </x:c>
      <x:c r="K10" s="16" t="n">
        <x:v>0.9963356673801836</x:v>
      </x:c>
      <x:c r="L10" s="10" t="str">
        <x:v>Final-round pooled result after targeted reassessment across 606 comparable decisions.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1" hidden="0" customWidth="1"/>
    <x:col min="3" max="3" width="22" hidden="0" customWidth="1"/>
    <x:col min="4" max="4" width="10" hidden="0" customWidth="1"/>
    <x:col min="5" max="5" width="12" hidden="0" customWidth="1"/>
    <x:col min="6" max="6" width="12" hidden="0" customWidth="1"/>
    <x:col min="7" max="7" width="12" hidden="0" customWidth="1"/>
    <x:col min="8" max="8" width="18" hidden="0" customWidth="1"/>
    <x:col min="9" max="9" width="15" hidden="0" customWidth="1"/>
    <x:col min="10" max="10" width="25" hidden="0" customWidth="1"/>
    <x:col min="11" max="11" width="52" hidden="0" customWidth="1"/>
    <x:col min="12" max="12" width="28" hidden="0" customWidth="1"/>
    <x:col min="13" max="13" width="52" hidden="0" customWidth="1"/>
    <x:col min="14" max="14" width="28" hidden="0" customWidth="1"/>
    <x:col min="15" max="15" width="52" hidden="0" customWidth="1"/>
    <x:col min="16" max="16" width="28" hidden="0" customWidth="1"/>
  </x:cols>
  <x:sheetData>
    <x:row r="1" ht="34" customHeight="1">
      <x:c r="A1" s="7" t="str">
        <x:v>Synthesis ID</x:v>
      </x:c>
      <x:c r="B1" s="7" t="str">
        <x:v>Study ID</x:v>
      </x:c>
      <x:c r="C1" s="7" t="str">
        <x:v>Citation</x:v>
      </x:c>
      <x:c r="D1" s="7" t="str">
        <x:v>REB item</x:v>
      </x:c>
      <x:c r="E1" s="7" t="str">
        <x:v>Reviewer 1</x:v>
      </x:c>
      <x:c r="F1" s="7" t="str">
        <x:v>Reviewer 2</x:v>
      </x:c>
      <x:c r="G1" s="7" t="str">
        <x:v>Comparable</x:v>
      </x:c>
      <x:c r="H1" s="7" t="str">
        <x:v>Rating result</x:v>
      </x:c>
      <x:c r="I1" s="7" t="str">
        <x:v>Final consensus</x:v>
      </x:c>
      <x:c r="J1" s="7" t="str">
        <x:v>Consensus status</x:v>
      </x:c>
      <x:c r="K1" s="7" t="str">
        <x:v>Reviewer 1 reason</x:v>
      </x:c>
      <x:c r="L1" s="7" t="str">
        <x:v>Reviewer 1 locator</x:v>
      </x:c>
      <x:c r="M1" s="7" t="str">
        <x:v>Reviewer 2 reason</x:v>
      </x:c>
      <x:c r="N1" s="7" t="str">
        <x:v>Reviewer 2 locator</x:v>
      </x:c>
      <x:c r="O1" s="7" t="str">
        <x:v>Final rationale</x:v>
      </x:c>
      <x:c r="P1" s="7" t="str">
        <x:v>Final locator</x:v>
      </x:c>
    </x:row>
    <x:row r="2">
      <x:c r="A2" s="8" t="n">
        <x:v>1</x:v>
      </x:c>
      <x:c r="B2" s="8" t="str">
        <x:v>S001</x:v>
      </x:c>
      <x:c r="C2" s="8" t="str">
        <x:v>Leal-Junior et al. (2025)</x:v>
      </x:c>
      <x:c r="D2" s="8" t="str">
        <x:v>L1</x:v>
      </x:c>
      <x:c r="E2" s="8" t="str">
        <x:v>0</x:v>
      </x:c>
      <x:c r="F2" s="8" t="str">
        <x:v>0</x:v>
      </x:c>
      <x:c r="G2" s="8" t="str">
        <x:v>Yes</x:v>
      </x:c>
      <x:c r="H2" s="8" t="str">
        <x:v>Agree</x:v>
      </x:c>
      <x:c r="I2" s="8" t="str">
        <x:v>0</x:v>
      </x:c>
      <x:c r="J2" s="8" t="str">
        <x:v>Final agreement</x:v>
      </x:c>
      <x:c r="K2" s="8" t="str">
        <x:v>Core printer named, but nozzle temperature, layer height, speed, nozzle size and toolpath/orientation were not located.</x:v>
      </x:c>
      <x:c r="L2" s="8" t="str">
        <x:v>PDF pp. 4-5</x:v>
      </x:c>
      <x:c r="M2" s="8" t="str">
        <x:v>Printer, TPU and 100% infill are given, but nozzle, temperatures, layer height, speed and orientation are not reported.</x:v>
      </x:c>
      <x:c r="N2" s="8" t="str">
        <x:v>Article PDF p. 4, Prototype Description</x:v>
      </x:c>
      <x:c r="O2" s="8" t="str">
        <x:v>Core printer named, but nozzle temperature, layer height, speed, nozzle size and toolpath/orientation were not located.</x:v>
      </x:c>
      <x:c r="P2" s="8" t="str">
        <x:v>PDF pp. 4-5</x:v>
      </x:c>
    </x:row>
    <x:row r="3">
      <x:c r="A3" s="9" t="n">
        <x:v>1</x:v>
      </x:c>
      <x:c r="B3" s="9" t="str">
        <x:v>S001</x:v>
      </x:c>
      <x:c r="C3" s="9" t="str">
        <x:v>Leal-Junior et al. (2025)</x:v>
      </x:c>
      <x:c r="D3" s="9" t="str">
        <x:v>L2</x:v>
      </x:c>
      <x:c r="E3" s="9" t="str">
        <x:v>1</x:v>
      </x:c>
      <x:c r="F3" s="9" t="str">
        <x:v>1</x:v>
      </x:c>
      <x:c r="G3" s="9" t="str">
        <x:v>Yes</x:v>
      </x:c>
      <x:c r="H3" s="9" t="str">
        <x:v>Agree</x:v>
      </x:c>
      <x:c r="I3" s="9" t="str">
        <x:v>1</x:v>
      </x:c>
      <x:c r="J3" s="9" t="str">
        <x:v>Final agreement</x:v>
      </x:c>
      <x:c r="K3" s="9" t="str">
        <x:v>TPU, silica FBG, PTFE capillary and PDMS integration materials identified.</x:v>
      </x:c>
      <x:c r="L3" s="9" t="str">
        <x:v>PDF pp. 4-5</x:v>
      </x:c>
      <x:c r="M3" s="9" t="str">
        <x:v>TPU host, FBG array, PTFE tubing, PDMS encapsulant and cyanoacrylate attachment are identified.</x:v>
      </x:c>
      <x:c r="N3" s="9" t="str">
        <x:v>Article PDF pp. 4-5, Prototype Description</x:v>
      </x:c>
      <x:c r="O3" s="9" t="str">
        <x:v>TPU, silica FBG, PTFE capillary and PDMS integration materials identified.</x:v>
      </x:c>
      <x:c r="P3" s="9" t="str">
        <x:v>PDF pp. 4-5</x:v>
      </x:c>
    </x:row>
    <x:row r="4">
      <x:c r="A4" s="9" t="n">
        <x:v>1</x:v>
      </x:c>
      <x:c r="B4" s="9" t="str">
        <x:v>S001</x:v>
      </x:c>
      <x:c r="C4" s="9" t="str">
        <x:v>Leal-Junior et al. (2025)</x:v>
      </x:c>
      <x:c r="D4" s="9" t="str">
        <x:v>L3</x:v>
      </x:c>
      <x:c r="E4" s="9" t="str">
        <x:v>1</x:v>
      </x:c>
      <x:c r="F4" s="9" t="str">
        <x:v>1</x:v>
      </x:c>
      <x:c r="G4" s="9" t="str">
        <x:v>Yes</x:v>
      </x:c>
      <x:c r="H4" s="9" t="str">
        <x:v>Agree</x:v>
      </x:c>
      <x:c r="I4" s="9" t="str">
        <x:v>1</x:v>
      </x:c>
      <x:c r="J4" s="9" t="str">
        <x:v>Final agreement</x:v>
      </x:c>
      <x:c r="K4" s="9" t="str">
        <x:v>20-1000 N calibration and force-platform comparison described.</x:v>
      </x:c>
      <x:c r="L4" s="9" t="str">
        <x:v>PDF pp. 6-8, 14; Fig. 3-4, 7</x:v>
      </x:c>
      <x:c r="M4" s="9" t="str">
        <x:v>FBG wavelength was characterized against certified calibration masses over stated force positions and levels.</x:v>
      </x:c>
      <x:c r="N4" s="9" t="str">
        <x:v>Article PDF pp. 6-8, Figures 3-5</x:v>
      </x:c>
      <x:c r="O4" s="9" t="str">
        <x:v>20-1000 N calibration and force-platform comparison described.</x:v>
      </x:c>
      <x:c r="P4" s="9" t="str">
        <x:v>PDF pp. 6-8, 14; Fig. 3-4, 7</x:v>
      </x:c>
    </x:row>
    <x:row r="5">
      <x:c r="A5" s="9" t="n">
        <x:v>1</x:v>
      </x:c>
      <x:c r="B5" s="9" t="str">
        <x:v>S001</x:v>
      </x:c>
      <x:c r="C5" s="9" t="str">
        <x:v>Leal-Junior et al. (2025)</x:v>
      </x:c>
      <x:c r="D5" s="9" t="str">
        <x:v>L4</x:v>
      </x:c>
      <x:c r="E5" s="9" t="str">
        <x:v>1</x:v>
      </x:c>
      <x:c r="F5" s="9" t="str">
        <x:v>1</x:v>
      </x:c>
      <x:c r="G5" s="9" t="str">
        <x:v>Yes</x:v>
      </x:c>
      <x:c r="H5" s="9" t="str">
        <x:v>Agree</x:v>
      </x:c>
      <x:c r="I5" s="9" t="str">
        <x:v>1</x:v>
      </x:c>
      <x:c r="J5" s="9" t="str">
        <x:v>Final agreement</x:v>
      </x:c>
      <x:c r="K5" s="9" t="str">
        <x:v>Sensitivity, linearity and hysteresis reported with ranges/units.</x:v>
      </x:c>
      <x:c r="L5" s="9" t="str">
        <x:v>PDF p. 8, Fig. 4</x:v>
      </x:c>
      <x:c r="M5" s="9" t="str">
        <x:v>Sensitivity in pm/N and linearity are reported across the applied-force range.</x:v>
      </x:c>
      <x:c r="N5" s="9" t="str">
        <x:v>Article PDF p. 8, Figure 5a</x:v>
      </x:c>
      <x:c r="O5" s="9" t="str">
        <x:v>Sensitivity, linearity and hysteresis reported with ranges/units.</x:v>
      </x:c>
      <x:c r="P5" s="9" t="str">
        <x:v>PDF p. 8, Fig. 4</x:v>
      </x:c>
    </x:row>
    <x:row r="6">
      <x:c r="A6" s="9" t="n">
        <x:v>1</x:v>
      </x:c>
      <x:c r="B6" s="9" t="str">
        <x:v>S001</x:v>
      </x:c>
      <x:c r="C6" s="9" t="str">
        <x:v>Leal-Junior et al. (2025)</x:v>
      </x:c>
      <x:c r="D6" s="9" t="str">
        <x:v>L5</x:v>
      </x:c>
      <x:c r="E6" s="9" t="str">
        <x:v>1</x:v>
      </x:c>
      <x:c r="F6" s="9" t="str">
        <x:v>1</x:v>
      </x:c>
      <x:c r="G6" s="9" t="str">
        <x:v>Yes</x:v>
      </x:c>
      <x:c r="H6" s="9" t="str">
        <x:v>Agree</x:v>
      </x:c>
      <x:c r="I6" s="9" t="str">
        <x:v>1</x:v>
      </x:c>
      <x:c r="J6" s="9" t="str">
        <x:v>Final agreement</x:v>
      </x:c>
      <x:c r="K6" s="9" t="str">
        <x:v>Three complete loading cycles with quantitative hysteresis.</x:v>
      </x:c>
      <x:c r="L6" s="9" t="str">
        <x:v>PDF pp. 6, 8; Fig. 4</x:v>
      </x:c>
      <x:c r="M6" s="9" t="str">
        <x:v>Three loading-unloading cycles were run at each force and position; SD includes hysteresis variation.</x:v>
      </x:c>
      <x:c r="N6" s="9" t="str">
        <x:v>Article PDF pp. 6-8, Figure 4</x:v>
      </x:c>
      <x:c r="O6" s="9" t="str">
        <x:v>Three complete loading cycles with quantitative hysteresis.</x:v>
      </x:c>
      <x:c r="P6" s="9" t="str">
        <x:v>PDF pp. 6, 8; Fig. 4</x:v>
      </x:c>
    </x:row>
    <x:row r="7">
      <x:c r="A7" s="9" t="n">
        <x:v>1</x:v>
      </x:c>
      <x:c r="B7" s="9" t="str">
        <x:v>S001</x:v>
      </x:c>
      <x:c r="C7" s="9" t="str">
        <x:v>Leal-Junior et al. (2025)</x:v>
      </x:c>
      <x:c r="D7" s="9" t="str">
        <x:v>L6</x:v>
      </x:c>
      <x:c r="E7" s="9" t="str">
        <x:v>0</x:v>
      </x:c>
      <x:c r="F7" s="9" t="str">
        <x:v>0</x:v>
      </x:c>
      <x:c r="G7" s="9" t="str">
        <x:v>Yes</x:v>
      </x:c>
      <x:c r="H7" s="9" t="str">
        <x:v>Agree</x:v>
      </x:c>
      <x:c r="I7" s="9" t="str">
        <x:v>0</x:v>
      </x:c>
      <x:c r="J7" s="9" t="str">
        <x:v>Final agreement</x:v>
      </x:c>
      <x:c r="K7" s="9" t="str">
        <x:v>No stated non-measurand environment/use exposure with sensor response; on-person operation alone does not qualify.</x:v>
      </x:c>
      <x:c r="L7" s="9" t="str">
        <x:v>PDF pp. 4-15 checked</x:v>
      </x:c>
      <x:c r="M7" s="9" t="str">
        <x:v>Temperature sensitivity is discussed and filtered, but sensor response under a non-measurand exposure is not tested.</x:v>
      </x:c>
      <x:c r="N7" s="9" t="str">
        <x:v>Article PDF p. 7, Characterization protocol</x:v>
      </x:c>
      <x:c r="O7" s="9" t="str">
        <x:v>No stated non-measurand environment/use exposure with sensor response; on-person operation alone does not qualify.</x:v>
      </x:c>
      <x:c r="P7" s="9" t="str">
        <x:v>PDF pp. 4-15 checked</x:v>
      </x:c>
    </x:row>
    <x:row r="8">
      <x:c r="A8" s="9" t="n">
        <x:v>1</x:v>
      </x:c>
      <x:c r="B8" s="9" t="str">
        <x:v>S001</x:v>
      </x:c>
      <x:c r="C8" s="9" t="str">
        <x:v>Leal-Junior et al. (2025)</x:v>
      </x:c>
      <x:c r="D8" s="9" t="str">
        <x:v>L7</x:v>
      </x:c>
      <x:c r="E8" s="9" t="str">
        <x:v>1</x:v>
      </x:c>
      <x:c r="F8" s="9" t="str">
        <x:v>1</x:v>
      </x:c>
      <x:c r="G8" s="9" t="str">
        <x:v>Yes</x:v>
      </x:c>
      <x:c r="H8" s="9" t="str">
        <x:v>Agree</x:v>
      </x:c>
      <x:c r="I8" s="9" t="str">
        <x:v>1</x:v>
      </x:c>
      <x:c r="J8" s="9" t="str">
        <x:v>Final agreement</x:v>
      </x:c>
      <x:c r="K8" s="9" t="str">
        <x:v>The authors assess GRF pattern and stance-phase repeatability throughout sequential worn gait cycles and discuss biological variability. This is direct qualitative cross-cycle evaluation, not a retention percentage.</x:v>
      </x:c>
      <x:c r="L8" s="9" t="str">
        <x:v>S001_Main.pdf, physical p. 7 protocol; pp. 13-15, Fig. 7a-b and sequential-gait repeatability discussion.</x:v>
      </x:c>
      <x:c r="M8" s="9" t="str">
        <x:v>The authors assess GRF pattern and stance-phase repeatability throughout sequential worn gait cycles and discuss biological variability. This is direct qualitative cross-cycle evaluation, not a retention percentage.</x:v>
      </x:c>
      <x:c r="N8" s="9" t="str">
        <x:v>S001_Main.pdf, physical p. 7 protocol; pp. 13-15, Fig. 7a-b and sequential-gait repeatability discussion.</x:v>
      </x:c>
      <x:c r="O8" s="9" t="str">
        <x:v>The authors assess GRF pattern and stance-phase repeatability throughout sequential worn gait cycles and discuss biological variability. This is direct qualitative cross-cycle evaluation, not a retention percentage.</x:v>
      </x:c>
      <x:c r="P8" s="9" t="str">
        <x:v>S001_Main.pdf, physical p. 7 protocol; pp. 13-15, Fig. 7a-b and sequential-gait repeatability discussion.</x:v>
      </x:c>
    </x:row>
    <x:row r="9">
      <x:c r="A9" s="9" t="n">
        <x:v>1</x:v>
      </x:c>
      <x:c r="B9" s="9" t="str">
        <x:v>S001</x:v>
      </x:c>
      <x:c r="C9" s="9" t="str">
        <x:v>Leal-Junior et al. (2025)</x:v>
      </x:c>
      <x:c r="D9" s="9" t="str">
        <x:v>L8</x:v>
      </x:c>
      <x:c r="E9" s="9" t="str">
        <x:v>0</x:v>
      </x:c>
      <x:c r="F9" s="9" t="str">
        <x:v>0</x:v>
      </x:c>
      <x:c r="G9" s="9" t="str">
        <x:v>Yes</x:v>
      </x:c>
      <x:c r="H9" s="9" t="str">
        <x:v>Agree</x:v>
      </x:c>
      <x:c r="I9" s="9" t="str">
        <x:v>0</x:v>
      </x:c>
      <x:c r="J9" s="9" t="str">
        <x:v>Final agreement</x:v>
      </x:c>
      <x:c r="K9" s="9" t="str">
        <x:v>Five volunteers and five FBG positions are not independently fabricated device replicates; device count/variation NR.</x:v>
      </x:c>
      <x:c r="L9" s="9" t="str">
        <x:v>PDF pp. 6-15</x:v>
      </x:c>
      <x:c r="M9" s="9" t="str">
        <x:v>Dispersion is from repeated cycles/volunteers using one insole, not three independently fabricated devices.</x:v>
      </x:c>
      <x:c r="N9" s="9" t="str">
        <x:v>Article PDF pp. 8 and 15, Figures 4 and 7</x:v>
      </x:c>
      <x:c r="O9" s="9" t="str">
        <x:v>Five volunteers and five FBG positions are not independently fabricated device replicates; device count/variation NR.</x:v>
      </x:c>
      <x:c r="P9" s="9" t="str">
        <x:v>PDF pp. 6-15</x:v>
      </x:c>
    </x:row>
    <x:row r="10">
      <x:c r="A10" s="9" t="n">
        <x:v>2</x:v>
      </x:c>
      <x:c r="B10" s="9" t="str">
        <x:v>S002</x:v>
      </x:c>
      <x:c r="C10" s="9" t="str">
        <x:v>Koukouviti et al. (2022)</x:v>
      </x:c>
      <x:c r="D10" s="9" t="str">
        <x:v>L1</x:v>
      </x:c>
      <x:c r="E10" s="9" t="str">
        <x:v>0</x:v>
      </x:c>
      <x:c r="F10" s="9" t="str">
        <x:v>0</x:v>
      </x:c>
      <x:c r="G10" s="9" t="str">
        <x:v>Yes</x:v>
      </x:c>
      <x:c r="H10" s="9" t="str">
        <x:v>Agree</x:v>
      </x:c>
      <x:c r="I10" s="9" t="str">
        <x:v>0</x:v>
      </x:c>
      <x:c r="J10" s="9" t="str">
        <x:v>Final agreement</x:v>
      </x:c>
      <x:c r="K10" s="9" t="str">
        <x:v>No printer/model or layer height located, although head/bed temperature and speed are reported.</x:v>
      </x:c>
      <x:c r="L10" s="9" t="str">
        <x:v>PDF p. 4</x:v>
      </x:c>
      <x:c r="M10" s="9" t="str">
        <x:v>Platform/head temperatures and speed are stated, but printer/nozzle, layer height, infill and orientation are not.</x:v>
      </x:c>
      <x:c r="N10" s="9" t="str">
        <x:v>Article PDF p. 4, Section 2.4 and Figure 3</x:v>
      </x:c>
      <x:c r="O10" s="9" t="str">
        <x:v>No printer/model or layer height located, although head/bed temperature and speed are reported.</x:v>
      </x:c>
      <x:c r="P10" s="9" t="str">
        <x:v>PDF p. 4</x:v>
      </x:c>
    </x:row>
    <x:row r="11">
      <x:c r="A11" s="9" t="n">
        <x:v>2</x:v>
      </x:c>
      <x:c r="B11" s="9" t="str">
        <x:v>S002</x:v>
      </x:c>
      <x:c r="C11" s="9" t="str">
        <x:v>Koukouviti et al. (2022)</x:v>
      </x:c>
      <x:c r="D11" s="9" t="str">
        <x:v>L2</x:v>
      </x:c>
      <x:c r="E11" s="9" t="str">
        <x:v>1</x:v>
      </x:c>
      <x:c r="F11" s="9" t="str">
        <x:v>1</x:v>
      </x:c>
      <x:c r="G11" s="9" t="str">
        <x:v>Yes</x:v>
      </x:c>
      <x:c r="H11" s="9" t="str">
        <x:v>Agree</x:v>
      </x:c>
      <x:c r="I11" s="9" t="str">
        <x:v>1</x:v>
      </x:c>
      <x:c r="J11" s="9" t="str">
        <x:v>Final agreement</x:v>
      </x:c>
      <x:c r="K11" s="9" t="str">
        <x:v>CB-PLA, Fe cluster and Nafion modification are identified.</x:v>
      </x:c>
      <x:c r="L11" s="9" t="str">
        <x:v>PDF pp. 3-5; Supplement pp. 1-12</x:v>
      </x:c>
      <x:c r="M11" s="9" t="str">
        <x:v>Proto-Pasta CB/PLA filament, Fe(III) cluster loading and Nafion coating composition are specified.</x:v>
      </x:c>
      <x:c r="N11" s="9" t="str">
        <x:v>Article PDF pp. 2 and 4, Section 2.4</x:v>
      </x:c>
      <x:c r="O11" s="9" t="str">
        <x:v>CB-PLA, Fe cluster and Nafion modification are identified.</x:v>
      </x:c>
      <x:c r="P11" s="9" t="str">
        <x:v>PDF pp. 3-5; Supplement pp. 1-12</x:v>
      </x:c>
    </x:row>
    <x:row r="12">
      <x:c r="A12" s="9" t="n">
        <x:v>2</x:v>
      </x:c>
      <x:c r="B12" s="9" t="str">
        <x:v>S002</x:v>
      </x:c>
      <x:c r="C12" s="9" t="str">
        <x:v>Koukouviti et al. (2022)</x:v>
      </x:c>
      <x:c r="D12" s="9" t="str">
        <x:v>L3</x:v>
      </x:c>
      <x:c r="E12" s="9" t="str">
        <x:v>1</x:v>
      </x:c>
      <x:c r="F12" s="9" t="str">
        <x:v>1</x:v>
      </x:c>
      <x:c r="G12" s="9" t="str">
        <x:v>Yes</x:v>
      </x:c>
      <x:c r="H12" s="9" t="str">
        <x:v>Agree</x:v>
      </x:c>
      <x:c r="I12" s="9" t="str">
        <x:v>1</x:v>
      </x:c>
      <x:c r="J12" s="9" t="str">
        <x:v>Final agreement</x:v>
      </x:c>
      <x:c r="K12" s="9" t="str">
        <x:v>DPV procedure and 25-500 micromolar glucose calibration described.</x:v>
      </x:c>
      <x:c r="L12" s="9" t="str">
        <x:v>PDF pp. 5-7</x:v>
      </x:c>
      <x:c r="M12" s="9" t="str">
        <x:v>DPV current was calibrated against prepared glucose concentrations spanning the physiological sweat range.</x:v>
      </x:c>
      <x:c r="N12" s="9" t="str">
        <x:v>Article PDF pp. 5-8, Figure 5</x:v>
      </x:c>
      <x:c r="O12" s="9" t="str">
        <x:v>DPV procedure and 25-500 micromolar glucose calibration described.</x:v>
      </x:c>
      <x:c r="P12" s="9" t="str">
        <x:v>PDF pp. 5-7</x:v>
      </x:c>
    </x:row>
    <x:row r="13">
      <x:c r="A13" s="9" t="n">
        <x:v>2</x:v>
      </x:c>
      <x:c r="B13" s="9" t="str">
        <x:v>S002</x:v>
      </x:c>
      <x:c r="C13" s="9" t="str">
        <x:v>Koukouviti et al. (2022)</x:v>
      </x:c>
      <x:c r="D13" s="9" t="str">
        <x:v>L4</x:v>
      </x:c>
      <x:c r="E13" s="9" t="str">
        <x:v>1</x:v>
      </x:c>
      <x:c r="F13" s="9" t="str">
        <x:v>1</x:v>
      </x:c>
      <x:c r="G13" s="9" t="str">
        <x:v>Yes</x:v>
      </x:c>
      <x:c r="H13" s="9" t="str">
        <x:v>Agree</x:v>
      </x:c>
      <x:c r="I13" s="9" t="str">
        <x:v>1</x:v>
      </x:c>
      <x:c r="J13" s="9" t="str">
        <x:v>Final agreement</x:v>
      </x:c>
      <x:c r="K13" s="9" t="str">
        <x:v>Calibration slope/linearity/LOD and concentration range reported.</x:v>
      </x:c>
      <x:c r="L13" s="9" t="str">
        <x:v>PDF pp. 6-7, Fig. 3-4</x:v>
      </x:c>
      <x:c r="M13" s="9" t="str">
        <x:v>Calibration linearity and a 4.3 micromol/L LOD with calculation are reported over the stated concentration range.</x:v>
      </x:c>
      <x:c r="N13" s="9" t="str">
        <x:v>Article PDF pp. 7-8, Figure 5</x:v>
      </x:c>
      <x:c r="O13" s="9" t="str">
        <x:v>Calibration slope/linearity/LOD and concentration range reported.</x:v>
      </x:c>
      <x:c r="P13" s="9" t="str">
        <x:v>PDF pp. 6-7, Fig. 3-4</x:v>
      </x:c>
    </x:row>
    <x:row r="14">
      <x:c r="A14" s="9" t="n">
        <x:v>2</x:v>
      </x:c>
      <x:c r="B14" s="9" t="str">
        <x:v>S002</x:v>
      </x:c>
      <x:c r="C14" s="9" t="str">
        <x:v>Koukouviti et al. (2022)</x:v>
      </x:c>
      <x:c r="D14" s="9" t="str">
        <x:v>L5</x:v>
      </x:c>
      <x:c r="E14" s="9" t="str">
        <x:v>1</x:v>
      </x:c>
      <x:c r="F14" s="9" t="str">
        <x:v>1</x:v>
      </x:c>
      <x:c r="G14" s="9" t="str">
        <x:v>Yes</x:v>
      </x:c>
      <x:c r="H14" s="9" t="str">
        <x:v>Agree</x:v>
      </x:c>
      <x:c r="I14" s="9" t="str">
        <x:v>1</x:v>
      </x:c>
      <x:c r="J14" s="9" t="str">
        <x:v>Final agreement</x:v>
      </x:c>
      <x:c r="K14" s="9" t="str">
        <x:v>Ten repeated responses on one electrode with 4.8% RSD.</x:v>
      </x:c>
      <x:c r="L14" s="9" t="str">
        <x:v>PDF pp. 7-8, Fig. 5</x:v>
      </x:c>
      <x:c r="M14" s="9" t="str">
        <x:v>Final rating supersedes the earlier rating; no revised narrative reason was supplied.</x:v>
      </x:c>
      <x:c r="N14" s="9" t="str">
        <x:v>Finalized reviewer-rating workbook</x:v>
      </x:c>
      <x:c r="O14" s="9" t="str">
        <x:v>Ten repeated responses on one electrode with 4.8% RSD.</x:v>
      </x:c>
      <x:c r="P14" s="9" t="str">
        <x:v>PDF pp. 7-8, Fig. 5</x:v>
      </x:c>
    </x:row>
    <x:row r="15">
      <x:c r="A15" s="9" t="n">
        <x:v>2</x:v>
      </x:c>
      <x:c r="B15" s="9" t="str">
        <x:v>S002</x:v>
      </x:c>
      <x:c r="C15" s="9" t="str">
        <x:v>Koukouviti et al. (2022)</x:v>
      </x:c>
      <x:c r="D15" s="9" t="str">
        <x:v>L6</x:v>
      </x:c>
      <x:c r="E15" s="9" t="str">
        <x:v>1</x:v>
      </x:c>
      <x:c r="F15" s="9" t="str">
        <x:v>1</x:v>
      </x:c>
      <x:c r="G15" s="9" t="str">
        <x:v>Yes</x:v>
      </x:c>
      <x:c r="H15" s="9" t="str">
        <x:v>Agree</x:v>
      </x:c>
      <x:c r="I15" s="9" t="str">
        <x:v>1</x:v>
      </x:c>
      <x:c r="J15" s="9" t="str">
        <x:v>Final agreement</x:v>
      </x:c>
      <x:c r="K15" s="9" t="str">
        <x:v>Artificial-sweat pH and interferents stated; recovery/response reported.</x:v>
      </x:c>
      <x:c r="L15" s="9" t="str">
        <x:v>PDF pp. 8-10, Fig. 6-7</x:v>
      </x:c>
      <x:c r="M15" s="9" t="str">
        <x:v>Responses were evaluated with sweat interferents and under acidic sweat-relevant conditions.</x:v>
      </x:c>
      <x:c r="N15" s="9" t="str">
        <x:v>Article PDF pp. 8-10, Section 3.5 and Figure 6</x:v>
      </x:c>
      <x:c r="O15" s="9" t="str">
        <x:v>Artificial-sweat pH and interferents stated; recovery/response reported.</x:v>
      </x:c>
      <x:c r="P15" s="9" t="str">
        <x:v>PDF pp. 8-10, Fig. 6-7</x:v>
      </x:c>
    </x:row>
    <x:row r="16">
      <x:c r="A16" s="9" t="n">
        <x:v>2</x:v>
      </x:c>
      <x:c r="B16" s="9" t="str">
        <x:v>S002</x:v>
      </x:c>
      <x:c r="C16" s="9" t="str">
        <x:v>Koukouviti et al. (2022)</x:v>
      </x:c>
      <x:c r="D16" s="9" t="str">
        <x:v>L7</x:v>
      </x:c>
      <x:c r="E16" s="9" t="str">
        <x:v>0</x:v>
      </x:c>
      <x:c r="F16" s="9" t="str">
        <x:v>0</x:v>
      </x:c>
      <x:c r="G16" s="9" t="str">
        <x:v>Yes</x:v>
      </x:c>
      <x:c r="H16" s="9" t="str">
        <x:v>Agree</x:v>
      </x:c>
      <x:c r="I16" s="9" t="str">
        <x:v>0</x:v>
      </x:c>
      <x:c r="J16" s="9" t="str">
        <x:v>Final agreement</x:v>
      </x:c>
      <x:c r="K16" s="9" t="str">
        <x:v>Final L7 rating from the targeted reassessment.</x:v>
      </x:c>
      <x:c r="L16" s="9" t="str">
        <x:v>Finalized reviewer-rating workbook</x:v>
      </x:c>
      <x:c r="M16" s="9" t="str">
        <x:v>Final L7 rating from the targeted reassessment.</x:v>
      </x:c>
      <x:c r="N16" s="9" t="str">
        <x:v>Finalized reviewer-rating workbook</x:v>
      </x:c>
      <x:c r="O16" s="9" t="str">
        <x:v>No qualifying interface-integrity test or repeated final monolithic wearable-assembly test with a retention/failure endpoint was located.</x:v>
      </x:c>
      <x:c r="P16" s="9" t="str">
        <x:v>PDF pp. 1-13 and Supplement checked</x:v>
      </x:c>
    </x:row>
    <x:row r="17">
      <x:c r="A17" s="9" t="n">
        <x:v>2</x:v>
      </x:c>
      <x:c r="B17" s="9" t="str">
        <x:v>S002</x:v>
      </x:c>
      <x:c r="C17" s="9" t="str">
        <x:v>Koukouviti et al. (2022)</x:v>
      </x:c>
      <x:c r="D17" s="9" t="str">
        <x:v>L8</x:v>
      </x:c>
      <x:c r="E17" s="9" t="str">
        <x:v>1</x:v>
      </x:c>
      <x:c r="F17" s="9" t="str">
        <x:v>1</x:v>
      </x:c>
      <x:c r="G17" s="9" t="str">
        <x:v>Yes</x:v>
      </x:c>
      <x:c r="H17" s="9" t="str">
        <x:v>Agree</x:v>
      </x:c>
      <x:c r="I17" s="9" t="str">
        <x:v>1</x:v>
      </x:c>
      <x:c r="J17" s="9" t="str">
        <x:v>Final agreement</x:v>
      </x:c>
      <x:c r="K17" s="9" t="str">
        <x:v>Six different 3DPEs compared with 8.1% RSD.</x:v>
      </x:c>
      <x:c r="L17" s="9" t="str">
        <x:v>PDF pp. 7-8, Fig. 5</x:v>
      </x:c>
      <x:c r="M17" s="9" t="str">
        <x:v>Six different 3D-printed electrodes were compared and between-sensor RSD was quantified.</x:v>
      </x:c>
      <x:c r="N17" s="9" t="str">
        <x:v>Article PDF p. 7, reproducibility paragraph</x:v>
      </x:c>
      <x:c r="O17" s="9" t="str">
        <x:v>Six different 3DPEs compared with 8.1% RSD.</x:v>
      </x:c>
      <x:c r="P17" s="9" t="str">
        <x:v>PDF pp. 7-8, Fig. 5</x:v>
      </x:c>
    </x:row>
    <x:row r="18">
      <x:c r="A18" s="9" t="n">
        <x:v>3</x:v>
      </x:c>
      <x:c r="B18" s="9" t="str">
        <x:v>S004</x:v>
      </x:c>
      <x:c r="C18" s="9" t="str">
        <x:v>Farid et al. (2025)</x:v>
      </x:c>
      <x:c r="D18" s="9" t="str">
        <x:v>L1</x:v>
      </x:c>
      <x:c r="E18" s="9" t="str">
        <x:v>1</x:v>
      </x:c>
      <x:c r="F18" s="9" t="str">
        <x:v>1</x:v>
      </x:c>
      <x:c r="G18" s="9" t="str">
        <x:v>Yes</x:v>
      </x:c>
      <x:c r="H18" s="9" t="str">
        <x:v>Agree</x:v>
      </x:c>
      <x:c r="I18" s="9" t="str">
        <x:v>1</x:v>
      </x:c>
      <x:c r="J18" s="9" t="str">
        <x:v>Final agreement</x:v>
      </x:c>
      <x:c r="K18" s="9" t="str">
        <x:v>Printer, material, nozzle, temperatures, speed, layer heights, orientation, infill and tested geometry reported.</x:v>
      </x:c>
      <x:c r="L18" s="9" t="str">
        <x:v>PDF pp. 2–13; Figs. 1–8</x:v>
      </x:c>
      <x:c r="M18" s="9" t="str">
        <x:v>Table 1 reports printer setup, nozzle/bed temperatures, nozzle diameter, speed, layer heights, infill, geometry and layer pattern.</x:v>
      </x:c>
      <x:c r="N18" s="9" t="str">
        <x:v>Article PDF p. 3, Table 1</x:v>
      </x:c>
      <x:c r="O18" s="9" t="str">
        <x:v>Printer, material, nozzle, temperatures, speed, layer heights, orientation, infill and tested geometry reported.</x:v>
      </x:c>
      <x:c r="P18" s="9" t="str">
        <x:v>PDF pp. 2–13; Figs. 1–8</x:v>
      </x:c>
    </x:row>
    <x:row r="19">
      <x:c r="A19" s="9" t="n">
        <x:v>3</x:v>
      </x:c>
      <x:c r="B19" s="9" t="str">
        <x:v>S004</x:v>
      </x:c>
      <x:c r="C19" s="9" t="str">
        <x:v>Farid et al. (2025)</x:v>
      </x:c>
      <x:c r="D19" s="9" t="str">
        <x:v>L2</x:v>
      </x:c>
      <x:c r="E19" s="9" t="str">
        <x:v>1</x:v>
      </x:c>
      <x:c r="F19" s="9" t="str">
        <x:v>1</x:v>
      </x:c>
      <x:c r="G19" s="9" t="str">
        <x:v>Yes</x:v>
      </x:c>
      <x:c r="H19" s="9" t="str">
        <x:v>Agree</x:v>
      </x:c>
      <x:c r="I19" s="9" t="str">
        <x:v>1</x:v>
      </x:c>
      <x:c r="J19" s="9" t="str">
        <x:v>Final agreement</x:v>
      </x:c>
      <x:c r="K19" s="9" t="str">
        <x:v>TPU/E-TPU roles and integration materials reported; commercial functional loading is not disclosed but grade identity is sufficient.</x:v>
      </x:c>
      <x:c r="L19" s="9" t="str">
        <x:v>PDF pp. 2–13; Figs. 1–8</x:v>
      </x:c>
      <x:c r="M19" s="9" t="str">
        <x:v>Commercial TPU and conductive E-TPU filaments and their roles in the bilayer sensor are identified.</x:v>
      </x:c>
      <x:c r="N19" s="9" t="str">
        <x:v>Article PDF pp. 1-3, Sections 2.1-2.3</x:v>
      </x:c>
      <x:c r="O19" s="9" t="str">
        <x:v>TPU/E-TPU roles and integration materials reported; commercial functional loading is not disclosed but grade identity is sufficient.</x:v>
      </x:c>
      <x:c r="P19" s="9" t="str">
        <x:v>PDF pp. 2–13; Figs. 1–8</x:v>
      </x:c>
    </x:row>
    <x:row r="20">
      <x:c r="A20" s="9" t="n">
        <x:v>3</x:v>
      </x:c>
      <x:c r="B20" s="9" t="str">
        <x:v>S004</x:v>
      </x:c>
      <x:c r="C20" s="9" t="str">
        <x:v>Farid et al. (2025)</x:v>
      </x:c>
      <x:c r="D20" s="9" t="str">
        <x:v>L3</x:v>
      </x:c>
      <x:c r="E20" s="9" t="str">
        <x:v>1</x:v>
      </x:c>
      <x:c r="F20" s="9" t="str">
        <x:v>1</x:v>
      </x:c>
      <x:c r="G20" s="9" t="str">
        <x:v>Yes</x:v>
      </x:c>
      <x:c r="H20" s="9" t="str">
        <x:v>Agree</x:v>
      </x:c>
      <x:c r="I20" s="9" t="str">
        <x:v>1</x:v>
      </x:c>
      <x:c r="J20" s="9" t="str">
        <x:v>Final agreement</x:v>
      </x:c>
      <x:c r="K20" s="9" t="str">
        <x:v>Controlled UTM strain with simultaneous electrical measurement.</x:v>
      </x:c>
      <x:c r="L20" s="9" t="str">
        <x:v>PDF pp. 2–13; Figs. 1–8</x:v>
      </x:c>
      <x:c r="M20" s="9" t="str">
        <x:v>Resistance was measured during controlled UTM strain using an LCR meter over stated strains and rates.</x:v>
      </x:c>
      <x:c r="N20" s="9" t="str">
        <x:v>Article PDF pp. 3 and 8, Section 2.4 and Figure 4</x:v>
      </x:c>
      <x:c r="O20" s="9" t="str">
        <x:v>Controlled UTM strain with simultaneous electrical measurement.</x:v>
      </x:c>
      <x:c r="P20" s="9" t="str">
        <x:v>PDF pp. 2–13; Figs. 1–8</x:v>
      </x:c>
    </x:row>
    <x:row r="21">
      <x:c r="A21" s="9" t="n">
        <x:v>3</x:v>
      </x:c>
      <x:c r="B21" s="9" t="str">
        <x:v>S004</x:v>
      </x:c>
      <x:c r="C21" s="9" t="str">
        <x:v>Farid et al. (2025)</x:v>
      </x:c>
      <x:c r="D21" s="9" t="str">
        <x:v>L4</x:v>
      </x:c>
      <x:c r="E21" s="9" t="str">
        <x:v>1</x:v>
      </x:c>
      <x:c r="F21" s="9" t="str">
        <x:v>1</x:v>
      </x:c>
      <x:c r="G21" s="9" t="str">
        <x:v>Yes</x:v>
      </x:c>
      <x:c r="H21" s="9" t="str">
        <x:v>Agree</x:v>
      </x:c>
      <x:c r="I21" s="9" t="str">
        <x:v>1</x:v>
      </x:c>
      <x:c r="J21" s="9" t="str">
        <x:v>Final agreement</x:v>
      </x:c>
      <x:c r="K21" s="9" t="str">
        <x:v>GF, ΔR/R0, strain range and response/recovery times reported.</x:v>
      </x:c>
      <x:c r="L21" s="9" t="str">
        <x:v>PDF pp. 2–13; Figs. 1–8</x:v>
      </x:c>
      <x:c r="M21" s="9" t="str">
        <x:v>Gauge factor is calculated from relative resistance versus strain and reported across defined strain regions.</x:v>
      </x:c>
      <x:c r="N21" s="9" t="str">
        <x:v>Article PDF pp. 8-10, Equation 2 and Table 2</x:v>
      </x:c>
      <x:c r="O21" s="9" t="str">
        <x:v>GF, ΔR/R0, strain range and response/recovery times reported.</x:v>
      </x:c>
      <x:c r="P21" s="9" t="str">
        <x:v>PDF pp. 2–13; Figs. 1–8</x:v>
      </x:c>
    </x:row>
    <x:row r="22">
      <x:c r="A22" s="9" t="n">
        <x:v>3</x:v>
      </x:c>
      <x:c r="B22" s="9" t="str">
        <x:v>S004</x:v>
      </x:c>
      <x:c r="C22" s="9" t="str">
        <x:v>Farid et al. (2025)</x:v>
      </x:c>
      <x:c r="D22" s="9" t="str">
        <x:v>L5</x:v>
      </x:c>
      <x:c r="E22" s="9" t="str">
        <x:v>1</x:v>
      </x:c>
      <x:c r="F22" s="9" t="str">
        <x:v>1</x:v>
      </x:c>
      <x:c r="G22" s="9" t="str">
        <x:v>Yes</x:v>
      </x:c>
      <x:c r="H22" s="9" t="str">
        <x:v>Agree</x:v>
      </x:c>
      <x:c r="I22" s="9" t="str">
        <x:v>1</x:v>
      </x:c>
      <x:c r="J22" s="9" t="str">
        <x:v>Final agreement</x:v>
      </x:c>
      <x:c r="K22" s="9" t="str">
        <x:v>Several complete cyclic/stepwise strain sequences with return behavior are shown; exact same-condition count is not stated.</x:v>
      </x:c>
      <x:c r="L22" s="9" t="str">
        <x:v>PDF pp. 2–13; Figs. 1–8</x:v>
      </x:c>
      <x:c r="M22" s="9" t="str">
        <x:v>Figure 6 shows approximately ten cyclic responses at stated 300% baseline strain with 1%/5% perturbations and consistent response.</x:v>
      </x:c>
      <x:c r="N22" s="9" t="str">
        <x:v>Article PDF p. 11, Figure 6i</x:v>
      </x:c>
      <x:c r="O22" s="9" t="str">
        <x:v>Several complete cyclic/stepwise strain sequences with return behavior are shown; exact same-condition count is not stated.</x:v>
      </x:c>
      <x:c r="P22" s="9" t="str">
        <x:v>PDF pp. 2–13; Figs. 1–8</x:v>
      </x:c>
    </x:row>
    <x:row r="23">
      <x:c r="A23" s="9" t="n">
        <x:v>3</x:v>
      </x:c>
      <x:c r="B23" s="9" t="str">
        <x:v>S004</x:v>
      </x:c>
      <x:c r="C23" s="9" t="str">
        <x:v>Farid et al. (2025)</x:v>
      </x:c>
      <x:c r="D23" s="9" t="str">
        <x:v>L6</x:v>
      </x:c>
      <x:c r="E23" s="9" t="str">
        <x:v>1</x:v>
      </x:c>
      <x:c r="F23" s="9" t="str">
        <x:v>1</x:v>
      </x:c>
      <x:c r="G23" s="9" t="str">
        <x:v>Yes</x:v>
      </x:c>
      <x:c r="H23" s="9" t="str">
        <x:v>Agree</x:v>
      </x:c>
      <x:c r="I23" s="9" t="str">
        <x:v>0</x:v>
      </x:c>
      <x:c r="J23" s="9" t="str">
        <x:v>Consensus revised after L6 rule audit; reviewer ratings preserved</x:v>
      </x:c>
      <x:c r="K23" s="9" t="str">
        <x:v>Strain-rate variation is a stated use-related condition and the response is compared.</x:v>
      </x:c>
      <x:c r="L23" s="9" t="str">
        <x:v>PDF pp. 2–13; Figs. 1–8</x:v>
      </x:c>
      <x:c r="M23" s="9" t="str">
        <x:v>Final rating supersedes the earlier rating; no revised narrative reason was supplied.</x:v>
      </x:c>
      <x:c r="N23" s="9" t="str">
        <x:v>Finalized reviewer-rating workbook</x:v>
      </x:c>
      <x:c r="O23" s="9" t="str">
        <x:v>Loading rate is a parameter of the intended tensile-strain input, not an exposure extrinsic to the measurand; no qualifying L6 condition was reported.</x:v>
      </x:c>
      <x:c r="P23" s="9" t="str">
        <x:v>PDF pp. 10-11; Fig. 6h</x:v>
      </x:c>
    </x:row>
    <x:row r="24">
      <x:c r="A24" s="9" t="n">
        <x:v>3</x:v>
      </x:c>
      <x:c r="B24" s="9" t="str">
        <x:v>S004</x:v>
      </x:c>
      <x:c r="C24" s="9" t="str">
        <x:v>Farid et al. (2025)</x:v>
      </x:c>
      <x:c r="D24" s="9" t="str">
        <x:v>L7</x:v>
      </x:c>
      <x:c r="E24" s="9" t="str">
        <x:v>1</x:v>
      </x:c>
      <x:c r="F24" s="9" t="str">
        <x:v>1</x:v>
      </x:c>
      <x:c r="G24" s="9" t="str">
        <x:v>Yes</x:v>
      </x:c>
      <x:c r="H24" s="9" t="str">
        <x:v>Agree</x:v>
      </x:c>
      <x:c r="I24" s="9" t="str">
        <x:v>1</x:v>
      </x:c>
      <x:c r="J24" s="9" t="str">
        <x:v>Final agreement</x:v>
      </x:c>
      <x:c r="K24" s="9" t="str">
        <x:v>Section 3.3 reports repeatable resistance changes during repeated hand/finger actions with attached sensors. Qualification does not depend on the separate bench durability or stepping demonstration.</x:v>
      </x:c>
      <x:c r="L24" s="9" t="str">
        <x:v>S004_Main.pdf, physical pp. 11-12, section 3.3/Fig. 7a-e.</x:v>
      </x:c>
      <x:c r="M24" s="9" t="str">
        <x:v>Section 3.3 reports repeatable resistance changes during repeated hand/finger actions with attached sensors. Qualification does not depend on the separate bench durability or stepping demonstration.</x:v>
      </x:c>
      <x:c r="N24" s="9" t="str">
        <x:v>S004_Main.pdf, physical pp. 11-12, section 3.3/Fig. 7a-e.</x:v>
      </x:c>
      <x:c r="O24" s="9" t="str">
        <x:v>Section 3.3 reports repeatable resistance changes during repeated hand/finger actions with attached sensors. Qualification does not depend on the separate bench durability or stepping demonstration.</x:v>
      </x:c>
      <x:c r="P24" s="9" t="str">
        <x:v>S004_Main.pdf, physical pp. 11-12, section 3.3/Fig. 7a-e.</x:v>
      </x:c>
    </x:row>
    <x:row r="25">
      <x:c r="A25" s="9" t="n">
        <x:v>3</x:v>
      </x:c>
      <x:c r="B25" s="9" t="str">
        <x:v>S004</x:v>
      </x:c>
      <x:c r="C25" s="9" t="str">
        <x:v>Farid et al. (2025)</x:v>
      </x:c>
      <x:c r="D25" s="9" t="str">
        <x:v>L8</x:v>
      </x:c>
      <x:c r="E25" s="9" t="str">
        <x:v>0</x:v>
      </x:c>
      <x:c r="F25" s="9" t="str">
        <x:v>0</x:v>
      </x:c>
      <x:c r="G25" s="9" t="str">
        <x:v>Yes</x:v>
      </x:c>
      <x:c r="H25" s="9" t="str">
        <x:v>Agree</x:v>
      </x:c>
      <x:c r="I25" s="9" t="str">
        <x:v>0</x:v>
      </x:c>
      <x:c r="J25" s="9" t="str">
        <x:v>Final agreement</x:v>
      </x:c>
      <x:c r="K25" s="9" t="str">
        <x:v>No ≥3 separately fabricated sensing units compared quantitatively.</x:v>
      </x:c>
      <x:c r="L25" s="9" t="str">
        <x:v>PDF pp. 2–13; Figs. 1–8</x:v>
      </x:c>
      <x:c r="M25" s="9" t="str">
        <x:v>Results do not quantify between-unit variation for at least three independently fabricated sensors.</x:v>
      </x:c>
      <x:c r="N25" s="9" t="str">
        <x:v>Article PDF pp. 3 and 7, Table 1 and Figure 3</x:v>
      </x:c>
      <x:c r="O25" s="9" t="str">
        <x:v>No ≥3 separately fabricated sensing units compared quantitatively.</x:v>
      </x:c>
      <x:c r="P25" s="9" t="str">
        <x:v>PDF pp. 2–13; Figs. 1–8</x:v>
      </x:c>
    </x:row>
    <x:row r="26">
      <x:c r="A26" s="9" t="n">
        <x:v>4</x:v>
      </x:c>
      <x:c r="B26" s="9" t="str">
        <x:v>S005</x:v>
      </x:c>
      <x:c r="C26" s="9" t="str">
        <x:v>Tavares et al. (2022)</x:v>
      </x:c>
      <x:c r="D26" s="9" t="str">
        <x:v>L1</x:v>
      </x:c>
      <x:c r="E26" s="9" t="str">
        <x:v>0</x:v>
      </x:c>
      <x:c r="F26" s="9" t="str">
        <x:v>0</x:v>
      </x:c>
      <x:c r="G26" s="9" t="str">
        <x:v>Yes</x:v>
      </x:c>
      <x:c r="H26" s="9" t="str">
        <x:v>Agree</x:v>
      </x:c>
      <x:c r="I26" s="9" t="str">
        <x:v>0</x:v>
      </x:c>
      <x:c r="J26" s="9" t="str">
        <x:v>Final agreement</x:v>
      </x:c>
      <x:c r="K26" s="9" t="str">
        <x:v>Printer and geometry/infill are reported, but nozzle, temperature, speed, layer height and orientation are absent.</x:v>
      </x:c>
      <x:c r="L26" s="9" t="str">
        <x:v>PDF pp. 3–11; Figs. 1–9; Tables 1–3</x:v>
      </x:c>
      <x:c r="M26" s="9" t="str">
        <x:v>Printer, material, geometry and infill are described, but nozzle, temperatures, layer height, speed and orientation are absent.</x:v>
      </x:c>
      <x:c r="N26" s="9" t="str">
        <x:v>Article PDF pp. 4-5, Section 3.1 and Table 1</x:v>
      </x:c>
      <x:c r="O26" s="9" t="str">
        <x:v>Printer and geometry/infill are reported, but nozzle, temperature, speed, layer height and orientation are absent.</x:v>
      </x:c>
      <x:c r="P26" s="9" t="str">
        <x:v>PDF pp. 3–11; Figs. 1–9; Tables 1–3</x:v>
      </x:c>
    </x:row>
    <x:row r="27">
      <x:c r="A27" s="9" t="n">
        <x:v>4</x:v>
      </x:c>
      <x:c r="B27" s="9" t="str">
        <x:v>S005</x:v>
      </x:c>
      <x:c r="C27" s="9" t="str">
        <x:v>Tavares et al. (2022)</x:v>
      </x:c>
      <x:c r="D27" s="9" t="str">
        <x:v>L2</x:v>
      </x:c>
      <x:c r="E27" s="9" t="str">
        <x:v>1</x:v>
      </x:c>
      <x:c r="F27" s="9" t="str">
        <x:v>1</x:v>
      </x:c>
      <x:c r="G27" s="9" t="str">
        <x:v>Yes</x:v>
      </x:c>
      <x:c r="H27" s="9" t="str">
        <x:v>Agree</x:v>
      </x:c>
      <x:c r="I27" s="9" t="str">
        <x:v>1</x:v>
      </x:c>
      <x:c r="J27" s="9" t="str">
        <x:v>Final agreement</x:v>
      </x:c>
      <x:c r="K27" s="9" t="str">
        <x:v>Flexible filament, FBG, optical fiber and adhesive are identified.</x:v>
      </x:c>
      <x:c r="L27" s="9" t="str">
        <x:v>PDF pp. 3–11; Figs. 1–9; Tables 1–3</x:v>
      </x:c>
      <x:c r="M27" s="9" t="str">
        <x:v>Flexible filament brand, optical-fiber/FBG specification and cyanoacrylate fixation are identified.</x:v>
      </x:c>
      <x:c r="N27" s="9" t="str">
        <x:v>Article PDF p. 4, Section 3.1</x:v>
      </x:c>
      <x:c r="O27" s="9" t="str">
        <x:v>Flexible filament, FBG, optical fiber and adhesive are identified.</x:v>
      </x:c>
      <x:c r="P27" s="9" t="str">
        <x:v>PDF pp. 3–11; Figs. 1–9; Tables 1–3</x:v>
      </x:c>
    </x:row>
    <x:row r="28">
      <x:c r="A28" s="9" t="n">
        <x:v>4</x:v>
      </x:c>
      <x:c r="B28" s="9" t="str">
        <x:v>S005</x:v>
      </x:c>
      <x:c r="C28" s="9" t="str">
        <x:v>Tavares et al. (2022)</x:v>
      </x:c>
      <x:c r="D28" s="9" t="str">
        <x:v>L3</x:v>
      </x:c>
      <x:c r="E28" s="9" t="str">
        <x:v>1</x:v>
      </x:c>
      <x:c r="F28" s="9" t="str">
        <x:v>1</x:v>
      </x:c>
      <x:c r="G28" s="9" t="str">
        <x:v>Yes</x:v>
      </x:c>
      <x:c r="H28" s="9" t="str">
        <x:v>Agree</x:v>
      </x:c>
      <x:c r="I28" s="9" t="str">
        <x:v>1</x:v>
      </x:c>
      <x:c r="J28" s="9" t="str">
        <x:v>Final agreement</x:v>
      </x:c>
      <x:c r="K28" s="9" t="str">
        <x:v>Specified displacement/frequency protocol and BioHarness reference.</x:v>
      </x:c>
      <x:c r="L28" s="9" t="str">
        <x:v>PDF pp. 3–11; Figs. 1–9; Tables 1–3</x:v>
      </x:c>
      <x:c r="M28" s="9" t="str">
        <x:v>Sensors were driven by a calibrated piezo stage over stated displacement/frequency ranges and compared with BioHarness.</x:v>
      </x:c>
      <x:c r="N28" s="9" t="str">
        <x:v>Article PDF pp. 5 and 7, Sections 3.2 and 4</x:v>
      </x:c>
      <x:c r="O28" s="9" t="str">
        <x:v>Specified displacement/frequency protocol and BioHarness reference.</x:v>
      </x:c>
      <x:c r="P28" s="9" t="str">
        <x:v>PDF pp. 3–11; Figs. 1–9; Tables 1–3</x:v>
      </x:c>
    </x:row>
    <x:row r="29">
      <x:c r="A29" s="9" t="n">
        <x:v>4</x:v>
      </x:c>
      <x:c r="B29" s="9" t="str">
        <x:v>S005</x:v>
      </x:c>
      <x:c r="C29" s="9" t="str">
        <x:v>Tavares et al. (2022)</x:v>
      </x:c>
      <x:c r="D29" s="9" t="str">
        <x:v>L4</x:v>
      </x:c>
      <x:c r="E29" s="9" t="str">
        <x:v>1</x:v>
      </x:c>
      <x:c r="F29" s="9" t="str">
        <x:v>1</x:v>
      </x:c>
      <x:c r="G29" s="9" t="str">
        <x:v>Yes</x:v>
      </x:c>
      <x:c r="H29" s="9" t="str">
        <x:v>Agree</x:v>
      </x:c>
      <x:c r="I29" s="9" t="str">
        <x:v>1</x:v>
      </x:c>
      <x:c r="J29" s="9" t="str">
        <x:v>Final agreement</x:v>
      </x:c>
      <x:c r="K29" s="9" t="str">
        <x:v>Sensitivity and HR/RR comparison metrics with units/ranges.</x:v>
      </x:c>
      <x:c r="L29" s="9" t="str">
        <x:v>PDF pp. 3–11; Figs. 1–9; Tables 1–3</x:v>
      </x:c>
      <x:c r="M29" s="9" t="str">
        <x:v>Wavelength-shift sensitivity in pm/micrometre is reported for defined displacement and frequency ranges.</x:v>
      </x:c>
      <x:c r="N29" s="9" t="str">
        <x:v>Article PDF p. 5, Figure 4</x:v>
      </x:c>
      <x:c r="O29" s="9" t="str">
        <x:v>Sensitivity and HR/RR comparison metrics with units/ranges.</x:v>
      </x:c>
      <x:c r="P29" s="9" t="str">
        <x:v>PDF pp. 3–11; Figs. 1–9; Tables 1–3</x:v>
      </x:c>
    </x:row>
    <x:row r="30">
      <x:c r="A30" s="9" t="n">
        <x:v>4</x:v>
      </x:c>
      <x:c r="B30" s="9" t="str">
        <x:v>S005</x:v>
      </x:c>
      <x:c r="C30" s="9" t="str">
        <x:v>Tavares et al. (2022)</x:v>
      </x:c>
      <x:c r="D30" s="9" t="str">
        <x:v>L5</x:v>
      </x:c>
      <x:c r="E30" s="9" t="str">
        <x:v>0</x:v>
      </x:c>
      <x:c r="F30" s="9" t="str">
        <x:v>0</x:v>
      </x:c>
      <x:c r="G30" s="9" t="str">
        <x:v>Yes</x:v>
      </x:c>
      <x:c r="H30" s="9" t="str">
        <x:v>Agree</x:v>
      </x:c>
      <x:c r="I30" s="9" t="str">
        <x:v>0</x:v>
      </x:c>
      <x:c r="J30" s="9" t="str">
        <x:v>Final agreement</x:v>
      </x:c>
      <x:c r="K30" s="9" t="str">
        <x:v>Three user trials are reported, but no device-response stability outcome across repeated cycles is isolated.</x:v>
      </x:c>
      <x:c r="L30" s="9" t="str">
        <x:v>PDF pp. 3–11; Figs. 1–9; Tables 1–3</x:v>
      </x:c>
      <x:c r="M30" s="9" t="str">
        <x:v>Frequency sweeps were looped, but repetition count and a stability outcome such as drift or retention are not reported.</x:v>
      </x:c>
      <x:c r="N30" s="9" t="str">
        <x:v>Article PDF p. 5, Section 3.2</x:v>
      </x:c>
      <x:c r="O30" s="9" t="str">
        <x:v>Three user trials are reported, but no device-response stability outcome across repeated cycles is isolated.</x:v>
      </x:c>
      <x:c r="P30" s="9" t="str">
        <x:v>PDF pp. 3–11; Figs. 1–9; Tables 1–3</x:v>
      </x:c>
    </x:row>
    <x:row r="31">
      <x:c r="A31" s="9" t="n">
        <x:v>4</x:v>
      </x:c>
      <x:c r="B31" s="9" t="str">
        <x:v>S005</x:v>
      </x:c>
      <x:c r="C31" s="9" t="str">
        <x:v>Tavares et al. (2022)</x:v>
      </x:c>
      <x:c r="D31" s="9" t="str">
        <x:v>L6</x:v>
      </x:c>
      <x:c r="E31" s="9" t="str">
        <x:v>0</x:v>
      </x:c>
      <x:c r="F31" s="9" t="str">
        <x:v>0</x:v>
      </x:c>
      <x:c r="G31" s="9" t="str">
        <x:v>Yes</x:v>
      </x:c>
      <x:c r="H31" s="9" t="str">
        <x:v>Agree</x:v>
      </x:c>
      <x:c r="I31" s="9" t="str">
        <x:v>0</x:v>
      </x:c>
      <x:c r="J31" s="9" t="str">
        <x:v>Final agreement</x:v>
      </x:c>
      <x:c r="K31" s="9" t="str">
        <x:v>Temperature response was explicitly not characterized; no other qualifying exposure.</x:v>
      </x:c>
      <x:c r="L31" s="9" t="str">
        <x:v>PDF pp. 3–11; Figs. 1–9; Tables 1–3</x:v>
      </x:c>
      <x:c r="M31" s="9" t="str">
        <x:v>Thermal characterization was explicitly neglected and no other non-measurand exposure response was tested.</x:v>
      </x:c>
      <x:c r="N31" s="9" t="str">
        <x:v>Article PDF p. 6</x:v>
      </x:c>
      <x:c r="O31" s="9" t="str">
        <x:v>Temperature response was explicitly not characterized; no other qualifying exposure.</x:v>
      </x:c>
      <x:c r="P31" s="9" t="str">
        <x:v>PDF pp. 3–11; Figs. 1–9; Tables 1–3</x:v>
      </x:c>
    </x:row>
    <x:row r="32">
      <x:c r="A32" s="9" t="n">
        <x:v>4</x:v>
      </x:c>
      <x:c r="B32" s="9" t="str">
        <x:v>S005</x:v>
      </x:c>
      <x:c r="C32" s="9" t="str">
        <x:v>Tavares et al. (2022)</x:v>
      </x:c>
      <x:c r="D32" s="9" t="str">
        <x:v>L7</x:v>
      </x:c>
      <x:c r="E32" s="9" t="str">
        <x:v>0</x:v>
      </x:c>
      <x:c r="F32" s="9" t="str">
        <x:v>0</x:v>
      </x:c>
      <x:c r="G32" s="9" t="str">
        <x:v>Yes</x:v>
      </x:c>
      <x:c r="H32" s="9" t="str">
        <x:v>Agree</x:v>
      </x:c>
      <x:c r="I32" s="9" t="str">
        <x:v>0</x:v>
      </x:c>
      <x:c r="J32" s="9" t="str">
        <x:v>Final agreement</x:v>
      </x:c>
      <x:c r="K32" s="9" t="str">
        <x:v>Final L7 rating from the targeted reassessment.</x:v>
      </x:c>
      <x:c r="L32" s="9" t="str">
        <x:v>Finalized reviewer-rating workbook</x:v>
      </x:c>
      <x:c r="M32" s="9" t="str">
        <x:v>Final L7 rating from the targeted reassessment.</x:v>
      </x:c>
      <x:c r="N32" s="9" t="str">
        <x:v>Finalized reviewer-rating workbook</x:v>
      </x:c>
      <x:c r="O32" s="9" t="str">
        <x:v>No qualifying interface-integrity test or repeated final monolithic wearable-assembly test with a retention/failure endpoint was located.</x:v>
      </x:c>
      <x:c r="P32" s="9" t="str">
        <x:v>PDF pp. 3–11; Figs. 1–9; Tables 1–3</x:v>
      </x:c>
    </x:row>
    <x:row r="33">
      <x:c r="A33" s="9" t="n">
        <x:v>4</x:v>
      </x:c>
      <x:c r="B33" s="9" t="str">
        <x:v>S005</x:v>
      </x:c>
      <x:c r="C33" s="9" t="str">
        <x:v>Tavares et al. (2022)</x:v>
      </x:c>
      <x:c r="D33" s="9" t="str">
        <x:v>L8</x:v>
      </x:c>
      <x:c r="E33" s="9" t="str">
        <x:v>0</x:v>
      </x:c>
      <x:c r="F33" s="9" t="str">
        <x:v>0</x:v>
      </x:c>
      <x:c r="G33" s="9" t="str">
        <x:v>Yes</x:v>
      </x:c>
      <x:c r="H33" s="9" t="str">
        <x:v>Agree</x:v>
      </x:c>
      <x:c r="I33" s="9" t="str">
        <x:v>0</x:v>
      </x:c>
      <x:c r="J33" s="9" t="str">
        <x:v>Final agreement</x:v>
      </x:c>
      <x:c r="K33" s="9" t="str">
        <x:v>Six configurations and three users are not separate replicate devices of the selected design.</x:v>
      </x:c>
      <x:c r="L33" s="9" t="str">
        <x:v>PDF pp. 3–11; Figs. 1–9; Tables 1–3</x:v>
      </x:c>
      <x:c r="M33" s="9" t="str">
        <x:v>Six devices differed by thickness/infill; no three equivalent independent devices or between-unit variation were reported.</x:v>
      </x:c>
      <x:c r="N33" s="9" t="str">
        <x:v>Article PDF pp. 4-5, Table 1</x:v>
      </x:c>
      <x:c r="O33" s="9" t="str">
        <x:v>Six configurations and three users are not separate replicate devices of the selected design.</x:v>
      </x:c>
      <x:c r="P33" s="9" t="str">
        <x:v>PDF pp. 3–11; Figs. 1–9; Tables 1–3</x:v>
      </x:c>
    </x:row>
    <x:row r="34">
      <x:c r="A34" s="9" t="n">
        <x:v>5</x:v>
      </x:c>
      <x:c r="B34" s="9" t="str">
        <x:v>S007</x:v>
      </x:c>
      <x:c r="C34" s="9" t="str">
        <x:v>Velcescu et al. (2019)</x:v>
      </x:c>
      <x:c r="D34" s="9" t="str">
        <x:v>L1</x:v>
      </x:c>
      <x:c r="E34" s="9" t="str">
        <x:v>1</x:v>
      </x:c>
      <x:c r="F34" s="9" t="str">
        <x:v>1</x:v>
      </x:c>
      <x:c r="G34" s="9" t="str">
        <x:v>Yes</x:v>
      </x:c>
      <x:c r="H34" s="9" t="str">
        <x:v>Agree</x:v>
      </x:c>
      <x:c r="I34" s="9" t="str">
        <x:v>1</x:v>
      </x:c>
      <x:c r="J34" s="9" t="str">
        <x:v>Final agreement</x:v>
      </x:c>
      <x:c r="K34" s="9" t="str">
        <x:v>Printer, temperature, layer height, print/travel speeds, support and orientation reported.</x:v>
      </x:c>
      <x:c r="L34" s="9" t="str">
        <x:v>PDF pp. 3-4</x:v>
      </x:c>
      <x:c r="M34" s="9" t="str">
        <x:v>Final rating supersedes the earlier rating; no revised narrative reason was supplied.</x:v>
      </x:c>
      <x:c r="N34" s="9" t="str">
        <x:v>Finalized reviewer-rating workbook</x:v>
      </x:c>
      <x:c r="O34" s="9" t="str">
        <x:v>Printer, temperature, layer height, print/travel speeds, support and orientation reported.</x:v>
      </x:c>
      <x:c r="P34" s="9" t="str">
        <x:v>PDF pp. 3-4</x:v>
      </x:c>
    </x:row>
    <x:row r="35">
      <x:c r="A35" s="9" t="n">
        <x:v>5</x:v>
      </x:c>
      <x:c r="B35" s="9" t="str">
        <x:v>S007</x:v>
      </x:c>
      <x:c r="C35" s="9" t="str">
        <x:v>Velcescu et al. (2019)</x:v>
      </x:c>
      <x:c r="D35" s="9" t="str">
        <x:v>L2</x:v>
      </x:c>
      <x:c r="E35" s="9" t="str">
        <x:v>1</x:v>
      </x:c>
      <x:c r="F35" s="9" t="str">
        <x:v>1</x:v>
      </x:c>
      <x:c r="G35" s="9" t="str">
        <x:v>Yes</x:v>
      </x:c>
      <x:c r="H35" s="9" t="str">
        <x:v>Agree</x:v>
      </x:c>
      <x:c r="I35" s="9" t="str">
        <x:v>1</x:v>
      </x:c>
      <x:c r="J35" s="9" t="str">
        <x:v>Final agreement</x:v>
      </x:c>
      <x:c r="K35" s="9" t="str">
        <x:v>SemiFlex and Ag/AgCl coating formulation/process identified.</x:v>
      </x:c>
      <x:c r="L35" s="9" t="str">
        <x:v>PDF pp. 3-5</x:v>
      </x:c>
      <x:c r="M35" s="9" t="str">
        <x:v>NinjaFlex SemiFlex TPU and the Ag/AgCl coating materials and curing routes are identified.</x:v>
      </x:c>
      <x:c r="N35" s="9" t="str">
        <x:v>Article PDF pp. 3-4, Sections 2.1-2.2</x:v>
      </x:c>
      <x:c r="O35" s="9" t="str">
        <x:v>SemiFlex and Ag/AgCl coating formulation/process identified.</x:v>
      </x:c>
      <x:c r="P35" s="9" t="str">
        <x:v>PDF pp. 3-5</x:v>
      </x:c>
    </x:row>
    <x:row r="36">
      <x:c r="A36" s="9" t="n">
        <x:v>5</x:v>
      </x:c>
      <x:c r="B36" s="9" t="str">
        <x:v>S007</x:v>
      </x:c>
      <x:c r="C36" s="9" t="str">
        <x:v>Velcescu et al. (2019)</x:v>
      </x:c>
      <x:c r="D36" s="9" t="str">
        <x:v>L3</x:v>
      </x:c>
      <x:c r="E36" s="9" t="str">
        <x:v>1</x:v>
      </x:c>
      <x:c r="F36" s="9" t="str">
        <x:v>1</x:v>
      </x:c>
      <x:c r="G36" s="9" t="str">
        <x:v>Yes</x:v>
      </x:c>
      <x:c r="H36" s="9" t="str">
        <x:v>Agree</x:v>
      </x:c>
      <x:c r="I36" s="9" t="str">
        <x:v>1</x:v>
      </x:c>
      <x:c r="J36" s="9" t="str">
        <x:v>Final agreement</x:v>
      </x:c>
      <x:c r="K36" s="9" t="str">
        <x:v>Controlled mass/frequency tests and EEG comparator/reference procedures described.</x:v>
      </x:c>
      <x:c r="L36" s="9" t="str">
        <x:v>PDF pp. 5-7</x:v>
      </x:c>
      <x:c r="M36" s="9" t="str">
        <x:v>Contact impedance was measured against an embedded Ag/AgCl reference under controlled masses and frequencies.</x:v>
      </x:c>
      <x:c r="N36" s="9" t="str">
        <x:v>Article PDF pp. 5-7, Figure 6</x:v>
      </x:c>
      <x:c r="O36" s="9" t="str">
        <x:v>Controlled mass/frequency tests and EEG comparator/reference procedures described.</x:v>
      </x:c>
      <x:c r="P36" s="9" t="str">
        <x:v>PDF pp. 5-7</x:v>
      </x:c>
    </x:row>
    <x:row r="37">
      <x:c r="A37" s="9" t="n">
        <x:v>5</x:v>
      </x:c>
      <x:c r="B37" s="9" t="str">
        <x:v>S007</x:v>
      </x:c>
      <x:c r="C37" s="9" t="str">
        <x:v>Velcescu et al. (2019)</x:v>
      </x:c>
      <x:c r="D37" s="9" t="str">
        <x:v>L4</x:v>
      </x:c>
      <x:c r="E37" s="9" t="str">
        <x:v>1</x:v>
      </x:c>
      <x:c r="F37" s="9" t="str">
        <x:v>1</x:v>
      </x:c>
      <x:c r="G37" s="9" t="str">
        <x:v>Yes</x:v>
      </x:c>
      <x:c r="H37" s="9" t="str">
        <x:v>Agree</x:v>
      </x:c>
      <x:c r="I37" s="9" t="str">
        <x:v>1</x:v>
      </x:c>
      <x:c r="J37" s="9" t="str">
        <x:v>Final agreement</x:v>
      </x:c>
      <x:c r="K37" s="9" t="str">
        <x:v>Resistance, impedance, noise and delay reported with units/test ranges.</x:v>
      </x:c>
      <x:c r="L37" s="9" t="str">
        <x:v>PDF pp. 8-12; Table 2-3, Fig. 4-7</x:v>
      </x:c>
      <x:c r="M37" s="9" t="str">
        <x:v>Impedance magnitude/phase, group delay and resistance are reported with units over stated frequency/load ranges.</x:v>
      </x:c>
      <x:c r="N37" s="9" t="str">
        <x:v>Article PDF pp. 8-11, Figures 8 and 10; Tables 2-3</x:v>
      </x:c>
      <x:c r="O37" s="9" t="str">
        <x:v>Resistance, impedance, noise and delay reported with units/test ranges.</x:v>
      </x:c>
      <x:c r="P37" s="9" t="str">
        <x:v>PDF pp. 8-12; Table 2-3, Fig. 4-7</x:v>
      </x:c>
    </x:row>
    <x:row r="38">
      <x:c r="A38" s="9" t="n">
        <x:v>5</x:v>
      </x:c>
      <x:c r="B38" s="9" t="str">
        <x:v>S007</x:v>
      </x:c>
      <x:c r="C38" s="9" t="str">
        <x:v>Velcescu et al. (2019)</x:v>
      </x:c>
      <x:c r="D38" s="9" t="str">
        <x:v>L5</x:v>
      </x:c>
      <x:c r="E38" s="9" t="str">
        <x:v>0</x:v>
      </x:c>
      <x:c r="F38" s="9" t="str">
        <x:v>0</x:v>
      </x:c>
      <x:c r="G38" s="9" t="str">
        <x:v>Yes</x:v>
      </x:c>
      <x:c r="H38" s="9" t="str">
        <x:v>Agree</x:v>
      </x:c>
      <x:c r="I38" s="9" t="str">
        <x:v>0</x:v>
      </x:c>
      <x:c r="J38" s="9" t="str">
        <x:v>Final agreement</x:v>
      </x:c>
      <x:c r="K38" s="9" t="str">
        <x:v>One increase-decrease loading loop is shown; no repeated-use cycle count or stability series.</x:v>
      </x:c>
      <x:c r="L38" s="9" t="str">
        <x:v>PDF pp. 5-9, Table 3</x:v>
      </x:c>
      <x:c r="M38" s="9" t="str">
        <x:v>A single 50-350-50 g loading sequence shows hysteresis; long-term cyclic testing and a repetition count were not performed.</x:v>
      </x:c>
      <x:c r="N38" s="9" t="str">
        <x:v>Article PDF pp. 10-11, Table 3</x:v>
      </x:c>
      <x:c r="O38" s="9" t="str">
        <x:v>One increase-decrease loading loop is shown; no repeated-use cycle count or stability series.</x:v>
      </x:c>
      <x:c r="P38" s="9" t="str">
        <x:v>PDF pp. 5-9, Table 3</x:v>
      </x:c>
    </x:row>
    <x:row r="39">
      <x:c r="A39" s="9" t="n">
        <x:v>5</x:v>
      </x:c>
      <x:c r="B39" s="9" t="str">
        <x:v>S007</x:v>
      </x:c>
      <x:c r="C39" s="9" t="str">
        <x:v>Velcescu et al. (2019)</x:v>
      </x:c>
      <x:c r="D39" s="9" t="str">
        <x:v>L6</x:v>
      </x:c>
      <x:c r="E39" s="9" t="str">
        <x:v>1</x:v>
      </x:c>
      <x:c r="F39" s="9" t="str">
        <x:v>1</x:v>
      </x:c>
      <x:c r="G39" s="9" t="str">
        <x:v>Yes</x:v>
      </x:c>
      <x:c r="H39" s="9" t="str">
        <x:v>Agree</x:v>
      </x:c>
      <x:c r="I39" s="9" t="str">
        <x:v>1</x:v>
      </x:c>
      <x:c r="J39" s="9" t="str">
        <x:v>Final agreement</x:v>
      </x:c>
      <x:c r="K39" s="9" t="str">
        <x:v>Electrode contact pressure is a declared mounting/use condition distinct from EEG measurand; impedance response is reported.</x:v>
      </x:c>
      <x:c r="L39" s="9" t="str">
        <x:v>PDF pp. 5-6, 9-10; Fig. 5</x:v>
      </x:c>
      <x:c r="M39" s="9" t="str">
        <x:v>Final rating supersedes the earlier rating; no revised narrative reason was supplied.</x:v>
      </x:c>
      <x:c r="N39" s="9" t="str">
        <x:v>Finalized reviewer-rating workbook</x:v>
      </x:c>
      <x:c r="O39" s="9" t="str">
        <x:v>Electrode contact pressure is a declared mounting/use condition distinct from EEG measurand; impedance response is reported.</x:v>
      </x:c>
      <x:c r="P39" s="9" t="str">
        <x:v>PDF pp. 5-6, 9-10; Fig. 5</x:v>
      </x:c>
    </x:row>
    <x:row r="40">
      <x:c r="A40" s="9" t="n">
        <x:v>5</x:v>
      </x:c>
      <x:c r="B40" s="9" t="str">
        <x:v>S007</x:v>
      </x:c>
      <x:c r="C40" s="9" t="str">
        <x:v>Velcescu et al. (2019)</x:v>
      </x:c>
      <x:c r="D40" s="9" t="str">
        <x:v>L7</x:v>
      </x:c>
      <x:c r="E40" s="9" t="str">
        <x:v>0</x:v>
      </x:c>
      <x:c r="F40" s="9" t="str">
        <x:v>0</x:v>
      </x:c>
      <x:c r="G40" s="9" t="str">
        <x:v>Yes</x:v>
      </x:c>
      <x:c r="H40" s="9" t="str">
        <x:v>Agree</x:v>
      </x:c>
      <x:c r="I40" s="9" t="str">
        <x:v>0</x:v>
      </x:c>
      <x:c r="J40" s="9" t="str">
        <x:v>Final agreement</x:v>
      </x:c>
      <x:c r="K40" s="9" t="str">
        <x:v>Physical loading tests use 50-350 g loads; p. 11 says long-term cyclic tests were not performed and that coating can begin to crack after prolonged use.</x:v>
      </x:c>
      <x:c r="L40" s="9" t="str">
        <x:v>S007_Main.pdf, physical pp. 10-11, section 3.2, Figs. 9-10 and Table 3; on-person sections pp. 7-9.</x:v>
      </x:c>
      <x:c r="M40" s="9" t="str">
        <x:v>Physical loading tests use 50-350 g loads; p. 11 says long-term cyclic tests were not performed and that coating can begin to crack after prolonged use.</x:v>
      </x:c>
      <x:c r="N40" s="9" t="str">
        <x:v>S007_Main.pdf, physical pp. 10-11, section 3.2, Figs. 9-10 and Table 3; on-person sections pp. 7-9.</x:v>
      </x:c>
      <x:c r="O40" s="9" t="str">
        <x:v>Physical loading tests use 50-350 g loads; p. 11 says long-term cyclic tests were not performed and that coating can begin to crack after prolonged use.</x:v>
      </x:c>
      <x:c r="P40" s="9" t="str">
        <x:v>S007_Main.pdf, physical pp. 10-11, section 3.2, Figs. 9-10 and Table 3; on-person sections pp. 7-9.</x:v>
      </x:c>
    </x:row>
    <x:row r="41">
      <x:c r="A41" s="9" t="n">
        <x:v>5</x:v>
      </x:c>
      <x:c r="B41" s="9" t="str">
        <x:v>S007</x:v>
      </x:c>
      <x:c r="C41" s="9" t="str">
        <x:v>Velcescu et al. (2019)</x:v>
      </x:c>
      <x:c r="D41" s="9" t="str">
        <x:v>L8</x:v>
      </x:c>
      <x:c r="E41" s="9" t="str">
        <x:v>0</x:v>
      </x:c>
      <x:c r="F41" s="9" t="str">
        <x:v>0</x:v>
      </x:c>
      <x:c r="G41" s="9" t="str">
        <x:v>Yes</x:v>
      </x:c>
      <x:c r="H41" s="9" t="str">
        <x:v>Agree</x:v>
      </x:c>
      <x:c r="I41" s="9" t="str">
        <x:v>0</x:v>
      </x:c>
      <x:c r="J41" s="9" t="str">
        <x:v>Final agreement</x:v>
      </x:c>
      <x:c r="K41" s="9" t="str">
        <x:v>Nine geometries are design variants; independently fabricated replicate devices and dispersion are not reported.</x:v>
      </x:c>
      <x:c r="L41" s="9" t="str">
        <x:v>PDF pp. 3-12 checked</x:v>
      </x:c>
      <x:c r="M41" s="9" t="str">
        <x:v>Nine electrode configurations were tested singly; equivalent independently fabricated units and between-unit dispersion were not reported.</x:v>
      </x:c>
      <x:c r="N41" s="9" t="str">
        <x:v>Article PDF p. 5, Table 1; p. 11</x:v>
      </x:c>
      <x:c r="O41" s="9" t="str">
        <x:v>Nine geometries are design variants; independently fabricated replicate devices and dispersion are not reported.</x:v>
      </x:c>
      <x:c r="P41" s="9" t="str">
        <x:v>PDF pp. 3-12 checked</x:v>
      </x:c>
    </x:row>
    <x:row r="42">
      <x:c r="A42" s="9" t="n">
        <x:v>6</x:v>
      </x:c>
      <x:c r="B42" s="9" t="str">
        <x:v>S008</x:v>
      </x:c>
      <x:c r="C42" s="9" t="str">
        <x:v>Kim et al. (2022)</x:v>
      </x:c>
      <x:c r="D42" s="9" t="str">
        <x:v>L1</x:v>
      </x:c>
      <x:c r="E42" s="9" t="str">
        <x:v>1</x:v>
      </x:c>
      <x:c r="F42" s="9" t="str">
        <x:v>1</x:v>
      </x:c>
      <x:c r="G42" s="9" t="str">
        <x:v>Yes</x:v>
      </x:c>
      <x:c r="H42" s="9" t="str">
        <x:v>Agree</x:v>
      </x:c>
      <x:c r="I42" s="9" t="str">
        <x:v>1</x:v>
      </x:c>
      <x:c r="J42" s="9" t="str">
        <x:v>Final agreement</x:v>
      </x:c>
      <x:c r="K42" s="9" t="str">
        <x:v>FFF printer, TPU filament, nozzle, temperature, speeds, layer height, infill and geometry reported.</x:v>
      </x:c>
      <x:c r="L42" s="9" t="str">
        <x:v>PDF pp. 5–10; Figs. 3–5</x:v>
      </x:c>
      <x:c r="M42" s="9" t="str">
        <x:v>Printer/nozzle, temperatures, layer height, speeds, infill, filament and insole geometry are reported.</x:v>
      </x:c>
      <x:c r="N42" s="9" t="str">
        <x:v>Article PDF p. 10, Materials and Methods</x:v>
      </x:c>
      <x:c r="O42" s="9" t="str">
        <x:v>FFF printer, TPU filament, nozzle, temperature, speeds, layer height, infill and geometry reported.</x:v>
      </x:c>
      <x:c r="P42" s="9" t="str">
        <x:v>PDF pp. 5–10; Figs. 3–5</x:v>
      </x:c>
    </x:row>
    <x:row r="43">
      <x:c r="A43" s="9" t="n">
        <x:v>6</x:v>
      </x:c>
      <x:c r="B43" s="9" t="str">
        <x:v>S008</x:v>
      </x:c>
      <x:c r="C43" s="9" t="str">
        <x:v>Kim et al. (2022)</x:v>
      </x:c>
      <x:c r="D43" s="9" t="str">
        <x:v>L2</x:v>
      </x:c>
      <x:c r="E43" s="9" t="str">
        <x:v>1</x:v>
      </x:c>
      <x:c r="F43" s="9" t="str">
        <x:v>1</x:v>
      </x:c>
      <x:c r="G43" s="9" t="str">
        <x:v>Yes</x:v>
      </x:c>
      <x:c r="H43" s="9" t="str">
        <x:v>Agree</x:v>
      </x:c>
      <x:c r="I43" s="9" t="str">
        <x:v>1</x:v>
      </x:c>
      <x:c r="J43" s="9" t="str">
        <x:v>Final agreement</x:v>
      </x:c>
      <x:c r="K43" s="9" t="str">
        <x:v>TPU, printed silver LC circuit, PI substrate and sensing architecture identified.</x:v>
      </x:c>
      <x:c r="L43" s="9" t="str">
        <x:v>PDF pp. 5–10; Figs. 3–5</x:v>
      </x:c>
      <x:c r="M43" s="9" t="str">
        <x:v>NinjaFlex TPU, silver nanoparticle ink, PI substrate, dielectric and antenna materials are specified.</x:v>
      </x:c>
      <x:c r="N43" s="9" t="str">
        <x:v>Article PDF p. 10, Materials and Methods</x:v>
      </x:c>
      <x:c r="O43" s="9" t="str">
        <x:v>TPU, printed silver LC circuit, PI substrate and sensing architecture identified.</x:v>
      </x:c>
      <x:c r="P43" s="9" t="str">
        <x:v>PDF pp. 5–10; Figs. 3–5</x:v>
      </x:c>
    </x:row>
    <x:row r="44">
      <x:c r="A44" s="9" t="n">
        <x:v>6</x:v>
      </x:c>
      <x:c r="B44" s="9" t="str">
        <x:v>S008</x:v>
      </x:c>
      <x:c r="C44" s="9" t="str">
        <x:v>Kim et al. (2022)</x:v>
      </x:c>
      <x:c r="D44" s="9" t="str">
        <x:v>L3</x:v>
      </x:c>
      <x:c r="E44" s="9" t="str">
        <x:v>1</x:v>
      </x:c>
      <x:c r="F44" s="9" t="str">
        <x:v>1</x:v>
      </x:c>
      <x:c r="G44" s="9" t="str">
        <x:v>Yes</x:v>
      </x:c>
      <x:c r="H44" s="9" t="str">
        <x:v>Agree</x:v>
      </x:c>
      <x:c r="I44" s="9" t="str">
        <x:v>1</x:v>
      </x:c>
      <x:c r="J44" s="9" t="str">
        <x:v>Final agreement</x:v>
      </x:c>
      <x:c r="K44" s="9" t="str">
        <x:v>Compression/weight protocols and VNA readout described.</x:v>
      </x:c>
      <x:c r="L44" s="9" t="str">
        <x:v>PDF pp. 5–10; Figs. 3–5</x:v>
      </x:c>
      <x:c r="M44" s="9" t="str">
        <x:v>Resonant-frequency shifts were measured by VNA against controlled applied pressure over stated ranges.</x:v>
      </x:c>
      <x:c r="N44" s="9" t="str">
        <x:v>Article PDF pp. 7 and 10, Figure 4 and experimental setup</x:v>
      </x:c>
      <x:c r="O44" s="9" t="str">
        <x:v>Compression/weight protocols and VNA readout described.</x:v>
      </x:c>
      <x:c r="P44" s="9" t="str">
        <x:v>PDF pp. 5–10; Figs. 3–5</x:v>
      </x:c>
    </x:row>
    <x:row r="45">
      <x:c r="A45" s="9" t="n">
        <x:v>6</x:v>
      </x:c>
      <x:c r="B45" s="9" t="str">
        <x:v>S008</x:v>
      </x:c>
      <x:c r="C45" s="9" t="str">
        <x:v>Kim et al. (2022)</x:v>
      </x:c>
      <x:c r="D45" s="9" t="str">
        <x:v>L4</x:v>
      </x:c>
      <x:c r="E45" s="9" t="str">
        <x:v>1</x:v>
      </x:c>
      <x:c r="F45" s="9" t="str">
        <x:v>1</x:v>
      </x:c>
      <x:c r="G45" s="9" t="str">
        <x:v>Yes</x:v>
      </x:c>
      <x:c r="H45" s="9" t="str">
        <x:v>Agree</x:v>
      </x:c>
      <x:c r="I45" s="9" t="str">
        <x:v>1</x:v>
      </x:c>
      <x:c r="J45" s="9" t="str">
        <x:v>Final agreement</x:v>
      </x:c>
      <x:c r="K45" s="9" t="str">
        <x:v>Frequency sensitivities and pressure ranges reported.</x:v>
      </x:c>
      <x:c r="L45" s="9" t="str">
        <x:v>PDF pp. 5–10; Figs. 3–5</x:v>
      </x:c>
      <x:c r="M45" s="9" t="str">
        <x:v>Sensitivity in MHz/kPa is reported for 0-9 and 10-40 kPa ranges.</x:v>
      </x:c>
      <x:c r="N45" s="9" t="str">
        <x:v>Article PDF pp. 1 and 7, Figure 4</x:v>
      </x:c>
      <x:c r="O45" s="9" t="str">
        <x:v>Frequency sensitivities and pressure ranges reported.</x:v>
      </x:c>
      <x:c r="P45" s="9" t="str">
        <x:v>PDF pp. 5–10; Figs. 3–5</x:v>
      </x:c>
    </x:row>
    <x:row r="46">
      <x:c r="A46" s="9" t="n">
        <x:v>6</x:v>
      </x:c>
      <x:c r="B46" s="9" t="str">
        <x:v>S008</x:v>
      </x:c>
      <x:c r="C46" s="9" t="str">
        <x:v>Kim et al. (2022)</x:v>
      </x:c>
      <x:c r="D46" s="9" t="str">
        <x:v>L5</x:v>
      </x:c>
      <x:c r="E46" s="9" t="str">
        <x:v>0</x:v>
      </x:c>
      <x:c r="F46" s="9" t="str">
        <x:v>0</x:v>
      </x:c>
      <x:c r="G46" s="9" t="str">
        <x:v>Yes</x:v>
      </x:c>
      <x:c r="H46" s="9" t="str">
        <x:v>Agree</x:v>
      </x:c>
      <x:c r="I46" s="9" t="str">
        <x:v>0</x:v>
      </x:c>
      <x:c r="J46" s="9" t="str">
        <x:v>Final agreement</x:v>
      </x:c>
      <x:c r="K46" s="9" t="str">
        <x:v>Repeatability SD is stated, but the repetition count/device basis is not reported.</x:v>
      </x:c>
      <x:c r="L46" s="9" t="str">
        <x:v>PDF pp. 5–10; Figs. 3–5</x:v>
      </x:c>
      <x:c r="M46" s="9" t="str">
        <x:v>The design mentions repetitive pressure durability, but no repetition count and stability/retention result are reported.</x:v>
      </x:c>
      <x:c r="N46" s="9" t="str">
        <x:v>Article PDF p. 10, LC-sensor fabrication</x:v>
      </x:c>
      <x:c r="O46" s="9" t="str">
        <x:v>Repeatability SD is stated, but the repetition count/device basis is not reported.</x:v>
      </x:c>
      <x:c r="P46" s="9" t="str">
        <x:v>PDF pp. 5–10; Figs. 3–5</x:v>
      </x:c>
    </x:row>
    <x:row r="47">
      <x:c r="A47" s="9" t="n">
        <x:v>6</x:v>
      </x:c>
      <x:c r="B47" s="9" t="str">
        <x:v>S008</x:v>
      </x:c>
      <x:c r="C47" s="9" t="str">
        <x:v>Kim et al. (2022)</x:v>
      </x:c>
      <x:c r="D47" s="9" t="str">
        <x:v>L6</x:v>
      </x:c>
      <x:c r="E47" s="9" t="str">
        <x:v>0</x:v>
      </x:c>
      <x:c r="F47" s="9" t="str">
        <x:v>0</x:v>
      </x:c>
      <x:c r="G47" s="9" t="str">
        <x:v>Yes</x:v>
      </x:c>
      <x:c r="H47" s="9" t="str">
        <x:v>Agree</x:v>
      </x:c>
      <x:c r="I47" s="9" t="str">
        <x:v>0</x:v>
      </x:c>
      <x:c r="J47" s="9" t="str">
        <x:v>Final agreement</x:v>
      </x:c>
      <x:c r="K47" s="9" t="str">
        <x:v>Pressure/posture is the intended measurand; no separate environment/use exposure response.</x:v>
      </x:c>
      <x:c r="L47" s="9" t="str">
        <x:v>PDF pp. 5–10; Figs. 3–5</x:v>
      </x:c>
      <x:c r="M47" s="9" t="str">
        <x:v>No response under a declared non-pressure environmental or use exposure is presented.</x:v>
      </x:c>
      <x:c r="N47" s="9" t="str">
        <x:v>Article PDF pp. 7-10, Figures 4-5</x:v>
      </x:c>
      <x:c r="O47" s="9" t="str">
        <x:v>Pressure/posture is the intended measurand; no separate environment/use exposure response.</x:v>
      </x:c>
      <x:c r="P47" s="9" t="str">
        <x:v>PDF pp. 5–10; Figs. 3–5</x:v>
      </x:c>
    </x:row>
    <x:row r="48">
      <x:c r="A48" s="9" t="n">
        <x:v>6</x:v>
      </x:c>
      <x:c r="B48" s="9" t="str">
        <x:v>S008</x:v>
      </x:c>
      <x:c r="C48" s="9" t="str">
        <x:v>Kim et al. (2022)</x:v>
      </x:c>
      <x:c r="D48" s="9" t="str">
        <x:v>L7</x:v>
      </x:c>
      <x:c r="E48" s="9" t="str">
        <x:v>0</x:v>
      </x:c>
      <x:c r="F48" s="9" t="str">
        <x:v>0</x:v>
      </x:c>
      <x:c r="G48" s="9" t="str">
        <x:v>Yes</x:v>
      </x:c>
      <x:c r="H48" s="9" t="str">
        <x:v>Agree</x:v>
      </x:c>
      <x:c r="I48" s="9" t="str">
        <x:v>0</x:v>
      </x:c>
      <x:c r="J48" s="9" t="str">
        <x:v>Final agreement</x:v>
      </x:c>
      <x:c r="K48" s="9" t="str">
        <x:v>Fig. 5 distinguishes plantar pressure conditions. Mechanical loading/calibration is characterized separately.</x:v>
      </x:c>
      <x:c r="L48" s="9" t="str">
        <x:v>S008_Main.pdf, physical pp. 7-9, sensor characterization and Fig. 5.</x:v>
      </x:c>
      <x:c r="M48" s="9" t="str">
        <x:v>Fig. 5 distinguishes plantar pressure conditions. Mechanical loading/calibration is characterized separately.</x:v>
      </x:c>
      <x:c r="N48" s="9" t="str">
        <x:v>S008_Main.pdf, physical pp. 7-9, sensor characterization and Fig. 5.</x:v>
      </x:c>
      <x:c r="O48" s="9" t="str">
        <x:v>Fig. 5 distinguishes plantar pressure conditions. Mechanical loading/calibration is characterized separately.</x:v>
      </x:c>
      <x:c r="P48" s="9" t="str">
        <x:v>S008_Main.pdf, physical pp. 7-9, sensor characterization and Fig. 5.</x:v>
      </x:c>
    </x:row>
    <x:row r="49">
      <x:c r="A49" s="9" t="n">
        <x:v>6</x:v>
      </x:c>
      <x:c r="B49" s="9" t="str">
        <x:v>S008</x:v>
      </x:c>
      <x:c r="C49" s="9" t="str">
        <x:v>Kim et al. (2022)</x:v>
      </x:c>
      <x:c r="D49" s="9" t="str">
        <x:v>L8</x:v>
      </x:c>
      <x:c r="E49" s="9" t="str">
        <x:v>0</x:v>
      </x:c>
      <x:c r="F49" s="9" t="str">
        <x:v>0</x:v>
      </x:c>
      <x:c r="G49" s="9" t="str">
        <x:v>Yes</x:v>
      </x:c>
      <x:c r="H49" s="9" t="str">
        <x:v>Agree</x:v>
      </x:c>
      <x:c r="I49" s="9" t="str">
        <x:v>0</x:v>
      </x:c>
      <x:c r="J49" s="9" t="str">
        <x:v>Final agreement</x:v>
      </x:c>
      <x:c r="K49" s="9" t="str">
        <x:v>Four sensor locations in one insole are channels, not ≥3 separate devices.</x:v>
      </x:c>
      <x:c r="L49" s="9" t="str">
        <x:v>PDF pp. 5–10; Figs. 3–5</x:v>
      </x:c>
      <x:c r="M49" s="9" t="str">
        <x:v>Multiple sensing positions are components of one insole; independent-device variation is not quantified.</x:v>
      </x:c>
      <x:c r="N49" s="9" t="str">
        <x:v>Article PDF pp. 9-10, Figure 5</x:v>
      </x:c>
      <x:c r="O49" s="9" t="str">
        <x:v>Four sensor locations in one insole are channels, not ≥3 separate devices.</x:v>
      </x:c>
      <x:c r="P49" s="9" t="str">
        <x:v>PDF pp. 5–10; Figs. 3–5</x:v>
      </x:c>
    </x:row>
    <x:row r="50">
      <x:c r="A50" s="9" t="n">
        <x:v>7</x:v>
      </x:c>
      <x:c r="B50" s="9" t="str">
        <x:v>S010</x:v>
      </x:c>
      <x:c r="C50" s="9" t="str">
        <x:v>Mutlu et al. (2023)</x:v>
      </x:c>
      <x:c r="D50" s="9" t="str">
        <x:v>L1</x:v>
      </x:c>
      <x:c r="E50" s="9" t="str">
        <x:v>1</x:v>
      </x:c>
      <x:c r="F50" s="9" t="str">
        <x:v>1</x:v>
      </x:c>
      <x:c r="G50" s="9" t="str">
        <x:v>Yes</x:v>
      </x:c>
      <x:c r="H50" s="9" t="str">
        <x:v>Agree</x:v>
      </x:c>
      <x:c r="I50" s="9" t="str">
        <x:v>1</x:v>
      </x:c>
      <x:c r="J50" s="9" t="str">
        <x:v>Final agreement</x:v>
      </x:c>
      <x:c r="K50" s="9" t="str">
        <x:v>Printer and full principal printing settings are reported in Appendix A.</x:v>
      </x:c>
      <x:c r="L50" s="9" t="str">
        <x:v>PDF pp. 3–16; Figs. 1–13; Appendix A</x:v>
      </x:c>
      <x:c r="M50" s="9" t="str">
        <x:v>Appendix A reports printer, dual-nozzle temperatures, bed temperatures, speeds, infill, layer height, extrusion width and retraction.</x:v>
      </x:c>
      <x:c r="N50" s="9" t="str">
        <x:v>Article PDF pp. 4 and 16, Section 2.1 and Appendix A</x:v>
      </x:c>
      <x:c r="O50" s="9" t="str">
        <x:v>Printer and full principal printing settings are reported in Appendix A.</x:v>
      </x:c>
      <x:c r="P50" s="9" t="str">
        <x:v>PDF pp. 3–16; Figs. 1–13; Appendix A</x:v>
      </x:c>
    </x:row>
    <x:row r="51">
      <x:c r="A51" s="9" t="n">
        <x:v>7</x:v>
      </x:c>
      <x:c r="B51" s="9" t="str">
        <x:v>S010</x:v>
      </x:c>
      <x:c r="C51" s="9" t="str">
        <x:v>Mutlu et al. (2023)</x:v>
      </x:c>
      <x:c r="D51" s="9" t="str">
        <x:v>L2</x:v>
      </x:c>
      <x:c r="E51" s="9" t="str">
        <x:v>1</x:v>
      </x:c>
      <x:c r="F51" s="9" t="str">
        <x:v>1</x:v>
      </x:c>
      <x:c r="G51" s="9" t="str">
        <x:v>Yes</x:v>
      </x:c>
      <x:c r="H51" s="9" t="str">
        <x:v>Agree</x:v>
      </x:c>
      <x:c r="I51" s="9" t="str">
        <x:v>1</x:v>
      </x:c>
      <x:c r="J51" s="9" t="str">
        <x:v>Final agreement</x:v>
      </x:c>
      <x:c r="K51" s="9" t="str">
        <x:v>NinjaFlex and conductive carbon-black TPU roles are identified.</x:v>
      </x:c>
      <x:c r="L51" s="9" t="str">
        <x:v>PDF pp. 3–16; Figs. 1–13; Appendix A</x:v>
      </x:c>
      <x:c r="M51" s="9" t="str">
        <x:v>Commercial conductive CB-TPU and NinjaFlex TPU grades and their sensor/actuator roles are identified.</x:v>
      </x:c>
      <x:c r="N51" s="9" t="str">
        <x:v>Article PDF p. 4, Section 2</x:v>
      </x:c>
      <x:c r="O51" s="9" t="str">
        <x:v>NinjaFlex and conductive carbon-black TPU roles are identified.</x:v>
      </x:c>
      <x:c r="P51" s="9" t="str">
        <x:v>PDF pp. 3–16; Figs. 1–13; Appendix A</x:v>
      </x:c>
    </x:row>
    <x:row r="52">
      <x:c r="A52" s="9" t="n">
        <x:v>7</x:v>
      </x:c>
      <x:c r="B52" s="9" t="str">
        <x:v>S010</x:v>
      </x:c>
      <x:c r="C52" s="9" t="str">
        <x:v>Mutlu et al. (2023)</x:v>
      </x:c>
      <x:c r="D52" s="9" t="str">
        <x:v>L3</x:v>
      </x:c>
      <x:c r="E52" s="9" t="str">
        <x:v>1</x:v>
      </x:c>
      <x:c r="F52" s="9" t="str">
        <x:v>1</x:v>
      </x:c>
      <x:c r="G52" s="9" t="str">
        <x:v>Yes</x:v>
      </x:c>
      <x:c r="H52" s="9" t="str">
        <x:v>Agree</x:v>
      </x:c>
      <x:c r="I52" s="9" t="str">
        <x:v>1</x:v>
      </x:c>
      <x:c r="J52" s="9" t="str">
        <x:v>Final agreement</x:v>
      </x:c>
      <x:c r="K52" s="9" t="str">
        <x:v>Pressure regulator and six-axis force reference with specified range.</x:v>
      </x:c>
      <x:c r="L52" s="9" t="str">
        <x:v>PDF pp. 3–16; Figs. 1–13; Appendix A</x:v>
      </x:c>
      <x:c r="M52" s="9" t="str">
        <x:v>Sensor response was measured simultaneously with a six-axis force sensor under programmed 0-250 kPa pressure inputs.</x:v>
      </x:c>
      <x:c r="N52" s="9" t="str">
        <x:v>Article PDF pp. 4 and 6-8, Figures 3-5</x:v>
      </x:c>
      <x:c r="O52" s="9" t="str">
        <x:v>Pressure regulator and six-axis force reference with specified range.</x:v>
      </x:c>
      <x:c r="P52" s="9" t="str">
        <x:v>PDF pp. 3–16; Figs. 1–13; Appendix A</x:v>
      </x:c>
    </x:row>
    <x:row r="53">
      <x:c r="A53" s="9" t="n">
        <x:v>7</x:v>
      </x:c>
      <x:c r="B53" s="9" t="str">
        <x:v>S010</x:v>
      </x:c>
      <x:c r="C53" s="9" t="str">
        <x:v>Mutlu et al. (2023)</x:v>
      </x:c>
      <x:c r="D53" s="9" t="str">
        <x:v>L4</x:v>
      </x:c>
      <x:c r="E53" s="9" t="str">
        <x:v>1</x:v>
      </x:c>
      <x:c r="F53" s="9" t="str">
        <x:v>1</x:v>
      </x:c>
      <x:c r="G53" s="9" t="str">
        <x:v>Yes</x:v>
      </x:c>
      <x:c r="H53" s="9" t="str">
        <x:v>Agree</x:v>
      </x:c>
      <x:c r="I53" s="9" t="str">
        <x:v>1</x:v>
      </x:c>
      <x:c r="J53" s="9" t="str">
        <x:v>Final agreement</x:v>
      </x:c>
      <x:c r="K53" s="9" t="str">
        <x:v>Sensitivity, R², hysteresis, SNR and dynamic outputs reported.</x:v>
      </x:c>
      <x:c r="L53" s="9" t="str">
        <x:v>PDF pp. 3–16; Figs. 1–13; Appendix A</x:v>
      </x:c>
      <x:c r="M53" s="9" t="str">
        <x:v>Sensitivity, linearity, hysteresis and SNR are quantified with units/equations over stated pressure and frequency ranges.</x:v>
      </x:c>
      <x:c r="N53" s="9" t="str">
        <x:v>Article PDF pp. 8-10, Figures 5-8</x:v>
      </x:c>
      <x:c r="O53" s="9" t="str">
        <x:v>Sensitivity, R², hysteresis, SNR and dynamic outputs reported.</x:v>
      </x:c>
      <x:c r="P53" s="9" t="str">
        <x:v>PDF pp. 3–16; Figs. 1–13; Appendix A</x:v>
      </x:c>
    </x:row>
    <x:row r="54">
      <x:c r="A54" s="9" t="n">
        <x:v>7</x:v>
      </x:c>
      <x:c r="B54" s="9" t="str">
        <x:v>S010</x:v>
      </x:c>
      <x:c r="C54" s="9" t="str">
        <x:v>Mutlu et al. (2023)</x:v>
      </x:c>
      <x:c r="D54" s="9" t="str">
        <x:v>L5</x:v>
      </x:c>
      <x:c r="E54" s="9" t="str">
        <x:v>1</x:v>
      </x:c>
      <x:c r="F54" s="9" t="str">
        <x:v>1</x:v>
      </x:c>
      <x:c r="G54" s="9" t="str">
        <x:v>Yes</x:v>
      </x:c>
      <x:c r="H54" s="9" t="str">
        <x:v>Agree</x:v>
      </x:c>
      <x:c r="I54" s="9" t="str">
        <x:v>1</x:v>
      </x:c>
      <x:c r="J54" s="9" t="str">
        <x:v>Final agreement</x:v>
      </x:c>
      <x:c r="K54" s="9" t="str">
        <x:v>Cyclic inputs at multiple amplitudes/frequencies and hysteresis outcomes reported.</x:v>
      </x:c>
      <x:c r="L54" s="9" t="str">
        <x:v>PDF pp. 3–16; Figs. 1–13; Appendix A</x:v>
      </x:c>
      <x:c r="M54" s="9" t="str">
        <x:v>Cyclic pressure inputs at stated amplitudes/frequencies were evaluated with hysteresis and repeatability outcomes.</x:v>
      </x:c>
      <x:c r="N54" s="9" t="str">
        <x:v>Article PDF pp. 9-10, Figures 6 and 8</x:v>
      </x:c>
      <x:c r="O54" s="9" t="str">
        <x:v>Cyclic inputs at multiple amplitudes/frequencies and hysteresis outcomes reported.</x:v>
      </x:c>
      <x:c r="P54" s="9" t="str">
        <x:v>PDF pp. 3–16; Figs. 1–13; Appendix A</x:v>
      </x:c>
    </x:row>
    <x:row r="55">
      <x:c r="A55" s="9" t="n">
        <x:v>7</x:v>
      </x:c>
      <x:c r="B55" s="9" t="str">
        <x:v>S010</x:v>
      </x:c>
      <x:c r="C55" s="9" t="str">
        <x:v>Mutlu et al. (2023)</x:v>
      </x:c>
      <x:c r="D55" s="9" t="str">
        <x:v>L6</x:v>
      </x:c>
      <x:c r="E55" s="9" t="str">
        <x:v>0</x:v>
      </x:c>
      <x:c r="F55" s="9" t="str">
        <x:v>0</x:v>
      </x:c>
      <x:c r="G55" s="9" t="str">
        <x:v>Yes</x:v>
      </x:c>
      <x:c r="H55" s="9" t="str">
        <x:v>Agree</x:v>
      </x:c>
      <x:c r="I55" s="9" t="str">
        <x:v>0</x:v>
      </x:c>
      <x:c r="J55" s="9" t="str">
        <x:v>Final agreement</x:v>
      </x:c>
      <x:c r="K55" s="9" t="str">
        <x:v>Pressure/frequency are test inputs; no distinct environmental exposure response.</x:v>
      </x:c>
      <x:c r="L55" s="9" t="str">
        <x:v>PDF pp. 3–16; Figs. 1–13; Appendix A</x:v>
      </x:c>
      <x:c r="M55" s="9" t="str">
        <x:v>Final rating supersedes the earlier rating; no revised narrative reason was supplied.</x:v>
      </x:c>
      <x:c r="N55" s="9" t="str">
        <x:v>Finalized reviewer-rating workbook</x:v>
      </x:c>
      <x:c r="O55" s="9" t="str">
        <x:v>Pressure/frequency are test inputs; no distinct environmental exposure response.</x:v>
      </x:c>
      <x:c r="P55" s="9" t="str">
        <x:v>PDF pp. 3–16; Figs. 1–13; Appendix A</x:v>
      </x:c>
    </x:row>
    <x:row r="56">
      <x:c r="A56" s="9" t="n">
        <x:v>7</x:v>
      </x:c>
      <x:c r="B56" s="9" t="str">
        <x:v>S010</x:v>
      </x:c>
      <x:c r="C56" s="9" t="str">
        <x:v>Mutlu et al. (2023)</x:v>
      </x:c>
      <x:c r="D56" s="9" t="str">
        <x:v>L7</x:v>
      </x:c>
      <x:c r="E56" s="9" t="str">
        <x:v>0</x:v>
      </x:c>
      <x:c r="F56" s="9" t="str">
        <x:v>0</x:v>
      </x:c>
      <x:c r="G56" s="9" t="str">
        <x:v>Yes</x:v>
      </x:c>
      <x:c r="H56" s="9" t="str">
        <x:v>Agree</x:v>
      </x:c>
      <x:c r="I56" s="9" t="str">
        <x:v>0</x:v>
      </x:c>
      <x:c r="J56" s="9" t="str">
        <x:v>Final agreement</x:v>
      </x:c>
      <x:c r="K56" s="9" t="str">
        <x:v>Final L7 rating from the targeted reassessment.</x:v>
      </x:c>
      <x:c r="L56" s="9" t="str">
        <x:v>Finalized reviewer-rating workbook</x:v>
      </x:c>
      <x:c r="M56" s="9" t="str">
        <x:v>Final L7 rating from the targeted reassessment.</x:v>
      </x:c>
      <x:c r="N56" s="9" t="str">
        <x:v>Finalized reviewer-rating workbook</x:v>
      </x:c>
      <x:c r="O56" s="9" t="str">
        <x:v>No qualifying interface-integrity test or repeated final monolithic wearable-assembly test with a retention/failure endpoint was located.</x:v>
      </x:c>
      <x:c r="P56" s="9" t="str">
        <x:v>PDF pp. 3–16; Figs. 1–13; Appendix A</x:v>
      </x:c>
    </x:row>
    <x:row r="57">
      <x:c r="A57" s="9" t="n">
        <x:v>7</x:v>
      </x:c>
      <x:c r="B57" s="9" t="str">
        <x:v>S010</x:v>
      </x:c>
      <x:c r="C57" s="9" t="str">
        <x:v>Mutlu et al. (2023)</x:v>
      </x:c>
      <x:c r="D57" s="9" t="str">
        <x:v>L8</x:v>
      </x:c>
      <x:c r="E57" s="9" t="str">
        <x:v>0</x:v>
      </x:c>
      <x:c r="F57" s="9" t="str">
        <x:v>0</x:v>
      </x:c>
      <x:c r="G57" s="9" t="str">
        <x:v>Yes</x:v>
      </x:c>
      <x:c r="H57" s="9" t="str">
        <x:v>Agree</x:v>
      </x:c>
      <x:c r="I57" s="9" t="str">
        <x:v>0</x:v>
      </x:c>
      <x:c r="J57" s="9" t="str">
        <x:v>Final agreement</x:v>
      </x:c>
      <x:c r="K57" s="9" t="str">
        <x:v>Only one device is described; multiple-device assessment is future work.</x:v>
      </x:c>
      <x:c r="L57" s="9" t="str">
        <x:v>PDF pp. 3–16; Figs. 1–13; Appendix A</x:v>
      </x:c>
      <x:c r="M57" s="9" t="str">
        <x:v>Testing is described for a single SoHapS unit; three independently printed units and between-unit variation are absent.</x:v>
      </x:c>
      <x:c r="N57" s="9" t="str">
        <x:v>Article PDF pp. 4-6</x:v>
      </x:c>
      <x:c r="O57" s="9" t="str">
        <x:v>Only one device is described; multiple-device assessment is future work.</x:v>
      </x:c>
      <x:c r="P57" s="9" t="str">
        <x:v>PDF pp. 3–16; Figs. 1–13; Appendix A</x:v>
      </x:c>
    </x:row>
    <x:row r="58">
      <x:c r="A58" s="9" t="n">
        <x:v>8</x:v>
      </x:c>
      <x:c r="B58" s="9" t="str">
        <x:v>S011</x:v>
      </x:c>
      <x:c r="C58" s="9" t="str">
        <x:v>Samarentsis et al. (2022)</x:v>
      </x:c>
      <x:c r="D58" s="9" t="str">
        <x:v>L1</x:v>
      </x:c>
      <x:c r="E58" s="9" t="str">
        <x:v>1</x:v>
      </x:c>
      <x:c r="F58" s="9" t="str">
        <x:v>1</x:v>
      </x:c>
      <x:c r="G58" s="9" t="str">
        <x:v>Yes</x:v>
      </x:c>
      <x:c r="H58" s="9" t="str">
        <x:v>Agree</x:v>
      </x:c>
      <x:c r="I58" s="9" t="str">
        <x:v>1</x:v>
      </x:c>
      <x:c r="J58" s="9" t="str">
        <x:v>Final agreement</x:v>
      </x:c>
      <x:c r="K58" s="9" t="str">
        <x:v>Printer plus full parameter set in Table 1.</x:v>
      </x:c>
      <x:c r="L58" s="9" t="str">
        <x:v>PDF pp. 3-4, Table 1</x:v>
      </x:c>
      <x:c r="M58" s="9" t="str">
        <x:v>Printer, nozzle, extrusion/bed temperatures, speed, layer height, infill, flow and sensor geometry are reported.</x:v>
      </x:c>
      <x:c r="N58" s="9" t="str">
        <x:v>Article PDF pp. 3-4, Figure 1 and Table 1</x:v>
      </x:c>
      <x:c r="O58" s="9" t="str">
        <x:v>Printer plus full parameter set in Table 1.</x:v>
      </x:c>
      <x:c r="P58" s="9" t="str">
        <x:v>PDF pp. 3-4, Table 1</x:v>
      </x:c>
    </x:row>
    <x:row r="59">
      <x:c r="A59" s="9" t="n">
        <x:v>8</x:v>
      </x:c>
      <x:c r="B59" s="9" t="str">
        <x:v>S011</x:v>
      </x:c>
      <x:c r="C59" s="9" t="str">
        <x:v>Samarentsis et al. (2022)</x:v>
      </x:c>
      <x:c r="D59" s="9" t="str">
        <x:v>L2</x:v>
      </x:c>
      <x:c r="E59" s="9" t="str">
        <x:v>1</x:v>
      </x:c>
      <x:c r="F59" s="9" t="str">
        <x:v>1</x:v>
      </x:c>
      <x:c r="G59" s="9" t="str">
        <x:v>Yes</x:v>
      </x:c>
      <x:c r="H59" s="9" t="str">
        <x:v>Agree</x:v>
      </x:c>
      <x:c r="I59" s="9" t="str">
        <x:v>1</x:v>
      </x:c>
      <x:c r="J59" s="9" t="str">
        <x:v>Final agreement</x:v>
      </x:c>
      <x:c r="K59" s="9" t="str">
        <x:v>Conductive PLA, Filaflex grades, wiring and insole materials reported.</x:v>
      </x:c>
      <x:c r="L59" s="9" t="str">
        <x:v>PDF pp. 3-5</x:v>
      </x:c>
      <x:c r="M59" s="9" t="str">
        <x:v>Conductive PLA electrode grade and Filaflex TPU dielectric grade are identified with their device roles.</x:v>
      </x:c>
      <x:c r="N59" s="9" t="str">
        <x:v>Article PDF p. 4, Section 2.1</x:v>
      </x:c>
      <x:c r="O59" s="9" t="str">
        <x:v>Conductive PLA, Filaflex grades, wiring and insole materials reported.</x:v>
      </x:c>
      <x:c r="P59" s="9" t="str">
        <x:v>PDF pp. 3-5</x:v>
      </x:c>
    </x:row>
    <x:row r="60">
      <x:c r="A60" s="9" t="n">
        <x:v>8</x:v>
      </x:c>
      <x:c r="B60" s="9" t="str">
        <x:v>S011</x:v>
      </x:c>
      <x:c r="C60" s="9" t="str">
        <x:v>Samarentsis et al. (2022)</x:v>
      </x:c>
      <x:c r="D60" s="9" t="str">
        <x:v>L3</x:v>
      </x:c>
      <x:c r="E60" s="9" t="str">
        <x:v>1</x:v>
      </x:c>
      <x:c r="F60" s="9" t="str">
        <x:v>1</x:v>
      </x:c>
      <x:c r="G60" s="9" t="str">
        <x:v>Yes</x:v>
      </x:c>
      <x:c r="H60" s="9" t="str">
        <x:v>Agree</x:v>
      </x:c>
      <x:c r="I60" s="9" t="str">
        <x:v>1</x:v>
      </x:c>
      <x:c r="J60" s="9" t="str">
        <x:v>Final agreement</x:v>
      </x:c>
      <x:c r="K60" s="9" t="str">
        <x:v>Pressure range and calibration protocol described.</x:v>
      </x:c>
      <x:c r="L60" s="9" t="str">
        <x:v>PDF pp. 5-6</x:v>
      </x:c>
      <x:c r="M60" s="9" t="str">
        <x:v>Capacitance was recorded during controlled piston loading over calibrated pressure steps and gait-speed tests.</x:v>
      </x:c>
      <x:c r="N60" s="9" t="str">
        <x:v>Article PDF pp. 5-8, Figure 2</x:v>
      </x:c>
      <x:c r="O60" s="9" t="str">
        <x:v>Pressure range and calibration protocol described.</x:v>
      </x:c>
      <x:c r="P60" s="9" t="str">
        <x:v>PDF pp. 5-6</x:v>
      </x:c>
    </x:row>
    <x:row r="61">
      <x:c r="A61" s="9" t="n">
        <x:v>8</x:v>
      </x:c>
      <x:c r="B61" s="9" t="str">
        <x:v>S011</x:v>
      </x:c>
      <x:c r="C61" s="9" t="str">
        <x:v>Samarentsis et al. (2022)</x:v>
      </x:c>
      <x:c r="D61" s="9" t="str">
        <x:v>L4</x:v>
      </x:c>
      <x:c r="E61" s="9" t="str">
        <x:v>1</x:v>
      </x:c>
      <x:c r="F61" s="9" t="str">
        <x:v>1</x:v>
      </x:c>
      <x:c r="G61" s="9" t="str">
        <x:v>Yes</x:v>
      </x:c>
      <x:c r="H61" s="9" t="str">
        <x:v>Agree</x:v>
      </x:c>
      <x:c r="I61" s="9" t="str">
        <x:v>1</x:v>
      </x:c>
      <x:c r="J61" s="9" t="str">
        <x:v>Final agreement</x:v>
      </x:c>
      <x:c r="K61" s="9" t="str">
        <x:v>Sensitivity, R-squared, LOD, hysteresis and response time reported.</x:v>
      </x:c>
      <x:c r="L61" s="9" t="str">
        <x:v>PDF pp. 8-11, Fig. 4-8</x:v>
      </x:c>
      <x:c r="M61" s="9" t="str">
        <x:v>Sensitivity, range, linearity, response time and hysteresis are quantified with units/calculations.</x:v>
      </x:c>
      <x:c r="N61" s="9" t="str">
        <x:v>Article PDF pp. 7-10, Figures 3-5</x:v>
      </x:c>
      <x:c r="O61" s="9" t="str">
        <x:v>Sensitivity, R-squared, LOD, hysteresis and response time reported.</x:v>
      </x:c>
      <x:c r="P61" s="9" t="str">
        <x:v>PDF pp. 8-11, Fig. 4-8</x:v>
      </x:c>
    </x:row>
    <x:row r="62">
      <x:c r="A62" s="9" t="n">
        <x:v>8</x:v>
      </x:c>
      <x:c r="B62" s="9" t="str">
        <x:v>S011</x:v>
      </x:c>
      <x:c r="C62" s="9" t="str">
        <x:v>Samarentsis et al. (2022)</x:v>
      </x:c>
      <x:c r="D62" s="9" t="str">
        <x:v>L5</x:v>
      </x:c>
      <x:c r="E62" s="9" t="str">
        <x:v>1</x:v>
      </x:c>
      <x:c r="F62" s="9" t="str">
        <x:v>1</x:v>
      </x:c>
      <x:c r="G62" s="9" t="str">
        <x:v>Yes</x:v>
      </x:c>
      <x:c r="H62" s="9" t="str">
        <x:v>Agree</x:v>
      </x:c>
      <x:c r="I62" s="9" t="str">
        <x:v>1</x:v>
      </x:c>
      <x:c r="J62" s="9" t="str">
        <x:v>Final agreement</x:v>
      </x:c>
      <x:c r="K62" s="9" t="str">
        <x:v>Three calibration cycles plus 2280-cycle durability and hysteresis.</x:v>
      </x:c>
      <x:c r="L62" s="9" t="str">
        <x:v>PDF pp. 8-11, Fig. 4-7</x:v>
      </x:c>
      <x:c r="M62" s="9" t="str">
        <x:v>Three-cycle pressure tests and at least 2,280 durability cycles report repeatability, hysteresis and retained response.</x:v>
      </x:c>
      <x:c r="N62" s="9" t="str">
        <x:v>Article PDF pp. 8-10, Figures 3-5</x:v>
      </x:c>
      <x:c r="O62" s="9" t="str">
        <x:v>Three calibration cycles plus 2280-cycle durability and hysteresis.</x:v>
      </x:c>
      <x:c r="P62" s="9" t="str">
        <x:v>PDF pp. 8-11, Fig. 4-7</x:v>
      </x:c>
    </x:row>
    <x:row r="63">
      <x:c r="A63" s="9" t="n">
        <x:v>8</x:v>
      </x:c>
      <x:c r="B63" s="9" t="str">
        <x:v>S011</x:v>
      </x:c>
      <x:c r="C63" s="9" t="str">
        <x:v>Samarentsis et al. (2022)</x:v>
      </x:c>
      <x:c r="D63" s="9" t="str">
        <x:v>L6</x:v>
      </x:c>
      <x:c r="E63" s="9" t="str">
        <x:v>0</x:v>
      </x:c>
      <x:c r="F63" s="9" t="str">
        <x:v>0</x:v>
      </x:c>
      <x:c r="G63" s="9" t="str">
        <x:v>Yes</x:v>
      </x:c>
      <x:c r="H63" s="9" t="str">
        <x:v>Agree</x:v>
      </x:c>
      <x:c r="I63" s="9" t="str">
        <x:v>0</x:v>
      </x:c>
      <x:c r="J63" s="9" t="str">
        <x:v>Final agreement</x:v>
      </x:c>
      <x:c r="K63" s="9" t="str">
        <x:v>20 deg C/55-60% RH are fixed laboratory conditions, not varied exposure; pressure is the intended measurand.</x:v>
      </x:c>
      <x:c r="L63" s="9" t="str">
        <x:v>PDF pp. 5-14 checked</x:v>
      </x:c>
      <x:c r="M63" s="9" t="str">
        <x:v>Temperature, humidity and electromagnetic interference are discussed but not experimentally applied to the sensor.</x:v>
      </x:c>
      <x:c r="N63" s="9" t="str">
        <x:v>Article PDF p. 2; pp. 7-10</x:v>
      </x:c>
      <x:c r="O63" s="9" t="str">
        <x:v>20 deg C/55-60% RH are fixed laboratory conditions, not varied exposure; pressure is the intended measurand.</x:v>
      </x:c>
      <x:c r="P63" s="9" t="str">
        <x:v>PDF pp. 5-14 checked</x:v>
      </x:c>
    </x:row>
    <x:row r="64">
      <x:c r="A64" s="9" t="n">
        <x:v>8</x:v>
      </x:c>
      <x:c r="B64" s="9" t="str">
        <x:v>S011</x:v>
      </x:c>
      <x:c r="C64" s="9" t="str">
        <x:v>Samarentsis et al. (2022)</x:v>
      </x:c>
      <x:c r="D64" s="9" t="str">
        <x:v>L7</x:v>
      </x:c>
      <x:c r="E64" s="9" t="str">
        <x:v>0</x:v>
      </x:c>
      <x:c r="F64" s="9" t="str">
        <x:v>0</x:v>
      </x:c>
      <x:c r="G64" s="9" t="str">
        <x:v>Yes</x:v>
      </x:c>
      <x:c r="H64" s="9" t="str">
        <x:v>Agree</x:v>
      </x:c>
      <x:c r="I64" s="9" t="str">
        <x:v>0</x:v>
      </x:c>
      <x:c r="J64" s="9" t="str">
        <x:v>Final agreement</x:v>
      </x:c>
      <x:c r="K64" s="9" t="str">
        <x:v>The paper notes some drift/delay when the worn signals return near zero within a gait cycle. The one-hour, 2280-cycle durability comparison belongs to the laboratory sensor test.</x:v>
      </x:c>
      <x:c r="L64" s="9" t="str">
        <x:v>S011_Main.pdf, physical p. 10, section 3.1.4/Fig. 8; pp. 13-14, section 3.2/Figs. 12-13; p. 6, Fig. 2.</x:v>
      </x:c>
      <x:c r="M64" s="9" t="str">
        <x:v>The paper notes some drift/delay when the worn signals return near zero within a gait cycle. The one-hour, 2280-cycle durability comparison belongs to the laboratory sensor test.</x:v>
      </x:c>
      <x:c r="N64" s="9" t="str">
        <x:v>S011_Main.pdf, physical p. 10, section 3.1.4/Fig. 8; pp. 13-14, section 3.2/Figs. 12-13; p. 6, Fig. 2.</x:v>
      </x:c>
      <x:c r="O64" s="9" t="str">
        <x:v>The paper notes some drift/delay when the worn signals return near zero within a gait cycle. The one-hour, 2280-cycle durability comparison belongs to the laboratory sensor test.</x:v>
      </x:c>
      <x:c r="P64" s="9" t="str">
        <x:v>S011_Main.pdf, physical p. 10, section 3.1.4/Fig. 8; pp. 13-14, section 3.2/Figs. 12-13; p. 6, Fig. 2.</x:v>
      </x:c>
    </x:row>
    <x:row r="65">
      <x:c r="A65" s="9" t="n">
        <x:v>8</x:v>
      </x:c>
      <x:c r="B65" s="9" t="str">
        <x:v>S011</x:v>
      </x:c>
      <x:c r="C65" s="9" t="str">
        <x:v>Samarentsis et al. (2022)</x:v>
      </x:c>
      <x:c r="D65" s="9" t="str">
        <x:v>L8</x:v>
      </x:c>
      <x:c r="E65" s="9" t="str">
        <x:v>1</x:v>
      </x:c>
      <x:c r="F65" s="9" t="str">
        <x:v>1</x:v>
      </x:c>
      <x:c r="G65" s="9" t="str">
        <x:v>Yes</x:v>
      </x:c>
      <x:c r="H65" s="9" t="str">
        <x:v>Agree</x:v>
      </x:c>
      <x:c r="I65" s="9" t="str">
        <x:v>1</x:v>
      </x:c>
      <x:c r="J65" s="9" t="str">
        <x:v>Final agreement</x:v>
      </x:c>
      <x:c r="K65" s="9" t="str">
        <x:v>Sixteen separate sensors summarized as mean +/- SD under comparable calibration.</x:v>
      </x:c>
      <x:c r="L65" s="9" t="str">
        <x:v>PDF pp. 8-9, Fig. 4</x:v>
      </x:c>
      <x:c r="M65" s="9" t="str">
        <x:v>Final rating supersedes the earlier rating; no revised narrative reason was supplied.</x:v>
      </x:c>
      <x:c r="N65" s="9" t="str">
        <x:v>Finalized reviewer-rating workbook</x:v>
      </x:c>
      <x:c r="O65" s="9" t="str">
        <x:v>Sixteen separate sensors summarized as mean +/- SD under comparable calibration.</x:v>
      </x:c>
      <x:c r="P65" s="9" t="str">
        <x:v>PDF pp. 8-9, Fig. 4</x:v>
      </x:c>
    </x:row>
    <x:row r="66">
      <x:c r="A66" s="9" t="n">
        <x:v>9</x:v>
      </x:c>
      <x:c r="B66" s="9" t="str">
        <x:v>S012</x:v>
      </x:c>
      <x:c r="C66" s="9" t="str">
        <x:v>Wolterink et al. (2020)</x:v>
      </x:c>
      <x:c r="D66" s="9" t="str">
        <x:v>L1</x:v>
      </x:c>
      <x:c r="E66" s="9" t="str">
        <x:v>0</x:v>
      </x:c>
      <x:c r="F66" s="9" t="str">
        <x:v>0</x:v>
      </x:c>
      <x:c r="G66" s="9" t="str">
        <x:v>Yes</x:v>
      </x:c>
      <x:c r="H66" s="9" t="str">
        <x:v>Agree</x:v>
      </x:c>
      <x:c r="I66" s="9" t="str">
        <x:v>0</x:v>
      </x:c>
      <x:c r="J66" s="9" t="str">
        <x:v>Final agreement</x:v>
      </x:c>
      <x:c r="K66" s="9" t="str">
        <x:v>Printer, layer height and nozzles reported, but temperature, speed, infill and orientation are absent.</x:v>
      </x:c>
      <x:c r="L66" s="9" t="str">
        <x:v>PDF pp. 4–14; Figs. 1–17; Tables 2–3</x:v>
      </x:c>
      <x:c r="M66" s="9" t="str">
        <x:v>Printer, extruders, layer heights, nozzle diameters and geometry are reported, but temperatures, speed, infill and orientation are absent.</x:v>
      </x:c>
      <x:c r="N66" s="9" t="str">
        <x:v>Article PDF pp. 4-5, Section 2.2 and Figures 1-2</x:v>
      </x:c>
      <x:c r="O66" s="9" t="str">
        <x:v>Printer, layer height and nozzles reported, but temperature, speed, infill and orientation are absent.</x:v>
      </x:c>
      <x:c r="P66" s="9" t="str">
        <x:v>PDF pp. 4–14; Figs. 1–17; Tables 2–3</x:v>
      </x:c>
    </x:row>
    <x:row r="67">
      <x:c r="A67" s="9" t="n">
        <x:v>9</x:v>
      </x:c>
      <x:c r="B67" s="9" t="str">
        <x:v>S012</x:v>
      </x:c>
      <x:c r="C67" s="9" t="str">
        <x:v>Wolterink et al. (2020)</x:v>
      </x:c>
      <x:c r="D67" s="9" t="str">
        <x:v>L2</x:v>
      </x:c>
      <x:c r="E67" s="9" t="str">
        <x:v>1</x:v>
      </x:c>
      <x:c r="F67" s="9" t="str">
        <x:v>1</x:v>
      </x:c>
      <x:c r="G67" s="9" t="str">
        <x:v>Yes</x:v>
      </x:c>
      <x:c r="H67" s="9" t="str">
        <x:v>Agree</x:v>
      </x:c>
      <x:c r="I67" s="9" t="str">
        <x:v>1</x:v>
      </x:c>
      <x:c r="J67" s="9" t="str">
        <x:v>Final agreement</x:v>
      </x:c>
      <x:c r="K67" s="9" t="str">
        <x:v>Conductive PI-ETPU, NinjaFlex, wiring and amplifier interface reported.</x:v>
      </x:c>
      <x:c r="L67" s="9" t="str">
        <x:v>PDF pp. 4–14; Figs. 1–17; Tables 2–3</x:v>
      </x:c>
      <x:c r="M67" s="9" t="str">
        <x:v>Commercial PI-ETPU/CB and NinjaFlex grades, copper leads, insulation and amplifier interface are identified.</x:v>
      </x:c>
      <x:c r="N67" s="9" t="str">
        <x:v>Article PDF pp. 4-6, Table 1 and Figure 2</x:v>
      </x:c>
      <x:c r="O67" s="9" t="str">
        <x:v>Conductive PI-ETPU, NinjaFlex, wiring and amplifier interface reported.</x:v>
      </x:c>
      <x:c r="P67" s="9" t="str">
        <x:v>PDF pp. 4–14; Figs. 1–17; Tables 2–3</x:v>
      </x:c>
    </x:row>
    <x:row r="68">
      <x:c r="A68" s="9" t="n">
        <x:v>9</x:v>
      </x:c>
      <x:c r="B68" s="9" t="str">
        <x:v>S012</x:v>
      </x:c>
      <x:c r="C68" s="9" t="str">
        <x:v>Wolterink et al. (2020)</x:v>
      </x:c>
      <x:c r="D68" s="9" t="str">
        <x:v>L3</x:v>
      </x:c>
      <x:c r="E68" s="9" t="str">
        <x:v>1</x:v>
      </x:c>
      <x:c r="F68" s="9" t="str">
        <x:v>1</x:v>
      </x:c>
      <x:c r="G68" s="9" t="str">
        <x:v>Yes</x:v>
      </x:c>
      <x:c r="H68" s="9" t="str">
        <x:v>Agree</x:v>
      </x:c>
      <x:c r="I68" s="9" t="str">
        <x:v>1</x:v>
      </x:c>
      <x:c r="J68" s="9" t="str">
        <x:v>Final agreement</x:v>
      </x:c>
      <x:c r="K68" s="9" t="str">
        <x:v>Specified EMG tasks/load protocol and Ag/AgCl comparator.</x:v>
      </x:c>
      <x:c r="L68" s="9" t="str">
        <x:v>PDF pp. 4–14; Figs. 1–17; Tables 2–3</x:v>
      </x:c>
      <x:c r="M68" s="9" t="str">
        <x:v>Printed electrodes were compared side-by-side with Ag/AgCl electrodes across controlled loads and impedance frequencies.</x:v>
      </x:c>
      <x:c r="N68" s="9" t="str">
        <x:v>Article PDF pp. 4-6, Sections 2.1-2.2</x:v>
      </x:c>
      <x:c r="O68" s="9" t="str">
        <x:v>Specified EMG tasks/load protocol and Ag/AgCl comparator.</x:v>
      </x:c>
      <x:c r="P68" s="9" t="str">
        <x:v>PDF pp. 4–14; Figs. 1–17; Tables 2–3</x:v>
      </x:c>
    </x:row>
    <x:row r="69">
      <x:c r="A69" s="9" t="n">
        <x:v>9</x:v>
      </x:c>
      <x:c r="B69" s="9" t="str">
        <x:v>S012</x:v>
      </x:c>
      <x:c r="C69" s="9" t="str">
        <x:v>Wolterink et al. (2020)</x:v>
      </x:c>
      <x:c r="D69" s="9" t="str">
        <x:v>L4</x:v>
      </x:c>
      <x:c r="E69" s="9" t="str">
        <x:v>1</x:v>
      </x:c>
      <x:c r="F69" s="9" t="str">
        <x:v>1</x:v>
      </x:c>
      <x:c r="G69" s="9" t="str">
        <x:v>Yes</x:v>
      </x:c>
      <x:c r="H69" s="9" t="str">
        <x:v>Agree</x:v>
      </x:c>
      <x:c r="I69" s="9" t="str">
        <x:v>1</x:v>
      </x:c>
      <x:c r="J69" s="9" t="str">
        <x:v>Final agreement</x:v>
      </x:c>
      <x:c r="K69" s="9" t="str">
        <x:v>Impedance, RMS/SD, statistics and classification accuracy reported.</x:v>
      </x:c>
      <x:c r="L69" s="9" t="str">
        <x:v>PDF pp. 4–14; Figs. 1–17; Tables 2–3</x:v>
      </x:c>
      <x:c r="M69" s="9" t="str">
        <x:v>Impedance and EMG amplitude are reported with units across 20 Hz-2.5 kHz and 0-5 kg ranges.</x:v>
      </x:c>
      <x:c r="N69" s="9" t="str">
        <x:v>Article PDF pp. 9-11, Figures 9-13</x:v>
      </x:c>
      <x:c r="O69" s="9" t="str">
        <x:v>Impedance, RMS/SD, statistics and classification accuracy reported.</x:v>
      </x:c>
      <x:c r="P69" s="9" t="str">
        <x:v>PDF pp. 4–14; Figs. 1–17; Tables 2–3</x:v>
      </x:c>
    </x:row>
    <x:row r="70">
      <x:c r="A70" s="9" t="n">
        <x:v>9</x:v>
      </x:c>
      <x:c r="B70" s="9" t="str">
        <x:v>S012</x:v>
      </x:c>
      <x:c r="C70" s="9" t="str">
        <x:v>Wolterink et al. (2020)</x:v>
      </x:c>
      <x:c r="D70" s="9" t="str">
        <x:v>L5</x:v>
      </x:c>
      <x:c r="E70" s="9" t="str">
        <x:v>1</x:v>
      </x:c>
      <x:c r="F70" s="9" t="str">
        <x:v>1</x:v>
      </x:c>
      <x:c r="G70" s="9" t="str">
        <x:v>Yes</x:v>
      </x:c>
      <x:c r="H70" s="9" t="str">
        <x:v>Agree</x:v>
      </x:c>
      <x:c r="I70" s="9" t="str">
        <x:v>1</x:v>
      </x:c>
      <x:c r="J70" s="9" t="str">
        <x:v>Final agreement</x:v>
      </x:c>
      <x:c r="K70" s="9" t="str">
        <x:v>Three contractions with mean/SD outputs provide repeated-measurement evidence.</x:v>
      </x:c>
      <x:c r="L70" s="9" t="str">
        <x:v>PDF pp. 4–14; Figs. 1–17; Tables 2–3</x:v>
      </x:c>
      <x:c r="M70" s="9" t="str">
        <x:v>Final rating supersedes the earlier rating; no revised narrative reason was supplied.</x:v>
      </x:c>
      <x:c r="N70" s="9" t="str">
        <x:v>Finalized reviewer-rating workbook</x:v>
      </x:c>
      <x:c r="O70" s="9" t="str">
        <x:v>Three contractions with mean/SD outputs provide repeated-measurement evidence.</x:v>
      </x:c>
      <x:c r="P70" s="9" t="str">
        <x:v>PDF pp. 4–14; Figs. 1–17; Tables 2–3</x:v>
      </x:c>
    </x:row>
    <x:row r="71">
      <x:c r="A71" s="9" t="n">
        <x:v>9</x:v>
      </x:c>
      <x:c r="B71" s="9" t="str">
        <x:v>S012</x:v>
      </x:c>
      <x:c r="C71" s="9" t="str">
        <x:v>Wolterink et al. (2020)</x:v>
      </x:c>
      <x:c r="D71" s="9" t="str">
        <x:v>L6</x:v>
      </x:c>
      <x:c r="E71" s="9" t="str">
        <x:v>1</x:v>
      </x:c>
      <x:c r="F71" s="9" t="str">
        <x:v>1</x:v>
      </x:c>
      <x:c r="G71" s="9" t="str">
        <x:v>Yes</x:v>
      </x:c>
      <x:c r="H71" s="9" t="str">
        <x:v>Agree</x:v>
      </x:c>
      <x:c r="I71" s="9" t="str">
        <x:v>1</x:v>
      </x:c>
      <x:c r="J71" s="9" t="str">
        <x:v>Final agreement</x:v>
      </x:c>
      <x:c r="K71" s="9" t="str">
        <x:v>Dry versus water-moistened contact is a declared use-related condition with response comparison.</x:v>
      </x:c>
      <x:c r="L71" s="9" t="str">
        <x:v>PDF pp. 4–14; Figs. 1–17; Tables 2–3</x:v>
      </x:c>
      <x:c r="M71" s="9" t="str">
        <x:v>Electrode response was compared under declared dry and water-moistened conditions.</x:v>
      </x:c>
      <x:c r="N71" s="9" t="str">
        <x:v>Article PDF p. 6; pp. 11-13</x:v>
      </x:c>
      <x:c r="O71" s="9" t="str">
        <x:v>Dry versus water-moistened contact is a declared use-related condition with response comparison.</x:v>
      </x:c>
      <x:c r="P71" s="9" t="str">
        <x:v>PDF pp. 4–14; Figs. 1–17; Tables 2–3</x:v>
      </x:c>
    </x:row>
    <x:row r="72">
      <x:c r="A72" s="9" t="n">
        <x:v>9</x:v>
      </x:c>
      <x:c r="B72" s="9" t="str">
        <x:v>S012</x:v>
      </x:c>
      <x:c r="C72" s="9" t="str">
        <x:v>Wolterink et al. (2020)</x:v>
      </x:c>
      <x:c r="D72" s="9" t="str">
        <x:v>L7</x:v>
      </x:c>
      <x:c r="E72" s="9" t="str">
        <x:v>0</x:v>
      </x:c>
      <x:c r="F72" s="9" t="str">
        <x:v>0</x:v>
      </x:c>
      <x:c r="G72" s="9" t="str">
        <x:v>Yes</x:v>
      </x:c>
      <x:c r="H72" s="9" t="str">
        <x:v>Agree</x:v>
      </x:c>
      <x:c r="I72" s="9" t="str">
        <x:v>0</x:v>
      </x:c>
      <x:c r="J72" s="9" t="str">
        <x:v>Final agreement</x:v>
      </x:c>
      <x:c r="K72" s="9" t="str">
        <x:v>Electrodes are swapped sequentially between measurements; exact placement is difficult. Larger electrodes perform better; long-term/multiple-use advantages are prospective.</x:v>
      </x:c>
      <x:c r="L72" s="9" t="str">
        <x:v>S012_Main.pdf, physical pp. 12-15, electrode-size results, Fig. 14 and Discussion/Conclusions.</x:v>
      </x:c>
      <x:c r="M72" s="9" t="str">
        <x:v>Electrodes are swapped sequentially between measurements; exact placement is difficult. Larger electrodes perform better; long-term/multiple-use advantages are prospective.</x:v>
      </x:c>
      <x:c r="N72" s="9" t="str">
        <x:v>S012_Main.pdf, physical pp. 12-15, electrode-size results, Fig. 14 and Discussion/Conclusions.</x:v>
      </x:c>
      <x:c r="O72" s="9" t="str">
        <x:v>Electrodes are swapped sequentially between measurements; exact placement is difficult. Larger electrodes perform better; long-term/multiple-use advantages are prospective.</x:v>
      </x:c>
      <x:c r="P72" s="9" t="str">
        <x:v>S012_Main.pdf, physical pp. 12-15, electrode-size results, Fig. 14 and Discussion/Conclusions.</x:v>
      </x:c>
    </x:row>
    <x:row r="73">
      <x:c r="A73" s="9" t="n">
        <x:v>9</x:v>
      </x:c>
      <x:c r="B73" s="9" t="str">
        <x:v>S012</x:v>
      </x:c>
      <x:c r="C73" s="9" t="str">
        <x:v>Wolterink et al. (2020)</x:v>
      </x:c>
      <x:c r="D73" s="9" t="str">
        <x:v>L8</x:v>
      </x:c>
      <x:c r="E73" s="9" t="str">
        <x:v>0</x:v>
      </x:c>
      <x:c r="F73" s="9" t="str">
        <x:v>0</x:v>
      </x:c>
      <x:c r="G73" s="9" t="str">
        <x:v>Yes</x:v>
      </x:c>
      <x:c r="H73" s="9" t="str">
        <x:v>Agree</x:v>
      </x:c>
      <x:c r="I73" s="9" t="str">
        <x:v>0</x:v>
      </x:c>
      <x:c r="J73" s="9" t="str">
        <x:v>Final agreement</x:v>
      </x:c>
      <x:c r="K73" s="9" t="str">
        <x:v>Geometry variants and participants are not independently fabricated replicate devices.</x:v>
      </x:c>
      <x:c r="L73" s="9" t="str">
        <x:v>PDF pp. 4–14; Figs. 1–17; Tables 2–3</x:v>
      </x:c>
      <x:c r="M73" s="9" t="str">
        <x:v>Participants and different geometries are not equivalent independently fabricated device replicates with between-unit variation.</x:v>
      </x:c>
      <x:c r="N73" s="9" t="str">
        <x:v>Article PDF pp. 5-6, Table 2</x:v>
      </x:c>
      <x:c r="O73" s="9" t="str">
        <x:v>Geometry variants and participants are not independently fabricated replicate devices.</x:v>
      </x:c>
      <x:c r="P73" s="9" t="str">
        <x:v>PDF pp. 4–14; Figs. 1–17; Tables 2–3</x:v>
      </x:c>
    </x:row>
    <x:row r="74">
      <x:c r="A74" s="9" t="n">
        <x:v>10</x:v>
      </x:c>
      <x:c r="B74" s="9" t="str">
        <x:v>S013</x:v>
      </x:c>
      <x:c r="C74" s="9" t="str">
        <x:v>Poulladofonou et al. (2022)</x:v>
      </x:c>
      <x:c r="D74" s="9" t="str">
        <x:v>L1</x:v>
      </x:c>
      <x:c r="E74" s="9" t="str">
        <x:v>0</x:v>
      </x:c>
      <x:c r="F74" s="9" t="str">
        <x:v>0</x:v>
      </x:c>
      <x:c r="G74" s="9" t="str">
        <x:v>Yes</x:v>
      </x:c>
      <x:c r="H74" s="9" t="str">
        <x:v>Agree</x:v>
      </x:c>
      <x:c r="I74" s="9" t="str">
        <x:v>0</x:v>
      </x:c>
      <x:c r="J74" s="9" t="str">
        <x:v>Final agreement</x:v>
      </x:c>
      <x:c r="K74" s="9" t="str">
        <x:v>Printer and temperatures are reported, but nozzle, speed, layer height, infill and orientation are absent.</x:v>
      </x:c>
      <x:c r="L74" s="9" t="str">
        <x:v>PDF pp. 3–7; Figs. 1–6; Table 1; cited SI</x:v>
      </x:c>
      <x:c r="M74" s="9" t="str">
        <x:v>Printer and extrusion temperatures are stated, but nozzle, layer height, infill, speed and orientation are not.</x:v>
      </x:c>
      <x:c r="N74" s="9" t="str">
        <x:v>Article PDF p. 3, 3D Printing of the e-Finger</x:v>
      </x:c>
      <x:c r="O74" s="9" t="str">
        <x:v>Printer and temperatures are reported, but nozzle, speed, layer height, infill and orientation are absent.</x:v>
      </x:c>
      <x:c r="P74" s="9" t="str">
        <x:v>PDF pp. 3–7; Figs. 1–6; Table 1; cited SI</x:v>
      </x:c>
    </x:row>
    <x:row r="75">
      <x:c r="A75" s="9" t="n">
        <x:v>10</x:v>
      </x:c>
      <x:c r="B75" s="9" t="str">
        <x:v>S013</x:v>
      </x:c>
      <x:c r="C75" s="9" t="str">
        <x:v>Poulladofonou et al. (2022)</x:v>
      </x:c>
      <x:c r="D75" s="9" t="str">
        <x:v>L2</x:v>
      </x:c>
      <x:c r="E75" s="9" t="str">
        <x:v>1</x:v>
      </x:c>
      <x:c r="F75" s="9" t="str">
        <x:v>1</x:v>
      </x:c>
      <x:c r="G75" s="9" t="str">
        <x:v>Yes</x:v>
      </x:c>
      <x:c r="H75" s="9" t="str">
        <x:v>Agree</x:v>
      </x:c>
      <x:c r="I75" s="9" t="str">
        <x:v>1</x:v>
      </x:c>
      <x:c r="J75" s="9" t="str">
        <x:v>Final agreement</x:v>
      </x:c>
      <x:c r="K75" s="9" t="str">
        <x:v>Final CB-PLA/TPU components and instrumentation are identified.</x:v>
      </x:c>
      <x:c r="L75" s="9" t="str">
        <x:v>PDF pp. 3–7; Figs. 1–6; Table 1; cited SI</x:v>
      </x:c>
      <x:c r="M75" s="9" t="str">
        <x:v>Commercial TPU and CB-loaded PLA/ABS filament sources and electrode roles are identified; proprietary filler amount is not inferred.</x:v>
      </x:c>
      <x:c r="N75" s="9" t="str">
        <x:v>Article PDF pp. 3-4</x:v>
      </x:c>
      <x:c r="O75" s="9" t="str">
        <x:v>Final CB-PLA/TPU components and instrumentation are identified.</x:v>
      </x:c>
      <x:c r="P75" s="9" t="str">
        <x:v>PDF pp. 3–7; Figs. 1–6; Table 1; cited SI</x:v>
      </x:c>
    </x:row>
    <x:row r="76">
      <x:c r="A76" s="9" t="n">
        <x:v>10</x:v>
      </x:c>
      <x:c r="B76" s="9" t="str">
        <x:v>S013</x:v>
      </x:c>
      <x:c r="C76" s="9" t="str">
        <x:v>Poulladofonou et al. (2022)</x:v>
      </x:c>
      <x:c r="D76" s="9" t="str">
        <x:v>L3</x:v>
      </x:c>
      <x:c r="E76" s="9" t="str">
        <x:v>1</x:v>
      </x:c>
      <x:c r="F76" s="9" t="str">
        <x:v>1</x:v>
      </x:c>
      <x:c r="G76" s="9" t="str">
        <x:v>Yes</x:v>
      </x:c>
      <x:c r="H76" s="9" t="str">
        <x:v>Agree</x:v>
      </x:c>
      <x:c r="I76" s="9" t="str">
        <x:v>1</x:v>
      </x:c>
      <x:c r="J76" s="9" t="str">
        <x:v>Final agreement</x:v>
      </x:c>
      <x:c r="K76" s="9" t="str">
        <x:v>DPV procedures, spike ranges and matrices are specified.</x:v>
      </x:c>
      <x:c r="L76" s="9" t="str">
        <x:v>PDF pp. 3–7; Figs. 1–6; Table 1; cited SI</x:v>
      </x:c>
      <x:c r="M76" s="9" t="str">
        <x:v>DPV response was related to successive known drug additions in four beverage matrices over stated ranges.</x:v>
      </x:c>
      <x:c r="N76" s="9" t="str">
        <x:v>Article PDF pp. 3 and 5-7, Figures 4-6</x:v>
      </x:c>
      <x:c r="O76" s="9" t="str">
        <x:v>DPV procedures, spike ranges and matrices are specified.</x:v>
      </x:c>
      <x:c r="P76" s="9" t="str">
        <x:v>PDF pp. 3–7; Figs. 1–6; Table 1; cited SI</x:v>
      </x:c>
    </x:row>
    <x:row r="77">
      <x:c r="A77" s="9" t="n">
        <x:v>10</x:v>
      </x:c>
      <x:c r="B77" s="9" t="str">
        <x:v>S013</x:v>
      </x:c>
      <x:c r="C77" s="9" t="str">
        <x:v>Poulladofonou et al. (2022)</x:v>
      </x:c>
      <x:c r="D77" s="9" t="str">
        <x:v>L4</x:v>
      </x:c>
      <x:c r="E77" s="9" t="str">
        <x:v>1</x:v>
      </x:c>
      <x:c r="F77" s="9" t="str">
        <x:v>1</x:v>
      </x:c>
      <x:c r="G77" s="9" t="str">
        <x:v>Yes</x:v>
      </x:c>
      <x:c r="H77" s="9" t="str">
        <x:v>Agree</x:v>
      </x:c>
      <x:c r="I77" s="9" t="str">
        <x:v>1</x:v>
      </x:c>
      <x:c r="J77" s="9" t="str">
        <x:v>Final agreement</x:v>
      </x:c>
      <x:c r="K77" s="9" t="str">
        <x:v>Ranges, LODs and precision metrics are reported.</x:v>
      </x:c>
      <x:c r="L77" s="9" t="str">
        <x:v>PDF pp. 3–7; Figs. 1–6; Table 1; cited SI</x:v>
      </x:c>
      <x:c r="M77" s="9" t="str">
        <x:v>Ranges, LOD calculations, linearity and precision are reported for each analyte and beverage.</x:v>
      </x:c>
      <x:c r="N77" s="9" t="str">
        <x:v>Article PDF pp. 5-7, Table 1</x:v>
      </x:c>
      <x:c r="O77" s="9" t="str">
        <x:v>Ranges, LODs and precision metrics are reported.</x:v>
      </x:c>
      <x:c r="P77" s="9" t="str">
        <x:v>PDF pp. 3–7; Figs. 1–6; Table 1; cited SI</x:v>
      </x:c>
    </x:row>
    <x:row r="78">
      <x:c r="A78" s="9" t="n">
        <x:v>10</x:v>
      </x:c>
      <x:c r="B78" s="9" t="str">
        <x:v>S013</x:v>
      </x:c>
      <x:c r="C78" s="9" t="str">
        <x:v>Poulladofonou et al. (2022)</x:v>
      </x:c>
      <x:c r="D78" s="9" t="str">
        <x:v>L5</x:v>
      </x:c>
      <x:c r="E78" s="9" t="str">
        <x:v>1</x:v>
      </x:c>
      <x:c r="F78" s="9" t="str">
        <x:v>1</x:v>
      </x:c>
      <x:c r="G78" s="9" t="str">
        <x:v>Yes</x:v>
      </x:c>
      <x:c r="H78" s="9" t="str">
        <x:v>Agree</x:v>
      </x:c>
      <x:c r="I78" s="9" t="str">
        <x:v>1</x:v>
      </x:c>
      <x:c r="J78" s="9" t="str">
        <x:v>Final agreement</x:v>
      </x:c>
      <x:c r="K78" s="9" t="str">
        <x:v>Eight within-device repetitions and a 12-day series are reported.</x:v>
      </x:c>
      <x:c r="L78" s="9" t="str">
        <x:v>PDF pp. 3–7; Figs. 1–6; Table 1; cited SI</x:v>
      </x:c>
      <x:c r="M78" s="9" t="str">
        <x:v>Four measurements daily over 12 days, with washing/storage between days, showed statistically stable response.</x:v>
      </x:c>
      <x:c r="N78" s="9" t="str">
        <x:v>Article PDF p. 4, stability paragraph and Figure S2 cited there</x:v>
      </x:c>
      <x:c r="O78" s="9" t="str">
        <x:v>Eight within-device repetitions and a 12-day series are reported.</x:v>
      </x:c>
      <x:c r="P78" s="9" t="str">
        <x:v>PDF pp. 3–7; Figs. 1–6; Table 1; cited SI</x:v>
      </x:c>
    </x:row>
    <x:row r="79">
      <x:c r="A79" s="9" t="n">
        <x:v>10</x:v>
      </x:c>
      <x:c r="B79" s="9" t="str">
        <x:v>S013</x:v>
      </x:c>
      <x:c r="C79" s="9" t="str">
        <x:v>Poulladofonou et al. (2022)</x:v>
      </x:c>
      <x:c r="D79" s="9" t="str">
        <x:v>L6</x:v>
      </x:c>
      <x:c r="E79" s="9" t="str">
        <x:v>1</x:v>
      </x:c>
      <x:c r="F79" s="9" t="str">
        <x:v>1</x:v>
      </x:c>
      <x:c r="G79" s="9" t="str">
        <x:v>Yes</x:v>
      </x:c>
      <x:c r="H79" s="9" t="str">
        <x:v>Agree</x:v>
      </x:c>
      <x:c r="I79" s="9" t="str">
        <x:v>1</x:v>
      </x:c>
      <x:c r="J79" s="9" t="str">
        <x:v>Final agreement</x:v>
      </x:c>
      <x:c r="K79" s="9" t="str">
        <x:v>Daily washing/storage over 12 days with response stability is reported.</x:v>
      </x:c>
      <x:c r="L79" s="9" t="str">
        <x:v>PDF pp. 3–7; Figs. 1–6; Table 1; cited SI</x:v>
      </x:c>
      <x:c r="M79" s="9" t="str">
        <x:v>Response was evaluated across four real beverage matrices, excipients, dissolved oxygen and daily washing.</x:v>
      </x:c>
      <x:c r="N79" s="9" t="str">
        <x:v>Article PDF pp. 4-7, Figures 2-6</x:v>
      </x:c>
      <x:c r="O79" s="9" t="str">
        <x:v>Daily washing/storage over 12 days with response stability is reported.</x:v>
      </x:c>
      <x:c r="P79" s="9" t="str">
        <x:v>PDF pp. 3–7; Figs. 1–6; Table 1; cited SI</x:v>
      </x:c>
    </x:row>
    <x:row r="80">
      <x:c r="A80" s="9" t="n">
        <x:v>10</x:v>
      </x:c>
      <x:c r="B80" s="9" t="str">
        <x:v>S013</x:v>
      </x:c>
      <x:c r="C80" s="9" t="str">
        <x:v>Poulladofonou et al. (2022)</x:v>
      </x:c>
      <x:c r="D80" s="9" t="str">
        <x:v>L7</x:v>
      </x:c>
      <x:c r="E80" s="9" t="str">
        <x:v>1</x:v>
      </x:c>
      <x:c r="F80" s="9" t="str">
        <x:v>U</x:v>
      </x:c>
      <x:c r="G80" s="9" t="str">
        <x:v>No</x:v>
      </x:c>
      <x:c r="H80" s="9" t="str">
        <x:v>Excluded</x:v>
      </x:c>
      <x:c r="I80" s="9" t="str">
        <x:v>0</x:v>
      </x:c>
      <x:c r="J80" s="9" t="str">
        <x:v>Final consensus recorded; comparison excluded</x:v>
      </x:c>
      <x:c r="K80" s="9" t="str">
        <x:v>Final L7 rating from the targeted reassessment.</x:v>
      </x:c>
      <x:c r="L80" s="9" t="str">
        <x:v>Finalized reviewer-rating workbook</x:v>
      </x:c>
      <x:c r="M80" s="9" t="str">
        <x:v>Reviewer 2 remained unresolved in the finalized L7 assessment.</x:v>
      </x:c>
      <x:c r="N80" s="9" t="str">
        <x:v>Finalized reviewer-rating workbook</x:v>
      </x:c>
      <x:c r="O80" s="9" t="str">
        <x:v>No qualifying interface-integrity test or repeated final monolithic wearable-assembly test with a retention/failure endpoint was located.</x:v>
      </x:c>
      <x:c r="P80" s="9" t="str">
        <x:v>PDF pp. 3–7; Figs. 1–6; Table 1; cited SI</x:v>
      </x:c>
    </x:row>
    <x:row r="81">
      <x:c r="A81" s="9" t="n">
        <x:v>10</x:v>
      </x:c>
      <x:c r="B81" s="9" t="str">
        <x:v>S013</x:v>
      </x:c>
      <x:c r="C81" s="9" t="str">
        <x:v>Poulladofonou et al. (2022)</x:v>
      </x:c>
      <x:c r="D81" s="9" t="str">
        <x:v>L8</x:v>
      </x:c>
      <x:c r="E81" s="9" t="str">
        <x:v>1</x:v>
      </x:c>
      <x:c r="F81" s="9" t="str">
        <x:v>1</x:v>
      </x:c>
      <x:c r="G81" s="9" t="str">
        <x:v>Yes</x:v>
      </x:c>
      <x:c r="H81" s="9" t="str">
        <x:v>Agree</x:v>
      </x:c>
      <x:c r="I81" s="9" t="str">
        <x:v>1</x:v>
      </x:c>
      <x:c r="J81" s="9" t="str">
        <x:v>Final agreement</x:v>
      </x:c>
      <x:c r="K81" s="9" t="str">
        <x:v>Five e-fingers are compared with between-finger RSD.</x:v>
      </x:c>
      <x:c r="L81" s="9" t="str">
        <x:v>PDF pp. 3–7; Figs. 1–6; Table 1; cited SI</x:v>
      </x:c>
      <x:c r="M81" s="9" t="str">
        <x:v>Five different e-fingers were compared and between-finger RSD was quantified for all analytes.</x:v>
      </x:c>
      <x:c r="N81" s="9" t="str">
        <x:v>Article PDF pp. 5-7, Table 1</x:v>
      </x:c>
      <x:c r="O81" s="9" t="str">
        <x:v>Five e-fingers are compared with between-finger RSD.</x:v>
      </x:c>
      <x:c r="P81" s="9" t="str">
        <x:v>PDF pp. 3–7; Figs. 1–6; Table 1; cited SI</x:v>
      </x:c>
    </x:row>
    <x:row r="82">
      <x:c r="A82" s="9" t="n">
        <x:v>11</x:v>
      </x:c>
      <x:c r="B82" s="9" t="str">
        <x:v>S014</x:v>
      </x:c>
      <x:c r="C82" s="9" t="str">
        <x:v>Dimo et al. (2025)</x:v>
      </x:c>
      <x:c r="D82" s="9" t="str">
        <x:v>L1</x:v>
      </x:c>
      <x:c r="E82" s="9" t="str">
        <x:v>0</x:v>
      </x:c>
      <x:c r="F82" s="9" t="str">
        <x:v>0</x:v>
      </x:c>
      <x:c r="G82" s="9" t="str">
        <x:v>Yes</x:v>
      </x:c>
      <x:c r="H82" s="9" t="str">
        <x:v>Agree</x:v>
      </x:c>
      <x:c r="I82" s="9" t="str">
        <x:v>0</x:v>
      </x:c>
      <x:c r="J82" s="9" t="str">
        <x:v>Final agreement</x:v>
      </x:c>
      <x:c r="K82" s="9" t="str">
        <x:v>Printer, material, infill and geometry are reported, but nozzle, temperature, speed, layer height and orientation are absent.</x:v>
      </x:c>
      <x:c r="L82" s="9" t="str">
        <x:v>PDF pp. 4–15; Figs. 1–10; Tables 1–2</x:v>
      </x:c>
      <x:c r="M82" s="9" t="str">
        <x:v>Printer, geometry, 20% triangular infill, pause layer and post-processing are given, but nozzle, temperatures, layer height and speed are absent.</x:v>
      </x:c>
      <x:c r="N82" s="9" t="str">
        <x:v>Article PDF pp. 4-5, Sections 2.2-2.3</x:v>
      </x:c>
      <x:c r="O82" s="9" t="str">
        <x:v>Printer, material, infill and geometry are reported, but nozzle, temperature, speed, layer height and orientation are absent.</x:v>
      </x:c>
      <x:c r="P82" s="9" t="str">
        <x:v>PDF pp. 4–15; Figs. 1–10; Tables 1–2</x:v>
      </x:c>
    </x:row>
    <x:row r="83">
      <x:c r="A83" s="9" t="n">
        <x:v>11</x:v>
      </x:c>
      <x:c r="B83" s="9" t="str">
        <x:v>S014</x:v>
      </x:c>
      <x:c r="C83" s="9" t="str">
        <x:v>Dimo et al. (2025)</x:v>
      </x:c>
      <x:c r="D83" s="9" t="str">
        <x:v>L2</x:v>
      </x:c>
      <x:c r="E83" s="9" t="str">
        <x:v>1</x:v>
      </x:c>
      <x:c r="F83" s="9" t="str">
        <x:v>1</x:v>
      </x:c>
      <x:c r="G83" s="9" t="str">
        <x:v>Yes</x:v>
      </x:c>
      <x:c r="H83" s="9" t="str">
        <x:v>Agree</x:v>
      </x:c>
      <x:c r="I83" s="9" t="str">
        <x:v>1</x:v>
      </x:c>
      <x:c r="J83" s="9" t="str">
        <x:v>Final agreement</x:v>
      </x:c>
      <x:c r="K83" s="9" t="str">
        <x:v>TPU grades, FBG properties and attachment materials reported.</x:v>
      </x:c>
      <x:c r="L83" s="9" t="str">
        <x:v>PDF pp. 4–15; Figs. 1–10; Tables 1–2</x:v>
      </x:c>
      <x:c r="M83" s="9" t="str">
        <x:v>TPU 85A/95A grades, AtGrating acrylate-coated FBGs and adhesive mounting are specified.</x:v>
      </x:c>
      <x:c r="N83" s="9" t="str">
        <x:v>Article PDF pp. 5 and 10</x:v>
      </x:c>
      <x:c r="O83" s="9" t="str">
        <x:v>TPU grades, FBG properties and attachment materials reported.</x:v>
      </x:c>
      <x:c r="P83" s="9" t="str">
        <x:v>PDF pp. 4–15; Figs. 1–10; Tables 1–2</x:v>
      </x:c>
    </x:row>
    <x:row r="84">
      <x:c r="A84" s="9" t="n">
        <x:v>11</x:v>
      </x:c>
      <x:c r="B84" s="9" t="str">
        <x:v>S014</x:v>
      </x:c>
      <x:c r="C84" s="9" t="str">
        <x:v>Dimo et al. (2025)</x:v>
      </x:c>
      <x:c r="D84" s="9" t="str">
        <x:v>L3</x:v>
      </x:c>
      <x:c r="E84" s="9" t="str">
        <x:v>1</x:v>
      </x:c>
      <x:c r="F84" s="9" t="str">
        <x:v>1</x:v>
      </x:c>
      <x:c r="G84" s="9" t="str">
        <x:v>Yes</x:v>
      </x:c>
      <x:c r="H84" s="9" t="str">
        <x:v>Agree</x:v>
      </x:c>
      <x:c r="I84" s="9" t="str">
        <x:v>1</x:v>
      </x:c>
      <x:c r="J84" s="9" t="str">
        <x:v>Final agreement</x:v>
      </x:c>
      <x:c r="K84" s="9" t="str">
        <x:v>Instron, climate chamber and on-body protocols described.</x:v>
      </x:c>
      <x:c r="L84" s="9" t="str">
        <x:v>PDF pp. 4–15; Figs. 1–10; Tables 1–2</x:v>
      </x:c>
      <x:c r="M84" s="9" t="str">
        <x:v>Wavelength was calibrated against Instron strain/load and a temperature chamber with a bare-FBG reference over stated ranges.</x:v>
      </x:c>
      <x:c r="N84" s="9" t="str">
        <x:v>Article PDF pp. 6-8, Figures 3-5</x:v>
      </x:c>
      <x:c r="O84" s="9" t="str">
        <x:v>Instron, climate chamber and on-body protocols described.</x:v>
      </x:c>
      <x:c r="P84" s="9" t="str">
        <x:v>PDF pp. 4–15; Figs. 1–10; Tables 1–2</x:v>
      </x:c>
    </x:row>
    <x:row r="85">
      <x:c r="A85" s="9" t="n">
        <x:v>11</x:v>
      </x:c>
      <x:c r="B85" s="9" t="str">
        <x:v>S014</x:v>
      </x:c>
      <x:c r="C85" s="9" t="str">
        <x:v>Dimo et al. (2025)</x:v>
      </x:c>
      <x:c r="D85" s="9" t="str">
        <x:v>L4</x:v>
      </x:c>
      <x:c r="E85" s="9" t="str">
        <x:v>1</x:v>
      </x:c>
      <x:c r="F85" s="9" t="str">
        <x:v>1</x:v>
      </x:c>
      <x:c r="G85" s="9" t="str">
        <x:v>Yes</x:v>
      </x:c>
      <x:c r="H85" s="9" t="str">
        <x:v>Agree</x:v>
      </x:c>
      <x:c r="I85" s="9" t="str">
        <x:v>1</x:v>
      </x:c>
      <x:c r="J85" s="9" t="str">
        <x:v>Final agreement</x:v>
      </x:c>
      <x:c r="K85" s="9" t="str">
        <x:v>Strain/temperature sensitivities and hysteresis with units/ranges.</x:v>
      </x:c>
      <x:c r="L85" s="9" t="str">
        <x:v>PDF pp. 4–15; Figs. 1–10; Tables 1–2</x:v>
      </x:c>
      <x:c r="M85" s="9" t="str">
        <x:v>Strain/thermal sensitivity and hysteresis error are calculated with units over defined ranges.</x:v>
      </x:c>
      <x:c r="N85" s="9" t="str">
        <x:v>Article PDF pp. 6-8, Equations 3-5</x:v>
      </x:c>
      <x:c r="O85" s="9" t="str">
        <x:v>Strain/temperature sensitivities and hysteresis with units/ranges.</x:v>
      </x:c>
      <x:c r="P85" s="9" t="str">
        <x:v>PDF pp. 4–15; Figs. 1–10; Tables 1–2</x:v>
      </x:c>
    </x:row>
    <x:row r="86">
      <x:c r="A86" s="9" t="n">
        <x:v>11</x:v>
      </x:c>
      <x:c r="B86" s="9" t="str">
        <x:v>S014</x:v>
      </x:c>
      <x:c r="C86" s="9" t="str">
        <x:v>Dimo et al. (2025)</x:v>
      </x:c>
      <x:c r="D86" s="9" t="str">
        <x:v>L5</x:v>
      </x:c>
      <x:c r="E86" s="9" t="str">
        <x:v>1</x:v>
      </x:c>
      <x:c r="F86" s="9" t="str">
        <x:v>1</x:v>
      </x:c>
      <x:c r="G86" s="9" t="str">
        <x:v>Yes</x:v>
      </x:c>
      <x:c r="H86" s="9" t="str">
        <x:v>Agree</x:v>
      </x:c>
      <x:c r="I86" s="9" t="str">
        <x:v>1</x:v>
      </x:c>
      <x:c r="J86" s="9" t="str">
        <x:v>Final agreement</x:v>
      </x:c>
      <x:c r="K86" s="9" t="str">
        <x:v>Ten calibration and ten hysteresis cycles with uncertainty/outcomes.</x:v>
      </x:c>
      <x:c r="L86" s="9" t="str">
        <x:v>PDF pp. 4–15; Figs. 1–10; Tables 1–2</x:v>
      </x:c>
      <x:c r="M86" s="9" t="str">
        <x:v>Ten consecutive 0-1% loading/unloading cycles at two speeds report hysteresis error and repeatability uncertainty.</x:v>
      </x:c>
      <x:c r="N86" s="9" t="str">
        <x:v>Article PDF pp. 6 and 7-8, Figures 3 and 5</x:v>
      </x:c>
      <x:c r="O86" s="9" t="str">
        <x:v>Ten calibration and ten hysteresis cycles with uncertainty/outcomes.</x:v>
      </x:c>
      <x:c r="P86" s="9" t="str">
        <x:v>PDF pp. 4–15; Figs. 1–10; Tables 1–2</x:v>
      </x:c>
    </x:row>
    <x:row r="87">
      <x:c r="A87" s="9" t="n">
        <x:v>11</x:v>
      </x:c>
      <x:c r="B87" s="9" t="str">
        <x:v>S014</x:v>
      </x:c>
      <x:c r="C87" s="9" t="str">
        <x:v>Dimo et al. (2025)</x:v>
      </x:c>
      <x:c r="D87" s="9" t="str">
        <x:v>L6</x:v>
      </x:c>
      <x:c r="E87" s="9" t="str">
        <x:v>1</x:v>
      </x:c>
      <x:c r="F87" s="9" t="str">
        <x:v>1</x:v>
      </x:c>
      <x:c r="G87" s="9" t="str">
        <x:v>Yes</x:v>
      </x:c>
      <x:c r="H87" s="9" t="str">
        <x:v>Agree</x:v>
      </x:c>
      <x:c r="I87" s="9" t="str">
        <x:v>1</x:v>
      </x:c>
      <x:c r="J87" s="9" t="str">
        <x:v>Final agreement</x:v>
      </x:c>
      <x:c r="K87" s="9" t="str">
        <x:v>20–50 °C exposure with sensor response.</x:v>
      </x:c>
      <x:c r="L87" s="9" t="str">
        <x:v>PDF pp. 4–15; Figs. 1–10; Tables 1–2</x:v>
      </x:c>
      <x:c r="M87" s="9" t="str">
        <x:v>Response was measured in a chamber from 20 to 50 degrees C with a bare-FBG temperature reference.</x:v>
      </x:c>
      <x:c r="N87" s="9" t="str">
        <x:v>Article PDF p. 7, Figure 4</x:v>
      </x:c>
      <x:c r="O87" s="9" t="str">
        <x:v>20–50 °C exposure with sensor response.</x:v>
      </x:c>
      <x:c r="P87" s="9" t="str">
        <x:v>PDF pp. 4–15; Figs. 1–10; Tables 1–2</x:v>
      </x:c>
    </x:row>
    <x:row r="88">
      <x:c r="A88" s="9" t="n">
        <x:v>11</x:v>
      </x:c>
      <x:c r="B88" s="9" t="str">
        <x:v>S014</x:v>
      </x:c>
      <x:c r="C88" s="9" t="str">
        <x:v>Dimo et al. (2025)</x:v>
      </x:c>
      <x:c r="D88" s="9" t="str">
        <x:v>L7</x:v>
      </x:c>
      <x:c r="E88" s="9" t="str">
        <x:v>1</x:v>
      </x:c>
      <x:c r="F88" s="9" t="str">
        <x:v>1</x:v>
      </x:c>
      <x:c r="G88" s="9" t="str">
        <x:v>Yes</x:v>
      </x:c>
      <x:c r="H88" s="9" t="str">
        <x:v>Agree</x:v>
      </x:c>
      <x:c r="I88" s="9" t="str">
        <x:v>1</x:v>
      </x:c>
      <x:c r="J88" s="9" t="str">
        <x:v>Final agreement</x:v>
      </x:c>
      <x:c r="K88" s="9" t="str">
        <x:v>Final L7 rating from the targeted reassessment.</x:v>
      </x:c>
      <x:c r="L88" s="9" t="str">
        <x:v>Finalized reviewer-rating workbook</x:v>
      </x:c>
      <x:c r="M88" s="9" t="str">
        <x:v>Final L7 rating from the targeted reassessment.</x:v>
      </x:c>
      <x:c r="N88" s="9" t="str">
        <x:v>Finalized reviewer-rating workbook</x:v>
      </x:c>
      <x:c r="O88" s="9" t="str">
        <x:v>Three pull-out specimens per material and &gt;12 N interface outcome.</x:v>
      </x:c>
      <x:c r="P88" s="9" t="str">
        <x:v>PDF pp. 4–15; Figs. 1–10; Tables 1–2</x:v>
      </x:c>
    </x:row>
    <x:row r="89">
      <x:c r="A89" s="9" t="n">
        <x:v>11</x:v>
      </x:c>
      <x:c r="B89" s="9" t="str">
        <x:v>S014</x:v>
      </x:c>
      <x:c r="C89" s="9" t="str">
        <x:v>Dimo et al. (2025)</x:v>
      </x:c>
      <x:c r="D89" s="9" t="str">
        <x:v>L8</x:v>
      </x:c>
      <x:c r="E89" s="9" t="str">
        <x:v>0</x:v>
      </x:c>
      <x:c r="F89" s="9" t="str">
        <x:v>0</x:v>
      </x:c>
      <x:c r="G89" s="9" t="str">
        <x:v>Yes</x:v>
      </x:c>
      <x:c r="H89" s="9" t="str">
        <x:v>Agree</x:v>
      </x:c>
      <x:c r="I89" s="9" t="str">
        <x:v>0</x:v>
      </x:c>
      <x:c r="J89" s="9" t="str">
        <x:v>Final agreement</x:v>
      </x:c>
      <x:c r="K89" s="9" t="str">
        <x:v>Only two functional material variants; pull-out coupons are not functional replicate sensors.</x:v>
      </x:c>
      <x:c r="L89" s="9" t="str">
        <x:v>PDF pp. 4–15; Figs. 1–10; Tables 1–2</x:v>
      </x:c>
      <x:c r="M89" s="9" t="str">
        <x:v>Three pull-out specimens are shown individually, but between-unit variation is not quantified; sensing calibration used one device per material.</x:v>
      </x:c>
      <x:c r="N89" s="9" t="str">
        <x:v>Article PDF pp. 5-6 and 9, Figure 6</x:v>
      </x:c>
      <x:c r="O89" s="9" t="str">
        <x:v>Only two functional material variants; pull-out coupons are not functional replicate sensors.</x:v>
      </x:c>
      <x:c r="P89" s="9" t="str">
        <x:v>PDF pp. 4–15; Figs. 1–10; Tables 1–2</x:v>
      </x:c>
    </x:row>
    <x:row r="90">
      <x:c r="A90" s="9" t="n">
        <x:v>12</x:v>
      </x:c>
      <x:c r="B90" s="9" t="str">
        <x:v>S015</x:v>
      </x:c>
      <x:c r="C90" s="9" t="str">
        <x:v>Farook et al. (2023)</x:v>
      </x:c>
      <x:c r="D90" s="9" t="str">
        <x:v>L1</x:v>
      </x:c>
      <x:c r="E90" s="9" t="str">
        <x:v>0</x:v>
      </x:c>
      <x:c r="F90" s="9" t="str">
        <x:v>0</x:v>
      </x:c>
      <x:c r="G90" s="9" t="str">
        <x:v>Yes</x:v>
      </x:c>
      <x:c r="H90" s="9" t="str">
        <x:v>Agree</x:v>
      </x:c>
      <x:c r="I90" s="9" t="str">
        <x:v>0</x:v>
      </x:c>
      <x:c r="J90" s="9" t="str">
        <x:v>Final agreement</x:v>
      </x:c>
      <x:c r="K90" s="9" t="str">
        <x:v>Printer, PLA, speed, infill and geometry reported, but nozzle, temperature, layer height and orientation are absent.</x:v>
      </x:c>
      <x:c r="L90" s="9" t="str">
        <x:v>PDF pp. 3–11; Figs. 1–6; Table 1</x:v>
      </x:c>
      <x:c r="M90" s="9" t="str">
        <x:v>Printer, PLA, infill pattern/density and speed are stated, but nozzle, temperatures, layer height and orientation are absent.</x:v>
      </x:c>
      <x:c r="N90" s="9" t="str">
        <x:v>Article PDF p. 3, Device framework construction</x:v>
      </x:c>
      <x:c r="O90" s="9" t="str">
        <x:v>Printer, PLA, speed, infill and geometry reported, but nozzle, temperature, layer height and orientation are absent.</x:v>
      </x:c>
      <x:c r="P90" s="9" t="str">
        <x:v>PDF pp. 3–11; Figs. 1–6; Table 1</x:v>
      </x:c>
    </x:row>
    <x:row r="91">
      <x:c r="A91" s="9" t="n">
        <x:v>12</x:v>
      </x:c>
      <x:c r="B91" s="9" t="str">
        <x:v>S015</x:v>
      </x:c>
      <x:c r="C91" s="9" t="str">
        <x:v>Farook et al. (2023)</x:v>
      </x:c>
      <x:c r="D91" s="9" t="str">
        <x:v>L2</x:v>
      </x:c>
      <x:c r="E91" s="9" t="str">
        <x:v>1</x:v>
      </x:c>
      <x:c r="F91" s="9" t="str">
        <x:v>1</x:v>
      </x:c>
      <x:c r="G91" s="9" t="str">
        <x:v>Yes</x:v>
      </x:c>
      <x:c r="H91" s="9" t="str">
        <x:v>Agree</x:v>
      </x:c>
      <x:c r="I91" s="9" t="str">
        <x:v>1</x:v>
      </x:c>
      <x:c r="J91" s="9" t="str">
        <x:v>Final agreement</x:v>
      </x:c>
      <x:c r="K91" s="9" t="str">
        <x:v>Printed frame, commercial sensors, bearings, electronics and attachments identified.</x:v>
      </x:c>
      <x:c r="L91" s="9" t="str">
        <x:v>PDF pp. 3–11; Figs. 1–6; Table 1</x:v>
      </x:c>
      <x:c r="M91" s="9" t="str">
        <x:v>PLA frame, named accelerometer/gyroscope and flex sensors, bearings, straps and fasteners are identified.</x:v>
      </x:c>
      <x:c r="N91" s="9" t="str">
        <x:v>Article PDF p. 3, device component list</x:v>
      </x:c>
      <x:c r="O91" s="9" t="str">
        <x:v>Printed frame, commercial sensors, bearings, electronics and attachments identified.</x:v>
      </x:c>
      <x:c r="P91" s="9" t="str">
        <x:v>PDF pp. 3–11; Figs. 1–6; Table 1</x:v>
      </x:c>
    </x:row>
    <x:row r="92">
      <x:c r="A92" s="9" t="n">
        <x:v>12</x:v>
      </x:c>
      <x:c r="B92" s="9" t="str">
        <x:v>S015</x:v>
      </x:c>
      <x:c r="C92" s="9" t="str">
        <x:v>Farook et al. (2023)</x:v>
      </x:c>
      <x:c r="D92" s="9" t="str">
        <x:v>L3</x:v>
      </x:c>
      <x:c r="E92" s="9" t="str">
        <x:v>1</x:v>
      </x:c>
      <x:c r="F92" s="9" t="str">
        <x:v>1</x:v>
      </x:c>
      <x:c r="G92" s="9" t="str">
        <x:v>Yes</x:v>
      </x:c>
      <x:c r="H92" s="9" t="str">
        <x:v>Agree</x:v>
      </x:c>
      <x:c r="I92" s="9" t="str">
        <x:v>1</x:v>
      </x:c>
      <x:c r="J92" s="9" t="str">
        <x:v>Final agreement</x:v>
      </x:c>
      <x:c r="K92" s="9" t="str">
        <x:v>Eight-position caliper comparison and on-body task protocol described.</x:v>
      </x:c>
      <x:c r="L92" s="9" t="str">
        <x:v>PDF pp. 3–11; Figs. 1–6; Table 1</x:v>
      </x:c>
      <x:c r="M92" s="9" t="str">
        <x:v>Eight controlled jaw openings were compared with electronic-caliper displacement during tabletop calibration.</x:v>
      </x:c>
      <x:c r="N92" s="9" t="str">
        <x:v>Article PDF p. 3, Device testing</x:v>
      </x:c>
      <x:c r="O92" s="9" t="str">
        <x:v>Eight-position caliper comparison and on-body task protocol described.</x:v>
      </x:c>
      <x:c r="P92" s="9" t="str">
        <x:v>PDF pp. 3–11; Figs. 1–6; Table 1</x:v>
      </x:c>
    </x:row>
    <x:row r="93">
      <x:c r="A93" s="9" t="n">
        <x:v>12</x:v>
      </x:c>
      <x:c r="B93" s="9" t="str">
        <x:v>S015</x:v>
      </x:c>
      <x:c r="C93" s="9" t="str">
        <x:v>Farook et al. (2023)</x:v>
      </x:c>
      <x:c r="D93" s="9" t="str">
        <x:v>L4</x:v>
      </x:c>
      <x:c r="E93" s="9" t="str">
        <x:v>1</x:v>
      </x:c>
      <x:c r="F93" s="9" t="str">
        <x:v>1</x:v>
      </x:c>
      <x:c r="G93" s="9" t="str">
        <x:v>Yes</x:v>
      </x:c>
      <x:c r="H93" s="9" t="str">
        <x:v>Agree</x:v>
      </x:c>
      <x:c r="I93" s="9" t="str">
        <x:v>1</x:v>
      </x:c>
      <x:c r="J93" s="9" t="str">
        <x:v>Final agreement</x:v>
      </x:c>
      <x:c r="K93" s="9" t="str">
        <x:v>Absolute error, RMSE and normalized outputs reported.</x:v>
      </x:c>
      <x:c r="L93" s="9" t="str">
        <x:v>PDF pp. 3–11; Figs. 1–6; Table 1</x:v>
      </x:c>
      <x:c r="M93" s="9" t="str">
        <x:v>Absolute/relative error and RMSE outputs are reported for stated opening positions and jaw maneuvers.</x:v>
      </x:c>
      <x:c r="N93" s="9" t="str">
        <x:v>Article PDF pp. 3 and 6-9, Table 1</x:v>
      </x:c>
      <x:c r="O93" s="9" t="str">
        <x:v>Absolute error, RMSE and normalized outputs reported.</x:v>
      </x:c>
      <x:c r="P93" s="9" t="str">
        <x:v>PDF pp. 3–11; Figs. 1–6; Table 1</x:v>
      </x:c>
    </x:row>
    <x:row r="94">
      <x:c r="A94" s="9" t="n">
        <x:v>12</x:v>
      </x:c>
      <x:c r="B94" s="9" t="str">
        <x:v>S015</x:v>
      </x:c>
      <x:c r="C94" s="9" t="str">
        <x:v>Farook et al. (2023)</x:v>
      </x:c>
      <x:c r="D94" s="9" t="str">
        <x:v>L5</x:v>
      </x:c>
      <x:c r="E94" s="9" t="str">
        <x:v>0</x:v>
      </x:c>
      <x:c r="F94" s="9" t="str">
        <x:v>0</x:v>
      </x:c>
      <x:c r="G94" s="9" t="str">
        <x:v>Yes</x:v>
      </x:c>
      <x:c r="H94" s="9" t="str">
        <x:v>Agree</x:v>
      </x:c>
      <x:c r="I94" s="9" t="str">
        <x:v>0</x:v>
      </x:c>
      <x:c r="J94" s="9" t="str">
        <x:v>Final agreement</x:v>
      </x:c>
      <x:c r="K94" s="9" t="str">
        <x:v>Five practice repetitions were unrecorded; recorded data do not establish repeated-response stability.</x:v>
      </x:c>
      <x:c r="L94" s="9" t="str">
        <x:v>PDF pp. 3–11; Figs. 1–6; Table 1</x:v>
      </x:c>
      <x:c r="M94" s="9" t="str">
        <x:v>Each volunteer completed one session and no repeated-measurement stability protocol or endpoint was reported.</x:v>
      </x:c>
      <x:c r="N94" s="9" t="str">
        <x:v>Article PDF pp. 3-5</x:v>
      </x:c>
      <x:c r="O94" s="9" t="str">
        <x:v>Five practice repetitions were unrecorded; recorded data do not establish repeated-response stability.</x:v>
      </x:c>
      <x:c r="P94" s="9" t="str">
        <x:v>PDF pp. 3–11; Figs. 1–6; Table 1</x:v>
      </x:c>
    </x:row>
    <x:row r="95">
      <x:c r="A95" s="9" t="n">
        <x:v>12</x:v>
      </x:c>
      <x:c r="B95" s="9" t="str">
        <x:v>S015</x:v>
      </x:c>
      <x:c r="C95" s="9" t="str">
        <x:v>Farook et al. (2023)</x:v>
      </x:c>
      <x:c r="D95" s="9" t="str">
        <x:v>L6</x:v>
      </x:c>
      <x:c r="E95" s="9" t="str">
        <x:v>0</x:v>
      </x:c>
      <x:c r="F95" s="9" t="str">
        <x:v>0</x:v>
      </x:c>
      <x:c r="G95" s="9" t="str">
        <x:v>Yes</x:v>
      </x:c>
      <x:c r="H95" s="9" t="str">
        <x:v>Agree</x:v>
      </x:c>
      <x:c r="I95" s="9" t="str">
        <x:v>0</x:v>
      </x:c>
      <x:c r="J95" s="9" t="str">
        <x:v>Final agreement</x:v>
      </x:c>
      <x:c r="K95" s="9" t="str">
        <x:v>No non-measurand environmental/use exposure with sensor response.</x:v>
      </x:c>
      <x:c r="L95" s="9" t="str">
        <x:v>PDF pp. 3–11; Figs. 1–6; Table 1</x:v>
      </x:c>
      <x:c r="M95" s="9" t="str">
        <x:v>Temperature/environmental effects are acknowledged but not experimentally evaluated.</x:v>
      </x:c>
      <x:c r="N95" s="9" t="str">
        <x:v>Article PDF p. 10, limitations</x:v>
      </x:c>
      <x:c r="O95" s="9" t="str">
        <x:v>No non-measurand environmental/use exposure with sensor response.</x:v>
      </x:c>
      <x:c r="P95" s="9" t="str">
        <x:v>PDF pp. 3–11; Figs. 1–6; Table 1</x:v>
      </x:c>
    </x:row>
    <x:row r="96">
      <x:c r="A96" s="9" t="n">
        <x:v>12</x:v>
      </x:c>
      <x:c r="B96" s="9" t="str">
        <x:v>S015</x:v>
      </x:c>
      <x:c r="C96" s="9" t="str">
        <x:v>Farook et al. (2023)</x:v>
      </x:c>
      <x:c r="D96" s="9" t="str">
        <x:v>L7</x:v>
      </x:c>
      <x:c r="E96" s="9" t="str">
        <x:v>0</x:v>
      </x:c>
      <x:c r="F96" s="9" t="str">
        <x:v>0</x:v>
      </x:c>
      <x:c r="G96" s="9" t="str">
        <x:v>Yes</x:v>
      </x:c>
      <x:c r="H96" s="9" t="str">
        <x:v>Agree</x:v>
      </x:c>
      <x:c r="I96" s="9" t="str">
        <x:v>0</x:v>
      </x:c>
      <x:c r="J96" s="9" t="str">
        <x:v>Final agreement</x:v>
      </x:c>
      <x:c r="K96" s="9" t="str">
        <x:v>Final L7 rating from the targeted reassessment.</x:v>
      </x:c>
      <x:c r="L96" s="9" t="str">
        <x:v>Finalized reviewer-rating workbook</x:v>
      </x:c>
      <x:c r="M96" s="9" t="str">
        <x:v>Final L7 rating from the targeted reassessment.</x:v>
      </x:c>
      <x:c r="N96" s="9" t="str">
        <x:v>Finalized reviewer-rating workbook</x:v>
      </x:c>
      <x:c r="O96" s="9" t="str">
        <x:v>No qualifying interface-integrity test or repeated final monolithic wearable-assembly test with a retention/failure endpoint was located.</x:v>
      </x:c>
      <x:c r="P96" s="9" t="str">
        <x:v>PDF pp. 3–11; Figs. 1–6; Table 1</x:v>
      </x:c>
    </x:row>
    <x:row r="97">
      <x:c r="A97" s="9" t="n">
        <x:v>12</x:v>
      </x:c>
      <x:c r="B97" s="9" t="str">
        <x:v>S015</x:v>
      </x:c>
      <x:c r="C97" s="9" t="str">
        <x:v>Farook et al. (2023)</x:v>
      </x:c>
      <x:c r="D97" s="9" t="str">
        <x:v>L8</x:v>
      </x:c>
      <x:c r="E97" s="9" t="str">
        <x:v>0</x:v>
      </x:c>
      <x:c r="F97" s="9" t="str">
        <x:v>0</x:v>
      </x:c>
      <x:c r="G97" s="9" t="str">
        <x:v>Yes</x:v>
      </x:c>
      <x:c r="H97" s="9" t="str">
        <x:v>Agree</x:v>
      </x:c>
      <x:c r="I97" s="9" t="str">
        <x:v>0</x:v>
      </x:c>
      <x:c r="J97" s="9" t="str">
        <x:v>Final agreement</x:v>
      </x:c>
      <x:c r="K97" s="9" t="str">
        <x:v>One prototype; channels and participants are not separate printed devices.</x:v>
      </x:c>
      <x:c r="L97" s="9" t="str">
        <x:v>PDF pp. 3–11; Figs. 1–6; Table 1</x:v>
      </x:c>
      <x:c r="M97" s="9" t="str">
        <x:v>A single prototype and two participants were used; independent-device variation was not assessed.</x:v>
      </x:c>
      <x:c r="N97" s="9" t="str">
        <x:v>Article PDF pp. 3-4</x:v>
      </x:c>
      <x:c r="O97" s="9" t="str">
        <x:v>One prototype; channels and participants are not separate printed devices.</x:v>
      </x:c>
      <x:c r="P97" s="9" t="str">
        <x:v>PDF pp. 3–11; Figs. 1–6; Table 1</x:v>
      </x:c>
    </x:row>
    <x:row r="98">
      <x:c r="A98" s="9" t="n">
        <x:v>13</x:v>
      </x:c>
      <x:c r="B98" s="9" t="str">
        <x:v>S017</x:v>
      </x:c>
      <x:c r="C98" s="9" t="str">
        <x:v>Zhang and Ma (2025)</x:v>
      </x:c>
      <x:c r="D98" s="9" t="str">
        <x:v>L1</x:v>
      </x:c>
      <x:c r="E98" s="9" t="str">
        <x:v>0</x:v>
      </x:c>
      <x:c r="F98" s="9" t="str">
        <x:v>0</x:v>
      </x:c>
      <x:c r="G98" s="9" t="str">
        <x:v>Yes</x:v>
      </x:c>
      <x:c r="H98" s="9" t="str">
        <x:v>Agree</x:v>
      </x:c>
      <x:c r="I98" s="9" t="str">
        <x:v>0</x:v>
      </x:c>
      <x:c r="J98" s="9" t="str">
        <x:v>Final agreement</x:v>
      </x:c>
      <x:c r="K98" s="9" t="str">
        <x:v>Printer/model and core slicing settings not reported.</x:v>
      </x:c>
      <x:c r="L98" s="9" t="str">
        <x:v>PDF p. 2</x:v>
      </x:c>
      <x:c r="M98" s="9" t="str">
        <x:v>Fabrication is described, but reconstruction-critical nozzle, temperature, layer height, infill details are not reported.</x:v>
      </x:c>
      <x:c r="N98" s="9" t="str">
        <x:v>Article PDF p. 1</x:v>
      </x:c>
      <x:c r="O98" s="9" t="str">
        <x:v>Printer/model and core slicing settings not reported.</x:v>
      </x:c>
      <x:c r="P98" s="9" t="str">
        <x:v>PDF p. 2</x:v>
      </x:c>
    </x:row>
    <x:row r="99">
      <x:c r="A99" s="9" t="n">
        <x:v>13</x:v>
      </x:c>
      <x:c r="B99" s="9" t="str">
        <x:v>S017</x:v>
      </x:c>
      <x:c r="C99" s="9" t="str">
        <x:v>Zhang and Ma (2025)</x:v>
      </x:c>
      <x:c r="D99" s="9" t="str">
        <x:v>L2</x:v>
      </x:c>
      <x:c r="E99" s="9" t="str">
        <x:v>0</x:v>
      </x:c>
      <x:c r="F99" s="9" t="str">
        <x:v>0</x:v>
      </x:c>
      <x:c r="G99" s="9" t="str">
        <x:v>Yes</x:v>
      </x:c>
      <x:c r="H99" s="9" t="str">
        <x:v>Agree</x:v>
      </x:c>
      <x:c r="I99" s="9" t="str">
        <x:v>0</x:v>
      </x:c>
      <x:c r="J99" s="9" t="str">
        <x:v>Final agreement</x:v>
      </x:c>
      <x:c r="K99" s="9" t="str">
        <x:v>TPU:PLA ratio is reported but carbon-fiber loading and key electrode/assembly details are absent.</x:v>
      </x:c>
      <x:c r="L99" s="9" t="str">
        <x:v>PDF pp. 2-3</x:v>
      </x:c>
      <x:c r="M99" s="9" t="str">
        <x:v>Final rating supersedes the earlier rating; no revised narrative reason was supplied.</x:v>
      </x:c>
      <x:c r="N99" s="9" t="str">
        <x:v>Finalized reviewer-rating workbook</x:v>
      </x:c>
      <x:c r="O99" s="9" t="str">
        <x:v>TPU:PLA ratio is reported but carbon-fiber loading and key electrode/assembly details are absent.</x:v>
      </x:c>
      <x:c r="P99" s="9" t="str">
        <x:v>PDF pp. 2-3</x:v>
      </x:c>
    </x:row>
    <x:row r="100">
      <x:c r="A100" s="9" t="n">
        <x:v>13</x:v>
      </x:c>
      <x:c r="B100" s="9" t="str">
        <x:v>S017</x:v>
      </x:c>
      <x:c r="C100" s="9" t="str">
        <x:v>Zhang and Ma (2025)</x:v>
      </x:c>
      <x:c r="D100" s="9" t="str">
        <x:v>L3</x:v>
      </x:c>
      <x:c r="E100" s="9" t="str">
        <x:v>1</x:v>
      </x:c>
      <x:c r="F100" s="9" t="str">
        <x:v>1</x:v>
      </x:c>
      <x:c r="G100" s="9" t="str">
        <x:v>Yes</x:v>
      </x:c>
      <x:c r="H100" s="9" t="str">
        <x:v>Agree</x:v>
      </x:c>
      <x:c r="I100" s="9" t="str">
        <x:v>1</x:v>
      </x:c>
      <x:c r="J100" s="9" t="str">
        <x:v>Final agreement</x:v>
      </x:c>
      <x:c r="K100" s="9" t="str">
        <x:v>Force, displacement, frequency and load resistance are controlled/described.</x:v>
      </x:c>
      <x:c r="L100" s="9" t="str">
        <x:v>PDF pp. 2-4</x:v>
      </x:c>
      <x:c r="M100" s="9" t="str">
        <x:v>A linear motor applied 20 N contact-separation motion over 2-5 Hz with measured electrical outputs.</x:v>
      </x:c>
      <x:c r="N100" s="9" t="str">
        <x:v>Article PDF p. 3, Section 2.2 and Figure 3</x:v>
      </x:c>
      <x:c r="O100" s="9" t="str">
        <x:v>Force, displacement, frequency and load resistance are controlled/described.</x:v>
      </x:c>
      <x:c r="P100" s="9" t="str">
        <x:v>PDF pp. 2-4</x:v>
      </x:c>
    </x:row>
    <x:row r="101">
      <x:c r="A101" s="9" t="n">
        <x:v>13</x:v>
      </x:c>
      <x:c r="B101" s="9" t="str">
        <x:v>S017</x:v>
      </x:c>
      <x:c r="C101" s="9" t="str">
        <x:v>Zhang and Ma (2025)</x:v>
      </x:c>
      <x:c r="D101" s="9" t="str">
        <x:v>L4</x:v>
      </x:c>
      <x:c r="E101" s="9" t="str">
        <x:v>1</x:v>
      </x:c>
      <x:c r="F101" s="9" t="str">
        <x:v>1</x:v>
      </x:c>
      <x:c r="G101" s="9" t="str">
        <x:v>Yes</x:v>
      </x:c>
      <x:c r="H101" s="9" t="str">
        <x:v>Agree</x:v>
      </x:c>
      <x:c r="I101" s="9" t="str">
        <x:v>1</x:v>
      </x:c>
      <x:c r="J101" s="9" t="str">
        <x:v>Final agreement</x:v>
      </x:c>
      <x:c r="K101" s="9" t="str">
        <x:v>Voltage/current/charge and power density are reported with test conditions.</x:v>
      </x:c>
      <x:c r="L101" s="9" t="str">
        <x:v>PDF pp. 3-4, Fig. 2-3</x:v>
      </x:c>
      <x:c r="M101" s="9" t="str">
        <x:v>Voltage, charge, current and 58.38 mW/m2 power density are reported over stated frequency/load ranges.</x:v>
      </x:c>
      <x:c r="N101" s="9" t="str">
        <x:v>Article PDF pp. 3-4, Figure 3 and Table 1</x:v>
      </x:c>
      <x:c r="O101" s="9" t="str">
        <x:v>Voltage/current/charge and power density are reported with test conditions.</x:v>
      </x:c>
      <x:c r="P101" s="9" t="str">
        <x:v>PDF pp. 3-4, Fig. 2-3</x:v>
      </x:c>
    </x:row>
    <x:row r="102">
      <x:c r="A102" s="9" t="n">
        <x:v>13</x:v>
      </x:c>
      <x:c r="B102" s="9" t="str">
        <x:v>S017</x:v>
      </x:c>
      <x:c r="C102" s="9" t="str">
        <x:v>Zhang and Ma (2025)</x:v>
      </x:c>
      <x:c r="D102" s="9" t="str">
        <x:v>L5</x:v>
      </x:c>
      <x:c r="E102" s="9" t="str">
        <x:v>1</x:v>
      </x:c>
      <x:c r="F102" s="9" t="str">
        <x:v>1</x:v>
      </x:c>
      <x:c r="G102" s="9" t="str">
        <x:v>Yes</x:v>
      </x:c>
      <x:c r="H102" s="9" t="str">
        <x:v>Agree</x:v>
      </x:c>
      <x:c r="I102" s="9" t="str">
        <x:v>1</x:v>
      </x:c>
      <x:c r="J102" s="9" t="str">
        <x:v>Final agreement</x:v>
      </x:c>
      <x:c r="K102" s="9" t="str">
        <x:v>1600-cycle output trace and post-buckling retention/recovery values are reported.</x:v>
      </x:c>
      <x:c r="L102" s="9" t="str">
        <x:v>PDF pp. 4-5, Fig. 4-5</x:v>
      </x:c>
      <x:c r="M102" s="9" t="str">
        <x:v>A stated repeated-test range/count is accompanied by a stability, hysteresis, retention or failure outcome.</x:v>
      </x:c>
      <x:c r="N102" s="9" t="str">
        <x:v>Article PDF p. 5</x:v>
      </x:c>
      <x:c r="O102" s="9" t="str">
        <x:v>1600-cycle output trace and post-buckling retention/recovery values are reported.</x:v>
      </x:c>
      <x:c r="P102" s="9" t="str">
        <x:v>PDF pp. 4-5, Fig. 4-5</x:v>
      </x:c>
    </x:row>
    <x:row r="103">
      <x:c r="A103" s="9" t="n">
        <x:v>13</x:v>
      </x:c>
      <x:c r="B103" s="9" t="str">
        <x:v>S017</x:v>
      </x:c>
      <x:c r="C103" s="9" t="str">
        <x:v>Zhang and Ma (2025)</x:v>
      </x:c>
      <x:c r="D103" s="9" t="str">
        <x:v>L6</x:v>
      </x:c>
      <x:c r="E103" s="9" t="str">
        <x:v>1</x:v>
      </x:c>
      <x:c r="F103" s="9" t="str">
        <x:v>1</x:v>
      </x:c>
      <x:c r="G103" s="9" t="str">
        <x:v>Yes</x:v>
      </x:c>
      <x:c r="H103" s="9" t="str">
        <x:v>Agree</x:v>
      </x:c>
      <x:c r="I103" s="9" t="str">
        <x:v>1</x:v>
      </x:c>
      <x:c r="J103" s="9" t="str">
        <x:v>Final agreement</x:v>
      </x:c>
      <x:c r="K103" s="9" t="str">
        <x:v>Humidity and buckling/recovery exposures with output response are reported.</x:v>
      </x:c>
      <x:c r="L103" s="9" t="str">
        <x:v>PDF pp. 4-5, Fig. 4</x:v>
      </x:c>
      <x:c r="M103" s="9" t="str">
        <x:v>Sensor/system response is reported under a declared non-measurand environmental or use-related exposure.</x:v>
      </x:c>
      <x:c r="N103" s="9" t="str">
        <x:v>Article PDF p. 4</x:v>
      </x:c>
      <x:c r="O103" s="9" t="str">
        <x:v>Humidity and buckling/recovery exposures with output response are reported.</x:v>
      </x:c>
      <x:c r="P103" s="9" t="str">
        <x:v>PDF pp. 4-5, Fig. 4</x:v>
      </x:c>
    </x:row>
    <x:row r="104">
      <x:c r="A104" s="9" t="n">
        <x:v>13</x:v>
      </x:c>
      <x:c r="B104" s="9" t="str">
        <x:v>S017</x:v>
      </x:c>
      <x:c r="C104" s="9" t="str">
        <x:v>Zhang and Ma (2025)</x:v>
      </x:c>
      <x:c r="D104" s="9" t="str">
        <x:v>L7</x:v>
      </x:c>
      <x:c r="E104" s="9" t="str">
        <x:v>0</x:v>
      </x:c>
      <x:c r="F104" s="9" t="str">
        <x:v>0</x:v>
      </x:c>
      <x:c r="G104" s="9" t="str">
        <x:v>Yes</x:v>
      </x:c>
      <x:c r="H104" s="9" t="str">
        <x:v>Agree</x:v>
      </x:c>
      <x:c r="I104" s="9" t="str">
        <x:v>0</x:v>
      </x:c>
      <x:c r="J104" s="9" t="str">
        <x:v>Final agreement</x:v>
      </x:c>
      <x:c r="K104" s="9" t="str">
        <x:v>Final L7 rating from the targeted reassessment.</x:v>
      </x:c>
      <x:c r="L104" s="9" t="str">
        <x:v>Finalized reviewer-rating workbook</x:v>
      </x:c>
      <x:c r="M104" s="9" t="str">
        <x:v>Final L7 rating from the targeted reassessment.</x:v>
      </x:c>
      <x:c r="N104" s="9" t="str">
        <x:v>Finalized reviewer-rating workbook</x:v>
      </x:c>
      <x:c r="O104" s="9" t="str">
        <x:v>No qualifying interface-integrity test or repeated final monolithic wearable-assembly test with a retention/failure endpoint was located.</x:v>
      </x:c>
      <x:c r="P104" s="9" t="str">
        <x:v>PDF pp. 3-5 checked</x:v>
      </x:c>
    </x:row>
    <x:row r="105">
      <x:c r="A105" s="9" t="n">
        <x:v>13</x:v>
      </x:c>
      <x:c r="B105" s="9" t="str">
        <x:v>S017</x:v>
      </x:c>
      <x:c r="C105" s="9" t="str">
        <x:v>Zhang and Ma (2025)</x:v>
      </x:c>
      <x:c r="D105" s="9" t="str">
        <x:v>L8</x:v>
      </x:c>
      <x:c r="E105" s="9" t="str">
        <x:v>0</x:v>
      </x:c>
      <x:c r="F105" s="9" t="str">
        <x:v>0</x:v>
      </x:c>
      <x:c r="G105" s="9" t="str">
        <x:v>Yes</x:v>
      </x:c>
      <x:c r="H105" s="9" t="str">
        <x:v>Agree</x:v>
      </x:c>
      <x:c r="I105" s="9" t="str">
        <x:v>0</x:v>
      </x:c>
      <x:c r="J105" s="9" t="str">
        <x:v>Final agreement</x:v>
      </x:c>
      <x:c r="K105" s="9" t="str">
        <x:v>No independently fabricated device comparison or between-device variation.</x:v>
      </x:c>
      <x:c r="L105" s="9" t="str">
        <x:v>PDF pp. 1-6 checked</x:v>
      </x:c>
      <x:c r="M105" s="9" t="str">
        <x:v>At least three equivalent independently fabricated units with quantified between-unit variation are not reported.</x:v>
      </x:c>
      <x:c r="N105" s="9" t="str">
        <x:v>Article PDF p. 3</x:v>
      </x:c>
      <x:c r="O105" s="9" t="str">
        <x:v>No independently fabricated device comparison or between-device variation.</x:v>
      </x:c>
      <x:c r="P105" s="9" t="str">
        <x:v>PDF pp. 1-6 checked</x:v>
      </x:c>
    </x:row>
    <x:row r="106">
      <x:c r="A106" s="9" t="n">
        <x:v>14</x:v>
      </x:c>
      <x:c r="B106" s="9" t="str">
        <x:v>S018</x:v>
      </x:c>
      <x:c r="C106" s="9" t="str">
        <x:v>Vu et al. (2025)</x:v>
      </x:c>
      <x:c r="D106" s="9" t="str">
        <x:v>L1</x:v>
      </x:c>
      <x:c r="E106" s="9" t="str">
        <x:v>0</x:v>
      </x:c>
      <x:c r="F106" s="9" t="str">
        <x:v>0</x:v>
      </x:c>
      <x:c r="G106" s="9" t="str">
        <x:v>Yes</x:v>
      </x:c>
      <x:c r="H106" s="9" t="str">
        <x:v>Agree</x:v>
      </x:c>
      <x:c r="I106" s="9" t="str">
        <x:v>0</x:v>
      </x:c>
      <x:c r="J106" s="9" t="str">
        <x:v>Final agreement</x:v>
      </x:c>
      <x:c r="K106" s="9" t="str">
        <x:v>Printer/material and some sealing settings reported, but core layer/nozzle/temperature settings are only in cited supplementary data.</x:v>
      </x:c>
      <x:c r="L106" s="9" t="str">
        <x:v>PDF pp. 3–11; Figs. 1–6; Table 1</x:v>
      </x:c>
      <x:c r="M106" s="9" t="str">
        <x:v>Final rating supersedes the earlier rating; no revised narrative reason was supplied.</x:v>
      </x:c>
      <x:c r="N106" s="9" t="str">
        <x:v>Finalized reviewer-rating workbook</x:v>
      </x:c>
      <x:c r="O106" s="9" t="str">
        <x:v>Printer/material and some sealing settings reported, but core layer/nozzle/temperature settings are only in cited supplementary data.</x:v>
      </x:c>
      <x:c r="P106" s="9" t="str">
        <x:v>PDF pp. 3–11; Figs. 1–6; Table 1</x:v>
      </x:c>
    </x:row>
    <x:row r="107">
      <x:c r="A107" s="9" t="n">
        <x:v>14</x:v>
      </x:c>
      <x:c r="B107" s="9" t="str">
        <x:v>S018</x:v>
      </x:c>
      <x:c r="C107" s="9" t="str">
        <x:v>Vu et al. (2025)</x:v>
      </x:c>
      <x:c r="D107" s="9" t="str">
        <x:v>L2</x:v>
      </x:c>
      <x:c r="E107" s="9" t="str">
        <x:v>1</x:v>
      </x:c>
      <x:c r="F107" s="9" t="str">
        <x:v>1</x:v>
      </x:c>
      <x:c r="G107" s="9" t="str">
        <x:v>Yes</x:v>
      </x:c>
      <x:c r="H107" s="9" t="str">
        <x:v>Agree</x:v>
      </x:c>
      <x:c r="I107" s="9" t="str">
        <x:v>1</x:v>
      </x:c>
      <x:c r="J107" s="9" t="str">
        <x:v>Final agreement</x:v>
      </x:c>
      <x:c r="K107" s="9" t="str">
        <x:v>Printed chamber, conduit and transducer interface are described.</x:v>
      </x:c>
      <x:c r="L107" s="9" t="str">
        <x:v>PDF pp. 3–11; Figs. 1–6; Table 1</x:v>
      </x:c>
      <x:c r="M107" s="9" t="str">
        <x:v>Functional host, sensing constituent and relevant electrode/interface materials are identified.</x:v>
      </x:c>
      <x:c r="N107" s="9" t="str">
        <x:v>Article PDF p. 4</x:v>
      </x:c>
      <x:c r="O107" s="9" t="str">
        <x:v>Printed chamber, conduit and transducer interface are described.</x:v>
      </x:c>
      <x:c r="P107" s="9" t="str">
        <x:v>PDF pp. 3–11; Figs. 1–6; Table 1</x:v>
      </x:c>
    </x:row>
    <x:row r="108">
      <x:c r="A108" s="9" t="n">
        <x:v>14</x:v>
      </x:c>
      <x:c r="B108" s="9" t="str">
        <x:v>S018</x:v>
      </x:c>
      <x:c r="C108" s="9" t="str">
        <x:v>Vu et al. (2025)</x:v>
      </x:c>
      <x:c r="D108" s="9" t="str">
        <x:v>L3</x:v>
      </x:c>
      <x:c r="E108" s="9" t="str">
        <x:v>1</x:v>
      </x:c>
      <x:c r="F108" s="9" t="str">
        <x:v>1</x:v>
      </x:c>
      <x:c r="G108" s="9" t="str">
        <x:v>Yes</x:v>
      </x:c>
      <x:c r="H108" s="9" t="str">
        <x:v>Agree</x:v>
      </x:c>
      <x:c r="I108" s="9" t="str">
        <x:v>1</x:v>
      </x:c>
      <x:c r="J108" s="9" t="str">
        <x:v>Final agreement</x:v>
      </x:c>
      <x:c r="K108" s="9" t="str">
        <x:v>Force plates provide a synchronized reference during stated walking protocols.</x:v>
      </x:c>
      <x:c r="L108" s="9" t="str">
        <x:v>PDF pp. 3–11; Figs. 1–6; Table 1</x:v>
      </x:c>
      <x:c r="M108" s="9" t="str">
        <x:v>Insole pressure signals were synchronized and calibrated against force-plate GRF/COP over standing and walking trials.</x:v>
      </x:c>
      <x:c r="N108" s="9" t="str">
        <x:v>Article PDF pp. 5-7, Sections 2.3-2.4</x:v>
      </x:c>
      <x:c r="O108" s="9" t="str">
        <x:v>Force plates provide a synchronized reference during stated walking protocols.</x:v>
      </x:c>
      <x:c r="P108" s="9" t="str">
        <x:v>PDF pp. 3–11; Figs. 1–6; Table 1</x:v>
      </x:c>
    </x:row>
    <x:row r="109">
      <x:c r="A109" s="9" t="n">
        <x:v>14</x:v>
      </x:c>
      <x:c r="B109" s="9" t="str">
        <x:v>S018</x:v>
      </x:c>
      <x:c r="C109" s="9" t="str">
        <x:v>Vu et al. (2025)</x:v>
      </x:c>
      <x:c r="D109" s="9" t="str">
        <x:v>L4</x:v>
      </x:c>
      <x:c r="E109" s="9" t="str">
        <x:v>1</x:v>
      </x:c>
      <x:c r="F109" s="9" t="str">
        <x:v>1</x:v>
      </x:c>
      <x:c r="G109" s="9" t="str">
        <x:v>Yes</x:v>
      </x:c>
      <x:c r="H109" s="9" t="str">
        <x:v>Agree</x:v>
      </x:c>
      <x:c r="I109" s="9" t="str">
        <x:v>1</x:v>
      </x:c>
      <x:c r="J109" s="9" t="str">
        <x:v>Final agreement</x:v>
      </x:c>
      <x:c r="K109" s="9" t="str">
        <x:v>GRF/COP errors and ranges are reported.</x:v>
      </x:c>
      <x:c r="L109" s="9" t="str">
        <x:v>PDF pp. 3–11; Figs. 1–6; Table 1</x:v>
      </x:c>
      <x:c r="M109" s="9" t="str">
        <x:v>Bandwidth, load range, GRF/COP errors and model outputs are quantitatively reported with units.</x:v>
      </x:c>
      <x:c r="N109" s="9" t="str">
        <x:v>Article PDF pp. 5 and 9-10, Figures 5-6</x:v>
      </x:c>
      <x:c r="O109" s="9" t="str">
        <x:v>GRF/COP errors and ranges are reported.</x:v>
      </x:c>
      <x:c r="P109" s="9" t="str">
        <x:v>PDF pp. 3–11; Figs. 1–6; Table 1</x:v>
      </x:c>
    </x:row>
    <x:row r="110">
      <x:c r="A110" s="9" t="n">
        <x:v>14</x:v>
      </x:c>
      <x:c r="B110" s="9" t="str">
        <x:v>S018</x:v>
      </x:c>
      <x:c r="C110" s="9" t="str">
        <x:v>Vu et al. (2025)</x:v>
      </x:c>
      <x:c r="D110" s="9" t="str">
        <x:v>L5</x:v>
      </x:c>
      <x:c r="E110" s="9" t="str">
        <x:v>0</x:v>
      </x:c>
      <x:c r="F110" s="9" t="str">
        <x:v>0</x:v>
      </x:c>
      <x:c r="G110" s="9" t="str">
        <x:v>Yes</x:v>
      </x:c>
      <x:c r="H110" s="9" t="str">
        <x:v>Agree</x:v>
      </x:c>
      <x:c r="I110" s="9" t="str">
        <x:v>0</x:v>
      </x:c>
      <x:c r="J110" s="9" t="str">
        <x:v>Final agreement</x:v>
      </x:c>
      <x:c r="K110" s="9" t="str">
        <x:v>Repeated steps support model evaluation but do not report same-device response retention/stability.</x:v>
      </x:c>
      <x:c r="L110" s="9" t="str">
        <x:v>PDF pp. 3–11; Figs. 1–6; Table 1</x:v>
      </x:c>
      <x:c r="M110" s="9" t="str">
        <x:v>Final rating supersedes the earlier rating; no revised narrative reason was supplied.</x:v>
      </x:c>
      <x:c r="N110" s="9" t="str">
        <x:v>Finalized reviewer-rating workbook</x:v>
      </x:c>
      <x:c r="O110" s="9" t="str">
        <x:v>Repeated steps support model evaluation but do not report same-device response retention/stability.</x:v>
      </x:c>
      <x:c r="P110" s="9" t="str">
        <x:v>PDF pp. 3–11; Figs. 1–6; Table 1</x:v>
      </x:c>
    </x:row>
    <x:row r="111">
      <x:c r="A111" s="9" t="n">
        <x:v>14</x:v>
      </x:c>
      <x:c r="B111" s="9" t="str">
        <x:v>S018</x:v>
      </x:c>
      <x:c r="C111" s="9" t="str">
        <x:v>Vu et al. (2025)</x:v>
      </x:c>
      <x:c r="D111" s="9" t="str">
        <x:v>L6</x:v>
      </x:c>
      <x:c r="E111" s="9" t="str">
        <x:v>0</x:v>
      </x:c>
      <x:c r="F111" s="9" t="str">
        <x:v>0</x:v>
      </x:c>
      <x:c r="G111" s="9" t="str">
        <x:v>Yes</x:v>
      </x:c>
      <x:c r="H111" s="9" t="str">
        <x:v>Agree</x:v>
      </x:c>
      <x:c r="I111" s="9" t="str">
        <x:v>0</x:v>
      </x:c>
      <x:c r="J111" s="9" t="str">
        <x:v>Final agreement</x:v>
      </x:c>
      <x:c r="K111" s="9" t="str">
        <x:v>Walking speed is part of the intended measurement protocol; no separate qualifying exposure response.</x:v>
      </x:c>
      <x:c r="L111" s="9" t="str">
        <x:v>PDF pp. 3–11; Figs. 1–6; Table 1</x:v>
      </x:c>
      <x:c r="M111" s="9" t="str">
        <x:v>No qualifying response under a declared non-measurand environmental/use exposure is reported.</x:v>
      </x:c>
      <x:c r="N111" s="9" t="str">
        <x:v>Article PDF p. 5</x:v>
      </x:c>
      <x:c r="O111" s="9" t="str">
        <x:v>Walking speed is part of the intended measurement protocol; no separate qualifying exposure response.</x:v>
      </x:c>
      <x:c r="P111" s="9" t="str">
        <x:v>PDF pp. 3–11; Figs. 1–6; Table 1</x:v>
      </x:c>
    </x:row>
    <x:row r="112">
      <x:c r="A112" s="9" t="n">
        <x:v>14</x:v>
      </x:c>
      <x:c r="B112" s="9" t="str">
        <x:v>S018</x:v>
      </x:c>
      <x:c r="C112" s="9" t="str">
        <x:v>Vu et al. (2025)</x:v>
      </x:c>
      <x:c r="D112" s="9" t="str">
        <x:v>L7</x:v>
      </x:c>
      <x:c r="E112" s="9" t="str">
        <x:v>1</x:v>
      </x:c>
      <x:c r="F112" s="9" t="str">
        <x:v>1</x:v>
      </x:c>
      <x:c r="G112" s="9" t="str">
        <x:v>Yes</x:v>
      </x:c>
      <x:c r="H112" s="9" t="str">
        <x:v>Agree</x:v>
      </x:c>
      <x:c r="I112" s="9" t="str">
        <x:v>1</x:v>
      </x:c>
      <x:c r="J112" s="9" t="str">
        <x:v>Final agreement</x:v>
      </x:c>
      <x:c r="K112" s="9" t="str">
        <x:v>Final L7 rating from the targeted reassessment.</x:v>
      </x:c>
      <x:c r="L112" s="9" t="str">
        <x:v>Finalized reviewer-rating workbook</x:v>
      </x:c>
      <x:c r="M112" s="9" t="str">
        <x:v>Final L7 rating from the targeted reassessment.</x:v>
      </x:c>
      <x:c r="N112" s="9" t="str">
        <x:v>Finalized reviewer-rating workbook</x:v>
      </x:c>
      <x:c r="O112" s="9" t="str">
        <x:v>Hundreds of loaded steps were completed and the insole was reported airtight and intact.</x:v>
      </x:c>
      <x:c r="P112" s="9" t="str">
        <x:v>PDF pp. 3–11; Figs. 1–6; Table 1</x:v>
      </x:c>
    </x:row>
    <x:row r="113">
      <x:c r="A113" s="9" t="n">
        <x:v>14</x:v>
      </x:c>
      <x:c r="B113" s="9" t="str">
        <x:v>S018</x:v>
      </x:c>
      <x:c r="C113" s="9" t="str">
        <x:v>Vu et al. (2025)</x:v>
      </x:c>
      <x:c r="D113" s="9" t="str">
        <x:v>L8</x:v>
      </x:c>
      <x:c r="E113" s="9" t="str">
        <x:v>0</x:v>
      </x:c>
      <x:c r="F113" s="9" t="str">
        <x:v>0</x:v>
      </x:c>
      <x:c r="G113" s="9" t="str">
        <x:v>Yes</x:v>
      </x:c>
      <x:c r="H113" s="9" t="str">
        <x:v>Agree</x:v>
      </x:c>
      <x:c r="I113" s="9" t="str">
        <x:v>0</x:v>
      </x:c>
      <x:c r="J113" s="9" t="str">
        <x:v>Final agreement</x:v>
      </x:c>
      <x:c r="K113" s="9" t="str">
        <x:v>One insole; two chambers are channels.</x:v>
      </x:c>
      <x:c r="L113" s="9" t="str">
        <x:v>PDF pp. 3–11; Figs. 1–6; Table 1</x:v>
      </x:c>
      <x:c r="M113" s="9" t="str">
        <x:v>At least three equivalent independently fabricated units with quantified between-unit variation are not reported.</x:v>
      </x:c>
      <x:c r="N113" s="9" t="str">
        <x:v>Article PDF p. 11</x:v>
      </x:c>
      <x:c r="O113" s="9" t="str">
        <x:v>One insole; two chambers are channels.</x:v>
      </x:c>
      <x:c r="P113" s="9" t="str">
        <x:v>PDF pp. 3–11; Figs. 1–6; Table 1</x:v>
      </x:c>
    </x:row>
    <x:row r="114">
      <x:c r="A114" s="9" t="n">
        <x:v>15</x:v>
      </x:c>
      <x:c r="B114" s="9" t="str">
        <x:v>S019</x:v>
      </x:c>
      <x:c r="C114" s="9" t="str">
        <x:v>Vu et al. (2021)</x:v>
      </x:c>
      <x:c r="D114" s="9" t="str">
        <x:v>L1</x:v>
      </x:c>
      <x:c r="E114" s="9" t="str">
        <x:v>1</x:v>
      </x:c>
      <x:c r="F114" s="9" t="str">
        <x:v>1</x:v>
      </x:c>
      <x:c r="G114" s="9" t="str">
        <x:v>Yes</x:v>
      </x:c>
      <x:c r="H114" s="9" t="str">
        <x:v>Agree</x:v>
      </x:c>
      <x:c r="I114" s="9" t="str">
        <x:v>1</x:v>
      </x:c>
      <x:c r="J114" s="9" t="str">
        <x:v>Final agreement</x:v>
      </x:c>
      <x:c r="K114" s="9" t="str">
        <x:v>Printer, filament, nozzle, temperature, speed, layer height, geometry and orientation are reported.</x:v>
      </x:c>
      <x:c r="L114" s="9" t="str">
        <x:v>PDF pp. 2–8; Figs. 1–7</x:v>
      </x:c>
      <x:c r="M114" s="9" t="str">
        <x:v>Final rating supersedes the earlier rating; no revised narrative reason was supplied.</x:v>
      </x:c>
      <x:c r="N114" s="9" t="str">
        <x:v>Finalized reviewer-rating workbook</x:v>
      </x:c>
      <x:c r="O114" s="9" t="str">
        <x:v>Printer, filament, nozzle, temperature, speed, layer height, geometry and orientation are reported.</x:v>
      </x:c>
      <x:c r="P114" s="9" t="str">
        <x:v>PDF pp. 2–8; Figs. 1–7</x:v>
      </x:c>
    </x:row>
    <x:row r="115">
      <x:c r="A115" s="9" t="n">
        <x:v>15</x:v>
      </x:c>
      <x:c r="B115" s="9" t="str">
        <x:v>S019</x:v>
      </x:c>
      <x:c r="C115" s="9" t="str">
        <x:v>Vu et al. (2021)</x:v>
      </x:c>
      <x:c r="D115" s="9" t="str">
        <x:v>L2</x:v>
      </x:c>
      <x:c r="E115" s="9" t="str">
        <x:v>1</x:v>
      </x:c>
      <x:c r="F115" s="9" t="str">
        <x:v>1</x:v>
      </x:c>
      <x:c r="G115" s="9" t="str">
        <x:v>Yes</x:v>
      </x:c>
      <x:c r="H115" s="9" t="str">
        <x:v>Agree</x:v>
      </x:c>
      <x:c r="I115" s="9" t="str">
        <x:v>1</x:v>
      </x:c>
      <x:c r="J115" s="9" t="str">
        <x:v>Final agreement</x:v>
      </x:c>
      <x:c r="K115" s="9" t="str">
        <x:v>Commercial CNT/TPU sensing filament and wearable electronics are identified.</x:v>
      </x:c>
      <x:c r="L115" s="9" t="str">
        <x:v>PDF pp. 2–8; Figs. 1–7</x:v>
      </x:c>
      <x:c r="M115" s="9" t="str">
        <x:v>Functional host, sensing constituent and relevant electrode/interface materials are identified.</x:v>
      </x:c>
      <x:c r="N115" s="9" t="str">
        <x:v>Article PDF p. 3</x:v>
      </x:c>
      <x:c r="O115" s="9" t="str">
        <x:v>Commercial CNT/TPU sensing filament and wearable electronics are identified.</x:v>
      </x:c>
      <x:c r="P115" s="9" t="str">
        <x:v>PDF pp. 2–8; Figs. 1–7</x:v>
      </x:c>
    </x:row>
    <x:row r="116">
      <x:c r="A116" s="9" t="n">
        <x:v>15</x:v>
      </x:c>
      <x:c r="B116" s="9" t="str">
        <x:v>S019</x:v>
      </x:c>
      <x:c r="C116" s="9" t="str">
        <x:v>Vu et al. (2021)</x:v>
      </x:c>
      <x:c r="D116" s="9" t="str">
        <x:v>L3</x:v>
      </x:c>
      <x:c r="E116" s="9" t="str">
        <x:v>1</x:v>
      </x:c>
      <x:c r="F116" s="9" t="str">
        <x:v>1</x:v>
      </x:c>
      <x:c r="G116" s="9" t="str">
        <x:v>Yes</x:v>
      </x:c>
      <x:c r="H116" s="9" t="str">
        <x:v>Agree</x:v>
      </x:c>
      <x:c r="I116" s="9" t="str">
        <x:v>1</x:v>
      </x:c>
      <x:c r="J116" s="9" t="str">
        <x:v>Final agreement</x:v>
      </x:c>
      <x:c r="K116" s="9" t="str">
        <x:v>UTM/load cell with source meter and strain protocol are specified.</x:v>
      </x:c>
      <x:c r="L116" s="9" t="str">
        <x:v>PDF pp. 2–8; Figs. 1–7</x:v>
      </x:c>
      <x:c r="M116" s="9" t="str">
        <x:v>Sensor output is related to a controlled or independently measured input with a stated procedure and range.</x:v>
      </x:c>
      <x:c r="N116" s="9" t="str">
        <x:v>Article PDF p. 3</x:v>
      </x:c>
      <x:c r="O116" s="9" t="str">
        <x:v>UTM/load cell with source meter and strain protocol are specified.</x:v>
      </x:c>
      <x:c r="P116" s="9" t="str">
        <x:v>PDF pp. 2–8; Figs. 1–7</x:v>
      </x:c>
    </x:row>
    <x:row r="117">
      <x:c r="A117" s="9" t="n">
        <x:v>15</x:v>
      </x:c>
      <x:c r="B117" s="9" t="str">
        <x:v>S019</x:v>
      </x:c>
      <x:c r="C117" s="9" t="str">
        <x:v>Vu et al. (2021)</x:v>
      </x:c>
      <x:c r="D117" s="9" t="str">
        <x:v>L4</x:v>
      </x:c>
      <x:c r="E117" s="9" t="str">
        <x:v>1</x:v>
      </x:c>
      <x:c r="F117" s="9" t="str">
        <x:v>1</x:v>
      </x:c>
      <x:c r="G117" s="9" t="str">
        <x:v>Yes</x:v>
      </x:c>
      <x:c r="H117" s="9" t="str">
        <x:v>Agree</x:v>
      </x:c>
      <x:c r="I117" s="9" t="str">
        <x:v>1</x:v>
      </x:c>
      <x:c r="J117" s="9" t="str">
        <x:v>Final agreement</x:v>
      </x:c>
      <x:c r="K117" s="9" t="str">
        <x:v>GF, hysteresis, time response and ranges are reported.</x:v>
      </x:c>
      <x:c r="L117" s="9" t="str">
        <x:v>PDF pp. 2–8; Figs. 1–7</x:v>
      </x:c>
      <x:c r="M117" s="9" t="str">
        <x:v>A modality-appropriate quantitative response, units/calculation and operating range are reported.</x:v>
      </x:c>
      <x:c r="N117" s="9" t="str">
        <x:v>Article PDF p. 4</x:v>
      </x:c>
      <x:c r="O117" s="9" t="str">
        <x:v>GF, hysteresis, time response and ranges are reported.</x:v>
      </x:c>
      <x:c r="P117" s="9" t="str">
        <x:v>PDF pp. 2–8; Figs. 1–7</x:v>
      </x:c>
    </x:row>
    <x:row r="118">
      <x:c r="A118" s="9" t="n">
        <x:v>15</x:v>
      </x:c>
      <x:c r="B118" s="9" t="str">
        <x:v>S019</x:v>
      </x:c>
      <x:c r="C118" s="9" t="str">
        <x:v>Vu et al. (2021)</x:v>
      </x:c>
      <x:c r="D118" s="9" t="str">
        <x:v>L5</x:v>
      </x:c>
      <x:c r="E118" s="9" t="str">
        <x:v>1</x:v>
      </x:c>
      <x:c r="F118" s="9" t="str">
        <x:v>1</x:v>
      </x:c>
      <x:c r="G118" s="9" t="str">
        <x:v>Yes</x:v>
      </x:c>
      <x:c r="H118" s="9" t="str">
        <x:v>Agree</x:v>
      </x:c>
      <x:c r="I118" s="9" t="str">
        <x:v>1</x:v>
      </x:c>
      <x:c r="J118" s="9" t="str">
        <x:v>Final agreement</x:v>
      </x:c>
      <x:c r="K118" s="9" t="str">
        <x:v>10,000 strain/release cycles with quantified end difference.</x:v>
      </x:c>
      <x:c r="L118" s="9" t="str">
        <x:v>PDF pp. 2–8; Figs. 1–7</x:v>
      </x:c>
      <x:c r="M118" s="9" t="str">
        <x:v>A stated repeated-test range/count is accompanied by a stability, hysteresis, retention or failure outcome.</x:v>
      </x:c>
      <x:c r="N118" s="9" t="str">
        <x:v>Article PDF p. 6</x:v>
      </x:c>
      <x:c r="O118" s="9" t="str">
        <x:v>10,000 strain/release cycles with quantified end difference.</x:v>
      </x:c>
      <x:c r="P118" s="9" t="str">
        <x:v>PDF pp. 2–8; Figs. 1–7</x:v>
      </x:c>
    </x:row>
    <x:row r="119">
      <x:c r="A119" s="9" t="n">
        <x:v>15</x:v>
      </x:c>
      <x:c r="B119" s="9" t="str">
        <x:v>S019</x:v>
      </x:c>
      <x:c r="C119" s="9" t="str">
        <x:v>Vu et al. (2021)</x:v>
      </x:c>
      <x:c r="D119" s="9" t="str">
        <x:v>L6</x:v>
      </x:c>
      <x:c r="E119" s="9" t="str">
        <x:v>1</x:v>
      </x:c>
      <x:c r="F119" s="9" t="str">
        <x:v>1</x:v>
      </x:c>
      <x:c r="G119" s="9" t="str">
        <x:v>Yes</x:v>
      </x:c>
      <x:c r="H119" s="9" t="str">
        <x:v>Agree</x:v>
      </x:c>
      <x:c r="I119" s="9" t="str">
        <x:v>1</x:v>
      </x:c>
      <x:c r="J119" s="9" t="str">
        <x:v>Final agreement</x:v>
      </x:c>
      <x:c r="K119" s="9" t="str">
        <x:v>Response was measured from 20–30 °C.</x:v>
      </x:c>
      <x:c r="L119" s="9" t="str">
        <x:v>PDF pp. 2–8; Figs. 1–7</x:v>
      </x:c>
      <x:c r="M119" s="9" t="str">
        <x:v>Final rating supersedes the earlier rating; no revised narrative reason was supplied.</x:v>
      </x:c>
      <x:c r="N119" s="9" t="str">
        <x:v>Finalized reviewer-rating workbook</x:v>
      </x:c>
      <x:c r="O119" s="9" t="str">
        <x:v>Response was measured from 20–30 °C.</x:v>
      </x:c>
      <x:c r="P119" s="9" t="str">
        <x:v>PDF pp. 2–8; Figs. 1–7</x:v>
      </x:c>
    </x:row>
    <x:row r="120">
      <x:c r="A120" s="9" t="n">
        <x:v>15</x:v>
      </x:c>
      <x:c r="B120" s="9" t="str">
        <x:v>S019</x:v>
      </x:c>
      <x:c r="C120" s="9" t="str">
        <x:v>Vu et al. (2021)</x:v>
      </x:c>
      <x:c r="D120" s="9" t="str">
        <x:v>L7</x:v>
      </x:c>
      <x:c r="E120" s="9" t="str">
        <x:v>0</x:v>
      </x:c>
      <x:c r="F120" s="9" t="str">
        <x:v>0</x:v>
      </x:c>
      <x:c r="G120" s="9" t="str">
        <x:v>Yes</x:v>
      </x:c>
      <x:c r="H120" s="9" t="str">
        <x:v>Agree</x:v>
      </x:c>
      <x:c r="I120" s="9" t="str">
        <x:v>0</x:v>
      </x:c>
      <x:c r="J120" s="9" t="str">
        <x:v>Final agreement</x:v>
      </x:c>
      <x:c r="K120" s="9" t="str">
        <x:v>Final L7 rating from the targeted reassessment.</x:v>
      </x:c>
      <x:c r="L120" s="9" t="str">
        <x:v>Finalized reviewer-rating workbook</x:v>
      </x:c>
      <x:c r="M120" s="9" t="str">
        <x:v>Final L7 rating from the targeted reassessment.</x:v>
      </x:c>
      <x:c r="N120" s="9" t="str">
        <x:v>Finalized reviewer-rating workbook</x:v>
      </x:c>
      <x:c r="O120" s="9" t="str">
        <x:v>No qualifying interface-integrity test or repeated final monolithic wearable-assembly test with a retention/failure endpoint was located.</x:v>
      </x:c>
      <x:c r="P120" s="9" t="str">
        <x:v>PDF pp. 2–8; Figs. 1–7</x:v>
      </x:c>
    </x:row>
    <x:row r="121">
      <x:c r="A121" s="9" t="n">
        <x:v>15</x:v>
      </x:c>
      <x:c r="B121" s="9" t="str">
        <x:v>S019</x:v>
      </x:c>
      <x:c r="C121" s="9" t="str">
        <x:v>Vu et al. (2021)</x:v>
      </x:c>
      <x:c r="D121" s="9" t="str">
        <x:v>L8</x:v>
      </x:c>
      <x:c r="E121" s="9" t="str">
        <x:v>1</x:v>
      </x:c>
      <x:c r="F121" s="9" t="str">
        <x:v>1</x:v>
      </x:c>
      <x:c r="G121" s="9" t="str">
        <x:v>Yes</x:v>
      </x:c>
      <x:c r="H121" s="9" t="str">
        <x:v>Agree</x:v>
      </x:c>
      <x:c r="I121" s="9" t="str">
        <x:v>1</x:v>
      </x:c>
      <x:c r="J121" s="9" t="str">
        <x:v>Final agreement</x:v>
      </x:c>
      <x:c r="K121" s="9" t="str">
        <x:v>Five separately printed sensors per orientation were averaged.</x:v>
      </x:c>
      <x:c r="L121" s="9" t="str">
        <x:v>PDF pp. 2–8; Figs. 1–7</x:v>
      </x:c>
      <x:c r="M121" s="9" t="str">
        <x:v>Final rating supersedes the earlier rating; no revised narrative reason was supplied.</x:v>
      </x:c>
      <x:c r="N121" s="9" t="str">
        <x:v>Finalized reviewer-rating workbook</x:v>
      </x:c>
      <x:c r="O121" s="9" t="str">
        <x:v>Five separately printed sensors per orientation were averaged.</x:v>
      </x:c>
      <x:c r="P121" s="9" t="str">
        <x:v>PDF pp. 2–8; Figs. 1–7</x:v>
      </x:c>
    </x:row>
    <x:row r="122">
      <x:c r="A122" s="9" t="n">
        <x:v>16</x:v>
      </x:c>
      <x:c r="B122" s="9" t="str">
        <x:v>S020</x:v>
      </x:c>
      <x:c r="C122" s="9" t="str">
        <x:v>Langlois et al. (2021)</x:v>
      </x:c>
      <x:c r="D122" s="9" t="str">
        <x:v>L1</x:v>
      </x:c>
      <x:c r="E122" s="9" t="str">
        <x:v>0</x:v>
      </x:c>
      <x:c r="F122" s="9" t="str">
        <x:v>0</x:v>
      </x:c>
      <x:c r="G122" s="9" t="str">
        <x:v>Yes</x:v>
      </x:c>
      <x:c r="H122" s="9" t="str">
        <x:v>Agree</x:v>
      </x:c>
      <x:c r="I122" s="9" t="str">
        <x:v>0</x:v>
      </x:c>
      <x:c r="J122" s="9" t="str">
        <x:v>Final agreement</x:v>
      </x:c>
      <x:c r="K122" s="9" t="str">
        <x:v>Printer and materials are named, but nozzle, temperature, speed, layer height, toolpath and infill are absent.</x:v>
      </x:c>
      <x:c r="L122" s="9" t="str">
        <x:v>PDF pp. 5–14; Figs. 5–12</x:v>
      </x:c>
      <x:c r="M122" s="9" t="str">
        <x:v>Fabrication is described, but reconstruction-critical nozzle, temperature, layer height, infill details are not reported.</x:v>
      </x:c>
      <x:c r="N122" s="9" t="str">
        <x:v>Article PDF p. 2</x:v>
      </x:c>
      <x:c r="O122" s="9" t="str">
        <x:v>Printer and materials are named, but nozzle, temperature, speed, layer height, toolpath and infill are absent.</x:v>
      </x:c>
      <x:c r="P122" s="9" t="str">
        <x:v>PDF pp. 5–14; Figs. 5–12</x:v>
      </x:c>
    </x:row>
    <x:row r="123">
      <x:c r="A123" s="9" t="n">
        <x:v>16</x:v>
      </x:c>
      <x:c r="B123" s="9" t="str">
        <x:v>S020</x:v>
      </x:c>
      <x:c r="C123" s="9" t="str">
        <x:v>Langlois et al. (2021)</x:v>
      </x:c>
      <x:c r="D123" s="9" t="str">
        <x:v>L2</x:v>
      </x:c>
      <x:c r="E123" s="9" t="str">
        <x:v>1</x:v>
      </x:c>
      <x:c r="F123" s="9" t="str">
        <x:v>1</x:v>
      </x:c>
      <x:c r="G123" s="9" t="str">
        <x:v>Yes</x:v>
      </x:c>
      <x:c r="H123" s="9" t="str">
        <x:v>Agree</x:v>
      </x:c>
      <x:c r="I123" s="9" t="str">
        <x:v>1</x:v>
      </x:c>
      <x:c r="J123" s="9" t="str">
        <x:v>Final agreement</x:v>
      </x:c>
      <x:c r="K123" s="9" t="str">
        <x:v>Insulating/conductive TPU, assembly, shield and readout are described.</x:v>
      </x:c>
      <x:c r="L123" s="9" t="str">
        <x:v>PDF pp. 5–14; Figs. 5–12</x:v>
      </x:c>
      <x:c r="M123" s="9" t="str">
        <x:v>Functional host, sensing constituent and relevant electrode/interface materials are identified.</x:v>
      </x:c>
      <x:c r="N123" s="9" t="str">
        <x:v>Article PDF p. 5</x:v>
      </x:c>
      <x:c r="O123" s="9" t="str">
        <x:v>Insulating/conductive TPU, assembly, shield and readout are described.</x:v>
      </x:c>
      <x:c r="P123" s="9" t="str">
        <x:v>PDF pp. 5–14; Figs. 5–12</x:v>
      </x:c>
    </x:row>
    <x:row r="124">
      <x:c r="A124" s="9" t="n">
        <x:v>16</x:v>
      </x:c>
      <x:c r="B124" s="9" t="str">
        <x:v>S020</x:v>
      </x:c>
      <x:c r="C124" s="9" t="str">
        <x:v>Langlois et al. (2021)</x:v>
      </x:c>
      <x:c r="D124" s="9" t="str">
        <x:v>L3</x:v>
      </x:c>
      <x:c r="E124" s="9" t="str">
        <x:v>1</x:v>
      </x:c>
      <x:c r="F124" s="9" t="str">
        <x:v>1</x:v>
      </x:c>
      <x:c r="G124" s="9" t="str">
        <x:v>Yes</x:v>
      </x:c>
      <x:c r="H124" s="9" t="str">
        <x:v>Agree</x:v>
      </x:c>
      <x:c r="I124" s="9" t="str">
        <x:v>1</x:v>
      </x:c>
      <x:c r="J124" s="9" t="str">
        <x:v>Final agreement</x:v>
      </x:c>
      <x:c r="K124" s="9" t="str">
        <x:v>Force-controlled bench and robot end-effector references are specified.</x:v>
      </x:c>
      <x:c r="L124" s="9" t="str">
        <x:v>PDF pp. 5–14; Figs. 5–12</x:v>
      </x:c>
      <x:c r="M124" s="9" t="str">
        <x:v>Sensor output is related to a controlled or independently measured input with a stated procedure and range.</x:v>
      </x:c>
      <x:c r="N124" s="9" t="str">
        <x:v>Article PDF p. 14</x:v>
      </x:c>
      <x:c r="O124" s="9" t="str">
        <x:v>Force-controlled bench and robot end-effector references are specified.</x:v>
      </x:c>
      <x:c r="P124" s="9" t="str">
        <x:v>PDF pp. 5–14; Figs. 5–12</x:v>
      </x:c>
    </x:row>
    <x:row r="125">
      <x:c r="A125" s="9" t="n">
        <x:v>16</x:v>
      </x:c>
      <x:c r="B125" s="9" t="str">
        <x:v>S020</x:v>
      </x:c>
      <x:c r="C125" s="9" t="str">
        <x:v>Langlois et al. (2021)</x:v>
      </x:c>
      <x:c r="D125" s="9" t="str">
        <x:v>L4</x:v>
      </x:c>
      <x:c r="E125" s="9" t="str">
        <x:v>1</x:v>
      </x:c>
      <x:c r="F125" s="9" t="str">
        <x:v>1</x:v>
      </x:c>
      <x:c r="G125" s="9" t="str">
        <x:v>Yes</x:v>
      </x:c>
      <x:c r="H125" s="9" t="str">
        <x:v>Agree</x:v>
      </x:c>
      <x:c r="I125" s="9" t="str">
        <x:v>1</x:v>
      </x:c>
      <x:c r="J125" s="9" t="str">
        <x:v>Final agreement</x:v>
      </x:c>
      <x:c r="K125" s="9" t="str">
        <x:v>Capacitance/force, hysteresis, response time and prediction metrics are reported.</x:v>
      </x:c>
      <x:c r="L125" s="9" t="str">
        <x:v>PDF pp. 5–14; Figs. 5–12</x:v>
      </x:c>
      <x:c r="M125" s="9" t="str">
        <x:v>A modality-appropriate quantitative response, units/calculation and operating range are reported.</x:v>
      </x:c>
      <x:c r="N125" s="9" t="str">
        <x:v>Article PDF p. 2</x:v>
      </x:c>
      <x:c r="O125" s="9" t="str">
        <x:v>Capacitance/force, hysteresis, response time and prediction metrics are reported.</x:v>
      </x:c>
      <x:c r="P125" s="9" t="str">
        <x:v>PDF pp. 5–14; Figs. 5–12</x:v>
      </x:c>
    </x:row>
    <x:row r="126">
      <x:c r="A126" s="9" t="n">
        <x:v>16</x:v>
      </x:c>
      <x:c r="B126" s="9" t="str">
        <x:v>S020</x:v>
      </x:c>
      <x:c r="C126" s="9" t="str">
        <x:v>Langlois et al. (2021)</x:v>
      </x:c>
      <x:c r="D126" s="9" t="str">
        <x:v>L5</x:v>
      </x:c>
      <x:c r="E126" s="9" t="str">
        <x:v>1</x:v>
      </x:c>
      <x:c r="F126" s="9" t="str">
        <x:v>1</x:v>
      </x:c>
      <x:c r="G126" s="9" t="str">
        <x:v>Yes</x:v>
      </x:c>
      <x:c r="H126" s="9" t="str">
        <x:v>Agree</x:v>
      </x:c>
      <x:c r="I126" s="9" t="str">
        <x:v>1</x:v>
      </x:c>
      <x:c r="J126" s="9" t="str">
        <x:v>Final agreement</x:v>
      </x:c>
      <x:c r="K126" s="9" t="str">
        <x:v>10–200 cycle tests and four repeated constant-load trials report drift/repeatability.</x:v>
      </x:c>
      <x:c r="L126" s="9" t="str">
        <x:v>PDF pp. 5–14; Figs. 5–12</x:v>
      </x:c>
      <x:c r="M126" s="9" t="str">
        <x:v>A stated repeated-test range/count is accompanied by a stability, hysteresis, retention or failure outcome.</x:v>
      </x:c>
      <x:c r="N126" s="9" t="str">
        <x:v>Article PDF p. 8</x:v>
      </x:c>
      <x:c r="O126" s="9" t="str">
        <x:v>10–200 cycle tests and four repeated constant-load trials report drift/repeatability.</x:v>
      </x:c>
      <x:c r="P126" s="9" t="str">
        <x:v>PDF pp. 5–14; Figs. 5–12</x:v>
      </x:c>
    </x:row>
    <x:row r="127">
      <x:c r="A127" s="9" t="n">
        <x:v>16</x:v>
      </x:c>
      <x:c r="B127" s="9" t="str">
        <x:v>S020</x:v>
      </x:c>
      <x:c r="C127" s="9" t="str">
        <x:v>Langlois et al. (2021)</x:v>
      </x:c>
      <x:c r="D127" s="9" t="str">
        <x:v>L6</x:v>
      </x:c>
      <x:c r="E127" s="9" t="str">
        <x:v>0</x:v>
      </x:c>
      <x:c r="F127" s="9" t="str">
        <x:v>0</x:v>
      </x:c>
      <x:c r="G127" s="9" t="str">
        <x:v>Yes</x:v>
      </x:c>
      <x:c r="H127" s="9" t="str">
        <x:v>Agree</x:v>
      </x:c>
      <x:c r="I127" s="9" t="str">
        <x:v>0</x:v>
      </x:c>
      <x:c r="J127" s="9" t="str">
        <x:v>Final agreement</x:v>
      </x:c>
      <x:c r="K127" s="9" t="str">
        <x:v>No declared environmental/use exposure distinct from load and integration variables.</x:v>
      </x:c>
      <x:c r="L127" s="9" t="str">
        <x:v>PDF pp. 5–14; Figs. 5–12</x:v>
      </x:c>
      <x:c r="M127" s="9" t="str">
        <x:v>No qualifying response under a declared non-measurand environmental/use exposure is reported.</x:v>
      </x:c>
      <x:c r="N127" s="9" t="str">
        <x:v>Article PDF p. 2</x:v>
      </x:c>
      <x:c r="O127" s="9" t="str">
        <x:v>No declared environmental/use exposure distinct from load and integration variables.</x:v>
      </x:c>
      <x:c r="P127" s="9" t="str">
        <x:v>PDF pp. 5–14; Figs. 5–12</x:v>
      </x:c>
    </x:row>
    <x:row r="128">
      <x:c r="A128" s="9" t="n">
        <x:v>16</x:v>
      </x:c>
      <x:c r="B128" s="9" t="str">
        <x:v>S020</x:v>
      </x:c>
      <x:c r="C128" s="9" t="str">
        <x:v>Langlois et al. (2021)</x:v>
      </x:c>
      <x:c r="D128" s="9" t="str">
        <x:v>L7</x:v>
      </x:c>
      <x:c r="E128" s="9" t="str">
        <x:v>0</x:v>
      </x:c>
      <x:c r="F128" s="9" t="str">
        <x:v>0</x:v>
      </x:c>
      <x:c r="G128" s="9" t="str">
        <x:v>Yes</x:v>
      </x:c>
      <x:c r="H128" s="9" t="str">
        <x:v>Agree</x:v>
      </x:c>
      <x:c r="I128" s="9" t="str">
        <x:v>0</x:v>
      </x:c>
      <x:c r="J128" s="9" t="str">
        <x:v>Final agreement</x:v>
      </x:c>
      <x:c r="K128" s="9" t="str">
        <x:v>The authors state sensors were characterized on a test bench. Drift in Fig. 7a is discussed as a greater concern for longer tasks or breaks, while the human trial illustrates in-situ calibration.</x:v>
      </x:c>
      <x:c r="L128" s="9" t="str">
        <x:v>S020_Main.pdf, physical pp. 13-14, human-in-the-loop results and Discussion; Fig. 7a bench characterization.</x:v>
      </x:c>
      <x:c r="M128" s="9" t="str">
        <x:v>The authors state sensors were characterized on a test bench. Drift in Fig. 7a is discussed as a greater concern for longer tasks or breaks, while the human trial illustrates in-situ calibration.</x:v>
      </x:c>
      <x:c r="N128" s="9" t="str">
        <x:v>S020_Main.pdf, physical pp. 13-14, human-in-the-loop results and Discussion; Fig. 7a bench characterization.</x:v>
      </x:c>
      <x:c r="O128" s="9" t="str">
        <x:v>The authors state sensors were characterized on a test bench. Drift in Fig. 7a is discussed as a greater concern for longer tasks or breaks, while the human trial illustrates in-situ calibration.</x:v>
      </x:c>
      <x:c r="P128" s="9" t="str">
        <x:v>S020_Main.pdf, physical pp. 13-14, human-in-the-loop results and Discussion; Fig. 7a bench characterization.</x:v>
      </x:c>
    </x:row>
    <x:row r="129">
      <x:c r="A129" s="9" t="n">
        <x:v>16</x:v>
      </x:c>
      <x:c r="B129" s="9" t="str">
        <x:v>S020</x:v>
      </x:c>
      <x:c r="C129" s="9" t="str">
        <x:v>Langlois et al. (2021)</x:v>
      </x:c>
      <x:c r="D129" s="9" t="str">
        <x:v>L8</x:v>
      </x:c>
      <x:c r="E129" s="9" t="str">
        <x:v>1</x:v>
      </x:c>
      <x:c r="F129" s="9" t="str">
        <x:v>1</x:v>
      </x:c>
      <x:c r="G129" s="9" t="str">
        <x:v>Yes</x:v>
      </x:c>
      <x:c r="H129" s="9" t="str">
        <x:v>Agree</x:v>
      </x:c>
      <x:c r="I129" s="9" t="str">
        <x:v>1</x:v>
      </x:c>
      <x:c r="J129" s="9" t="str">
        <x:v>Final agreement</x:v>
      </x:c>
      <x:c r="K129" s="9" t="str">
        <x:v>Four identically printed sensors were compared under the same load.</x:v>
      </x:c>
      <x:c r="L129" s="9" t="str">
        <x:v>PDF pp. 5–14; Figs. 5–12</x:v>
      </x:c>
      <x:c r="M129" s="9" t="str">
        <x:v>Final rating supersedes the earlier rating; no revised narrative reason was supplied.</x:v>
      </x:c>
      <x:c r="N129" s="9" t="str">
        <x:v>Finalized reviewer-rating workbook</x:v>
      </x:c>
      <x:c r="O129" s="9" t="str">
        <x:v>Four identically printed sensors were compared under the same load.</x:v>
      </x:c>
      <x:c r="P129" s="9" t="str">
        <x:v>PDF pp. 5–14; Figs. 5–12</x:v>
      </x:c>
    </x:row>
    <x:row r="130">
      <x:c r="A130" s="9" t="n">
        <x:v>17</x:v>
      </x:c>
      <x:c r="B130" s="9" t="str">
        <x:v>S021</x:v>
      </x:c>
      <x:c r="C130" s="9" t="str">
        <x:v>Li et al. (2026)</x:v>
      </x:c>
      <x:c r="D130" s="9" t="str">
        <x:v>L1</x:v>
      </x:c>
      <x:c r="E130" s="9" t="str">
        <x:v>0</x:v>
      </x:c>
      <x:c r="F130" s="9" t="str">
        <x:v>0</x:v>
      </x:c>
      <x:c r="G130" s="9" t="str">
        <x:v>Yes</x:v>
      </x:c>
      <x:c r="H130" s="9" t="str">
        <x:v>Agree</x:v>
      </x:c>
      <x:c r="I130" s="9" t="str">
        <x:v>0</x:v>
      </x:c>
      <x:c r="J130" s="9" t="str">
        <x:v>Final agreement</x:v>
      </x:c>
      <x:c r="K130" s="9" t="str">
        <x:v>TPU/FDM and structure are reported, but printer and core settings are absent.</x:v>
      </x:c>
      <x:c r="L130" s="9" t="str">
        <x:v>PDF pp. 3–12; Figs. 1–8; Table 1</x:v>
      </x:c>
      <x:c r="M130" s="9" t="str">
        <x:v>Fabrication is described, but reconstruction-critical nozzle, temperature, layer height, infill details are not reported.</x:v>
      </x:c>
      <x:c r="N130" s="9" t="str">
        <x:v>Article PDF p. 1</x:v>
      </x:c>
      <x:c r="O130" s="9" t="str">
        <x:v>TPU/FDM and structure are reported, but printer and core settings are absent.</x:v>
      </x:c>
      <x:c r="P130" s="9" t="str">
        <x:v>PDF pp. 3–12; Figs. 1–8; Table 1</x:v>
      </x:c>
    </x:row>
    <x:row r="131">
      <x:c r="A131" s="9" t="n">
        <x:v>17</x:v>
      </x:c>
      <x:c r="B131" s="9" t="str">
        <x:v>S021</x:v>
      </x:c>
      <x:c r="C131" s="9" t="str">
        <x:v>Li et al. (2026)</x:v>
      </x:c>
      <x:c r="D131" s="9" t="str">
        <x:v>L2</x:v>
      </x:c>
      <x:c r="E131" s="9" t="str">
        <x:v>1</x:v>
      </x:c>
      <x:c r="F131" s="9" t="str">
        <x:v>1</x:v>
      </x:c>
      <x:c r="G131" s="9" t="str">
        <x:v>Yes</x:v>
      </x:c>
      <x:c r="H131" s="9" t="str">
        <x:v>Agree</x:v>
      </x:c>
      <x:c r="I131" s="9" t="str">
        <x:v>1</x:v>
      </x:c>
      <x:c r="J131" s="9" t="str">
        <x:v>Final agreement</x:v>
      </x:c>
      <x:c r="K131" s="9" t="str">
        <x:v>TPU skeleton, optical fibres, PDMS and sensing roles are described.</x:v>
      </x:c>
      <x:c r="L131" s="9" t="str">
        <x:v>PDF pp. 3–12; Figs. 1–8; Table 1</x:v>
      </x:c>
      <x:c r="M131" s="9" t="str">
        <x:v>Functional host, sensing constituent and relevant electrode/interface materials are identified.</x:v>
      </x:c>
      <x:c r="N131" s="9" t="str">
        <x:v>Article PDF p. 2</x:v>
      </x:c>
      <x:c r="O131" s="9" t="str">
        <x:v>TPU skeleton, optical fibres, PDMS and sensing roles are described.</x:v>
      </x:c>
      <x:c r="P131" s="9" t="str">
        <x:v>PDF pp. 3–12; Figs. 1–8; Table 1</x:v>
      </x:c>
    </x:row>
    <x:row r="132">
      <x:c r="A132" s="9" t="n">
        <x:v>17</x:v>
      </x:c>
      <x:c r="B132" s="9" t="str">
        <x:v>S021</x:v>
      </x:c>
      <x:c r="C132" s="9" t="str">
        <x:v>Li et al. (2026)</x:v>
      </x:c>
      <x:c r="D132" s="9" t="str">
        <x:v>L3</x:v>
      </x:c>
      <x:c r="E132" s="9" t="str">
        <x:v>1</x:v>
      </x:c>
      <x:c r="F132" s="9" t="str">
        <x:v>1</x:v>
      </x:c>
      <x:c r="G132" s="9" t="str">
        <x:v>Yes</x:v>
      </x:c>
      <x:c r="H132" s="9" t="str">
        <x:v>Agree</x:v>
      </x:c>
      <x:c r="I132" s="9" t="str">
        <x:v>1</x:v>
      </x:c>
      <x:c r="J132" s="9" t="str">
        <x:v>Final agreement</x:v>
      </x:c>
      <x:c r="K132" s="9" t="str">
        <x:v>IMUs provide reference joint angles and separate-session validation is described.</x:v>
      </x:c>
      <x:c r="L132" s="9" t="str">
        <x:v>PDF pp. 3–12; Figs. 1–8; Table 1</x:v>
      </x:c>
      <x:c r="M132" s="9" t="str">
        <x:v>Glove optical outputs were calibrated against reference angles and independently mounted IMUs over defined joint ranges.</x:v>
      </x:c>
      <x:c r="N132" s="9" t="str">
        <x:v>Article PDF pp. 5-7, Figures 3-5</x:v>
      </x:c>
      <x:c r="O132" s="9" t="str">
        <x:v>IMUs provide reference joint angles and separate-session validation is described.</x:v>
      </x:c>
      <x:c r="P132" s="9" t="str">
        <x:v>PDF pp. 3–12; Figs. 1–8; Table 1</x:v>
      </x:c>
    </x:row>
    <x:row r="133">
      <x:c r="A133" s="9" t="n">
        <x:v>17</x:v>
      </x:c>
      <x:c r="B133" s="9" t="str">
        <x:v>S021</x:v>
      </x:c>
      <x:c r="C133" s="9" t="str">
        <x:v>Li et al. (2026)</x:v>
      </x:c>
      <x:c r="D133" s="9" t="str">
        <x:v>L4</x:v>
      </x:c>
      <x:c r="E133" s="9" t="str">
        <x:v>1</x:v>
      </x:c>
      <x:c r="F133" s="9" t="str">
        <x:v>1</x:v>
      </x:c>
      <x:c r="G133" s="9" t="str">
        <x:v>Yes</x:v>
      </x:c>
      <x:c r="H133" s="9" t="str">
        <x:v>Agree</x:v>
      </x:c>
      <x:c r="I133" s="9" t="str">
        <x:v>1</x:v>
      </x:c>
      <x:c r="J133" s="9" t="str">
        <x:v>Final agreement</x:v>
      </x:c>
      <x:c r="K133" s="9" t="str">
        <x:v>MAE and classification outcomes are reported.</x:v>
      </x:c>
      <x:c r="L133" s="9" t="str">
        <x:v>PDF pp. 3–12; Figs. 1–8; Table 1</x:v>
      </x:c>
      <x:c r="M133" s="9" t="str">
        <x:v>Sensitivity in nm/degree, linearity and mean absolute angle errors are reported over wrist/finger ranges.</x:v>
      </x:c>
      <x:c r="N133" s="9" t="str">
        <x:v>Article PDF pp. 6-10, Figures 3-8</x:v>
      </x:c>
      <x:c r="O133" s="9" t="str">
        <x:v>MAE and classification outcomes are reported.</x:v>
      </x:c>
      <x:c r="P133" s="9" t="str">
        <x:v>PDF pp. 3–12; Figs. 1–8; Table 1</x:v>
      </x:c>
    </x:row>
    <x:row r="134">
      <x:c r="A134" s="9" t="n">
        <x:v>17</x:v>
      </x:c>
      <x:c r="B134" s="9" t="str">
        <x:v>S021</x:v>
      </x:c>
      <x:c r="C134" s="9" t="str">
        <x:v>Li et al. (2026)</x:v>
      </x:c>
      <x:c r="D134" s="9" t="str">
        <x:v>L5</x:v>
      </x:c>
      <x:c r="E134" s="9" t="str">
        <x:v>0</x:v>
      </x:c>
      <x:c r="F134" s="9" t="str">
        <x:v>0</x:v>
      </x:c>
      <x:c r="G134" s="9" t="str">
        <x:v>Yes</x:v>
      </x:c>
      <x:c r="H134" s="9" t="str">
        <x:v>Agree</x:v>
      </x:c>
      <x:c r="I134" s="9" t="str">
        <x:v>0</x:v>
      </x:c>
      <x:c r="J134" s="9" t="str">
        <x:v>Final agreement</x:v>
      </x:c>
      <x:c r="K134" s="9" t="str">
        <x:v>Large sample counts and two sessions do not state at least three complete repeated cycles with a stability endpoint.</x:v>
      </x:c>
      <x:c r="L134" s="9" t="str">
        <x:v>PDF pp. 3–12; Figs. 1–8; Table 1</x:v>
      </x:c>
      <x:c r="M134" s="9" t="str">
        <x:v>Repeated testing lacks either a clear count/range or a qualifying stability/retention/failure outcome.</x:v>
      </x:c>
      <x:c r="N134" s="9" t="str">
        <x:v>Article PDF p. 2</x:v>
      </x:c>
      <x:c r="O134" s="9" t="str">
        <x:v>Large sample counts and two sessions do not state at least three complete repeated cycles with a stability endpoint.</x:v>
      </x:c>
      <x:c r="P134" s="9" t="str">
        <x:v>PDF pp. 3–12; Figs. 1–8; Table 1</x:v>
      </x:c>
    </x:row>
    <x:row r="135">
      <x:c r="A135" s="9" t="n">
        <x:v>17</x:v>
      </x:c>
      <x:c r="B135" s="9" t="str">
        <x:v>S021</x:v>
      </x:c>
      <x:c r="C135" s="9" t="str">
        <x:v>Li et al. (2026)</x:v>
      </x:c>
      <x:c r="D135" s="9" t="str">
        <x:v>L6</x:v>
      </x:c>
      <x:c r="E135" s="9" t="str">
        <x:v>0</x:v>
      </x:c>
      <x:c r="F135" s="9" t="str">
        <x:v>0</x:v>
      </x:c>
      <x:c r="G135" s="9" t="str">
        <x:v>Yes</x:v>
      </x:c>
      <x:c r="H135" s="9" t="str">
        <x:v>Agree</x:v>
      </x:c>
      <x:c r="I135" s="9" t="str">
        <x:v>0</x:v>
      </x:c>
      <x:c r="J135" s="9" t="str">
        <x:v>Final agreement</x:v>
      </x:c>
      <x:c r="K135" s="9" t="str">
        <x:v>Temperature was not varied; stable indoor conditions were assumed.</x:v>
      </x:c>
      <x:c r="L135" s="9" t="str">
        <x:v>PDF pp. 3–12; Figs. 1–8; Table 1</x:v>
      </x:c>
      <x:c r="M135" s="9" t="str">
        <x:v>No qualifying response under a declared non-measurand environmental/use exposure is reported.</x:v>
      </x:c>
      <x:c r="N135" s="9" t="str">
        <x:v>Article PDF p. 2</x:v>
      </x:c>
      <x:c r="O135" s="9" t="str">
        <x:v>Temperature was not varied; stable indoor conditions were assumed.</x:v>
      </x:c>
      <x:c r="P135" s="9" t="str">
        <x:v>PDF pp. 3–12; Figs. 1–8; Table 1</x:v>
      </x:c>
    </x:row>
    <x:row r="136">
      <x:c r="A136" s="9" t="n">
        <x:v>17</x:v>
      </x:c>
      <x:c r="B136" s="9" t="str">
        <x:v>S021</x:v>
      </x:c>
      <x:c r="C136" s="9" t="str">
        <x:v>Li et al. (2026)</x:v>
      </x:c>
      <x:c r="D136" s="9" t="str">
        <x:v>L7</x:v>
      </x:c>
      <x:c r="E136" s="9" t="str">
        <x:v>1</x:v>
      </x:c>
      <x:c r="F136" s="9" t="str">
        <x:v>1</x:v>
      </x:c>
      <x:c r="G136" s="9" t="str">
        <x:v>Yes</x:v>
      </x:c>
      <x:c r="H136" s="9" t="str">
        <x:v>Agree</x:v>
      </x:c>
      <x:c r="I136" s="9" t="str">
        <x:v>1</x:v>
      </x:c>
      <x:c r="J136" s="9" t="str">
        <x:v>Final agreement</x:v>
      </x:c>
      <x:c r="K136" s="9" t="str">
        <x:v>Final L7 rating from the targeted reassessment.</x:v>
      </x:c>
      <x:c r="L136" s="9" t="str">
        <x:v>Finalized reviewer-rating workbook</x:v>
      </x:c>
      <x:c r="M136" s="9" t="str">
        <x:v>Final L7 rating from the targeted reassessment.</x:v>
      </x:c>
      <x:c r="N136" s="9" t="str">
        <x:v>Finalized reviewer-rating workbook</x:v>
      </x:c>
      <x:c r="O136" s="9" t="str">
        <x:v>Removal/re-wearing and a separate-session validation quantify integrated-system transfer after reapplication.</x:v>
      </x:c>
      <x:c r="P136" s="9" t="str">
        <x:v>PDF pp. 3–12; Figs. 1–8; Table 1</x:v>
      </x:c>
    </x:row>
    <x:row r="137">
      <x:c r="A137" s="9" t="n">
        <x:v>17</x:v>
      </x:c>
      <x:c r="B137" s="9" t="str">
        <x:v>S021</x:v>
      </x:c>
      <x:c r="C137" s="9" t="str">
        <x:v>Li et al. (2026)</x:v>
      </x:c>
      <x:c r="D137" s="9" t="str">
        <x:v>L8</x:v>
      </x:c>
      <x:c r="E137" s="9" t="str">
        <x:v>0</x:v>
      </x:c>
      <x:c r="F137" s="9" t="str">
        <x:v>0</x:v>
      </x:c>
      <x:c r="G137" s="9" t="str">
        <x:v>Yes</x:v>
      </x:c>
      <x:c r="H137" s="9" t="str">
        <x:v>Agree</x:v>
      </x:c>
      <x:c r="I137" s="9" t="str">
        <x:v>0</x:v>
      </x:c>
      <x:c r="J137" s="9" t="str">
        <x:v>Final agreement</x:v>
      </x:c>
      <x:c r="K137" s="9" t="str">
        <x:v>One glove; nodes and sessions are not separate fabricated devices.</x:v>
      </x:c>
      <x:c r="L137" s="9" t="str">
        <x:v>PDF pp. 3–12; Figs. 1–8; Table 1</x:v>
      </x:c>
      <x:c r="M137" s="9" t="str">
        <x:v>At least three equivalent independently fabricated units with quantified between-unit variation are not reported.</x:v>
      </x:c>
      <x:c r="N137" s="9" t="str">
        <x:v>Article PDF p. 2</x:v>
      </x:c>
      <x:c r="O137" s="9" t="str">
        <x:v>One glove; nodes and sessions are not separate fabricated devices.</x:v>
      </x:c>
      <x:c r="P137" s="9" t="str">
        <x:v>PDF pp. 3–12; Figs. 1–8; Table 1</x:v>
      </x:c>
    </x:row>
    <x:row r="138">
      <x:c r="A138" s="9" t="n">
        <x:v>18</x:v>
      </x:c>
      <x:c r="B138" s="9" t="str">
        <x:v>S022</x:v>
      </x:c>
      <x:c r="C138" s="9" t="str">
        <x:v>Yan et al. (2025)</x:v>
      </x:c>
      <x:c r="D138" s="9" t="str">
        <x:v>L1</x:v>
      </x:c>
      <x:c r="E138" s="9" t="str">
        <x:v>0</x:v>
      </x:c>
      <x:c r="F138" s="9" t="str">
        <x:v>0</x:v>
      </x:c>
      <x:c r="G138" s="9" t="str">
        <x:v>Yes</x:v>
      </x:c>
      <x:c r="H138" s="9" t="str">
        <x:v>Agree</x:v>
      </x:c>
      <x:c r="I138" s="9" t="str">
        <x:v>0</x:v>
      </x:c>
      <x:c r="J138" s="9" t="str">
        <x:v>Final agreement</x:v>
      </x:c>
      <x:c r="K138" s="9" t="str">
        <x:v>Printer and scaffold geometry are reported; core print settings are only in Supplementary Table S1.</x:v>
      </x:c>
      <x:c r="L138" s="9" t="str">
        <x:v>PDF pp. 1–9; Figs. 1–6; cited SI</x:v>
      </x:c>
      <x:c r="M138" s="9" t="str">
        <x:v>Final rating supersedes the earlier rating; no revised narrative reason was supplied.</x:v>
      </x:c>
      <x:c r="N138" s="9" t="str">
        <x:v>Finalized reviewer-rating workbook</x:v>
      </x:c>
      <x:c r="O138" s="9" t="str">
        <x:v>Printer and scaffold geometry are reported; core print settings are only in Supplementary Table S1.</x:v>
      </x:c>
      <x:c r="P138" s="9" t="str">
        <x:v>PDF pp. 1–9; Figs. 1–6; cited SI</x:v>
      </x:c>
    </x:row>
    <x:row r="139">
      <x:c r="A139" s="9" t="n">
        <x:v>18</x:v>
      </x:c>
      <x:c r="B139" s="9" t="str">
        <x:v>S022</x:v>
      </x:c>
      <x:c r="C139" s="9" t="str">
        <x:v>Yan et al. (2025)</x:v>
      </x:c>
      <x:c r="D139" s="9" t="str">
        <x:v>L2</x:v>
      </x:c>
      <x:c r="E139" s="9" t="str">
        <x:v>1</x:v>
      </x:c>
      <x:c r="F139" s="9" t="str">
        <x:v>1</x:v>
      </x:c>
      <x:c r="G139" s="9" t="str">
        <x:v>Yes</x:v>
      </x:c>
      <x:c r="H139" s="9" t="str">
        <x:v>Agree</x:v>
      </x:c>
      <x:c r="I139" s="9" t="str">
        <x:v>1</x:v>
      </x:c>
      <x:c r="J139" s="9" t="str">
        <x:v>Final agreement</x:v>
      </x:c>
      <x:c r="K139" s="9" t="str">
        <x:v>TPU, CB dispersion/impregnation and electrode/readout roles are described.</x:v>
      </x:c>
      <x:c r="L139" s="9" t="str">
        <x:v>PDF pp. 1–9; Figs. 1–6; cited SI</x:v>
      </x:c>
      <x:c r="M139" s="9" t="str">
        <x:v>Functional host, sensing constituent and relevant electrode/interface materials are identified.</x:v>
      </x:c>
      <x:c r="N139" s="9" t="str">
        <x:v>Article PDF p. 7</x:v>
      </x:c>
      <x:c r="O139" s="9" t="str">
        <x:v>TPU, CB dispersion/impregnation and electrode/readout roles are described.</x:v>
      </x:c>
      <x:c r="P139" s="9" t="str">
        <x:v>PDF pp. 1–9; Figs. 1–6; cited SI</x:v>
      </x:c>
    </x:row>
    <x:row r="140">
      <x:c r="A140" s="9" t="n">
        <x:v>18</x:v>
      </x:c>
      <x:c r="B140" s="9" t="str">
        <x:v>S022</x:v>
      </x:c>
      <x:c r="C140" s="9" t="str">
        <x:v>Yan et al. (2025)</x:v>
      </x:c>
      <x:c r="D140" s="9" t="str">
        <x:v>L3</x:v>
      </x:c>
      <x:c r="E140" s="9" t="str">
        <x:v>1</x:v>
      </x:c>
      <x:c r="F140" s="9" t="str">
        <x:v>1</x:v>
      </x:c>
      <x:c r="G140" s="9" t="str">
        <x:v>Yes</x:v>
      </x:c>
      <x:c r="H140" s="9" t="str">
        <x:v>Agree</x:v>
      </x:c>
      <x:c r="I140" s="9" t="str">
        <x:v>1</x:v>
      </x:c>
      <x:c r="J140" s="9" t="str">
        <x:v>Final agreement</x:v>
      </x:c>
      <x:c r="K140" s="9" t="str">
        <x:v>Controlled compression with tester and multimeter is described.</x:v>
      </x:c>
      <x:c r="L140" s="9" t="str">
        <x:v>PDF pp. 1–9; Figs. 1–6; cited SI</x:v>
      </x:c>
      <x:c r="M140" s="9" t="str">
        <x:v>Sensor output is related to a controlled or independently measured input with a stated procedure and range.</x:v>
      </x:c>
      <x:c r="N140" s="9" t="str">
        <x:v>Article PDF p. 4</x:v>
      </x:c>
      <x:c r="O140" s="9" t="str">
        <x:v>Controlled compression with tester and multimeter is described.</x:v>
      </x:c>
      <x:c r="P140" s="9" t="str">
        <x:v>PDF pp. 1–9; Figs. 1–6; cited SI</x:v>
      </x:c>
    </x:row>
    <x:row r="141">
      <x:c r="A141" s="9" t="n">
        <x:v>18</x:v>
      </x:c>
      <x:c r="B141" s="9" t="str">
        <x:v>S022</x:v>
      </x:c>
      <x:c r="C141" s="9" t="str">
        <x:v>Yan et al. (2025)</x:v>
      </x:c>
      <x:c r="D141" s="9" t="str">
        <x:v>L4</x:v>
      </x:c>
      <x:c r="E141" s="9" t="str">
        <x:v>1</x:v>
      </x:c>
      <x:c r="F141" s="9" t="str">
        <x:v>1</x:v>
      </x:c>
      <x:c r="G141" s="9" t="str">
        <x:v>Yes</x:v>
      </x:c>
      <x:c r="H141" s="9" t="str">
        <x:v>Agree</x:v>
      </x:c>
      <x:c r="I141" s="9" t="str">
        <x:v>1</x:v>
      </x:c>
      <x:c r="J141" s="9" t="str">
        <x:v>Final agreement</x:v>
      </x:c>
      <x:c r="K141" s="9" t="str">
        <x:v>Stage-specific GF, range and response time are reported.</x:v>
      </x:c>
      <x:c r="L141" s="9" t="str">
        <x:v>PDF pp. 1–9; Figs. 1–6; cited SI</x:v>
      </x:c>
      <x:c r="M141" s="9" t="str">
        <x:v>A modality-appropriate quantitative response, units/calculation and operating range are reported.</x:v>
      </x:c>
      <x:c r="N141" s="9" t="str">
        <x:v>Article PDF p. 4</x:v>
      </x:c>
      <x:c r="O141" s="9" t="str">
        <x:v>Stage-specific GF, range and response time are reported.</x:v>
      </x:c>
      <x:c r="P141" s="9" t="str">
        <x:v>PDF pp. 1–9; Figs. 1–6; cited SI</x:v>
      </x:c>
    </x:row>
    <x:row r="142">
      <x:c r="A142" s="9" t="n">
        <x:v>18</x:v>
      </x:c>
      <x:c r="B142" s="9" t="str">
        <x:v>S022</x:v>
      </x:c>
      <x:c r="C142" s="9" t="str">
        <x:v>Yan et al. (2025)</x:v>
      </x:c>
      <x:c r="D142" s="9" t="str">
        <x:v>L5</x:v>
      </x:c>
      <x:c r="E142" s="9" t="str">
        <x:v>1</x:v>
      </x:c>
      <x:c r="F142" s="9" t="str">
        <x:v>1</x:v>
      </x:c>
      <x:c r="G142" s="9" t="str">
        <x:v>Yes</x:v>
      </x:c>
      <x:c r="H142" s="9" t="str">
        <x:v>Agree</x:v>
      </x:c>
      <x:c r="I142" s="9" t="str">
        <x:v>1</x:v>
      </x:c>
      <x:c r="J142" s="9" t="str">
        <x:v>Final agreement</x:v>
      </x:c>
      <x:c r="K142" s="9" t="str">
        <x:v>1000 compression-release cycles with &lt;5% deviation.</x:v>
      </x:c>
      <x:c r="L142" s="9" t="str">
        <x:v>PDF pp. 1–9; Figs. 1–6; cited SI</x:v>
      </x:c>
      <x:c r="M142" s="9" t="str">
        <x:v>A stated repeated-test range/count is accompanied by a stability, hysteresis, retention or failure outcome.</x:v>
      </x:c>
      <x:c r="N142" s="9" t="str">
        <x:v>Article PDF p. 1</x:v>
      </x:c>
      <x:c r="O142" s="9" t="str">
        <x:v>1000 compression-release cycles with &lt;5% deviation.</x:v>
      </x:c>
      <x:c r="P142" s="9" t="str">
        <x:v>PDF pp. 1–9; Figs. 1–6; cited SI</x:v>
      </x:c>
    </x:row>
    <x:row r="143">
      <x:c r="A143" s="9" t="n">
        <x:v>18</x:v>
      </x:c>
      <x:c r="B143" s="9" t="str">
        <x:v>S022</x:v>
      </x:c>
      <x:c r="C143" s="9" t="str">
        <x:v>Yan et al. (2025)</x:v>
      </x:c>
      <x:c r="D143" s="9" t="str">
        <x:v>L6</x:v>
      </x:c>
      <x:c r="E143" s="9" t="str">
        <x:v>1</x:v>
      </x:c>
      <x:c r="F143" s="9" t="str">
        <x:v>1</x:v>
      </x:c>
      <x:c r="G143" s="9" t="str">
        <x:v>Yes</x:v>
      </x:c>
      <x:c r="H143" s="9" t="str">
        <x:v>Agree</x:v>
      </x:c>
      <x:c r="I143" s="9" t="str">
        <x:v>1</x:v>
      </x:c>
      <x:c r="J143" s="9" t="str">
        <x:v>Final agreement</x:v>
      </x:c>
      <x:c r="K143" s="9" t="str">
        <x:v>Resistance response was measured from 23% to 85% RH; the reported normalized-resistance variation was on the order of 10^-3.</x:v>
      </x:c>
      <x:c r="L143" s="9" t="str">
        <x:v>Supplementary Fig. S9</x:v>
      </x:c>
      <x:c r="M143" s="9" t="str">
        <x:v>Resistance changed only on the order of 10^-3 across 23-85% RH, demonstrating humidity robustness.</x:v>
      </x:c>
      <x:c r="N143" s="9" t="str">
        <x:v>Supplementary PDF p. S-11, Figure S9</x:v>
      </x:c>
      <x:c r="O143" s="9" t="str">
        <x:v>Resistance response was measured from 23% to 85% RH; the reported normalized-resistance variation was on the order of 10^-3.</x:v>
      </x:c>
      <x:c r="P143" s="9" t="str">
        <x:v>Supplementary Fig. S9</x:v>
      </x:c>
    </x:row>
    <x:row r="144">
      <x:c r="A144" s="9" t="n">
        <x:v>18</x:v>
      </x:c>
      <x:c r="B144" s="9" t="str">
        <x:v>S022</x:v>
      </x:c>
      <x:c r="C144" s="9" t="str">
        <x:v>Yan et al. (2025)</x:v>
      </x:c>
      <x:c r="D144" s="9" t="str">
        <x:v>L7</x:v>
      </x:c>
      <x:c r="E144" s="9" t="str">
        <x:v>1</x:v>
      </x:c>
      <x:c r="F144" s="9" t="str">
        <x:v>1</x:v>
      </x:c>
      <x:c r="G144" s="9" t="str">
        <x:v>Yes</x:v>
      </x:c>
      <x:c r="H144" s="9" t="str">
        <x:v>Agree</x:v>
      </x:c>
      <x:c r="I144" s="9" t="str">
        <x:v>1</x:v>
      </x:c>
      <x:c r="J144" s="9" t="str">
        <x:v>Final agreement</x:v>
      </x:c>
      <x:c r="K144" s="9" t="str">
        <x:v>Normal walking produces periodic waveforms with uniform amplitude, contrasted with variable limping signals; the sole configuration is shown alongside the worn application.</x:v>
      </x:c>
      <x:c r="L144" s="9" t="str">
        <x:v>S022_Main.pdf, physical p. 6, full-body monitoring paragraph; p. 7, Fig. 6h-j. Supplied supplement contains separate bench characterization.</x:v>
      </x:c>
      <x:c r="M144" s="9" t="str">
        <x:v>Normal walking produces periodic waveforms with uniform amplitude, contrasted with variable limping signals; the sole configuration is shown alongside the worn application.</x:v>
      </x:c>
      <x:c r="N144" s="9" t="str">
        <x:v>S022_Main.pdf, physical p. 6, full-body monitoring paragraph; p. 7, Fig. 6h-j. Supplied supplement contains separate bench characterization.</x:v>
      </x:c>
      <x:c r="O144" s="9" t="str">
        <x:v>Normal walking produces periodic waveforms with uniform amplitude, contrasted with variable limping signals; the sole configuration is shown alongside the worn application.</x:v>
      </x:c>
      <x:c r="P144" s="9" t="str">
        <x:v>S022_Main.pdf, physical p. 6, full-body monitoring paragraph; p. 7, Fig. 6h-j. Supplied supplement contains separate bench characterization.</x:v>
      </x:c>
    </x:row>
    <x:row r="145">
      <x:c r="A145" s="9" t="n">
        <x:v>18</x:v>
      </x:c>
      <x:c r="B145" s="9" t="str">
        <x:v>S022</x:v>
      </x:c>
      <x:c r="C145" s="9" t="str">
        <x:v>Yan et al. (2025)</x:v>
      </x:c>
      <x:c r="D145" s="9" t="str">
        <x:v>L8</x:v>
      </x:c>
      <x:c r="E145" s="9" t="str">
        <x:v>0</x:v>
      </x:c>
      <x:c r="F145" s="9" t="str">
        <x:v>0</x:v>
      </x:c>
      <x:c r="G145" s="9" t="str">
        <x:v>Yes</x:v>
      </x:c>
      <x:c r="H145" s="9" t="str">
        <x:v>Agree</x:v>
      </x:c>
      <x:c r="I145" s="9" t="str">
        <x:v>0</x:v>
      </x:c>
      <x:c r="J145" s="9" t="str">
        <x:v>Final agreement</x:v>
      </x:c>
      <x:c r="K145" s="9" t="str">
        <x:v>n=5 applies to mechanical architecture tests; quantitative functional sensor replication is unclear.</x:v>
      </x:c>
      <x:c r="L145" s="9" t="str">
        <x:v>PDF pp. 1–9; Figs. 1–6; cited SI</x:v>
      </x:c>
      <x:c r="M145" s="9" t="str">
        <x:v>At least three equivalent independently fabricated units with quantified between-unit variation are not reported.</x:v>
      </x:c>
      <x:c r="N145" s="9" t="str">
        <x:v>Article PDF p. 5</x:v>
      </x:c>
      <x:c r="O145" s="9" t="str">
        <x:v>n=5 applies to mechanical architecture tests; quantitative functional sensor replication is unclear.</x:v>
      </x:c>
      <x:c r="P145" s="9" t="str">
        <x:v>PDF pp. 1–9; Figs. 1–6; cited SI</x:v>
      </x:c>
    </x:row>
    <x:row r="146">
      <x:c r="A146" s="9" t="n">
        <x:v>19</x:v>
      </x:c>
      <x:c r="B146" s="9" t="str">
        <x:v>S023</x:v>
      </x:c>
      <x:c r="C146" s="9" t="str">
        <x:v>Salo et al. (2022)</x:v>
      </x:c>
      <x:c r="D146" s="9" t="str">
        <x:v>L1</x:v>
      </x:c>
      <x:c r="E146" s="9" t="str">
        <x:v>1</x:v>
      </x:c>
      <x:c r="F146" s="9" t="str">
        <x:v>1</x:v>
      </x:c>
      <x:c r="G146" s="9" t="str">
        <x:v>Yes</x:v>
      </x:c>
      <x:c r="H146" s="9" t="str">
        <x:v>Agree</x:v>
      </x:c>
      <x:c r="I146" s="9" t="str">
        <x:v>1</x:v>
      </x:c>
      <x:c r="J146" s="9" t="str">
        <x:v>Final agreement</x:v>
      </x:c>
      <x:c r="K146" s="9" t="str">
        <x:v>Printer, nozzle, temperatures, speed, layer, infill, toolpath and geometry are reported.</x:v>
      </x:c>
      <x:c r="L146" s="9" t="str">
        <x:v>PDF pp. 3–16; Figs. 2–10; Tables 1–2</x:v>
      </x:c>
      <x:c r="M146" s="9" t="str">
        <x:v>Reconstruction-relevant printer, material, temperature, layer, speed, path/geometry and post-processing details are reported.</x:v>
      </x:c>
      <x:c r="N146" s="9" t="str">
        <x:v>Article PDF p. 3</x:v>
      </x:c>
      <x:c r="O146" s="9" t="str">
        <x:v>Printer, nozzle, temperatures, speed, layer, infill, toolpath and geometry are reported.</x:v>
      </x:c>
      <x:c r="P146" s="9" t="str">
        <x:v>PDF pp. 3–16; Figs. 2–10; Tables 1–2</x:v>
      </x:c>
    </x:row>
    <x:row r="147">
      <x:c r="A147" s="9" t="n">
        <x:v>19</x:v>
      </x:c>
      <x:c r="B147" s="9" t="str">
        <x:v>S023</x:v>
      </x:c>
      <x:c r="C147" s="9" t="str">
        <x:v>Salo et al. (2022)</x:v>
      </x:c>
      <x:c r="D147" s="9" t="str">
        <x:v>L2</x:v>
      </x:c>
      <x:c r="E147" s="9" t="str">
        <x:v>1</x:v>
      </x:c>
      <x:c r="F147" s="9" t="str">
        <x:v>1</x:v>
      </x:c>
      <x:c r="G147" s="9" t="str">
        <x:v>Yes</x:v>
      </x:c>
      <x:c r="H147" s="9" t="str">
        <x:v>Agree</x:v>
      </x:c>
      <x:c r="I147" s="9" t="str">
        <x:v>1</x:v>
      </x:c>
      <x:c r="J147" s="9" t="str">
        <x:v>Final agreement</x:v>
      </x:c>
      <x:c r="K147" s="9" t="str">
        <x:v>TPU and CFC composition/roles and integration are reported.</x:v>
      </x:c>
      <x:c r="L147" s="9" t="str">
        <x:v>PDF pp. 3–16; Figs. 2–10; Tables 1–2</x:v>
      </x:c>
      <x:c r="M147" s="9" t="str">
        <x:v>Functional host, sensing constituent and relevant electrode/interface materials are identified.</x:v>
      </x:c>
      <x:c r="N147" s="9" t="str">
        <x:v>Article PDF p. 18</x:v>
      </x:c>
      <x:c r="O147" s="9" t="str">
        <x:v>TPU and CFC composition/roles and integration are reported.</x:v>
      </x:c>
      <x:c r="P147" s="9" t="str">
        <x:v>PDF pp. 3–16; Figs. 2–10; Tables 1–2</x:v>
      </x:c>
    </x:row>
    <x:row r="148">
      <x:c r="A148" s="9" t="n">
        <x:v>19</x:v>
      </x:c>
      <x:c r="B148" s="9" t="str">
        <x:v>S023</x:v>
      </x:c>
      <x:c r="C148" s="9" t="str">
        <x:v>Salo et al. (2022)</x:v>
      </x:c>
      <x:c r="D148" s="9" t="str">
        <x:v>L3</x:v>
      </x:c>
      <x:c r="E148" s="9" t="str">
        <x:v>1</x:v>
      </x:c>
      <x:c r="F148" s="9" t="str">
        <x:v>1</x:v>
      </x:c>
      <x:c r="G148" s="9" t="str">
        <x:v>Yes</x:v>
      </x:c>
      <x:c r="H148" s="9" t="str">
        <x:v>Agree</x:v>
      </x:c>
      <x:c r="I148" s="9" t="str">
        <x:v>1</x:v>
      </x:c>
      <x:c r="J148" s="9" t="str">
        <x:v>Final agreement</x:v>
      </x:c>
      <x:c r="K148" s="9" t="str">
        <x:v>Controlled tensile and electrical measurements with defined ranges/speeds.</x:v>
      </x:c>
      <x:c r="L148" s="9" t="str">
        <x:v>PDF pp. 3–16; Figs. 2–10; Tables 1–2</x:v>
      </x:c>
      <x:c r="M148" s="9" t="str">
        <x:v>Sensor output is related to a controlled or independently measured input with a stated procedure and range.</x:v>
      </x:c>
      <x:c r="N148" s="9" t="str">
        <x:v>Article PDF p. 4</x:v>
      </x:c>
      <x:c r="O148" s="9" t="str">
        <x:v>Controlled tensile and electrical measurements with defined ranges/speeds.</x:v>
      </x:c>
      <x:c r="P148" s="9" t="str">
        <x:v>PDF pp. 3–16; Figs. 2–10; Tables 1–2</x:v>
      </x:c>
    </x:row>
    <x:row r="149">
      <x:c r="A149" s="9" t="n">
        <x:v>19</x:v>
      </x:c>
      <x:c r="B149" s="9" t="str">
        <x:v>S023</x:v>
      </x:c>
      <x:c r="C149" s="9" t="str">
        <x:v>Salo et al. (2022)</x:v>
      </x:c>
      <x:c r="D149" s="9" t="str">
        <x:v>L4</x:v>
      </x:c>
      <x:c r="E149" s="9" t="str">
        <x:v>1</x:v>
      </x:c>
      <x:c r="F149" s="9" t="str">
        <x:v>1</x:v>
      </x:c>
      <x:c r="G149" s="9" t="str">
        <x:v>Yes</x:v>
      </x:c>
      <x:c r="H149" s="9" t="str">
        <x:v>Agree</x:v>
      </x:c>
      <x:c r="I149" s="9" t="str">
        <x:v>1</x:v>
      </x:c>
      <x:c r="J149" s="9" t="str">
        <x:v>Final agreement</x:v>
      </x:c>
      <x:c r="K149" s="9" t="str">
        <x:v>Resistance, sensitivity, hysteresis, drift and deformation ranges are reported.</x:v>
      </x:c>
      <x:c r="L149" s="9" t="str">
        <x:v>PDF pp. 3–16; Figs. 2–10; Tables 1–2</x:v>
      </x:c>
      <x:c r="M149" s="9" t="str">
        <x:v>A modality-appropriate quantitative response, units/calculation and operating range are reported.</x:v>
      </x:c>
      <x:c r="N149" s="9" t="str">
        <x:v>Article PDF p. 12</x:v>
      </x:c>
      <x:c r="O149" s="9" t="str">
        <x:v>Resistance, sensitivity, hysteresis, drift and deformation ranges are reported.</x:v>
      </x:c>
      <x:c r="P149" s="9" t="str">
        <x:v>PDF pp. 3–16; Figs. 2–10; Tables 1–2</x:v>
      </x:c>
    </x:row>
    <x:row r="150">
      <x:c r="A150" s="9" t="n">
        <x:v>19</x:v>
      </x:c>
      <x:c r="B150" s="9" t="str">
        <x:v>S023</x:v>
      </x:c>
      <x:c r="C150" s="9" t="str">
        <x:v>Salo et al. (2022)</x:v>
      </x:c>
      <x:c r="D150" s="9" t="str">
        <x:v>L5</x:v>
      </x:c>
      <x:c r="E150" s="9" t="str">
        <x:v>1</x:v>
      </x:c>
      <x:c r="F150" s="9" t="str">
        <x:v>1</x:v>
      </x:c>
      <x:c r="G150" s="9" t="str">
        <x:v>Yes</x:v>
      </x:c>
      <x:c r="H150" s="9" t="str">
        <x:v>Agree</x:v>
      </x:c>
      <x:c r="I150" s="9" t="str">
        <x:v>1</x:v>
      </x:c>
      <x:c r="J150" s="9" t="str">
        <x:v>Final agreement</x:v>
      </x:c>
      <x:c r="K150" s="9" t="str">
        <x:v>10,000 cycles with individual sample trajectories and failure boundary.</x:v>
      </x:c>
      <x:c r="L150" s="9" t="str">
        <x:v>PDF pp. 3–16; Figs. 2–10; Tables 1–2</x:v>
      </x:c>
      <x:c r="M150" s="9" t="str">
        <x:v>A stated repeated-test range/count is accompanied by a stability, hysteresis, retention or failure outcome.</x:v>
      </x:c>
      <x:c r="N150" s="9" t="str">
        <x:v>Article PDF p. 11</x:v>
      </x:c>
      <x:c r="O150" s="9" t="str">
        <x:v>10,000 cycles with individual sample trajectories and failure boundary.</x:v>
      </x:c>
      <x:c r="P150" s="9" t="str">
        <x:v>PDF pp. 3–16; Figs. 2–10; Tables 1–2</x:v>
      </x:c>
    </x:row>
    <x:row r="151">
      <x:c r="A151" s="9" t="n">
        <x:v>19</x:v>
      </x:c>
      <x:c r="B151" s="9" t="str">
        <x:v>S023</x:v>
      </x:c>
      <x:c r="C151" s="9" t="str">
        <x:v>Salo et al. (2022)</x:v>
      </x:c>
      <x:c r="D151" s="9" t="str">
        <x:v>L6</x:v>
      </x:c>
      <x:c r="E151" s="9" t="str">
        <x:v>0</x:v>
      </x:c>
      <x:c r="F151" s="9" t="str">
        <x:v>0</x:v>
      </x:c>
      <x:c r="G151" s="9" t="str">
        <x:v>Yes</x:v>
      </x:c>
      <x:c r="H151" s="9" t="str">
        <x:v>Agree</x:v>
      </x:c>
      <x:c r="I151" s="9" t="str">
        <x:v>0</x:v>
      </x:c>
      <x:c r="J151" s="9" t="str">
        <x:v>Final agreement</x:v>
      </x:c>
      <x:c r="K151" s="9" t="str">
        <x:v>No qualifying environmental exposure response.</x:v>
      </x:c>
      <x:c r="L151" s="9" t="str">
        <x:v>PDF pp. 3–16; Figs. 2–10; Tables 1–2</x:v>
      </x:c>
      <x:c r="M151" s="9" t="str">
        <x:v>No qualifying response under a declared non-measurand environmental/use exposure is reported.</x:v>
      </x:c>
      <x:c r="N151" s="9" t="str">
        <x:v>Article PDF p. 4</x:v>
      </x:c>
      <x:c r="O151" s="9" t="str">
        <x:v>No qualifying environmental exposure response.</x:v>
      </x:c>
      <x:c r="P151" s="9" t="str">
        <x:v>PDF pp. 3–16; Figs. 2–10; Tables 1–2</x:v>
      </x:c>
    </x:row>
    <x:row r="152">
      <x:c r="A152" s="9" t="n">
        <x:v>19</x:v>
      </x:c>
      <x:c r="B152" s="9" t="str">
        <x:v>S023</x:v>
      </x:c>
      <x:c r="C152" s="9" t="str">
        <x:v>Salo et al. (2022)</x:v>
      </x:c>
      <x:c r="D152" s="9" t="str">
        <x:v>L7</x:v>
      </x:c>
      <x:c r="E152" s="9" t="str">
        <x:v>0</x:v>
      </x:c>
      <x:c r="F152" s="9" t="str">
        <x:v>0</x:v>
      </x:c>
      <x:c r="G152" s="9" t="str">
        <x:v>Yes</x:v>
      </x:c>
      <x:c r="H152" s="9" t="str">
        <x:v>Agree</x:v>
      </x:c>
      <x:c r="I152" s="9" t="str">
        <x:v>0</x:v>
      </x:c>
      <x:c r="J152" s="9" t="str">
        <x:v>Final agreement</x:v>
      </x:c>
      <x:c r="K152" s="9" t="str">
        <x:v>Final L7 rating from the targeted reassessment.</x:v>
      </x:c>
      <x:c r="L152" s="9" t="str">
        <x:v>Finalized reviewer-rating workbook</x:v>
      </x:c>
      <x:c r="M152" s="9" t="str">
        <x:v>Final L7 rating from the targeted reassessment.</x:v>
      </x:c>
      <x:c r="N152" s="9" t="str">
        <x:v>Finalized reviewer-rating workbook</x:v>
      </x:c>
      <x:c r="O152" s="9" t="str">
        <x:v>No qualifying interface-integrity test or repeated final monolithic wearable-assembly test with a retention/failure endpoint was located.</x:v>
      </x:c>
      <x:c r="P152" s="9" t="str">
        <x:v>PDF pp. 3–16; Figs. 2–10; Tables 1–2</x:v>
      </x:c>
    </x:row>
    <x:row r="153">
      <x:c r="A153" s="9" t="n">
        <x:v>19</x:v>
      </x:c>
      <x:c r="B153" s="9" t="str">
        <x:v>S023</x:v>
      </x:c>
      <x:c r="C153" s="9" t="str">
        <x:v>Salo et al. (2022)</x:v>
      </x:c>
      <x:c r="D153" s="9" t="str">
        <x:v>L8</x:v>
      </x:c>
      <x:c r="E153" s="9" t="str">
        <x:v>1</x:v>
      </x:c>
      <x:c r="F153" s="9" t="str">
        <x:v>1</x:v>
      </x:c>
      <x:c r="G153" s="9" t="str">
        <x:v>Yes</x:v>
      </x:c>
      <x:c r="H153" s="9" t="str">
        <x:v>Agree</x:v>
      </x:c>
      <x:c r="I153" s="9" t="str">
        <x:v>1</x:v>
      </x:c>
      <x:c r="J153" s="9" t="str">
        <x:v>Final agreement</x:v>
      </x:c>
      <x:c r="K153" s="9" t="str">
        <x:v>Three separate samples per cyclic condition were measured individually.</x:v>
      </x:c>
      <x:c r="L153" s="9" t="str">
        <x:v>PDF pp. 3–16; Figs. 2–10; Tables 1–2</x:v>
      </x:c>
      <x:c r="M153" s="9" t="str">
        <x:v>Each category used three samples tested together; 15 parallel specimens were measured individually and between-sample results were reported.</x:v>
      </x:c>
      <x:c r="N153" s="9" t="str">
        <x:v>Article PDF pp. 5-6, Table 2</x:v>
      </x:c>
      <x:c r="O153" s="9" t="str">
        <x:v>Three separate samples per cyclic condition were measured individually.</x:v>
      </x:c>
      <x:c r="P153" s="9" t="str">
        <x:v>PDF pp. 3–16; Figs. 2–10; Tables 1–2</x:v>
      </x:c>
    </x:row>
    <x:row r="154">
      <x:c r="A154" s="9" t="n">
        <x:v>20</x:v>
      </x:c>
      <x:c r="B154" s="9" t="str">
        <x:v>S024</x:v>
      </x:c>
      <x:c r="C154" s="9" t="str">
        <x:v>Han et al. (2026)</x:v>
      </x:c>
      <x:c r="D154" s="9" t="str">
        <x:v>L1</x:v>
      </x:c>
      <x:c r="E154" s="9" t="str">
        <x:v>0</x:v>
      </x:c>
      <x:c r="F154" s="9" t="str">
        <x:v>0</x:v>
      </x:c>
      <x:c r="G154" s="9" t="str">
        <x:v>Yes</x:v>
      </x:c>
      <x:c r="H154" s="9" t="str">
        <x:v>Agree</x:v>
      </x:c>
      <x:c r="I154" s="9" t="str">
        <x:v>0</x:v>
      </x:c>
      <x:c r="J154" s="9" t="str">
        <x:v>Final agreement</x:v>
      </x:c>
      <x:c r="K154" s="9" t="str">
        <x:v>Printer, material and some thermal/geometry details are reported, but nozzle, layer height, infill and exact speed are absent.</x:v>
      </x:c>
      <x:c r="L154" s="9" t="str">
        <x:v>PDF pp. 2–11; Figs. 1–6; cited SI</x:v>
      </x:c>
      <x:c r="M154" s="9" t="str">
        <x:v>Fabrication is described, but reconstruction-critical nozzle, layer height, infill details are not reported.</x:v>
      </x:c>
      <x:c r="N154" s="9" t="str">
        <x:v>Article PDF p. 11</x:v>
      </x:c>
      <x:c r="O154" s="9" t="str">
        <x:v>Printer, material and some thermal/geometry details are reported, but nozzle, layer height, infill and exact speed are absent.</x:v>
      </x:c>
      <x:c r="P154" s="9" t="str">
        <x:v>PDF pp. 2–11; Figs. 1–6; cited SI</x:v>
      </x:c>
    </x:row>
    <x:row r="155">
      <x:c r="A155" s="9" t="n">
        <x:v>20</x:v>
      </x:c>
      <x:c r="B155" s="9" t="str">
        <x:v>S024</x:v>
      </x:c>
      <x:c r="C155" s="9" t="str">
        <x:v>Han et al. (2026)</x:v>
      </x:c>
      <x:c r="D155" s="9" t="str">
        <x:v>L2</x:v>
      </x:c>
      <x:c r="E155" s="9" t="str">
        <x:v>1</x:v>
      </x:c>
      <x:c r="F155" s="9" t="str">
        <x:v>1</x:v>
      </x:c>
      <x:c r="G155" s="9" t="str">
        <x:v>Yes</x:v>
      </x:c>
      <x:c r="H155" s="9" t="str">
        <x:v>Agree</x:v>
      </x:c>
      <x:c r="I155" s="9" t="str">
        <x:v>1</x:v>
      </x:c>
      <x:c r="J155" s="9" t="str">
        <x:v>Final agreement</x:v>
      </x:c>
      <x:c r="K155" s="9" t="str">
        <x:v>Active conductive TPU film, patterned cracks, electrodes and encapsulation are described.</x:v>
      </x:c>
      <x:c r="L155" s="9" t="str">
        <x:v>PDF pp. 2–11; Figs. 1–6; cited SI</x:v>
      </x:c>
      <x:c r="M155" s="9" t="str">
        <x:v>Functional host, sensing constituent and relevant electrode/interface materials are identified.</x:v>
      </x:c>
      <x:c r="N155" s="9" t="str">
        <x:v>Article PDF p. 10</x:v>
      </x:c>
      <x:c r="O155" s="9" t="str">
        <x:v>Active conductive TPU film, patterned cracks, electrodes and encapsulation are described.</x:v>
      </x:c>
      <x:c r="P155" s="9" t="str">
        <x:v>PDF pp. 2–11; Figs. 1–6; cited SI</x:v>
      </x:c>
    </x:row>
    <x:row r="156">
      <x:c r="A156" s="9" t="n">
        <x:v>20</x:v>
      </x:c>
      <x:c r="B156" s="9" t="str">
        <x:v>S024</x:v>
      </x:c>
      <x:c r="C156" s="9" t="str">
        <x:v>Han et al. (2026)</x:v>
      </x:c>
      <x:c r="D156" s="9" t="str">
        <x:v>L3</x:v>
      </x:c>
      <x:c r="E156" s="9" t="str">
        <x:v>1</x:v>
      </x:c>
      <x:c r="F156" s="9" t="str">
        <x:v>1</x:v>
      </x:c>
      <x:c r="G156" s="9" t="str">
        <x:v>Yes</x:v>
      </x:c>
      <x:c r="H156" s="9" t="str">
        <x:v>Agree</x:v>
      </x:c>
      <x:c r="I156" s="9" t="str">
        <x:v>1</x:v>
      </x:c>
      <x:c r="J156" s="9" t="str">
        <x:v>Final agreement</x:v>
      </x:c>
      <x:c r="K156" s="9" t="str">
        <x:v>Controlled tensile testing and resistance measurement are described.</x:v>
      </x:c>
      <x:c r="L156" s="9" t="str">
        <x:v>PDF pp. 2–11; Figs. 1–6; cited SI</x:v>
      </x:c>
      <x:c r="M156" s="9" t="str">
        <x:v>Sensor output is related to a controlled or independently measured input with a stated procedure and range.</x:v>
      </x:c>
      <x:c r="N156" s="9" t="str">
        <x:v>Article PDF p. 11</x:v>
      </x:c>
      <x:c r="O156" s="9" t="str">
        <x:v>Controlled tensile testing and resistance measurement are described.</x:v>
      </x:c>
      <x:c r="P156" s="9" t="str">
        <x:v>PDF pp. 2–11; Figs. 1–6; cited SI</x:v>
      </x:c>
    </x:row>
    <x:row r="157">
      <x:c r="A157" s="9" t="n">
        <x:v>20</x:v>
      </x:c>
      <x:c r="B157" s="9" t="str">
        <x:v>S024</x:v>
      </x:c>
      <x:c r="C157" s="9" t="str">
        <x:v>Han et al. (2026)</x:v>
      </x:c>
      <x:c r="D157" s="9" t="str">
        <x:v>L4</x:v>
      </x:c>
      <x:c r="E157" s="9" t="str">
        <x:v>1</x:v>
      </x:c>
      <x:c r="F157" s="9" t="str">
        <x:v>1</x:v>
      </x:c>
      <x:c r="G157" s="9" t="str">
        <x:v>Yes</x:v>
      </x:c>
      <x:c r="H157" s="9" t="str">
        <x:v>Agree</x:v>
      </x:c>
      <x:c r="I157" s="9" t="str">
        <x:v>1</x:v>
      </x:c>
      <x:c r="J157" s="9" t="str">
        <x:v>Final agreement</x:v>
      </x:c>
      <x:c r="K157" s="9" t="str">
        <x:v>GF, linear range, hysteresis, response/recovery and drift are reported.</x:v>
      </x:c>
      <x:c r="L157" s="9" t="str">
        <x:v>PDF pp. 2–11; Figs. 1–6; cited SI</x:v>
      </x:c>
      <x:c r="M157" s="9" t="str">
        <x:v>A modality-appropriate quantitative response, units/calculation and operating range are reported.</x:v>
      </x:c>
      <x:c r="N157" s="9" t="str">
        <x:v>Article PDF p. 4</x:v>
      </x:c>
      <x:c r="O157" s="9" t="str">
        <x:v>GF, linear range, hysteresis, response/recovery and drift are reported.</x:v>
      </x:c>
      <x:c r="P157" s="9" t="str">
        <x:v>PDF pp. 2–11; Figs. 1–6; cited SI</x:v>
      </x:c>
    </x:row>
    <x:row r="158">
      <x:c r="A158" s="9" t="n">
        <x:v>20</x:v>
      </x:c>
      <x:c r="B158" s="9" t="str">
        <x:v>S024</x:v>
      </x:c>
      <x:c r="C158" s="9" t="str">
        <x:v>Han et al. (2026)</x:v>
      </x:c>
      <x:c r="D158" s="9" t="str">
        <x:v>L5</x:v>
      </x:c>
      <x:c r="E158" s="9" t="str">
        <x:v>1</x:v>
      </x:c>
      <x:c r="F158" s="9" t="str">
        <x:v>1</x:v>
      </x:c>
      <x:c r="G158" s="9" t="str">
        <x:v>Yes</x:v>
      </x:c>
      <x:c r="H158" s="9" t="str">
        <x:v>Agree</x:v>
      </x:c>
      <x:c r="I158" s="9" t="str">
        <x:v>1</x:v>
      </x:c>
      <x:c r="J158" s="9" t="str">
        <x:v>Final agreement</x:v>
      </x:c>
      <x:c r="K158" s="9" t="str">
        <x:v>8000 cycles at 6% strain with quantified peak retention.</x:v>
      </x:c>
      <x:c r="L158" s="9" t="str">
        <x:v>PDF pp. 2–11; Figs. 1–6; cited SI</x:v>
      </x:c>
      <x:c r="M158" s="9" t="str">
        <x:v>A stated repeated-test range/count is accompanied by a stability, hysteresis, retention or failure outcome.</x:v>
      </x:c>
      <x:c r="N158" s="9" t="str">
        <x:v>Article PDF p. 5</x:v>
      </x:c>
      <x:c r="O158" s="9" t="str">
        <x:v>8000 cycles at 6% strain with quantified peak retention.</x:v>
      </x:c>
      <x:c r="P158" s="9" t="str">
        <x:v>PDF pp. 2–11; Figs. 1–6; cited SI</x:v>
      </x:c>
    </x:row>
    <x:row r="159">
      <x:c r="A159" s="9" t="n">
        <x:v>20</x:v>
      </x:c>
      <x:c r="B159" s="9" t="str">
        <x:v>S024</x:v>
      </x:c>
      <x:c r="C159" s="9" t="str">
        <x:v>Han et al. (2026)</x:v>
      </x:c>
      <x:c r="D159" s="9" t="str">
        <x:v>L6</x:v>
      </x:c>
      <x:c r="E159" s="9" t="str">
        <x:v>1</x:v>
      </x:c>
      <x:c r="F159" s="9" t="str">
        <x:v>1</x:v>
      </x:c>
      <x:c r="G159" s="9" t="str">
        <x:v>Yes</x:v>
      </x:c>
      <x:c r="H159" s="9" t="str">
        <x:v>Agree</x:v>
      </x:c>
      <x:c r="I159" s="9" t="str">
        <x:v>1</x:v>
      </x:c>
      <x:c r="J159" s="9" t="str">
        <x:v>Final agreement</x:v>
      </x:c>
      <x:c r="K159" s="9" t="str">
        <x:v>Sensor response was compared before exposure and after 3 and 7 days at 60 °C and 80% RH; gauge factor decreased by 5.4% and 9.1%, respectively.</x:v>
      </x:c>
      <x:c r="L159" s="9" t="str">
        <x:v>Main article p. 7; Supplementary Fig. S4, SI p. 4</x:v>
      </x:c>
      <x:c r="M159" s="9" t="str">
        <x:v>Sensor/system response is reported under a declared non-measurand environmental or use-related exposure.</x:v>
      </x:c>
      <x:c r="N159" s="9" t="str">
        <x:v>Article PDF p. 11</x:v>
      </x:c>
      <x:c r="O159" s="9" t="str">
        <x:v>Sensor response was compared before exposure and after 3 and 7 days at 60 °C and 80% RH; gauge factor decreased by 5.4% and 9.1%, respectively.</x:v>
      </x:c>
      <x:c r="P159" s="9" t="str">
        <x:v>Main article p. 7; Supplementary Fig. S4, SI p. 4</x:v>
      </x:c>
    </x:row>
    <x:row r="160">
      <x:c r="A160" s="9" t="n">
        <x:v>20</x:v>
      </x:c>
      <x:c r="B160" s="9" t="str">
        <x:v>S024</x:v>
      </x:c>
      <x:c r="C160" s="9" t="str">
        <x:v>Han et al. (2026)</x:v>
      </x:c>
      <x:c r="D160" s="9" t="str">
        <x:v>L7</x:v>
      </x:c>
      <x:c r="E160" s="9" t="str">
        <x:v>1</x:v>
      </x:c>
      <x:c r="F160" s="9" t="str">
        <x:v>1</x:v>
      </x:c>
      <x:c r="G160" s="9" t="str">
        <x:v>Yes</x:v>
      </x:c>
      <x:c r="H160" s="9" t="str">
        <x:v>Agree</x:v>
      </x:c>
      <x:c r="I160" s="9" t="str">
        <x:v>1</x:v>
      </x:c>
      <x:c r="J160" s="9" t="str">
        <x:v>Final agreement</x:v>
      </x:c>
      <x:c r="K160" s="9" t="str">
        <x:v>Final L7 rating from the targeted reassessment.</x:v>
      </x:c>
      <x:c r="L160" s="9" t="str">
        <x:v>Finalized reviewer-rating workbook</x:v>
      </x:c>
      <x:c r="M160" s="9" t="str">
        <x:v>Final L7 rating from the targeted reassessment.</x:v>
      </x:c>
      <x:c r="N160" s="9" t="str">
        <x:v>Finalized reviewer-rating workbook</x:v>
      </x:c>
      <x:c r="O160" s="9" t="str">
        <x:v>Lap-shear adhesion provides a quantitative encapsulation-interface endpoint.</x:v>
      </x:c>
      <x:c r="P160" s="9" t="str">
        <x:v>PDF pp. 2–11; Figs. 1–6; cited SI</x:v>
      </x:c>
    </x:row>
    <x:row r="161">
      <x:c r="A161" s="9" t="n">
        <x:v>20</x:v>
      </x:c>
      <x:c r="B161" s="9" t="str">
        <x:v>S024</x:v>
      </x:c>
      <x:c r="C161" s="9" t="str">
        <x:v>Han et al. (2026)</x:v>
      </x:c>
      <x:c r="D161" s="9" t="str">
        <x:v>L8</x:v>
      </x:c>
      <x:c r="E161" s="9" t="str">
        <x:v>0</x:v>
      </x:c>
      <x:c r="F161" s="9" t="str">
        <x:v>0</x:v>
      </x:c>
      <x:c r="G161" s="9" t="str">
        <x:v>Yes</x:v>
      </x:c>
      <x:c r="H161" s="9" t="str">
        <x:v>Agree</x:v>
      </x:c>
      <x:c r="I161" s="9" t="str">
        <x:v>0</x:v>
      </x:c>
      <x:c r="J161" s="9" t="str">
        <x:v>Final agreement</x:v>
      </x:c>
      <x:c r="K161" s="9" t="str">
        <x:v>Geometry groups are reported without a clear ≥3 separately fabricated device comparison.</x:v>
      </x:c>
      <x:c r="L161" s="9" t="str">
        <x:v>PDF pp. 2–11; Figs. 1–6; cited SI</x:v>
      </x:c>
      <x:c r="M161" s="9" t="str">
        <x:v>At least three equivalent independently fabricated units with quantified between-unit variation are not reported.</x:v>
      </x:c>
      <x:c r="N161" s="9" t="str">
        <x:v>Article PDF p. 4</x:v>
      </x:c>
      <x:c r="O161" s="9" t="str">
        <x:v>Geometry groups are reported without a clear ≥3 separately fabricated device comparison.</x:v>
      </x:c>
      <x:c r="P161" s="9" t="str">
        <x:v>PDF pp. 2–11; Figs. 1–6; cited SI</x:v>
      </x:c>
    </x:row>
    <x:row r="162">
      <x:c r="A162" s="9" t="n">
        <x:v>21</x:v>
      </x:c>
      <x:c r="B162" s="9" t="str">
        <x:v>S025</x:v>
      </x:c>
      <x:c r="C162" s="9" t="str">
        <x:v>Wei et al. (2026)</x:v>
      </x:c>
      <x:c r="D162" s="9" t="str">
        <x:v>L1</x:v>
      </x:c>
      <x:c r="E162" s="9" t="str">
        <x:v>1</x:v>
      </x:c>
      <x:c r="F162" s="9" t="str">
        <x:v>1</x:v>
      </x:c>
      <x:c r="G162" s="9" t="str">
        <x:v>Yes</x:v>
      </x:c>
      <x:c r="H162" s="9" t="str">
        <x:v>Agree</x:v>
      </x:c>
      <x:c r="I162" s="9" t="str">
        <x:v>1</x:v>
      </x:c>
      <x:c r="J162" s="9" t="str">
        <x:v>Final agreement</x:v>
      </x:c>
      <x:c r="K162" s="9" t="str">
        <x:v>FFF printer, conductive filament, nozzle, temperatures, layer height and pillar geometry are reported.</x:v>
      </x:c>
      <x:c r="L162" s="9" t="str">
        <x:v>PDF pp. 2–10; Figs. 1–6; Table 1; cited SI</x:v>
      </x:c>
      <x:c r="M162" s="9" t="str">
        <x:v>Final rating supersedes the earlier rating; no revised narrative reason was supplied.</x:v>
      </x:c>
      <x:c r="N162" s="9" t="str">
        <x:v>Finalized reviewer-rating workbook</x:v>
      </x:c>
      <x:c r="O162" s="9" t="str">
        <x:v>FFF printer, conductive filament, nozzle, temperatures, layer height and pillar geometry are reported.</x:v>
      </x:c>
      <x:c r="P162" s="9" t="str">
        <x:v>PDF pp. 2–10; Figs. 1–6; Table 1; cited SI</x:v>
      </x:c>
    </x:row>
    <x:row r="163">
      <x:c r="A163" s="9" t="n">
        <x:v>21</x:v>
      </x:c>
      <x:c r="B163" s="9" t="str">
        <x:v>S025</x:v>
      </x:c>
      <x:c r="C163" s="9" t="str">
        <x:v>Wei et al. (2026)</x:v>
      </x:c>
      <x:c r="D163" s="9" t="str">
        <x:v>L2</x:v>
      </x:c>
      <x:c r="E163" s="9" t="str">
        <x:v>1</x:v>
      </x:c>
      <x:c r="F163" s="9" t="str">
        <x:v>1</x:v>
      </x:c>
      <x:c r="G163" s="9" t="str">
        <x:v>Yes</x:v>
      </x:c>
      <x:c r="H163" s="9" t="str">
        <x:v>Agree</x:v>
      </x:c>
      <x:c r="I163" s="9" t="str">
        <x:v>1</x:v>
      </x:c>
      <x:c r="J163" s="9" t="str">
        <x:v>Final agreement</x:v>
      </x:c>
      <x:c r="K163" s="9" t="str">
        <x:v>The supplement identifies the H+-selective cocktail (hydrogen ionophore I, NaTFPB, PU and DOS in THF) and the reference membrane (PVB and NaCl in methanol), together with the CB-PLA and Ag/AgCl components.</x:v>
      </x:c>
      <x:c r="L163" s="9" t="str">
        <x:v>Supplementary Experimental section, SI p. 3</x:v>
      </x:c>
      <x:c r="M163" s="9" t="str">
        <x:v>Functional host, sensing constituent and relevant electrode/interface materials are identified.</x:v>
      </x:c>
      <x:c r="N163" s="9" t="str">
        <x:v>Article PDF p. 2</x:v>
      </x:c>
      <x:c r="O163" s="9" t="str">
        <x:v>The supplement identifies the H+-selective cocktail (hydrogen ionophore I, NaTFPB, PU and DOS in THF) and the reference membrane (PVB and NaCl in methanol), together with the CB-PLA and Ag/AgCl components.</x:v>
      </x:c>
      <x:c r="P163" s="9" t="str">
        <x:v>Supplementary Experimental section, SI p. 3</x:v>
      </x:c>
    </x:row>
    <x:row r="164">
      <x:c r="A164" s="9" t="n">
        <x:v>21</x:v>
      </x:c>
      <x:c r="B164" s="9" t="str">
        <x:v>S025</x:v>
      </x:c>
      <x:c r="C164" s="9" t="str">
        <x:v>Wei et al. (2026)</x:v>
      </x:c>
      <x:c r="D164" s="9" t="str">
        <x:v>L3</x:v>
      </x:c>
      <x:c r="E164" s="9" t="str">
        <x:v>1</x:v>
      </x:c>
      <x:c r="F164" s="9" t="str">
        <x:v>1</x:v>
      </x:c>
      <x:c r="G164" s="9" t="str">
        <x:v>Yes</x:v>
      </x:c>
      <x:c r="H164" s="9" t="str">
        <x:v>Agree</x:v>
      </x:c>
      <x:c r="I164" s="9" t="str">
        <x:v>1</x:v>
      </x:c>
      <x:c r="J164" s="9" t="str">
        <x:v>Final agreement</x:v>
      </x:c>
      <x:c r="K164" s="9" t="str">
        <x:v>Controlled buffers and commercial pH references are used.</x:v>
      </x:c>
      <x:c r="L164" s="9" t="str">
        <x:v>PDF pp. 2–10; Figs. 1–6; Table 1; cited SI</x:v>
      </x:c>
      <x:c r="M164" s="9" t="str">
        <x:v>Sensor output is related to a controlled or independently measured input with a stated procedure and range.</x:v>
      </x:c>
      <x:c r="N164" s="9" t="str">
        <x:v>Article PDF p. 2</x:v>
      </x:c>
      <x:c r="O164" s="9" t="str">
        <x:v>Controlled buffers and commercial pH references are used.</x:v>
      </x:c>
      <x:c r="P164" s="9" t="str">
        <x:v>PDF pp. 2–10; Figs. 1–6; Table 1; cited SI</x:v>
      </x:c>
    </x:row>
    <x:row r="165">
      <x:c r="A165" s="9" t="n">
        <x:v>21</x:v>
      </x:c>
      <x:c r="B165" s="9" t="str">
        <x:v>S025</x:v>
      </x:c>
      <x:c r="C165" s="9" t="str">
        <x:v>Wei et al. (2026)</x:v>
      </x:c>
      <x:c r="D165" s="9" t="str">
        <x:v>L4</x:v>
      </x:c>
      <x:c r="E165" s="9" t="str">
        <x:v>1</x:v>
      </x:c>
      <x:c r="F165" s="9" t="str">
        <x:v>1</x:v>
      </x:c>
      <x:c r="G165" s="9" t="str">
        <x:v>Yes</x:v>
      </x:c>
      <x:c r="H165" s="9" t="str">
        <x:v>Agree</x:v>
      </x:c>
      <x:c r="I165" s="9" t="str">
        <x:v>1</x:v>
      </x:c>
      <x:c r="J165" s="9" t="str">
        <x:v>Final agreement</x:v>
      </x:c>
      <x:c r="K165" s="9" t="str">
        <x:v>Sensitivity, response, drift, RSD and ex-vivo accuracy are reported.</x:v>
      </x:c>
      <x:c r="L165" s="9" t="str">
        <x:v>PDF pp. 2–10; Figs. 1–6; Table 1; cited SI</x:v>
      </x:c>
      <x:c r="M165" s="9" t="str">
        <x:v>A modality-appropriate quantitative response, units/calculation and operating range are reported.</x:v>
      </x:c>
      <x:c r="N165" s="9" t="str">
        <x:v>Article PDF p. 7</x:v>
      </x:c>
      <x:c r="O165" s="9" t="str">
        <x:v>Sensitivity, response, drift, RSD and ex-vivo accuracy are reported.</x:v>
      </x:c>
      <x:c r="P165" s="9" t="str">
        <x:v>PDF pp. 2–10; Figs. 1–6; Table 1; cited SI</x:v>
      </x:c>
    </x:row>
    <x:row r="166">
      <x:c r="A166" s="9" t="n">
        <x:v>21</x:v>
      </x:c>
      <x:c r="B166" s="9" t="str">
        <x:v>S025</x:v>
      </x:c>
      <x:c r="C166" s="9" t="str">
        <x:v>Wei et al. (2026)</x:v>
      </x:c>
      <x:c r="D166" s="9" t="str">
        <x:v>L5</x:v>
      </x:c>
      <x:c r="E166" s="9" t="str">
        <x:v>1</x:v>
      </x:c>
      <x:c r="F166" s="9" t="str">
        <x:v>1</x:v>
      </x:c>
      <x:c r="G166" s="9" t="str">
        <x:v>Yes</x:v>
      </x:c>
      <x:c r="H166" s="9" t="str">
        <x:v>Agree</x:v>
      </x:c>
      <x:c r="I166" s="9" t="str">
        <x:v>1</x:v>
      </x:c>
      <x:c r="J166" s="9" t="str">
        <x:v>Final agreement</x:v>
      </x:c>
      <x:c r="K166" s="9" t="str">
        <x:v>Three calibration cycles, reversibility, 24 h stability and repeated insertions are quantified.</x:v>
      </x:c>
      <x:c r="L166" s="9" t="str">
        <x:v>PDF pp. 2–10; Figs. 1–6; Table 1; cited SI</x:v>
      </x:c>
      <x:c r="M166" s="9" t="str">
        <x:v>Repeatability, 24-hour stability, repeated tissue penetration and calibration retention are reported with stated counts.</x:v>
      </x:c>
      <x:c r="N166" s="9" t="str">
        <x:v>Article PDF pp. 5-7, Figures 2-3</x:v>
      </x:c>
      <x:c r="O166" s="9" t="str">
        <x:v>Three calibration cycles, reversibility, 24 h stability and repeated insertions are quantified.</x:v>
      </x:c>
      <x:c r="P166" s="9" t="str">
        <x:v>PDF pp. 2–10; Figs. 1–6; Table 1; cited SI</x:v>
      </x:c>
    </x:row>
    <x:row r="167">
      <x:c r="A167" s="9" t="n">
        <x:v>21</x:v>
      </x:c>
      <x:c r="B167" s="9" t="str">
        <x:v>S025</x:v>
      </x:c>
      <x:c r="C167" s="9" t="str">
        <x:v>Wei et al. (2026)</x:v>
      </x:c>
      <x:c r="D167" s="9" t="str">
        <x:v>L6</x:v>
      </x:c>
      <x:c r="E167" s="9" t="str">
        <x:v>1</x:v>
      </x:c>
      <x:c r="F167" s="9" t="str">
        <x:v>1</x:v>
      </x:c>
      <x:c r="G167" s="9" t="str">
        <x:v>Yes</x:v>
      </x:c>
      <x:c r="H167" s="9" t="str">
        <x:v>Agree</x:v>
      </x:c>
      <x:c r="I167" s="9" t="str">
        <x:v>1</x:v>
      </x:c>
      <x:c r="J167" s="9" t="str">
        <x:v>Final agreement</x:v>
      </x:c>
      <x:c r="K167" s="9" t="str">
        <x:v>Temperature and repeated skin-insertion effects are reported.</x:v>
      </x:c>
      <x:c r="L167" s="9" t="str">
        <x:v>PDF pp. 2–10; Figs. 1–6; Table 1; cited SI</x:v>
      </x:c>
      <x:c r="M167" s="9" t="str">
        <x:v>Sensor/system response is reported under a declared non-measurand environmental or use-related exposure.</x:v>
      </x:c>
      <x:c r="N167" s="9" t="str">
        <x:v>Article PDF p. 7</x:v>
      </x:c>
      <x:c r="O167" s="9" t="str">
        <x:v>Temperature and repeated skin-insertion effects are reported.</x:v>
      </x:c>
      <x:c r="P167" s="9" t="str">
        <x:v>PDF pp. 2–10; Figs. 1–6; Table 1; cited SI</x:v>
      </x:c>
    </x:row>
    <x:row r="168">
      <x:c r="A168" s="9" t="n">
        <x:v>21</x:v>
      </x:c>
      <x:c r="B168" s="9" t="str">
        <x:v>S025</x:v>
      </x:c>
      <x:c r="C168" s="9" t="str">
        <x:v>Wei et al. (2026)</x:v>
      </x:c>
      <x:c r="D168" s="9" t="str">
        <x:v>L7</x:v>
      </x:c>
      <x:c r="E168" s="9" t="str">
        <x:v>0</x:v>
      </x:c>
      <x:c r="F168" s="9" t="str">
        <x:v>0</x:v>
      </x:c>
      <x:c r="G168" s="9" t="str">
        <x:v>Yes</x:v>
      </x:c>
      <x:c r="H168" s="9" t="str">
        <x:v>Agree</x:v>
      </x:c>
      <x:c r="I168" s="9" t="str">
        <x:v>0</x:v>
      </x:c>
      <x:c r="J168" s="9" t="str">
        <x:v>Final agreement</x:v>
      </x:c>
      <x:c r="K168" s="9" t="str">
        <x:v>Three consecutive insertions are performed for each patch. The conclusion explicitly places on-body measurements in future work.</x:v>
      </x:c>
      <x:c r="L168" s="9" t="str">
        <x:v>S025_Main.pdf, physical pp. 9-11, Fig. 5d, Fig. 6/Table 1 and Conclusions; S025_Supplement_01.pdf, ex-vivo and calibration methods.</x:v>
      </x:c>
      <x:c r="M168" s="9" t="str">
        <x:v>Three consecutive insertions are performed for each patch. The conclusion explicitly places on-body measurements in future work.</x:v>
      </x:c>
      <x:c r="N168" s="9" t="str">
        <x:v>S025_Main.pdf, physical pp. 9-11, Fig. 5d, Fig. 6/Table 1 and Conclusions; S025_Supplement_01.pdf, ex-vivo and calibration methods.</x:v>
      </x:c>
      <x:c r="O168" s="9" t="str">
        <x:v>Three consecutive insertions are performed for each patch. The conclusion explicitly places on-body measurements in future work.</x:v>
      </x:c>
      <x:c r="P168" s="9" t="str">
        <x:v>S025_Main.pdf, physical pp. 9-11, Fig. 5d, Fig. 6/Table 1 and Conclusions; S025_Supplement_01.pdf, ex-vivo and calibration methods.</x:v>
      </x:c>
    </x:row>
    <x:row r="169">
      <x:c r="A169" s="9" t="n">
        <x:v>21</x:v>
      </x:c>
      <x:c r="B169" s="9" t="str">
        <x:v>S025</x:v>
      </x:c>
      <x:c r="C169" s="9" t="str">
        <x:v>Wei et al. (2026)</x:v>
      </x:c>
      <x:c r="D169" s="9" t="str">
        <x:v>L8</x:v>
      </x:c>
      <x:c r="E169" s="9" t="str">
        <x:v>1</x:v>
      </x:c>
      <x:c r="F169" s="9" t="str">
        <x:v>1</x:v>
      </x:c>
      <x:c r="G169" s="9" t="str">
        <x:v>Yes</x:v>
      </x:c>
      <x:c r="H169" s="9" t="str">
        <x:v>Agree</x:v>
      </x:c>
      <x:c r="I169" s="9" t="str">
        <x:v>1</x:v>
      </x:c>
      <x:c r="J169" s="9" t="str">
        <x:v>Final agreement</x:v>
      </x:c>
      <x:c r="K169" s="9" t="str">
        <x:v>Six HMNs and four independently fabricated complete patches were compared quantitatively.</x:v>
      </x:c>
      <x:c r="L169" s="9" t="str">
        <x:v>PDF pp. 2–10; Figs. 1–6; Table 1; cited SI</x:v>
      </x:c>
      <x:c r="M169" s="9" t="str">
        <x:v>Four individual pillars and four independently fabricated patches were compared with slope/intercept RSDs.</x:v>
      </x:c>
      <x:c r="N169" s="9" t="str">
        <x:v>Article PDF pp. 5 and 9, Figures 2c and 5</x:v>
      </x:c>
      <x:c r="O169" s="9" t="str">
        <x:v>Six HMNs and four independently fabricated complete patches were compared quantitatively.</x:v>
      </x:c>
      <x:c r="P169" s="9" t="str">
        <x:v>PDF pp. 2–10; Figs. 1–6; Table 1; cited SI</x:v>
      </x:c>
    </x:row>
    <x:row r="170">
      <x:c r="A170" s="9" t="n">
        <x:v>22</x:v>
      </x:c>
      <x:c r="B170" s="9" t="str">
        <x:v>S028</x:v>
      </x:c>
      <x:c r="C170" s="9" t="str">
        <x:v>Gothard et al. (2023)</x:v>
      </x:c>
      <x:c r="D170" s="9" t="str">
        <x:v>L1</x:v>
      </x:c>
      <x:c r="E170" s="9" t="str">
        <x:v>1</x:v>
      </x:c>
      <x:c r="F170" s="9" t="str">
        <x:v>1</x:v>
      </x:c>
      <x:c r="G170" s="9" t="str">
        <x:v>Yes</x:v>
      </x:c>
      <x:c r="H170" s="9" t="str">
        <x:v>Agree</x:v>
      </x:c>
      <x:c r="I170" s="9" t="str">
        <x:v>1</x:v>
      </x:c>
      <x:c r="J170" s="9" t="str">
        <x:v>Final agreement</x:v>
      </x:c>
      <x:c r="K170" s="9" t="str">
        <x:v>FDM term, printer, functional filaments, temperature, layer height, infill, speed and geometry are reported.</x:v>
      </x:c>
      <x:c r="L170" s="9" t="str">
        <x:v>PDF pp. 4–17; Figs. 1–10; Tables 1–4</x:v>
      </x:c>
      <x:c r="M170" s="9" t="str">
        <x:v>Reconstruction-relevant printer, material, temperature, layer, speed, path/geometry and post-processing details are reported.</x:v>
      </x:c>
      <x:c r="N170" s="9" t="str">
        <x:v>Article PDF p. 5</x:v>
      </x:c>
      <x:c r="O170" s="9" t="str">
        <x:v>FDM term, printer, functional filaments, temperature, layer height, infill, speed and geometry are reported.</x:v>
      </x:c>
      <x:c r="P170" s="9" t="str">
        <x:v>PDF pp. 4–17; Figs. 1–10; Tables 1–4</x:v>
      </x:c>
    </x:row>
    <x:row r="171">
      <x:c r="A171" s="9" t="n">
        <x:v>22</x:v>
      </x:c>
      <x:c r="B171" s="9" t="str">
        <x:v>S028</x:v>
      </x:c>
      <x:c r="C171" s="9" t="str">
        <x:v>Gothard et al. (2023)</x:v>
      </x:c>
      <x:c r="D171" s="9" t="str">
        <x:v>L2</x:v>
      </x:c>
      <x:c r="E171" s="9" t="str">
        <x:v>1</x:v>
      </x:c>
      <x:c r="F171" s="9" t="str">
        <x:v>1</x:v>
      </x:c>
      <x:c r="G171" s="9" t="str">
        <x:v>Yes</x:v>
      </x:c>
      <x:c r="H171" s="9" t="str">
        <x:v>Agree</x:v>
      </x:c>
      <x:c r="I171" s="9" t="str">
        <x:v>1</x:v>
      </x:c>
      <x:c r="J171" s="9" t="str">
        <x:v>Final agreement</x:v>
      </x:c>
      <x:c r="K171" s="9" t="str">
        <x:v>Conductive/dielectric filaments and readout roles are described.</x:v>
      </x:c>
      <x:c r="L171" s="9" t="str">
        <x:v>PDF pp. 4–17; Figs. 1–10; Tables 1–4</x:v>
      </x:c>
      <x:c r="M171" s="9" t="str">
        <x:v>Functional host, sensing constituent and relevant electrode/interface materials are identified.</x:v>
      </x:c>
      <x:c r="N171" s="9" t="str">
        <x:v>Article PDF p. 3</x:v>
      </x:c>
      <x:c r="O171" s="9" t="str">
        <x:v>Conductive/dielectric filaments and readout roles are described.</x:v>
      </x:c>
      <x:c r="P171" s="9" t="str">
        <x:v>PDF pp. 4–17; Figs. 1–10; Tables 1–4</x:v>
      </x:c>
    </x:row>
    <x:row r="172">
      <x:c r="A172" s="9" t="n">
        <x:v>22</x:v>
      </x:c>
      <x:c r="B172" s="9" t="str">
        <x:v>S028</x:v>
      </x:c>
      <x:c r="C172" s="9" t="str">
        <x:v>Gothard et al. (2023)</x:v>
      </x:c>
      <x:c r="D172" s="9" t="str">
        <x:v>L3</x:v>
      </x:c>
      <x:c r="E172" s="9" t="str">
        <x:v>1</x:v>
      </x:c>
      <x:c r="F172" s="9" t="str">
        <x:v>1</x:v>
      </x:c>
      <x:c r="G172" s="9" t="str">
        <x:v>Yes</x:v>
      </x:c>
      <x:c r="H172" s="9" t="str">
        <x:v>Agree</x:v>
      </x:c>
      <x:c r="I172" s="9" t="str">
        <x:v>1</x:v>
      </x:c>
      <x:c r="J172" s="9" t="str">
        <x:v>Final agreement</x:v>
      </x:c>
      <x:c r="K172" s="9" t="str">
        <x:v>Controlled load frame, synchronized load cell and pressure/frequency protocol are reported.</x:v>
      </x:c>
      <x:c r="L172" s="9" t="str">
        <x:v>PDF pp. 4–17; Figs. 1–10; Tables 1–4</x:v>
      </x:c>
      <x:c r="M172" s="9" t="str">
        <x:v>Sensor output is related to a controlled or independently measured input with a stated procedure and range.</x:v>
      </x:c>
      <x:c r="N172" s="9" t="str">
        <x:v>Article PDF p. 11</x:v>
      </x:c>
      <x:c r="O172" s="9" t="str">
        <x:v>Controlled load frame, synchronized load cell and pressure/frequency protocol are reported.</x:v>
      </x:c>
      <x:c r="P172" s="9" t="str">
        <x:v>PDF pp. 4–17; Figs. 1–10; Tables 1–4</x:v>
      </x:c>
    </x:row>
    <x:row r="173">
      <x:c r="A173" s="9" t="n">
        <x:v>22</x:v>
      </x:c>
      <x:c r="B173" s="9" t="str">
        <x:v>S028</x:v>
      </x:c>
      <x:c r="C173" s="9" t="str">
        <x:v>Gothard et al. (2023)</x:v>
      </x:c>
      <x:c r="D173" s="9" t="str">
        <x:v>L4</x:v>
      </x:c>
      <x:c r="E173" s="9" t="str">
        <x:v>1</x:v>
      </x:c>
      <x:c r="F173" s="9" t="str">
        <x:v>1</x:v>
      </x:c>
      <x:c r="G173" s="9" t="str">
        <x:v>Yes</x:v>
      </x:c>
      <x:c r="H173" s="9" t="str">
        <x:v>Agree</x:v>
      </x:c>
      <x:c r="I173" s="9" t="str">
        <x:v>1</x:v>
      </x:c>
      <x:c r="J173" s="9" t="str">
        <x:v>Final agreement</x:v>
      </x:c>
      <x:c r="K173" s="9" t="str">
        <x:v>Sensitivity, hysteresis and linearity definitions, units and tested ranges are reported.</x:v>
      </x:c>
      <x:c r="L173" s="9" t="str">
        <x:v>PDF pp. 4–17; Figs. 1–10; Tables 1–4</x:v>
      </x:c>
      <x:c r="M173" s="9" t="str">
        <x:v>A modality-appropriate quantitative response, units/calculation and operating range are reported.</x:v>
      </x:c>
      <x:c r="N173" s="9" t="str">
        <x:v>Article PDF p. 19</x:v>
      </x:c>
      <x:c r="O173" s="9" t="str">
        <x:v>Sensitivity, hysteresis and linearity definitions, units and tested ranges are reported.</x:v>
      </x:c>
      <x:c r="P173" s="9" t="str">
        <x:v>PDF pp. 4–17; Figs. 1–10; Tables 1–4</x:v>
      </x:c>
    </x:row>
    <x:row r="174">
      <x:c r="A174" s="9" t="n">
        <x:v>22</x:v>
      </x:c>
      <x:c r="B174" s="9" t="str">
        <x:v>S028</x:v>
      </x:c>
      <x:c r="C174" s="9" t="str">
        <x:v>Gothard et al. (2023)</x:v>
      </x:c>
      <x:c r="D174" s="9" t="str">
        <x:v>L5</x:v>
      </x:c>
      <x:c r="E174" s="9" t="str">
        <x:v>1</x:v>
      </x:c>
      <x:c r="F174" s="9" t="str">
        <x:v>1</x:v>
      </x:c>
      <x:c r="G174" s="9" t="str">
        <x:v>Yes</x:v>
      </x:c>
      <x:c r="H174" s="9" t="str">
        <x:v>Agree</x:v>
      </x:c>
      <x:c r="I174" s="9" t="str">
        <x:v>1</x:v>
      </x:c>
      <x:c r="J174" s="9" t="str">
        <x:v>Final agreement</x:v>
      </x:c>
      <x:c r="K174" s="9" t="str">
        <x:v>Twenty complete cycles per condition underpin cycle-level metrics.</x:v>
      </x:c>
      <x:c r="L174" s="9" t="str">
        <x:v>PDF pp. 4–17; Figs. 1–10; Tables 1–4</x:v>
      </x:c>
      <x:c r="M174" s="9" t="str">
        <x:v>A stated repeated-test range/count is accompanied by a stability, hysteresis, retention or failure outcome.</x:v>
      </x:c>
      <x:c r="N174" s="9" t="str">
        <x:v>Article PDF p. 14</x:v>
      </x:c>
      <x:c r="O174" s="9" t="str">
        <x:v>Twenty complete cycles per condition underpin cycle-level metrics.</x:v>
      </x:c>
      <x:c r="P174" s="9" t="str">
        <x:v>PDF pp. 4–17; Figs. 1–10; Tables 1–4</x:v>
      </x:c>
    </x:row>
    <x:row r="175">
      <x:c r="A175" s="9" t="n">
        <x:v>22</x:v>
      </x:c>
      <x:c r="B175" s="9" t="str">
        <x:v>S028</x:v>
      </x:c>
      <x:c r="C175" s="9" t="str">
        <x:v>Gothard et al. (2023)</x:v>
      </x:c>
      <x:c r="D175" s="9" t="str">
        <x:v>L6</x:v>
      </x:c>
      <x:c r="E175" s="9" t="str">
        <x:v>0</x:v>
      </x:c>
      <x:c r="F175" s="9" t="str">
        <x:v>0</x:v>
      </x:c>
      <x:c r="G175" s="9" t="str">
        <x:v>Yes</x:v>
      </x:c>
      <x:c r="H175" s="9" t="str">
        <x:v>Agree</x:v>
      </x:c>
      <x:c r="I175" s="9" t="str">
        <x:v>0</x:v>
      </x:c>
      <x:c r="J175" s="9" t="str">
        <x:v>Final agreement</x:v>
      </x:c>
      <x:c r="K175" s="9" t="str">
        <x:v>Pressure/frequency are intended measurands; no separate environmental/use exposure was tested.</x:v>
      </x:c>
      <x:c r="L175" s="9" t="str">
        <x:v>PDF pp. 4–17; Figs. 1–10; Tables 1–4</x:v>
      </x:c>
      <x:c r="M175" s="9" t="str">
        <x:v>No qualifying response under a declared non-measurand environmental/use exposure is reported.</x:v>
      </x:c>
      <x:c r="N175" s="9" t="str">
        <x:v>Article PDF p. 21</x:v>
      </x:c>
      <x:c r="O175" s="9" t="str">
        <x:v>Pressure/frequency are intended measurands; no separate environmental/use exposure was tested.</x:v>
      </x:c>
      <x:c r="P175" s="9" t="str">
        <x:v>PDF pp. 4–17; Figs. 1–10; Tables 1–4</x:v>
      </x:c>
    </x:row>
    <x:row r="176">
      <x:c r="A176" s="9" t="n">
        <x:v>22</x:v>
      </x:c>
      <x:c r="B176" s="9" t="str">
        <x:v>S028</x:v>
      </x:c>
      <x:c r="C176" s="9" t="str">
        <x:v>Gothard et al. (2023)</x:v>
      </x:c>
      <x:c r="D176" s="9" t="str">
        <x:v>L7</x:v>
      </x:c>
      <x:c r="E176" s="9" t="str">
        <x:v>0</x:v>
      </x:c>
      <x:c r="F176" s="9" t="str">
        <x:v>0</x:v>
      </x:c>
      <x:c r="G176" s="9" t="str">
        <x:v>Yes</x:v>
      </x:c>
      <x:c r="H176" s="9" t="str">
        <x:v>Agree</x:v>
      </x:c>
      <x:c r="I176" s="9" t="str">
        <x:v>0</x:v>
      </x:c>
      <x:c r="J176" s="9" t="str">
        <x:v>Final agreement</x:v>
      </x:c>
      <x:c r="K176" s="9" t="str">
        <x:v>Final L7 rating from the targeted reassessment.</x:v>
      </x:c>
      <x:c r="L176" s="9" t="str">
        <x:v>Finalized reviewer-rating workbook</x:v>
      </x:c>
      <x:c r="M176" s="9" t="str">
        <x:v>Final L7 rating from the targeted reassessment.</x:v>
      </x:c>
      <x:c r="N176" s="9" t="str">
        <x:v>Finalized reviewer-rating workbook</x:v>
      </x:c>
      <x:c r="O176" s="9" t="str">
        <x:v>No qualifying interface-integrity test or repeated final monolithic wearable-assembly test with a retention/failure endpoint was located.</x:v>
      </x:c>
      <x:c r="P176" s="9" t="str">
        <x:v>PDF pp. 4–17; Figs. 1–10; Tables 1–4</x:v>
      </x:c>
    </x:row>
    <x:row r="177">
      <x:c r="A177" s="9" t="n">
        <x:v>22</x:v>
      </x:c>
      <x:c r="B177" s="9" t="str">
        <x:v>S028</x:v>
      </x:c>
      <x:c r="C177" s="9" t="str">
        <x:v>Gothard et al. (2023)</x:v>
      </x:c>
      <x:c r="D177" s="9" t="str">
        <x:v>L8</x:v>
      </x:c>
      <x:c r="E177" s="9" t="str">
        <x:v>1</x:v>
      </x:c>
      <x:c r="F177" s="9" t="str">
        <x:v>1</x:v>
      </x:c>
      <x:c r="G177" s="9" t="str">
        <x:v>Yes</x:v>
      </x:c>
      <x:c r="H177" s="9" t="str">
        <x:v>Agree</x:v>
      </x:c>
      <x:c r="I177" s="9" t="str">
        <x:v>1</x:v>
      </x:c>
      <x:c r="J177" s="9" t="str">
        <x:v>Final agreement</x:v>
      </x:c>
      <x:c r="K177" s="9" t="str">
        <x:v>Five separately printed units per design were tested and individual-device points/averages were reported.</x:v>
      </x:c>
      <x:c r="L177" s="9" t="str">
        <x:v>PDF pp. 4–17; Figs. 1–10; Tables 1–4</x:v>
      </x:c>
      <x:c r="M177" s="9" t="str">
        <x:v>Five sensors of each design were tested; sensitivity, hysteresis and linearity were averaged and sensor-to-sensor variability was displayed.</x:v>
      </x:c>
      <x:c r="N177" s="9" t="str">
        <x:v>Article PDF pp. 14-15, Figure 10 and Tables 3-4</x:v>
      </x:c>
      <x:c r="O177" s="9" t="str">
        <x:v>Five separately printed units per design were tested and individual-device points/averages were reported.</x:v>
      </x:c>
      <x:c r="P177" s="9" t="str">
        <x:v>PDF pp. 4–17; Figs. 1–10; Tables 1–4</x:v>
      </x:c>
    </x:row>
    <x:row r="178">
      <x:c r="A178" s="9" t="n">
        <x:v>23</x:v>
      </x:c>
      <x:c r="B178" s="9" t="str">
        <x:v>S029</x:v>
      </x:c>
      <x:c r="C178" s="9" t="str">
        <x:v>Özkurt et al. (2026)</x:v>
      </x:c>
      <x:c r="D178" s="9" t="str">
        <x:v>L1</x:v>
      </x:c>
      <x:c r="E178" s="9" t="str">
        <x:v>1</x:v>
      </x:c>
      <x:c r="F178" s="9" t="str">
        <x:v>1</x:v>
      </x:c>
      <x:c r="G178" s="9" t="str">
        <x:v>Yes</x:v>
      </x:c>
      <x:c r="H178" s="9" t="str">
        <x:v>Agree</x:v>
      </x:c>
      <x:c r="I178" s="9" t="str">
        <x:v>1</x:v>
      </x:c>
      <x:c r="J178" s="9" t="str">
        <x:v>Final agreement</x:v>
      </x:c>
      <x:c r="K178" s="9" t="str">
        <x:v>FDM term, printer, c-TPU, nozzle, temperatures, speed, layer height, infill, orientation and geometry are reported.</x:v>
      </x:c>
      <x:c r="L178" s="9" t="str">
        <x:v>PDF pp. 4–23; Figs. 3–17; Tables 2–7</x:v>
      </x:c>
      <x:c r="M178" s="9" t="str">
        <x:v>Reconstruction-relevant printer, material, temperature, layer, speed, path/geometry and post-processing details are reported.</x:v>
      </x:c>
      <x:c r="N178" s="9" t="str">
        <x:v>Article PDF p. 7</x:v>
      </x:c>
      <x:c r="O178" s="9" t="str">
        <x:v>FDM term, printer, c-TPU, nozzle, temperatures, speed, layer height, infill, orientation and geometry are reported.</x:v>
      </x:c>
      <x:c r="P178" s="9" t="str">
        <x:v>PDF pp. 4–23; Figs. 3–17; Tables 2–7</x:v>
      </x:c>
    </x:row>
    <x:row r="179">
      <x:c r="A179" s="9" t="n">
        <x:v>23</x:v>
      </x:c>
      <x:c r="B179" s="9" t="str">
        <x:v>S029</x:v>
      </x:c>
      <x:c r="C179" s="9" t="str">
        <x:v>Özkurt et al. (2026)</x:v>
      </x:c>
      <x:c r="D179" s="9" t="str">
        <x:v>L2</x:v>
      </x:c>
      <x:c r="E179" s="9" t="str">
        <x:v>1</x:v>
      </x:c>
      <x:c r="F179" s="9" t="str">
        <x:v>1</x:v>
      </x:c>
      <x:c r="G179" s="9" t="str">
        <x:v>Yes</x:v>
      </x:c>
      <x:c r="H179" s="9" t="str">
        <x:v>Agree</x:v>
      </x:c>
      <x:c r="I179" s="9" t="str">
        <x:v>1</x:v>
      </x:c>
      <x:c r="J179" s="9" t="str">
        <x:v>Final agreement</x:v>
      </x:c>
      <x:c r="K179" s="9" t="str">
        <x:v>Commercial conductive filament, glove mounting and readout are described.</x:v>
      </x:c>
      <x:c r="L179" s="9" t="str">
        <x:v>PDF pp. 4–23; Figs. 3–17; Tables 2–7</x:v>
      </x:c>
      <x:c r="M179" s="9" t="str">
        <x:v>Functional host, sensing constituent and relevant electrode/interface materials are identified.</x:v>
      </x:c>
      <x:c r="N179" s="9" t="str">
        <x:v>Article PDF p. 2</x:v>
      </x:c>
      <x:c r="O179" s="9" t="str">
        <x:v>Commercial conductive filament, glove mounting and readout are described.</x:v>
      </x:c>
      <x:c r="P179" s="9" t="str">
        <x:v>PDF pp. 4–23; Figs. 3–17; Tables 2–7</x:v>
      </x:c>
    </x:row>
    <x:row r="180">
      <x:c r="A180" s="9" t="n">
        <x:v>23</x:v>
      </x:c>
      <x:c r="B180" s="9" t="str">
        <x:v>S029</x:v>
      </x:c>
      <x:c r="C180" s="9" t="str">
        <x:v>Özkurt et al. (2026)</x:v>
      </x:c>
      <x:c r="D180" s="9" t="str">
        <x:v>L3</x:v>
      </x:c>
      <x:c r="E180" s="9" t="str">
        <x:v>1</x:v>
      </x:c>
      <x:c r="F180" s="9" t="str">
        <x:v>1</x:v>
      </x:c>
      <x:c r="G180" s="9" t="str">
        <x:v>Yes</x:v>
      </x:c>
      <x:c r="H180" s="9" t="str">
        <x:v>Agree</x:v>
      </x:c>
      <x:c r="I180" s="9" t="str">
        <x:v>1</x:v>
      </x:c>
      <x:c r="J180" s="9" t="str">
        <x:v>Final agreement</x:v>
      </x:c>
      <x:c r="K180" s="9" t="str">
        <x:v>Controlled angle fixture and commercial reference sensor are described.</x:v>
      </x:c>
      <x:c r="L180" s="9" t="str">
        <x:v>PDF pp. 4–23; Figs. 3–17; Tables 2–7</x:v>
      </x:c>
      <x:c r="M180" s="9" t="str">
        <x:v>Sensor output is related to a controlled or independently measured input with a stated procedure and range.</x:v>
      </x:c>
      <x:c r="N180" s="9" t="str">
        <x:v>Article PDF p. 4</x:v>
      </x:c>
      <x:c r="O180" s="9" t="str">
        <x:v>Controlled angle fixture and commercial reference sensor are described.</x:v>
      </x:c>
      <x:c r="P180" s="9" t="str">
        <x:v>PDF pp. 4–23; Figs. 3–17; Tables 2–7</x:v>
      </x:c>
    </x:row>
    <x:row r="181">
      <x:c r="A181" s="9" t="n">
        <x:v>23</x:v>
      </x:c>
      <x:c r="B181" s="9" t="str">
        <x:v>S029</x:v>
      </x:c>
      <x:c r="C181" s="9" t="str">
        <x:v>Özkurt et al. (2026)</x:v>
      </x:c>
      <x:c r="D181" s="9" t="str">
        <x:v>L4</x:v>
      </x:c>
      <x:c r="E181" s="9" t="str">
        <x:v>1</x:v>
      </x:c>
      <x:c r="F181" s="9" t="str">
        <x:v>1</x:v>
      </x:c>
      <x:c r="G181" s="9" t="str">
        <x:v>Yes</x:v>
      </x:c>
      <x:c r="H181" s="9" t="str">
        <x:v>Agree</x:v>
      </x:c>
      <x:c r="I181" s="9" t="str">
        <x:v>1</x:v>
      </x:c>
      <x:c r="J181" s="9" t="str">
        <x:v>Final agreement</x:v>
      </x:c>
      <x:c r="K181" s="9" t="str">
        <x:v>GF, hysteresis, repeatability, drift and calibration fit are defined and quantified.</x:v>
      </x:c>
      <x:c r="L181" s="9" t="str">
        <x:v>PDF pp. 4–23; Figs. 3–17; Tables 2–7</x:v>
      </x:c>
      <x:c r="M181" s="9" t="str">
        <x:v>A modality-appropriate quantitative response, units/calculation and operating range are reported.</x:v>
      </x:c>
      <x:c r="N181" s="9" t="str">
        <x:v>Article PDF p. 33</x:v>
      </x:c>
      <x:c r="O181" s="9" t="str">
        <x:v>GF, hysteresis, repeatability, drift and calibration fit are defined and quantified.</x:v>
      </x:c>
      <x:c r="P181" s="9" t="str">
        <x:v>PDF pp. 4–23; Figs. 3–17; Tables 2–7</x:v>
      </x:c>
    </x:row>
    <x:row r="182">
      <x:c r="A182" s="9" t="n">
        <x:v>23</x:v>
      </x:c>
      <x:c r="B182" s="9" t="str">
        <x:v>S029</x:v>
      </x:c>
      <x:c r="C182" s="9" t="str">
        <x:v>Özkurt et al. (2026)</x:v>
      </x:c>
      <x:c r="D182" s="9" t="str">
        <x:v>L5</x:v>
      </x:c>
      <x:c r="E182" s="9" t="str">
        <x:v>1</x:v>
      </x:c>
      <x:c r="F182" s="9" t="str">
        <x:v>1</x:v>
      </x:c>
      <x:c r="G182" s="9" t="str">
        <x:v>Yes</x:v>
      </x:c>
      <x:c r="H182" s="9" t="str">
        <x:v>Agree</x:v>
      </x:c>
      <x:c r="I182" s="9" t="str">
        <x:v>1</x:v>
      </x:c>
      <x:c r="J182" s="9" t="str">
        <x:v>Final agreement</x:v>
      </x:c>
      <x:c r="K182" s="9" t="str">
        <x:v>A selected sensor underwent 700 cycles with quantified repeatability and drift.</x:v>
      </x:c>
      <x:c r="L182" s="9" t="str">
        <x:v>PDF pp. 4–23; Figs. 3–17; Tables 2–7</x:v>
      </x:c>
      <x:c r="M182" s="9" t="str">
        <x:v>A stated repeated-test range/count is accompanied by a stability, hysteresis, retention or failure outcome.</x:v>
      </x:c>
      <x:c r="N182" s="9" t="str">
        <x:v>Article PDF p. 32</x:v>
      </x:c>
      <x:c r="O182" s="9" t="str">
        <x:v>A selected sensor underwent 700 cycles with quantified repeatability and drift.</x:v>
      </x:c>
      <x:c r="P182" s="9" t="str">
        <x:v>PDF pp. 4–23; Figs. 3–17; Tables 2–7</x:v>
      </x:c>
    </x:row>
    <x:row r="183">
      <x:c r="A183" s="9" t="n">
        <x:v>23</x:v>
      </x:c>
      <x:c r="B183" s="9" t="str">
        <x:v>S029</x:v>
      </x:c>
      <x:c r="C183" s="9" t="str">
        <x:v>Özkurt et al. (2026)</x:v>
      </x:c>
      <x:c r="D183" s="9" t="str">
        <x:v>L6</x:v>
      </x:c>
      <x:c r="E183" s="9" t="str">
        <x:v>1</x:v>
      </x:c>
      <x:c r="F183" s="9" t="str">
        <x:v>1</x:v>
      </x:c>
      <x:c r="G183" s="9" t="str">
        <x:v>Yes</x:v>
      </x:c>
      <x:c r="H183" s="9" t="str">
        <x:v>Agree</x:v>
      </x:c>
      <x:c r="I183" s="9" t="str">
        <x:v>1</x:v>
      </x:c>
      <x:c r="J183" s="9" t="str">
        <x:v>Final agreement</x:v>
      </x:c>
      <x:c r="K183" s="9" t="str">
        <x:v>Fresh and 60-day-aged specimens were compared over repeated bends, giving a time/storage exposure response.</x:v>
      </x:c>
      <x:c r="L183" s="9" t="str">
        <x:v>PDF pp. 4–23; Figs. 3–17; Tables 2–7</x:v>
      </x:c>
      <x:c r="M183" s="9" t="str">
        <x:v>Final rating supersedes the earlier rating; no revised narrative reason was supplied.</x:v>
      </x:c>
      <x:c r="N183" s="9" t="str">
        <x:v>Finalized reviewer-rating workbook</x:v>
      </x:c>
      <x:c r="O183" s="9" t="str">
        <x:v>Fresh and 60-day-aged specimens were compared over repeated bends, giving a time/storage exposure response.</x:v>
      </x:c>
      <x:c r="P183" s="9" t="str">
        <x:v>PDF pp. 4–23; Figs. 3–17; Tables 2–7</x:v>
      </x:c>
    </x:row>
    <x:row r="184">
      <x:c r="A184" s="9" t="n">
        <x:v>23</x:v>
      </x:c>
      <x:c r="B184" s="9" t="str">
        <x:v>S029</x:v>
      </x:c>
      <x:c r="C184" s="9" t="str">
        <x:v>Özkurt et al. (2026)</x:v>
      </x:c>
      <x:c r="D184" s="9" t="str">
        <x:v>L7</x:v>
      </x:c>
      <x:c r="E184" s="9" t="str">
        <x:v>0</x:v>
      </x:c>
      <x:c r="F184" s="9" t="str">
        <x:v>0</x:v>
      </x:c>
      <x:c r="G184" s="9" t="str">
        <x:v>Yes</x:v>
      </x:c>
      <x:c r="H184" s="9" t="str">
        <x:v>Agree</x:v>
      </x:c>
      <x:c r="I184" s="9" t="str">
        <x:v>0</x:v>
      </x:c>
      <x:c r="J184" s="9" t="str">
        <x:v>Final agreement</x:v>
      </x:c>
      <x:c r="K184" s="9" t="str">
        <x:v>The application section demonstrates a glove prototype and response tracking; it also proposes a per-patient disposable-use model.</x:v>
      </x:c>
      <x:c r="L184" s="9" t="str">
        <x:v>S029_Main.pdf, physical pp. 22-23, section 3.6, application feasibility and glove demonstration.</x:v>
      </x:c>
      <x:c r="M184" s="9" t="str">
        <x:v>The application section demonstrates a glove prototype and response tracking; it also proposes a per-patient disposable-use model.</x:v>
      </x:c>
      <x:c r="N184" s="9" t="str">
        <x:v>S029_Main.pdf, physical pp. 22-23, section 3.6, application feasibility and glove demonstration.</x:v>
      </x:c>
      <x:c r="O184" s="9" t="str">
        <x:v>The application section demonstrates a glove prototype and response tracking; it also proposes a per-patient disposable-use model.</x:v>
      </x:c>
      <x:c r="P184" s="9" t="str">
        <x:v>S029_Main.pdf, physical pp. 22-23, section 3.6, application feasibility and glove demonstration.</x:v>
      </x:c>
    </x:row>
    <x:row r="185">
      <x:c r="A185" s="9" t="n">
        <x:v>23</x:v>
      </x:c>
      <x:c r="B185" s="9" t="str">
        <x:v>S029</x:v>
      </x:c>
      <x:c r="C185" s="9" t="str">
        <x:v>Özkurt et al. (2026)</x:v>
      </x:c>
      <x:c r="D185" s="9" t="str">
        <x:v>L8</x:v>
      </x:c>
      <x:c r="E185" s="9" t="str">
        <x:v>1</x:v>
      </x:c>
      <x:c r="F185" s="9" t="str">
        <x:v>1</x:v>
      </x:c>
      <x:c r="G185" s="9" t="str">
        <x:v>Yes</x:v>
      </x:c>
      <x:c r="H185" s="9" t="str">
        <x:v>Agree</x:v>
      </x:c>
      <x:c r="I185" s="9" t="str">
        <x:v>1</x:v>
      </x:c>
      <x:c r="J185" s="9" t="str">
        <x:v>Final agreement</x:v>
      </x:c>
      <x:c r="K185" s="9" t="str">
        <x:v>Two independent batches of 15 sensors were compared quantitatively.</x:v>
      </x:c>
      <x:c r="L185" s="9" t="str">
        <x:v>PDF pp. 4–23; Figs. 3–17; Tables 2–7</x:v>
      </x:c>
      <x:c r="M185" s="9" t="str">
        <x:v>Final rating supersedes the earlier rating; no revised narrative reason was supplied.</x:v>
      </x:c>
      <x:c r="N185" s="9" t="str">
        <x:v>Finalized reviewer-rating workbook</x:v>
      </x:c>
      <x:c r="O185" s="9" t="str">
        <x:v>Two independent batches of 15 sensors were compared quantitatively.</x:v>
      </x:c>
      <x:c r="P185" s="9" t="str">
        <x:v>PDF pp. 4–23; Figs. 3–17; Tables 2–7</x:v>
      </x:c>
    </x:row>
    <x:row r="186">
      <x:c r="A186" s="9" t="n">
        <x:v>24</x:v>
      </x:c>
      <x:c r="B186" s="9" t="str">
        <x:v>S031</x:v>
      </x:c>
      <x:c r="C186" s="9" t="str">
        <x:v>Rivera et al. (2022)</x:v>
      </x:c>
      <x:c r="D186" s="9" t="str">
        <x:v>L1</x:v>
      </x:c>
      <x:c r="E186" s="9" t="str">
        <x:v>0</x:v>
      </x:c>
      <x:c r="F186" s="9" t="str">
        <x:v>0</x:v>
      </x:c>
      <x:c r="G186" s="9" t="str">
        <x:v>Yes</x:v>
      </x:c>
      <x:c r="H186" s="9" t="str">
        <x:v>Agree</x:v>
      </x:c>
      <x:c r="I186" s="9" t="str">
        <x:v>0</x:v>
      </x:c>
      <x:c r="J186" s="9" t="str">
        <x:v>Final agreement</x:v>
      </x:c>
      <x:c r="K186" s="9" t="str">
        <x:v>Printer and ABS are named, but nozzle, temperature, layer height, speed, infill and toolpath are absent.</x:v>
      </x:c>
      <x:c r="L186" s="9" t="str">
        <x:v>PDF pp. 3–12; Figs. 1–9; Tables 1–3; Appendix A</x:v>
      </x:c>
      <x:c r="M186" s="9" t="str">
        <x:v>Fabrication is described, but reconstruction-critical nozzle, temperature, layer height, infill details are not reported.</x:v>
      </x:c>
      <x:c r="N186" s="9" t="str">
        <x:v>Article PDF p. 1</x:v>
      </x:c>
      <x:c r="O186" s="9" t="str">
        <x:v>Printer and ABS are named, but nozzle, temperature, layer height, speed, infill and toolpath are absent.</x:v>
      </x:c>
      <x:c r="P186" s="9" t="str">
        <x:v>PDF pp. 3–12; Figs. 1–9; Tables 1–3; Appendix A</x:v>
      </x:c>
    </x:row>
    <x:row r="187">
      <x:c r="A187" s="9" t="n">
        <x:v>24</x:v>
      </x:c>
      <x:c r="B187" s="9" t="str">
        <x:v>S031</x:v>
      </x:c>
      <x:c r="C187" s="9" t="str">
        <x:v>Rivera et al. (2022)</x:v>
      </x:c>
      <x:c r="D187" s="9" t="str">
        <x:v>L2</x:v>
      </x:c>
      <x:c r="E187" s="9" t="str">
        <x:v>1</x:v>
      </x:c>
      <x:c r="F187" s="9" t="str">
        <x:v>1</x:v>
      </x:c>
      <x:c r="G187" s="9" t="str">
        <x:v>Yes</x:v>
      </x:c>
      <x:c r="H187" s="9" t="str">
        <x:v>Agree</x:v>
      </x:c>
      <x:c r="I187" s="9" t="str">
        <x:v>1</x:v>
      </x:c>
      <x:c r="J187" s="9" t="str">
        <x:v>Final agreement</x:v>
      </x:c>
      <x:c r="K187" s="9" t="str">
        <x:v>Printed arms, sensor, electronics and attachment roles are described.</x:v>
      </x:c>
      <x:c r="L187" s="9" t="str">
        <x:v>PDF pp. 3–12; Figs. 1–9; Tables 1–3; Appendix A</x:v>
      </x:c>
      <x:c r="M187" s="9" t="str">
        <x:v>Functional host, sensing constituent and relevant electrode/interface materials are identified.</x:v>
      </x:c>
      <x:c r="N187" s="9" t="str">
        <x:v>Article PDF p. 3</x:v>
      </x:c>
      <x:c r="O187" s="9" t="str">
        <x:v>Printed arms, sensor, electronics and attachment roles are described.</x:v>
      </x:c>
      <x:c r="P187" s="9" t="str">
        <x:v>PDF pp. 3–12; Figs. 1–9; Tables 1–3; Appendix A</x:v>
      </x:c>
    </x:row>
    <x:row r="188">
      <x:c r="A188" s="9" t="n">
        <x:v>24</x:v>
      </x:c>
      <x:c r="B188" s="9" t="str">
        <x:v>S031</x:v>
      </x:c>
      <x:c r="C188" s="9" t="str">
        <x:v>Rivera et al. (2022)</x:v>
      </x:c>
      <x:c r="D188" s="9" t="str">
        <x:v>L3</x:v>
      </x:c>
      <x:c r="E188" s="9" t="str">
        <x:v>1</x:v>
      </x:c>
      <x:c r="F188" s="9" t="str">
        <x:v>1</x:v>
      </x:c>
      <x:c r="G188" s="9" t="str">
        <x:v>Yes</x:v>
      </x:c>
      <x:c r="H188" s="9" t="str">
        <x:v>Agree</x:v>
      </x:c>
      <x:c r="I188" s="9" t="str">
        <x:v>1</x:v>
      </x:c>
      <x:c r="J188" s="9" t="str">
        <x:v>Final agreement</x:v>
      </x:c>
      <x:c r="K188" s="9" t="str">
        <x:v>Commercial goniometer and Aktos-t IMUs provide reference measurements under stated protocols.</x:v>
      </x:c>
      <x:c r="L188" s="9" t="str">
        <x:v>PDF pp. 3–12; Figs. 1–9; Tables 1–3; Appendix A</x:v>
      </x:c>
      <x:c r="M188" s="9" t="str">
        <x:v>Knee angles were compared with a commercial goniometer and an inertial motion-capture system during defined walking speeds.</x:v>
      </x:c>
      <x:c r="N188" s="9" t="str">
        <x:v>Article PDF pp. 6-9, Sections 2.3-2.4</x:v>
      </x:c>
      <x:c r="O188" s="9" t="str">
        <x:v>Commercial goniometer and Aktos-t IMUs provide reference measurements under stated protocols.</x:v>
      </x:c>
      <x:c r="P188" s="9" t="str">
        <x:v>PDF pp. 3–12; Figs. 1–9; Tables 1–3; Appendix A</x:v>
      </x:c>
    </x:row>
    <x:row r="189">
      <x:c r="A189" s="9" t="n">
        <x:v>24</x:v>
      </x:c>
      <x:c r="B189" s="9" t="str">
        <x:v>S031</x:v>
      </x:c>
      <x:c r="C189" s="9" t="str">
        <x:v>Rivera et al. (2022)</x:v>
      </x:c>
      <x:c r="D189" s="9" t="str">
        <x:v>L4</x:v>
      </x:c>
      <x:c r="E189" s="9" t="str">
        <x:v>1</x:v>
      </x:c>
      <x:c r="F189" s="9" t="str">
        <x:v>1</x:v>
      </x:c>
      <x:c r="G189" s="9" t="str">
        <x:v>Yes</x:v>
      </x:c>
      <x:c r="H189" s="9" t="str">
        <x:v>Agree</x:v>
      </x:c>
      <x:c r="I189" s="9" t="str">
        <x:v>1</x:v>
      </x:c>
      <x:c r="J189" s="9" t="str">
        <x:v>Final agreement</x:v>
      </x:c>
      <x:c r="K189" s="9" t="str">
        <x:v>MAE, MAD and activity-detection accuracy are reported over stated ranges.</x:v>
      </x:c>
      <x:c r="L189" s="9" t="str">
        <x:v>PDF pp. 3–12; Figs. 1–9; Tables 1–3; Appendix A</x:v>
      </x:c>
      <x:c r="M189" s="9" t="str">
        <x:v>Angle differences and activity-classification performance are reported quantitatively in degrees and percentages.</x:v>
      </x:c>
      <x:c r="N189" s="9" t="str">
        <x:v>Article PDF pp. 9-11, Figures 7-10</x:v>
      </x:c>
      <x:c r="O189" s="9" t="str">
        <x:v>MAE, MAD and activity-detection accuracy are reported over stated ranges.</x:v>
      </x:c>
      <x:c r="P189" s="9" t="str">
        <x:v>PDF pp. 3–12; Figs. 1–9; Tables 1–3; Appendix A</x:v>
      </x:c>
    </x:row>
    <x:row r="190">
      <x:c r="A190" s="9" t="n">
        <x:v>24</x:v>
      </x:c>
      <x:c r="B190" s="9" t="str">
        <x:v>S031</x:v>
      </x:c>
      <x:c r="C190" s="9" t="str">
        <x:v>Rivera et al. (2022)</x:v>
      </x:c>
      <x:c r="D190" s="9" t="str">
        <x:v>L5</x:v>
      </x:c>
      <x:c r="E190" s="9" t="str">
        <x:v>0</x:v>
      </x:c>
      <x:c r="F190" s="9" t="str">
        <x:v>0</x:v>
      </x:c>
      <x:c r="G190" s="9" t="str">
        <x:v>Yes</x:v>
      </x:c>
      <x:c r="H190" s="9" t="str">
        <x:v>Agree</x:v>
      </x:c>
      <x:c r="I190" s="9" t="str">
        <x:v>0</x:v>
      </x:c>
      <x:c r="J190" s="9" t="str">
        <x:v>Final agreement</x:v>
      </x:c>
      <x:c r="K190" s="9" t="str">
        <x:v>Six gait cycles were analyzed, but no same-device response-retention or stability endpoint was reported.</x:v>
      </x:c>
      <x:c r="L190" s="9" t="str">
        <x:v>PDF pp. 3–12; Figs. 1–9; Tables 1–3; Appendix A</x:v>
      </x:c>
      <x:c r="M190" s="9" t="str">
        <x:v>Repeated testing lacks either a clear count/range or a qualifying stability/retention/failure outcome.</x:v>
      </x:c>
      <x:c r="N190" s="9" t="str">
        <x:v>Article PDF p. 2</x:v>
      </x:c>
      <x:c r="O190" s="9" t="str">
        <x:v>Six gait cycles were analyzed, but no same-device response-retention or stability endpoint was reported.</x:v>
      </x:c>
      <x:c r="P190" s="9" t="str">
        <x:v>PDF pp. 3–12; Figs. 1–9; Tables 1–3; Appendix A</x:v>
      </x:c>
    </x:row>
    <x:row r="191">
      <x:c r="A191" s="9" t="n">
        <x:v>24</x:v>
      </x:c>
      <x:c r="B191" s="9" t="str">
        <x:v>S031</x:v>
      </x:c>
      <x:c r="C191" s="9" t="str">
        <x:v>Rivera et al. (2022)</x:v>
      </x:c>
      <x:c r="D191" s="9" t="str">
        <x:v>L6</x:v>
      </x:c>
      <x:c r="E191" s="9" t="str">
        <x:v>0</x:v>
      </x:c>
      <x:c r="F191" s="9" t="str">
        <x:v>0</x:v>
      </x:c>
      <x:c r="G191" s="9" t="str">
        <x:v>Yes</x:v>
      </x:c>
      <x:c r="H191" s="9" t="str">
        <x:v>Agree</x:v>
      </x:c>
      <x:c r="I191" s="9" t="str">
        <x:v>0</x:v>
      </x:c>
      <x:c r="J191" s="9" t="str">
        <x:v>Final agreement</x:v>
      </x:c>
      <x:c r="K191" s="9" t="str">
        <x:v>Walking speeds are the intended activity protocol; no separate qualifying exposure was tested.</x:v>
      </x:c>
      <x:c r="L191" s="9" t="str">
        <x:v>PDF pp. 3–12; Figs. 1–9; Tables 1–3; Appendix A</x:v>
      </x:c>
      <x:c r="M191" s="9" t="str">
        <x:v>No qualifying response under a declared non-measurand environmental/use exposure is reported.</x:v>
      </x:c>
      <x:c r="N191" s="9" t="str">
        <x:v>Article PDF p. 1</x:v>
      </x:c>
      <x:c r="O191" s="9" t="str">
        <x:v>Walking speeds are the intended activity protocol; no separate qualifying exposure was tested.</x:v>
      </x:c>
      <x:c r="P191" s="9" t="str">
        <x:v>PDF pp. 3–12; Figs. 1–9; Tables 1–3; Appendix A</x:v>
      </x:c>
    </x:row>
    <x:row r="192">
      <x:c r="A192" s="9" t="n">
        <x:v>24</x:v>
      </x:c>
      <x:c r="B192" s="9" t="str">
        <x:v>S031</x:v>
      </x:c>
      <x:c r="C192" s="9" t="str">
        <x:v>Rivera et al. (2022)</x:v>
      </x:c>
      <x:c r="D192" s="9" t="str">
        <x:v>L7</x:v>
      </x:c>
      <x:c r="E192" s="9" t="str">
        <x:v>0</x:v>
      </x:c>
      <x:c r="F192" s="9" t="str">
        <x:v>0</x:v>
      </x:c>
      <x:c r="G192" s="9" t="str">
        <x:v>Yes</x:v>
      </x:c>
      <x:c r="H192" s="9" t="str">
        <x:v>Agree</x:v>
      </x:c>
      <x:c r="I192" s="9" t="str">
        <x:v>0</x:v>
      </x:c>
      <x:c r="J192" s="9" t="str">
        <x:v>Final agreement</x:v>
      </x:c>
      <x:c r="K192" s="9" t="str">
        <x:v>Final L7 rating from the targeted reassessment.</x:v>
      </x:c>
      <x:c r="L192" s="9" t="str">
        <x:v>Finalized reviewer-rating workbook</x:v>
      </x:c>
      <x:c r="M192" s="9" t="str">
        <x:v>Final L7 rating from the targeted reassessment.</x:v>
      </x:c>
      <x:c r="N192" s="9" t="str">
        <x:v>Finalized reviewer-rating workbook</x:v>
      </x:c>
      <x:c r="O192" s="9" t="str">
        <x:v>No qualifying interface-integrity test or repeated final monolithic wearable-assembly test with a retention/failure endpoint was located.</x:v>
      </x:c>
      <x:c r="P192" s="9" t="str">
        <x:v>PDF pp. 3–12; Figs. 1–9; Tables 1–3; Appendix A</x:v>
      </x:c>
    </x:row>
    <x:row r="193">
      <x:c r="A193" s="9" t="n">
        <x:v>24</x:v>
      </x:c>
      <x:c r="B193" s="9" t="str">
        <x:v>S031</x:v>
      </x:c>
      <x:c r="C193" s="9" t="str">
        <x:v>Rivera et al. (2022)</x:v>
      </x:c>
      <x:c r="D193" s="9" t="str">
        <x:v>L8</x:v>
      </x:c>
      <x:c r="E193" s="9" t="str">
        <x:v>0</x:v>
      </x:c>
      <x:c r="F193" s="9" t="str">
        <x:v>0</x:v>
      </x:c>
      <x:c r="G193" s="9" t="str">
        <x:v>Yes</x:v>
      </x:c>
      <x:c r="H193" s="9" t="str">
        <x:v>Agree</x:v>
      </x:c>
      <x:c r="I193" s="9" t="str">
        <x:v>0</x:v>
      </x:c>
      <x:c r="J193" s="9" t="str">
        <x:v>Final agreement</x:v>
      </x:c>
      <x:c r="K193" s="9" t="str">
        <x:v>One wearable was used across participants; participants are not devices.</x:v>
      </x:c>
      <x:c r="L193" s="9" t="str">
        <x:v>PDF pp. 3–12; Figs. 1–9; Tables 1–3; Appendix A</x:v>
      </x:c>
      <x:c r="M193" s="9" t="str">
        <x:v>At least three equivalent independently fabricated units with quantified between-unit variation are not reported.</x:v>
      </x:c>
      <x:c r="N193" s="9" t="str">
        <x:v>Article PDF p. 8</x:v>
      </x:c>
      <x:c r="O193" s="9" t="str">
        <x:v>One wearable was used across participants; participants are not devices.</x:v>
      </x:c>
      <x:c r="P193" s="9" t="str">
        <x:v>PDF pp. 3–12; Figs. 1–9; Tables 1–3; Appendix A</x:v>
      </x:c>
    </x:row>
    <x:row r="194">
      <x:c r="A194" s="9" t="n">
        <x:v>25</x:v>
      </x:c>
      <x:c r="B194" s="9" t="str">
        <x:v>S032</x:v>
      </x:c>
      <x:c r="C194" s="9" t="str">
        <x:v>Liu et al. (2021)</x:v>
      </x:c>
      <x:c r="D194" s="9" t="str">
        <x:v>L1</x:v>
      </x:c>
      <x:c r="E194" s="9" t="str">
        <x:v>0</x:v>
      </x:c>
      <x:c r="F194" s="9" t="str">
        <x:v>0</x:v>
      </x:c>
      <x:c r="G194" s="9" t="str">
        <x:v>Yes</x:v>
      </x:c>
      <x:c r="H194" s="9" t="str">
        <x:v>Agree</x:v>
      </x:c>
      <x:c r="I194" s="9" t="str">
        <x:v>0</x:v>
      </x:c>
      <x:c r="J194" s="9" t="str">
        <x:v>Final agreement</x:v>
      </x:c>
      <x:c r="K194" s="9" t="str">
        <x:v>Printer, PLA and probe geometry are reported, but core print settings are absent.</x:v>
      </x:c>
      <x:c r="L194" s="9" t="str">
        <x:v>PDF pp. 3–10; Figs. 1–8</x:v>
      </x:c>
      <x:c r="M194" s="9" t="str">
        <x:v>Fabrication is described, but reconstruction-critical nozzle, layer height, infill, speed details are not reported.</x:v>
      </x:c>
      <x:c r="N194" s="9" t="str">
        <x:v>Article PDF p. 4</x:v>
      </x:c>
      <x:c r="O194" s="9" t="str">
        <x:v>Printer, PLA and probe geometry are reported, but core print settings are absent.</x:v>
      </x:c>
      <x:c r="P194" s="9" t="str">
        <x:v>PDF pp. 3–10; Figs. 1–8</x:v>
      </x:c>
    </x:row>
    <x:row r="195">
      <x:c r="A195" s="9" t="n">
        <x:v>25</x:v>
      </x:c>
      <x:c r="B195" s="9" t="str">
        <x:v>S032</x:v>
      </x:c>
      <x:c r="C195" s="9" t="str">
        <x:v>Liu et al. (2021)</x:v>
      </x:c>
      <x:c r="D195" s="9" t="str">
        <x:v>L2</x:v>
      </x:c>
      <x:c r="E195" s="9" t="str">
        <x:v>1</x:v>
      </x:c>
      <x:c r="F195" s="9" t="str">
        <x:v>1</x:v>
      </x:c>
      <x:c r="G195" s="9" t="str">
        <x:v>Yes</x:v>
      </x:c>
      <x:c r="H195" s="9" t="str">
        <x:v>Agree</x:v>
      </x:c>
      <x:c r="I195" s="9" t="str">
        <x:v>1</x:v>
      </x:c>
      <x:c r="J195" s="9" t="str">
        <x:v>Final agreement</x:v>
      </x:c>
      <x:c r="K195" s="9" t="str">
        <x:v>Probe, optical sources/detector, thermistor, fixation and signal roles are described.</x:v>
      </x:c>
      <x:c r="L195" s="9" t="str">
        <x:v>PDF pp. 3–10; Figs. 1–8</x:v>
      </x:c>
      <x:c r="M195" s="9" t="str">
        <x:v>The essential 3D-printed optical probe is identified as opaque PLA and its optical/electronic components are specified.</x:v>
      </x:c>
      <x:c r="N195" s="9" t="str">
        <x:v>Article PDF pp. 3-4, Figure 1</x:v>
      </x:c>
      <x:c r="O195" s="9" t="str">
        <x:v>Probe, optical sources/detector, thermistor, fixation and signal roles are described.</x:v>
      </x:c>
      <x:c r="P195" s="9" t="str">
        <x:v>PDF pp. 3–10; Figs. 1–8</x:v>
      </x:c>
    </x:row>
    <x:row r="196">
      <x:c r="A196" s="9" t="n">
        <x:v>25</x:v>
      </x:c>
      <x:c r="B196" s="9" t="str">
        <x:v>S032</x:v>
      </x:c>
      <x:c r="C196" s="9" t="str">
        <x:v>Liu et al. (2021)</x:v>
      </x:c>
      <x:c r="D196" s="9" t="str">
        <x:v>L3</x:v>
      </x:c>
      <x:c r="E196" s="9" t="str">
        <x:v>1</x:v>
      </x:c>
      <x:c r="F196" s="9" t="str">
        <x:v>1</x:v>
      </x:c>
      <x:c r="G196" s="9" t="str">
        <x:v>Yes</x:v>
      </x:c>
      <x:c r="H196" s="9" t="str">
        <x:v>Agree</x:v>
      </x:c>
      <x:c r="I196" s="9" t="str">
        <x:v>1</x:v>
      </x:c>
      <x:c r="J196" s="9" t="str">
        <x:v>Final agreement</x:v>
      </x:c>
      <x:c r="K196" s="9" t="str">
        <x:v>Phantom comparison and cuff-occlusion protocol are described.</x:v>
      </x:c>
      <x:c r="L196" s="9" t="str">
        <x:v>PDF pp. 3–10; Figs. 1–8</x:v>
      </x:c>
      <x:c r="M196" s="9" t="str">
        <x:v>Sensor output is related to a controlled or independently measured input with a stated procedure and range.</x:v>
      </x:c>
      <x:c r="N196" s="9" t="str">
        <x:v>Article PDF p. 10</x:v>
      </x:c>
      <x:c r="O196" s="9" t="str">
        <x:v>Phantom comparison and cuff-occlusion protocol are described.</x:v>
      </x:c>
      <x:c r="P196" s="9" t="str">
        <x:v>PDF pp. 3–10; Figs. 1–8</x:v>
      </x:c>
    </x:row>
    <x:row r="197">
      <x:c r="A197" s="9" t="n">
        <x:v>25</x:v>
      </x:c>
      <x:c r="B197" s="9" t="str">
        <x:v>S032</x:v>
      </x:c>
      <x:c r="C197" s="9" t="str">
        <x:v>Liu et al. (2021)</x:v>
      </x:c>
      <x:c r="D197" s="9" t="str">
        <x:v>L4</x:v>
      </x:c>
      <x:c r="E197" s="9" t="str">
        <x:v>1</x:v>
      </x:c>
      <x:c r="F197" s="9" t="str">
        <x:v>1</x:v>
      </x:c>
      <x:c r="G197" s="9" t="str">
        <x:v>Yes</x:v>
      </x:c>
      <x:c r="H197" s="9" t="str">
        <x:v>Agree</x:v>
      </x:c>
      <x:c r="I197" s="9" t="str">
        <x:v>1</x:v>
      </x:c>
      <x:c r="J197" s="9" t="str">
        <x:v>Final agreement</x:v>
      </x:c>
      <x:c r="K197" s="9" t="str">
        <x:v>Relative-flow, concentration-change, SNR and temperature outcomes are defined and reported.</x:v>
      </x:c>
      <x:c r="L197" s="9" t="str">
        <x:v>PDF pp. 3–10; Figs. 1–8</x:v>
      </x:c>
      <x:c r="M197" s="9" t="str">
        <x:v>A modality-appropriate quantitative response, units/calculation and operating range are reported.</x:v>
      </x:c>
      <x:c r="N197" s="9" t="str">
        <x:v>Article PDF p. 11</x:v>
      </x:c>
      <x:c r="O197" s="9" t="str">
        <x:v>Relative-flow, concentration-change, SNR and temperature outcomes are defined and reported.</x:v>
      </x:c>
      <x:c r="P197" s="9" t="str">
        <x:v>PDF pp. 3–10; Figs. 1–8</x:v>
      </x:c>
    </x:row>
    <x:row r="198">
      <x:c r="A198" s="9" t="n">
        <x:v>25</x:v>
      </x:c>
      <x:c r="B198" s="9" t="str">
        <x:v>S032</x:v>
      </x:c>
      <x:c r="C198" s="9" t="str">
        <x:v>Liu et al. (2021)</x:v>
      </x:c>
      <x:c r="D198" s="9" t="str">
        <x:v>L5</x:v>
      </x:c>
      <x:c r="E198" s="9" t="str">
        <x:v>0</x:v>
      </x:c>
      <x:c r="F198" s="9" t="str">
        <x:v>0</x:v>
      </x:c>
      <x:c r="G198" s="9" t="str">
        <x:v>Yes</x:v>
      </x:c>
      <x:c r="H198" s="9" t="str">
        <x:v>Agree</x:v>
      </x:c>
      <x:c r="I198" s="9" t="str">
        <x:v>0</x:v>
      </x:c>
      <x:c r="J198" s="9" t="str">
        <x:v>Final agreement</x:v>
      </x:c>
      <x:c r="K198" s="9" t="str">
        <x:v>Continuous time series and five participants do not constitute three repeated complete exposure cycles with a stability endpoint.</x:v>
      </x:c>
      <x:c r="L198" s="9" t="str">
        <x:v>PDF pp. 3–10; Figs. 1–8</x:v>
      </x:c>
      <x:c r="M198" s="9" t="str">
        <x:v>Repeated testing lacks either a clear count/range or a qualifying stability/retention/failure outcome.</x:v>
      </x:c>
      <x:c r="N198" s="9" t="str">
        <x:v>Article PDF p. 6</x:v>
      </x:c>
      <x:c r="O198" s="9" t="str">
        <x:v>Continuous time series and five participants do not constitute three repeated complete exposure cycles with a stability endpoint.</x:v>
      </x:c>
      <x:c r="P198" s="9" t="str">
        <x:v>PDF pp. 3–10; Figs. 1–8</x:v>
      </x:c>
    </x:row>
    <x:row r="199">
      <x:c r="A199" s="9" t="n">
        <x:v>25</x:v>
      </x:c>
      <x:c r="B199" s="9" t="str">
        <x:v>S032</x:v>
      </x:c>
      <x:c r="C199" s="9" t="str">
        <x:v>Liu et al. (2021)</x:v>
      </x:c>
      <x:c r="D199" s="9" t="str">
        <x:v>L6</x:v>
      </x:c>
      <x:c r="E199" s="9" t="str">
        <x:v>0</x:v>
      </x:c>
      <x:c r="F199" s="9" t="str">
        <x:v>0</x:v>
      </x:c>
      <x:c r="G199" s="9" t="str">
        <x:v>Yes</x:v>
      </x:c>
      <x:c r="H199" s="9" t="str">
        <x:v>Agree</x:v>
      </x:c>
      <x:c r="I199" s="9" t="str">
        <x:v>0</x:v>
      </x:c>
      <x:c r="J199" s="9" t="str">
        <x:v>Final agreement</x:v>
      </x:c>
      <x:c r="K199" s="9" t="str">
        <x:v>Room temperature was controlled but not varied as an exposure; cuff occlusion is the intended physiological perturbation.</x:v>
      </x:c>
      <x:c r="L199" s="9" t="str">
        <x:v>PDF pp. 3–10; Figs. 1–8</x:v>
      </x:c>
      <x:c r="M199" s="9" t="str">
        <x:v>No qualifying response under a declared non-measurand environmental/use exposure is reported.</x:v>
      </x:c>
      <x:c r="N199" s="9" t="str">
        <x:v>Article PDF p. 10</x:v>
      </x:c>
      <x:c r="O199" s="9" t="str">
        <x:v>Room temperature was controlled but not varied as an exposure; cuff occlusion is the intended physiological perturbation.</x:v>
      </x:c>
      <x:c r="P199" s="9" t="str">
        <x:v>PDF pp. 3–10; Figs. 1–8</x:v>
      </x:c>
    </x:row>
    <x:row r="200">
      <x:c r="A200" s="9" t="n">
        <x:v>25</x:v>
      </x:c>
      <x:c r="B200" s="9" t="str">
        <x:v>S032</x:v>
      </x:c>
      <x:c r="C200" s="9" t="str">
        <x:v>Liu et al. (2021)</x:v>
      </x:c>
      <x:c r="D200" s="9" t="str">
        <x:v>L7</x:v>
      </x:c>
      <x:c r="E200" s="9" t="str">
        <x:v>0</x:v>
      </x:c>
      <x:c r="F200" s="9" t="str">
        <x:v>0</x:v>
      </x:c>
      <x:c r="G200" s="9" t="str">
        <x:v>Yes</x:v>
      </x:c>
      <x:c r="H200" s="9" t="str">
        <x:v>Agree</x:v>
      </x:c>
      <x:c r="I200" s="9" t="str">
        <x:v>0</x:v>
      </x:c>
      <x:c r="J200" s="9" t="str">
        <x:v>Final agreement</x:v>
      </x:c>
      <x:c r="K200" s="9" t="str">
        <x:v>Final L7 rating from the targeted reassessment.</x:v>
      </x:c>
      <x:c r="L200" s="9" t="str">
        <x:v>Finalized reviewer-rating workbook</x:v>
      </x:c>
      <x:c r="M200" s="9" t="str">
        <x:v>Final L7 rating from the targeted reassessment.</x:v>
      </x:c>
      <x:c r="N200" s="9" t="str">
        <x:v>Finalized reviewer-rating workbook</x:v>
      </x:c>
      <x:c r="O200" s="9" t="str">
        <x:v>No qualifying interface-integrity test or repeated final monolithic wearable-assembly test with a retention/failure endpoint was located.</x:v>
      </x:c>
      <x:c r="P200" s="9" t="str">
        <x:v>PDF pp. 3–10; Figs. 1–8</x:v>
      </x:c>
    </x:row>
    <x:row r="201">
      <x:c r="A201" s="9" t="n">
        <x:v>25</x:v>
      </x:c>
      <x:c r="B201" s="9" t="str">
        <x:v>S032</x:v>
      </x:c>
      <x:c r="C201" s="9" t="str">
        <x:v>Liu et al. (2021)</x:v>
      </x:c>
      <x:c r="D201" s="9" t="str">
        <x:v>L8</x:v>
      </x:c>
      <x:c r="E201" s="9" t="str">
        <x:v>0</x:v>
      </x:c>
      <x:c r="F201" s="9" t="str">
        <x:v>0</x:v>
      </x:c>
      <x:c r="G201" s="9" t="str">
        <x:v>Yes</x:v>
      </x:c>
      <x:c r="H201" s="9" t="str">
        <x:v>Agree</x:v>
      </x:c>
      <x:c r="I201" s="9" t="str">
        <x:v>0</x:v>
      </x:c>
      <x:c r="J201" s="9" t="str">
        <x:v>Final agreement</x:v>
      </x:c>
      <x:c r="K201" s="9" t="str">
        <x:v>One probe is described; participants are not separate devices.</x:v>
      </x:c>
      <x:c r="L201" s="9" t="str">
        <x:v>PDF pp. 3–10; Figs. 1–8</x:v>
      </x:c>
      <x:c r="M201" s="9" t="str">
        <x:v>At least three equivalent independently fabricated units with quantified between-unit variation are not reported.</x:v>
      </x:c>
      <x:c r="N201" s="9" t="str">
        <x:v>Article PDF p. 2</x:v>
      </x:c>
      <x:c r="O201" s="9" t="str">
        <x:v>One probe is described; participants are not separate devices.</x:v>
      </x:c>
      <x:c r="P201" s="9" t="str">
        <x:v>PDF pp. 3–10; Figs. 1–8</x:v>
      </x:c>
    </x:row>
    <x:row r="202">
      <x:c r="A202" s="9" t="n">
        <x:v>26</x:v>
      </x:c>
      <x:c r="B202" s="9" t="str">
        <x:v>S033</x:v>
      </x:c>
      <x:c r="C202" s="9" t="str">
        <x:v>Yu et al. (2020)</x:v>
      </x:c>
      <x:c r="D202" s="9" t="str">
        <x:v>L1</x:v>
      </x:c>
      <x:c r="E202" s="9" t="str">
        <x:v>0</x:v>
      </x:c>
      <x:c r="F202" s="9" t="str">
        <x:v>0</x:v>
      </x:c>
      <x:c r="G202" s="9" t="str">
        <x:v>Yes</x:v>
      </x:c>
      <x:c r="H202" s="9" t="str">
        <x:v>Agree</x:v>
      </x:c>
      <x:c r="I202" s="9" t="str">
        <x:v>0</x:v>
      </x:c>
      <x:c r="J202" s="9" t="str">
        <x:v>Final agreement</x:v>
      </x:c>
      <x:c r="K202" s="9" t="str">
        <x:v>FDM/printer/material/melt temperature and geometry are reported, but nozzle diameter, layer height, speed, infill and toolpath are absent.</x:v>
      </x:c>
      <x:c r="L202" s="9" t="str">
        <x:v>PDF pp. 2–7; Figs. 1–5; cited SI</x:v>
      </x:c>
      <x:c r="M202" s="9" t="str">
        <x:v>Fabrication is described, but reconstruction-critical layer height, infill, speed, orientation/toolpath details are not reported.</x:v>
      </x:c>
      <x:c r="N202" s="9" t="str">
        <x:v>Article PDF p. 2</x:v>
      </x:c>
      <x:c r="O202" s="9" t="str">
        <x:v>FDM/printer/material/melt temperature and geometry are reported, but nozzle diameter, layer height, speed, infill and toolpath are absent.</x:v>
      </x:c>
      <x:c r="P202" s="9" t="str">
        <x:v>PDF pp. 2–7; Figs. 1–5; cited SI</x:v>
      </x:c>
    </x:row>
    <x:row r="203">
      <x:c r="A203" s="9" t="n">
        <x:v>26</x:v>
      </x:c>
      <x:c r="B203" s="9" t="str">
        <x:v>S033</x:v>
      </x:c>
      <x:c r="C203" s="9" t="str">
        <x:v>Yu et al. (2020)</x:v>
      </x:c>
      <x:c r="D203" s="9" t="str">
        <x:v>L2</x:v>
      </x:c>
      <x:c r="E203" s="9" t="str">
        <x:v>1</x:v>
      </x:c>
      <x:c r="F203" s="9" t="str">
        <x:v>1</x:v>
      </x:c>
      <x:c r="G203" s="9" t="str">
        <x:v>Yes</x:v>
      </x:c>
      <x:c r="H203" s="9" t="str">
        <x:v>Agree</x:v>
      </x:c>
      <x:c r="I203" s="9" t="str">
        <x:v>1</x:v>
      </x:c>
      <x:c r="J203" s="9" t="str">
        <x:v>Final agreement</x:v>
      </x:c>
      <x:c r="K203" s="9" t="str">
        <x:v>TPE, CNT dispersion concentrations, thermal embedding and copper electrodes are described.</x:v>
      </x:c>
      <x:c r="L203" s="9" t="str">
        <x:v>PDF pp. 2–7; Figs. 1–5; cited SI</x:v>
      </x:c>
      <x:c r="M203" s="9" t="str">
        <x:v>Functional host, sensing constituent and relevant electrode/interface materials are identified.</x:v>
      </x:c>
      <x:c r="N203" s="9" t="str">
        <x:v>Article PDF p. 7</x:v>
      </x:c>
      <x:c r="O203" s="9" t="str">
        <x:v>TPE, CNT dispersion concentrations, thermal embedding and copper electrodes are described.</x:v>
      </x:c>
      <x:c r="P203" s="9" t="str">
        <x:v>PDF pp. 2–7; Figs. 1–5; cited SI</x:v>
      </x:c>
    </x:row>
    <x:row r="204">
      <x:c r="A204" s="9" t="n">
        <x:v>26</x:v>
      </x:c>
      <x:c r="B204" s="9" t="str">
        <x:v>S033</x:v>
      </x:c>
      <x:c r="C204" s="9" t="str">
        <x:v>Yu et al. (2020)</x:v>
      </x:c>
      <x:c r="D204" s="9" t="str">
        <x:v>L3</x:v>
      </x:c>
      <x:c r="E204" s="9" t="str">
        <x:v>1</x:v>
      </x:c>
      <x:c r="F204" s="9" t="str">
        <x:v>1</x:v>
      </x:c>
      <x:c r="G204" s="9" t="str">
        <x:v>Yes</x:v>
      </x:c>
      <x:c r="H204" s="9" t="str">
        <x:v>Agree</x:v>
      </x:c>
      <x:c r="I204" s="9" t="str">
        <x:v>1</x:v>
      </x:c>
      <x:c r="J204" s="9" t="str">
        <x:v>Final agreement</x:v>
      </x:c>
      <x:c r="K204" s="9" t="str">
        <x:v>Universal tester/LCR measurement and strain/pressure protocols are described.</x:v>
      </x:c>
      <x:c r="L204" s="9" t="str">
        <x:v>PDF pp. 2–7; Figs. 1–5; cited SI</x:v>
      </x:c>
      <x:c r="M204" s="9" t="str">
        <x:v>Sensor output is related to a controlled or independently measured input with a stated procedure and range.</x:v>
      </x:c>
      <x:c r="N204" s="9" t="str">
        <x:v>Article PDF p. 7</x:v>
      </x:c>
      <x:c r="O204" s="9" t="str">
        <x:v>Universal tester/LCR measurement and strain/pressure protocols are described.</x:v>
      </x:c>
      <x:c r="P204" s="9" t="str">
        <x:v>PDF pp. 2–7; Figs. 1–5; cited SI</x:v>
      </x:c>
    </x:row>
    <x:row r="205">
      <x:c r="A205" s="9" t="n">
        <x:v>26</x:v>
      </x:c>
      <x:c r="B205" s="9" t="str">
        <x:v>S033</x:v>
      </x:c>
      <x:c r="C205" s="9" t="str">
        <x:v>Yu et al. (2020)</x:v>
      </x:c>
      <x:c r="D205" s="9" t="str">
        <x:v>L4</x:v>
      </x:c>
      <x:c r="E205" s="9" t="str">
        <x:v>1</x:v>
      </x:c>
      <x:c r="F205" s="9" t="str">
        <x:v>1</x:v>
      </x:c>
      <x:c r="G205" s="9" t="str">
        <x:v>Yes</x:v>
      </x:c>
      <x:c r="H205" s="9" t="str">
        <x:v>Agree</x:v>
      </x:c>
      <x:c r="I205" s="9" t="str">
        <x:v>1</x:v>
      </x:c>
      <x:c r="J205" s="9" t="str">
        <x:v>Final agreement</x:v>
      </x:c>
      <x:c r="K205" s="9" t="str">
        <x:v>GF and pressure sensitivity equations, units and ranges are reported.</x:v>
      </x:c>
      <x:c r="L205" s="9" t="str">
        <x:v>PDF pp. 2–7; Figs. 1–5; cited SI</x:v>
      </x:c>
      <x:c r="M205" s="9" t="str">
        <x:v>A modality-appropriate quantitative response, units/calculation and operating range are reported.</x:v>
      </x:c>
      <x:c r="N205" s="9" t="str">
        <x:v>Article PDF p. 8</x:v>
      </x:c>
      <x:c r="O205" s="9" t="str">
        <x:v>GF and pressure sensitivity equations, units and ranges are reported.</x:v>
      </x:c>
      <x:c r="P205" s="9" t="str">
        <x:v>PDF pp. 2–7; Figs. 1–5; cited SI</x:v>
      </x:c>
    </x:row>
    <x:row r="206">
      <x:c r="A206" s="9" t="n">
        <x:v>26</x:v>
      </x:c>
      <x:c r="B206" s="9" t="str">
        <x:v>S033</x:v>
      </x:c>
      <x:c r="C206" s="9" t="str">
        <x:v>Yu et al. (2020)</x:v>
      </x:c>
      <x:c r="D206" s="9" t="str">
        <x:v>L5</x:v>
      </x:c>
      <x:c r="E206" s="9" t="str">
        <x:v>1</x:v>
      </x:c>
      <x:c r="F206" s="9" t="str">
        <x:v>1</x:v>
      </x:c>
      <x:c r="G206" s="9" t="str">
        <x:v>Yes</x:v>
      </x:c>
      <x:c r="H206" s="9" t="str">
        <x:v>Agree</x:v>
      </x:c>
      <x:c r="I206" s="9" t="str">
        <x:v>1</x:v>
      </x:c>
      <x:c r="J206" s="9" t="str">
        <x:v>Final agreement</x:v>
      </x:c>
      <x:c r="K206" s="9" t="str">
        <x:v>A 1000-cycle 10 kPa loading test reports about 30% baseline reduction and subsequent tendency toward stability.</x:v>
      </x:c>
      <x:c r="L206" s="9" t="str">
        <x:v>PDF pp. 2–7; Figs. 1–5; cited SI</x:v>
      </x:c>
      <x:c r="M206" s="9" t="str">
        <x:v>A stated repeated-test range/count is accompanied by a stability, hysteresis, retention or failure outcome.</x:v>
      </x:c>
      <x:c r="N206" s="9" t="str">
        <x:v>Article PDF p. 7</x:v>
      </x:c>
      <x:c r="O206" s="9" t="str">
        <x:v>A 1000-cycle 10 kPa loading test reports about 30% baseline reduction and subsequent tendency toward stability.</x:v>
      </x:c>
      <x:c r="P206" s="9" t="str">
        <x:v>PDF pp. 2–7; Figs. 1–5; cited SI</x:v>
      </x:c>
    </x:row>
    <x:row r="207">
      <x:c r="A207" s="9" t="n">
        <x:v>26</x:v>
      </x:c>
      <x:c r="B207" s="9" t="str">
        <x:v>S033</x:v>
      </x:c>
      <x:c r="C207" s="9" t="str">
        <x:v>Yu et al. (2020)</x:v>
      </x:c>
      <x:c r="D207" s="9" t="str">
        <x:v>L6</x:v>
      </x:c>
      <x:c r="E207" s="9" t="str">
        <x:v>0</x:v>
      </x:c>
      <x:c r="F207" s="9" t="str">
        <x:v>0</x:v>
      </x:c>
      <x:c r="G207" s="9" t="str">
        <x:v>Yes</x:v>
      </x:c>
      <x:c r="H207" s="9" t="str">
        <x:v>Agree</x:v>
      </x:c>
      <x:c r="I207" s="9" t="str">
        <x:v>0</x:v>
      </x:c>
      <x:c r="J207" s="9" t="str">
        <x:v>Final agreement</x:v>
      </x:c>
      <x:c r="K207" s="9" t="str">
        <x:v>Temperature/RH were test conditions for peel testing, not a varied exposure with sensor-response retention.</x:v>
      </x:c>
      <x:c r="L207" s="9" t="str">
        <x:v>PDF pp. 2–7; Figs. 1–5; cited SI</x:v>
      </x:c>
      <x:c r="M207" s="9" t="str">
        <x:v>Final rating supersedes the earlier rating; no revised narrative reason was supplied.</x:v>
      </x:c>
      <x:c r="N207" s="9" t="str">
        <x:v>Finalized reviewer-rating workbook</x:v>
      </x:c>
      <x:c r="O207" s="9" t="str">
        <x:v>Temperature/RH were test conditions for peel testing, not a varied exposure with sensor-response retention.</x:v>
      </x:c>
      <x:c r="P207" s="9" t="str">
        <x:v>PDF pp. 2–7; Figs. 1–5; cited SI</x:v>
      </x:c>
    </x:row>
    <x:row r="208">
      <x:c r="A208" s="9" t="n">
        <x:v>26</x:v>
      </x:c>
      <x:c r="B208" s="9" t="str">
        <x:v>S033</x:v>
      </x:c>
      <x:c r="C208" s="9" t="str">
        <x:v>Yu et al. (2020)</x:v>
      </x:c>
      <x:c r="D208" s="9" t="str">
        <x:v>L7</x:v>
      </x:c>
      <x:c r="E208" s="9" t="str">
        <x:v>0</x:v>
      </x:c>
      <x:c r="F208" s="9" t="str">
        <x:v>0</x:v>
      </x:c>
      <x:c r="G208" s="9" t="str">
        <x:v>Yes</x:v>
      </x:c>
      <x:c r="H208" s="9" t="str">
        <x:v>Agree</x:v>
      </x:c>
      <x:c r="I208" s="9" t="str">
        <x:v>0</x:v>
      </x:c>
      <x:c r="J208" s="9" t="str">
        <x:v>Final agreement</x:v>
      </x:c>
      <x:c r="K208" s="9" t="str">
        <x:v>The 1000-cycle experiment reports about 30% initial resistance reduction under specimen pressure loading. Fig. 5 demonstrates body-motion response.</x:v>
      </x:c>
      <x:c r="L208" s="9" t="str">
        <x:v>S033_Main.pdf, physical pp. 5-7, Figs. 4e and 5; S033_Supplement_01.pdf, pp. 2-3/Figs. S1-S4; supplied Videos S1-S2.</x:v>
      </x:c>
      <x:c r="M208" s="9" t="str">
        <x:v>The 1000-cycle experiment reports about 30% initial resistance reduction under specimen pressure loading. Fig. 5 demonstrates body-motion response.</x:v>
      </x:c>
      <x:c r="N208" s="9" t="str">
        <x:v>S033_Main.pdf, physical pp. 5-7, Figs. 4e and 5; S033_Supplement_01.pdf, pp. 2-3/Figs. S1-S4; supplied Videos S1-S2.</x:v>
      </x:c>
      <x:c r="O208" s="9" t="str">
        <x:v>The 1000-cycle experiment reports about 30% initial resistance reduction under specimen pressure loading. Fig. 5 demonstrates body-motion response.</x:v>
      </x:c>
      <x:c r="P208" s="9" t="str">
        <x:v>S033_Main.pdf, physical pp. 5-7, Figs. 4e and 5; S033_Supplement_01.pdf, pp. 2-3/Figs. S1-S4; supplied Videos S1-S2.</x:v>
      </x:c>
    </x:row>
    <x:row r="209">
      <x:c r="A209" s="9" t="n">
        <x:v>26</x:v>
      </x:c>
      <x:c r="B209" s="9" t="str">
        <x:v>S033</x:v>
      </x:c>
      <x:c r="C209" s="9" t="str">
        <x:v>Yu et al. (2020)</x:v>
      </x:c>
      <x:c r="D209" s="9" t="str">
        <x:v>L8</x:v>
      </x:c>
      <x:c r="E209" s="9" t="str">
        <x:v>0</x:v>
      </x:c>
      <x:c r="F209" s="9" t="str">
        <x:v>0</x:v>
      </x:c>
      <x:c r="G209" s="9" t="str">
        <x:v>Yes</x:v>
      </x:c>
      <x:c r="H209" s="9" t="str">
        <x:v>Agree</x:v>
      </x:c>
      <x:c r="I209" s="9" t="str">
        <x:v>0</x:v>
      </x:c>
      <x:c r="J209" s="9" t="str">
        <x:v>Final agreement</x:v>
      </x:c>
      <x:c r="K209" s="9" t="str">
        <x:v>Thickness/concentration variants are not a ≥3 independent-device comparison; replicate count is not reported.</x:v>
      </x:c>
      <x:c r="L209" s="9" t="str">
        <x:v>PDF pp. 2–7; Figs. 1–5; cited SI</x:v>
      </x:c>
      <x:c r="M209" s="9" t="str">
        <x:v>At least three equivalent independently fabricated units with quantified between-unit variation are not reported.</x:v>
      </x:c>
      <x:c r="N209" s="9" t="str">
        <x:v>Article PDF p. 7</x:v>
      </x:c>
      <x:c r="O209" s="9" t="str">
        <x:v>Thickness/concentration variants are not a ≥3 independent-device comparison; replicate count is not reported.</x:v>
      </x:c>
      <x:c r="P209" s="9" t="str">
        <x:v>PDF pp. 2–7; Figs. 1–5; cited SI</x:v>
      </x:c>
    </x:row>
    <x:row r="210">
      <x:c r="A210" s="9" t="n">
        <x:v>27</x:v>
      </x:c>
      <x:c r="B210" s="9" t="str">
        <x:v>S034</x:v>
      </x:c>
      <x:c r="C210" s="9" t="str">
        <x:v>Zhang et al. (2026)</x:v>
      </x:c>
      <x:c r="D210" s="9" t="str">
        <x:v>L1</x:v>
      </x:c>
      <x:c r="E210" s="9" t="str">
        <x:v>0</x:v>
      </x:c>
      <x:c r="F210" s="9" t="str">
        <x:v>0</x:v>
      </x:c>
      <x:c r="G210" s="9" t="str">
        <x:v>Yes</x:v>
      </x:c>
      <x:c r="H210" s="9" t="str">
        <x:v>Agree</x:v>
      </x:c>
      <x:c r="I210" s="9" t="str">
        <x:v>0</x:v>
      </x:c>
      <x:c r="J210" s="9" t="str">
        <x:v>Final agreement</x:v>
      </x:c>
      <x:c r="K210" s="9" t="str">
        <x:v>FDM/printer/material/nozzle and bed temperatures are reported, but layer height, speed, infill and toolpath are absent from the main method.</x:v>
      </x:c>
      <x:c r="L210" s="9" t="str">
        <x:v>PDF pp. 2–9; Figs. 1–5; cited SI</x:v>
      </x:c>
      <x:c r="M210" s="9" t="str">
        <x:v>Fabrication is described, but reconstruction-critical layer height, infill, orientation/toolpath details are not reported.</x:v>
      </x:c>
      <x:c r="N210" s="9" t="str">
        <x:v>Article PDF p. 9</x:v>
      </x:c>
      <x:c r="O210" s="9" t="str">
        <x:v>FDM/printer/material/nozzle and bed temperatures are reported, but layer height, speed, infill and toolpath are absent from the main method.</x:v>
      </x:c>
      <x:c r="P210" s="9" t="str">
        <x:v>PDF pp. 2–9; Figs. 1–5; cited SI</x:v>
      </x:c>
    </x:row>
    <x:row r="211">
      <x:c r="A211" s="9" t="n">
        <x:v>27</x:v>
      </x:c>
      <x:c r="B211" s="9" t="str">
        <x:v>S034</x:v>
      </x:c>
      <x:c r="C211" s="9" t="str">
        <x:v>Zhang et al. (2026)</x:v>
      </x:c>
      <x:c r="D211" s="9" t="str">
        <x:v>L2</x:v>
      </x:c>
      <x:c r="E211" s="9" t="str">
        <x:v>1</x:v>
      </x:c>
      <x:c r="F211" s="9" t="str">
        <x:v>1</x:v>
      </x:c>
      <x:c r="G211" s="9" t="str">
        <x:v>Yes</x:v>
      </x:c>
      <x:c r="H211" s="9" t="str">
        <x:v>Agree</x:v>
      </x:c>
      <x:c r="I211" s="9" t="str">
        <x:v>1</x:v>
      </x:c>
      <x:c r="J211" s="9" t="str">
        <x:v>Final agreement</x:v>
      </x:c>
      <x:c r="K211" s="9" t="str">
        <x:v>ABS fluidics, cotton, ion-selective/reference electrode compositions and readout are described.</x:v>
      </x:c>
      <x:c r="L211" s="9" t="str">
        <x:v>PDF pp. 2–9; Figs. 1–5; cited SI</x:v>
      </x:c>
      <x:c r="M211" s="9" t="str">
        <x:v>Functional host, sensing constituent and relevant electrode/interface materials are identified.</x:v>
      </x:c>
      <x:c r="N211" s="9" t="str">
        <x:v>Article PDF p. 2</x:v>
      </x:c>
      <x:c r="O211" s="9" t="str">
        <x:v>ABS fluidics, cotton, ion-selective/reference electrode compositions and readout are described.</x:v>
      </x:c>
      <x:c r="P211" s="9" t="str">
        <x:v>PDF pp. 2–9; Figs. 1–5; cited SI</x:v>
      </x:c>
    </x:row>
    <x:row r="212">
      <x:c r="A212" s="9" t="n">
        <x:v>27</x:v>
      </x:c>
      <x:c r="B212" s="9" t="str">
        <x:v>S034</x:v>
      </x:c>
      <x:c r="C212" s="9" t="str">
        <x:v>Zhang et al. (2026)</x:v>
      </x:c>
      <x:c r="D212" s="9" t="str">
        <x:v>L3</x:v>
      </x:c>
      <x:c r="E212" s="9" t="str">
        <x:v>1</x:v>
      </x:c>
      <x:c r="F212" s="9" t="str">
        <x:v>1</x:v>
      </x:c>
      <x:c r="G212" s="9" t="str">
        <x:v>Yes</x:v>
      </x:c>
      <x:c r="H212" s="9" t="str">
        <x:v>Agree</x:v>
      </x:c>
      <x:c r="I212" s="9" t="str">
        <x:v>1</x:v>
      </x:c>
      <x:c r="J212" s="9" t="str">
        <x:v>Final agreement</x:v>
      </x:c>
      <x:c r="K212" s="9" t="str">
        <x:v>Standard solutions and ion chromatography are used under stated procedures.</x:v>
      </x:c>
      <x:c r="L212" s="9" t="str">
        <x:v>PDF pp. 2–9; Figs. 1–5; cited SI</x:v>
      </x:c>
      <x:c r="M212" s="9" t="str">
        <x:v>Sensor output is related to a controlled or independently measured input with a stated procedure and range.</x:v>
      </x:c>
      <x:c r="N212" s="9" t="str">
        <x:v>Article PDF p. 4</x:v>
      </x:c>
      <x:c r="O212" s="9" t="str">
        <x:v>Standard solutions and ion chromatography are used under stated procedures.</x:v>
      </x:c>
      <x:c r="P212" s="9" t="str">
        <x:v>PDF pp. 2–9; Figs. 1–5; cited SI</x:v>
      </x:c>
    </x:row>
    <x:row r="213">
      <x:c r="A213" s="9" t="n">
        <x:v>27</x:v>
      </x:c>
      <x:c r="B213" s="9" t="str">
        <x:v>S034</x:v>
      </x:c>
      <x:c r="C213" s="9" t="str">
        <x:v>Zhang et al. (2026)</x:v>
      </x:c>
      <x:c r="D213" s="9" t="str">
        <x:v>L4</x:v>
      </x:c>
      <x:c r="E213" s="9" t="str">
        <x:v>1</x:v>
      </x:c>
      <x:c r="F213" s="9" t="str">
        <x:v>1</x:v>
      </x:c>
      <x:c r="G213" s="9" t="str">
        <x:v>Yes</x:v>
      </x:c>
      <x:c r="H213" s="9" t="str">
        <x:v>Agree</x:v>
      </x:c>
      <x:c r="I213" s="9" t="str">
        <x:v>1</x:v>
      </x:c>
      <x:c r="J213" s="9" t="str">
        <x:v>Final agreement</x:v>
      </x:c>
      <x:c r="K213" s="9" t="str">
        <x:v>Calibration range, slopes, LOD, RSD and biofluid concentrations are reported.</x:v>
      </x:c>
      <x:c r="L213" s="9" t="str">
        <x:v>PDF pp. 2–9; Figs. 1–5; cited SI</x:v>
      </x:c>
      <x:c r="M213" s="9" t="str">
        <x:v>A modality-appropriate quantitative response, units/calculation and operating range are reported.</x:v>
      </x:c>
      <x:c r="N213" s="9" t="str">
        <x:v>Article PDF p. 5</x:v>
      </x:c>
      <x:c r="O213" s="9" t="str">
        <x:v>Calibration range, slopes, LOD, RSD and biofluid concentrations are reported.</x:v>
      </x:c>
      <x:c r="P213" s="9" t="str">
        <x:v>PDF pp. 2–9; Figs. 1–5; cited SI</x:v>
      </x:c>
    </x:row>
    <x:row r="214">
      <x:c r="A214" s="9" t="n">
        <x:v>27</x:v>
      </x:c>
      <x:c r="B214" s="9" t="str">
        <x:v>S034</x:v>
      </x:c>
      <x:c r="C214" s="9" t="str">
        <x:v>Zhang et al. (2026)</x:v>
      </x:c>
      <x:c r="D214" s="9" t="str">
        <x:v>L5</x:v>
      </x:c>
      <x:c r="E214" s="9" t="str">
        <x:v>1</x:v>
      </x:c>
      <x:c r="F214" s="9" t="str">
        <x:v>1</x:v>
      </x:c>
      <x:c r="G214" s="9" t="str">
        <x:v>Yes</x:v>
      </x:c>
      <x:c r="H214" s="9" t="str">
        <x:v>Agree</x:v>
      </x:c>
      <x:c r="I214" s="9" t="str">
        <x:v>1</x:v>
      </x:c>
      <x:c r="J214" s="9" t="str">
        <x:v>Final agreement</x:v>
      </x:c>
      <x:c r="K214" s="9" t="str">
        <x:v>Sixty–seventy structural wash cycles and 30 response/carryover cycles report retained function.</x:v>
      </x:c>
      <x:c r="L214" s="9" t="str">
        <x:v>PDF pp. 2–9; Figs. 1–5; cited SI</x:v>
      </x:c>
      <x:c r="M214" s="9" t="str">
        <x:v>A stated repeated-test range/count is accompanied by a stability, hysteresis, retention or failure outcome.</x:v>
      </x:c>
      <x:c r="N214" s="9" t="str">
        <x:v>Article PDF p. 2</x:v>
      </x:c>
      <x:c r="O214" s="9" t="str">
        <x:v>Sixty–seventy structural wash cycles and 30 response/carryover cycles report retained function.</x:v>
      </x:c>
      <x:c r="P214" s="9" t="str">
        <x:v>PDF pp. 2–9; Figs. 1–5; cited SI</x:v>
      </x:c>
    </x:row>
    <x:row r="215">
      <x:c r="A215" s="9" t="n">
        <x:v>27</x:v>
      </x:c>
      <x:c r="B215" s="9" t="str">
        <x:v>S034</x:v>
      </x:c>
      <x:c r="C215" s="9" t="str">
        <x:v>Zhang et al. (2026)</x:v>
      </x:c>
      <x:c r="D215" s="9" t="str">
        <x:v>L6</x:v>
      </x:c>
      <x:c r="E215" s="9" t="str">
        <x:v>1</x:v>
      </x:c>
      <x:c r="F215" s="9" t="str">
        <x:v>1</x:v>
      </x:c>
      <x:c r="G215" s="9" t="str">
        <x:v>Yes</x:v>
      </x:c>
      <x:c r="H215" s="9" t="str">
        <x:v>Agree</x:v>
      </x:c>
      <x:c r="I215" s="9" t="str">
        <x:v>1</x:v>
      </x:c>
      <x:c r="J215" s="9" t="str">
        <x:v>Final agreement</x:v>
      </x:c>
      <x:c r="K215" s="9" t="str">
        <x:v>Water/ethanol washing is a declared use-related exposure with response and structural outcomes.</x:v>
      </x:c>
      <x:c r="L215" s="9" t="str">
        <x:v>PDF pp. 2–9; Figs. 1–5; cited SI</x:v>
      </x:c>
      <x:c r="M215" s="9" t="str">
        <x:v>Sensor/system response is reported under a declared non-measurand environmental or use-related exposure.</x:v>
      </x:c>
      <x:c r="N215" s="9" t="str">
        <x:v>Article PDF p. 10</x:v>
      </x:c>
      <x:c r="O215" s="9" t="str">
        <x:v>Water/ethanol washing is a declared use-related exposure with response and structural outcomes.</x:v>
      </x:c>
      <x:c r="P215" s="9" t="str">
        <x:v>PDF pp. 2–9; Figs. 1–5; cited SI</x:v>
      </x:c>
    </x:row>
    <x:row r="216">
      <x:c r="A216" s="9" t="n">
        <x:v>27</x:v>
      </x:c>
      <x:c r="B216" s="9" t="str">
        <x:v>S034</x:v>
      </x:c>
      <x:c r="C216" s="9" t="str">
        <x:v>Zhang et al. (2026)</x:v>
      </x:c>
      <x:c r="D216" s="9" t="str">
        <x:v>L7</x:v>
      </x:c>
      <x:c r="E216" s="9" t="str">
        <x:v>0</x:v>
      </x:c>
      <x:c r="F216" s="9" t="str">
        <x:v>0</x:v>
      </x:c>
      <x:c r="G216" s="9" t="str">
        <x:v>Yes</x:v>
      </x:c>
      <x:c r="H216" s="9" t="str">
        <x:v>Agree</x:v>
      </x:c>
      <x:c r="I216" s="9" t="str">
        <x:v>0</x:v>
      </x:c>
      <x:c r="J216" s="9" t="str">
        <x:v>Final agreement</x:v>
      </x:c>
      <x:c r="K216" s="9" t="str">
        <x:v>The authors report no carryover after rinsing. Sweat collection/contact is demonstrated, but the rinse/reuse experiments do not establish a repeatedly attached body-worn assembly.</x:v>
      </x:c>
      <x:c r="L216" s="9" t="str">
        <x:v>S034_Main.pdf, physical pp. 8-10, biofluid applications, reuse discussion and Conclusions.</x:v>
      </x:c>
      <x:c r="M216" s="9" t="str">
        <x:v>The authors report no carryover after rinsing. Sweat collection/contact is demonstrated, but the rinse/reuse experiments do not establish a repeatedly attached body-worn assembly.</x:v>
      </x:c>
      <x:c r="N216" s="9" t="str">
        <x:v>S034_Main.pdf, physical pp. 8-10, biofluid applications, reuse discussion and Conclusions.</x:v>
      </x:c>
      <x:c r="O216" s="9" t="str">
        <x:v>The authors report no carryover after rinsing. Sweat collection/contact is demonstrated, but the rinse/reuse experiments do not establish a repeatedly attached body-worn assembly.</x:v>
      </x:c>
      <x:c r="P216" s="9" t="str">
        <x:v>S034_Main.pdf, physical pp. 8-10, biofluid applications, reuse discussion and Conclusions.</x:v>
      </x:c>
    </x:row>
    <x:row r="217">
      <x:c r="A217" s="9" t="n">
        <x:v>27</x:v>
      </x:c>
      <x:c r="B217" s="9" t="str">
        <x:v>S034</x:v>
      </x:c>
      <x:c r="C217" s="9" t="str">
        <x:v>Zhang et al. (2026)</x:v>
      </x:c>
      <x:c r="D217" s="9" t="str">
        <x:v>L8</x:v>
      </x:c>
      <x:c r="E217" s="9" t="str">
        <x:v>1</x:v>
      </x:c>
      <x:c r="F217" s="9" t="str">
        <x:v>1</x:v>
      </x:c>
      <x:c r="G217" s="9" t="str">
        <x:v>Yes</x:v>
      </x:c>
      <x:c r="H217" s="9" t="str">
        <x:v>Agree</x:v>
      </x:c>
      <x:c r="I217" s="9" t="str">
        <x:v>1</x:v>
      </x:c>
      <x:c r="J217" s="9" t="str">
        <x:v>Final agreement</x:v>
      </x:c>
      <x:c r="K217" s="9" t="str">
        <x:v>Three complete sensor devices were used for accuracy tests and three-sensor RSDs were reported.</x:v>
      </x:c>
      <x:c r="L217" s="9" t="str">
        <x:v>PDF pp. 2–9; Figs. 1–5; cited SI</x:v>
      </x:c>
      <x:c r="M217" s="9" t="str">
        <x:v>Final rating supersedes the earlier rating; no revised narrative reason was supplied.</x:v>
      </x:c>
      <x:c r="N217" s="9" t="str">
        <x:v>Finalized reviewer-rating workbook</x:v>
      </x:c>
      <x:c r="O217" s="9" t="str">
        <x:v>Three complete sensor devices were used for accuracy tests and three-sensor RSDs were reported.</x:v>
      </x:c>
      <x:c r="P217" s="9" t="str">
        <x:v>PDF pp. 2–9; Figs. 1–5; cited SI</x:v>
      </x:c>
    </x:row>
    <x:row r="218">
      <x:c r="A218" s="9" t="n">
        <x:v>28</x:v>
      </x:c>
      <x:c r="B218" s="9" t="str">
        <x:v>S035</x:v>
      </x:c>
      <x:c r="C218" s="9" t="str">
        <x:v>Katseli et al. (2021)</x:v>
      </x:c>
      <x:c r="D218" s="9" t="str">
        <x:v>L1</x:v>
      </x:c>
      <x:c r="E218" s="9" t="str">
        <x:v>0</x:v>
      </x:c>
      <x:c r="F218" s="9" t="str">
        <x:v>0</x:v>
      </x:c>
      <x:c r="G218" s="9" t="str">
        <x:v>Yes</x:v>
      </x:c>
      <x:c r="H218" s="9" t="str">
        <x:v>Agree</x:v>
      </x:c>
      <x:c r="I218" s="9" t="str">
        <x:v>0</x:v>
      </x:c>
      <x:c r="J218" s="9" t="str">
        <x:v>Final agreement</x:v>
      </x:c>
      <x:c r="K218" s="9" t="str">
        <x:v>FDM/printer/material/temperatures/speed and geometry are reported, but nozzle diameter, layer height, infill and toolpath are absent.</x:v>
      </x:c>
      <x:c r="L218" s="9" t="str">
        <x:v>PDF pp. 1–5; Figs. 1–4; cited SI</x:v>
      </x:c>
      <x:c r="M218" s="9" t="str">
        <x:v>Fabrication is described, but reconstruction-critical nozzle, layer height, infill, speed details are not reported.</x:v>
      </x:c>
      <x:c r="N218" s="9" t="str">
        <x:v>Article PDF p. 5</x:v>
      </x:c>
      <x:c r="O218" s="9" t="str">
        <x:v>FDM/printer/material/temperatures/speed and geometry are reported, but nozzle diameter, layer height, infill and toolpath are absent.</x:v>
      </x:c>
      <x:c r="P218" s="9" t="str">
        <x:v>PDF pp. 1–5; Figs. 1–4; cited SI</x:v>
      </x:c>
    </x:row>
    <x:row r="219">
      <x:c r="A219" s="9" t="n">
        <x:v>28</x:v>
      </x:c>
      <x:c r="B219" s="9" t="str">
        <x:v>S035</x:v>
      </x:c>
      <x:c r="C219" s="9" t="str">
        <x:v>Katseli et al. (2021)</x:v>
      </x:c>
      <x:c r="D219" s="9" t="str">
        <x:v>L2</x:v>
      </x:c>
      <x:c r="E219" s="9" t="str">
        <x:v>1</x:v>
      </x:c>
      <x:c r="F219" s="9" t="str">
        <x:v>1</x:v>
      </x:c>
      <x:c r="G219" s="9" t="str">
        <x:v>Yes</x:v>
      </x:c>
      <x:c r="H219" s="9" t="str">
        <x:v>Agree</x:v>
      </x:c>
      <x:c r="I219" s="9" t="str">
        <x:v>1</x:v>
      </x:c>
      <x:c r="J219" s="9" t="str">
        <x:v>Final agreement</x:v>
      </x:c>
      <x:c r="K219" s="9" t="str">
        <x:v>Conductive and nonconductive filament roles, gold modification and readout are described.</x:v>
      </x:c>
      <x:c r="L219" s="9" t="str">
        <x:v>PDF pp. 1–5; Figs. 1–4; cited SI</x:v>
      </x:c>
      <x:c r="M219" s="9" t="str">
        <x:v>Functional host, sensing constituent and relevant electrode/interface materials are identified.</x:v>
      </x:c>
      <x:c r="N219" s="9" t="str">
        <x:v>Article PDF p. 2</x:v>
      </x:c>
      <x:c r="O219" s="9" t="str">
        <x:v>Conductive and nonconductive filament roles, gold modification and readout are described.</x:v>
      </x:c>
      <x:c r="P219" s="9" t="str">
        <x:v>PDF pp. 1–5; Figs. 1–4; cited SI</x:v>
      </x:c>
    </x:row>
    <x:row r="220">
      <x:c r="A220" s="9" t="n">
        <x:v>28</x:v>
      </x:c>
      <x:c r="B220" s="9" t="str">
        <x:v>S035</x:v>
      </x:c>
      <x:c r="C220" s="9" t="str">
        <x:v>Katseli et al. (2021)</x:v>
      </x:c>
      <x:c r="D220" s="9" t="str">
        <x:v>L3</x:v>
      </x:c>
      <x:c r="E220" s="9" t="str">
        <x:v>1</x:v>
      </x:c>
      <x:c r="F220" s="9" t="str">
        <x:v>1</x:v>
      </x:c>
      <x:c r="G220" s="9" t="str">
        <x:v>Yes</x:v>
      </x:c>
      <x:c r="H220" s="9" t="str">
        <x:v>Agree</x:v>
      </x:c>
      <x:c r="I220" s="9" t="str">
        <x:v>1</x:v>
      </x:c>
      <x:c r="J220" s="9" t="str">
        <x:v>Final agreement</x:v>
      </x:c>
      <x:c r="K220" s="9" t="str">
        <x:v>Artificial-sweat calibration and reference-electrode comparison procedures are stated.</x:v>
      </x:c>
      <x:c r="L220" s="9" t="str">
        <x:v>PDF pp. 1–5; Figs. 1–4; cited SI</x:v>
      </x:c>
      <x:c r="M220" s="9" t="str">
        <x:v>Sensor output is related to a controlled or independently measured input with a stated procedure and range.</x:v>
      </x:c>
      <x:c r="N220" s="9" t="str">
        <x:v>Article PDF p. 5</x:v>
      </x:c>
      <x:c r="O220" s="9" t="str">
        <x:v>Artificial-sweat calibration and reference-electrode comparison procedures are stated.</x:v>
      </x:c>
      <x:c r="P220" s="9" t="str">
        <x:v>PDF pp. 1–5; Figs. 1–4; cited SI</x:v>
      </x:c>
    </x:row>
    <x:row r="221">
      <x:c r="A221" s="9" t="n">
        <x:v>28</x:v>
      </x:c>
      <x:c r="B221" s="9" t="str">
        <x:v>S035</x:v>
      </x:c>
      <x:c r="C221" s="9" t="str">
        <x:v>Katseli et al. (2021)</x:v>
      </x:c>
      <x:c r="D221" s="9" t="str">
        <x:v>L4</x:v>
      </x:c>
      <x:c r="E221" s="9" t="str">
        <x:v>1</x:v>
      </x:c>
      <x:c r="F221" s="9" t="str">
        <x:v>1</x:v>
      </x:c>
      <x:c r="G221" s="9" t="str">
        <x:v>Yes</x:v>
      </x:c>
      <x:c r="H221" s="9" t="str">
        <x:v>Agree</x:v>
      </x:c>
      <x:c r="I221" s="9" t="str">
        <x:v>1</x:v>
      </x:c>
      <x:c r="J221" s="9" t="str">
        <x:v>Final agreement</x:v>
      </x:c>
      <x:c r="K221" s="9" t="str">
        <x:v>Range, LOD, RSD, stability and on-body ratios are reported.</x:v>
      </x:c>
      <x:c r="L221" s="9" t="str">
        <x:v>PDF pp. 1–5; Figs. 1–4; cited SI</x:v>
      </x:c>
      <x:c r="M221" s="9" t="str">
        <x:v>A modality-appropriate quantitative response, units/calculation and operating range are reported.</x:v>
      </x:c>
      <x:c r="N221" s="9" t="str">
        <x:v>Article PDF p. 5</x:v>
      </x:c>
      <x:c r="O221" s="9" t="str">
        <x:v>Range, LOD, RSD, stability and on-body ratios are reported.</x:v>
      </x:c>
      <x:c r="P221" s="9" t="str">
        <x:v>PDF pp. 1–5; Figs. 1–4; cited SI</x:v>
      </x:c>
    </x:row>
    <x:row r="222">
      <x:c r="A222" s="9" t="n">
        <x:v>28</x:v>
      </x:c>
      <x:c r="B222" s="9" t="str">
        <x:v>S035</x:v>
      </x:c>
      <x:c r="C222" s="9" t="str">
        <x:v>Katseli et al. (2021)</x:v>
      </x:c>
      <x:c r="D222" s="9" t="str">
        <x:v>L5</x:v>
      </x:c>
      <x:c r="E222" s="9" t="str">
        <x:v>1</x:v>
      </x:c>
      <x:c r="F222" s="9" t="str">
        <x:v>1</x:v>
      </x:c>
      <x:c r="G222" s="9" t="str">
        <x:v>Yes</x:v>
      </x:c>
      <x:c r="H222" s="9" t="str">
        <x:v>Agree</x:v>
      </x:c>
      <x:c r="I222" s="9" t="str">
        <x:v>1</x:v>
      </x:c>
      <x:c r="J222" s="9" t="str">
        <x:v>Final agreement</x:v>
      </x:c>
      <x:c r="K222" s="9" t="str">
        <x:v>Ten-day triplicate measurements and 15 bending cycles report stability.</x:v>
      </x:c>
      <x:c r="L222" s="9" t="str">
        <x:v>PDF pp. 1–5; Figs. 1–4; cited SI</x:v>
      </x:c>
      <x:c r="M222" s="9" t="str">
        <x:v>Ten consecutive voltammograms, six repeat measurements, 15 bending cycles and 10-day drift are reported.</x:v>
      </x:c>
      <x:c r="N222" s="9" t="str">
        <x:v>Article PDF pp. 3-4; Supplementary Figures S3 and S5 cited</x:v>
      </x:c>
      <x:c r="O222" s="9" t="str">
        <x:v>Ten-day triplicate measurements and 15 bending cycles report stability.</x:v>
      </x:c>
      <x:c r="P222" s="9" t="str">
        <x:v>PDF pp. 1–5; Figs. 1–4; cited SI</x:v>
      </x:c>
    </x:row>
    <x:row r="223">
      <x:c r="A223" s="9" t="n">
        <x:v>28</x:v>
      </x:c>
      <x:c r="B223" s="9" t="str">
        <x:v>S035</x:v>
      </x:c>
      <x:c r="C223" s="9" t="str">
        <x:v>Katseli et al. (2021)</x:v>
      </x:c>
      <x:c r="D223" s="9" t="str">
        <x:v>L6</x:v>
      </x:c>
      <x:c r="E223" s="9" t="str">
        <x:v>1</x:v>
      </x:c>
      <x:c r="F223" s="9" t="str">
        <x:v>1</x:v>
      </x:c>
      <x:c r="G223" s="9" t="str">
        <x:v>Yes</x:v>
      </x:c>
      <x:c r="H223" s="9" t="str">
        <x:v>Agree</x:v>
      </x:c>
      <x:c r="I223" s="9" t="str">
        <x:v>1</x:v>
      </x:c>
      <x:c r="J223" s="9" t="str">
        <x:v>Final agreement</x:v>
      </x:c>
      <x:c r="K223" s="9" t="str">
        <x:v>Daily washing/ambient storage over 10 days is a declared exposure with retained response.</x:v>
      </x:c>
      <x:c r="L223" s="9" t="str">
        <x:v>PDF pp. 1–5; Figs. 1–4; cited SI</x:v>
      </x:c>
      <x:c r="M223" s="9" t="str">
        <x:v>Sensor/system response is reported under a declared non-measurand environmental or use-related exposure.</x:v>
      </x:c>
      <x:c r="N223" s="9" t="str">
        <x:v>Article PDF p. 4</x:v>
      </x:c>
      <x:c r="O223" s="9" t="str">
        <x:v>Daily washing/ambient storage over 10 days is a declared exposure with retained response.</x:v>
      </x:c>
      <x:c r="P223" s="9" t="str">
        <x:v>PDF pp. 1–5; Figs. 1–4; cited SI</x:v>
      </x:c>
    </x:row>
    <x:row r="224">
      <x:c r="A224" s="9" t="n">
        <x:v>28</x:v>
      </x:c>
      <x:c r="B224" s="9" t="str">
        <x:v>S035</x:v>
      </x:c>
      <x:c r="C224" s="9" t="str">
        <x:v>Katseli et al. (2021)</x:v>
      </x:c>
      <x:c r="D224" s="9" t="str">
        <x:v>L7</x:v>
      </x:c>
      <x:c r="E224" s="9" t="str">
        <x:v>0</x:v>
      </x:c>
      <x:c r="F224" s="9" t="str">
        <x:v>0</x:v>
      </x:c>
      <x:c r="G224" s="9" t="str">
        <x:v>Yes</x:v>
      </x:c>
      <x:c r="H224" s="9" t="str">
        <x:v>Agree</x:v>
      </x:c>
      <x:c r="I224" s="9" t="str">
        <x:v>0</x:v>
      </x:c>
      <x:c r="J224" s="9" t="str">
        <x:v>Final agreement</x:v>
      </x:c>
      <x:c r="K224" s="9" t="str">
        <x:v>Ten-day stability follows three daily measurements in artificial sweat, washing and room storage. Fifteen bending cycles are described using the illustrated ring deformation; on-body meal monitoring is separate.</x:v>
      </x:c>
      <x:c r="L224" s="9" t="str">
        <x:v>S035_Main.pdf, physical pp. 3-5, stability protocol/Fig. 4a versus on-body Fig. 4b; p. 2, Fig. 1B.</x:v>
      </x:c>
      <x:c r="M224" s="9" t="str">
        <x:v>Ten-day stability follows three daily measurements in artificial sweat, washing and room storage. Fifteen bending cycles are described using the illustrated ring deformation; on-body meal monitoring is separate.</x:v>
      </x:c>
      <x:c r="N224" s="9" t="str">
        <x:v>S035_Main.pdf, physical pp. 3-5, stability protocol/Fig. 4a versus on-body Fig. 4b; p. 2, Fig. 1B.</x:v>
      </x:c>
      <x:c r="O224" s="9" t="str">
        <x:v>Ten-day stability follows three daily measurements in artificial sweat, washing and room storage. Fifteen bending cycles are described using the illustrated ring deformation; on-body meal monitoring is separate.</x:v>
      </x:c>
      <x:c r="P224" s="9" t="str">
        <x:v>S035_Main.pdf, physical pp. 3-5, stability protocol/Fig. 4a versus on-body Fig. 4b; p. 2, Fig. 1B.</x:v>
      </x:c>
    </x:row>
    <x:row r="225">
      <x:c r="A225" s="9" t="n">
        <x:v>28</x:v>
      </x:c>
      <x:c r="B225" s="9" t="str">
        <x:v>S035</x:v>
      </x:c>
      <x:c r="C225" s="9" t="str">
        <x:v>Katseli et al. (2021)</x:v>
      </x:c>
      <x:c r="D225" s="9" t="str">
        <x:v>L8</x:v>
      </x:c>
      <x:c r="E225" s="9" t="str">
        <x:v>1</x:v>
      </x:c>
      <x:c r="F225" s="9" t="str">
        <x:v>1</x:v>
      </x:c>
      <x:c r="G225" s="9" t="str">
        <x:v>Yes</x:v>
      </x:c>
      <x:c r="H225" s="9" t="str">
        <x:v>Agree</x:v>
      </x:c>
      <x:c r="I225" s="9" t="str">
        <x:v>1</x:v>
      </x:c>
      <x:c r="J225" s="9" t="str">
        <x:v>Final agreement</x:v>
      </x:c>
      <x:c r="K225" s="9" t="str">
        <x:v>Four rings were compared for glucose response and six rings for reference potential.</x:v>
      </x:c>
      <x:c r="L225" s="9" t="str">
        <x:v>PDF pp. 1–5; Figs. 1–4; cited SI</x:v>
      </x:c>
      <x:c r="M225" s="9" t="str">
        <x:v>At least three independently fabricated units are compared under equivalent conditions with between-unit variation quantified.</x:v>
      </x:c>
      <x:c r="N225" s="9" t="str">
        <x:v>Article PDF p. 3</x:v>
      </x:c>
      <x:c r="O225" s="9" t="str">
        <x:v>Four rings were compared for glucose response and six rings for reference potential.</x:v>
      </x:c>
      <x:c r="P225" s="9" t="str">
        <x:v>PDF pp. 1–5; Figs. 1–4; cited SI</x:v>
      </x:c>
    </x:row>
    <x:row r="226">
      <x:c r="A226" s="9" t="n">
        <x:v>29</x:v>
      </x:c>
      <x:c r="B226" s="9" t="str">
        <x:v>S036</x:v>
      </x:c>
      <x:c r="C226" s="9" t="str">
        <x:v>Xuan et al. (2026)</x:v>
      </x:c>
      <x:c r="D226" s="9" t="str">
        <x:v>L1</x:v>
      </x:c>
      <x:c r="E226" s="9" t="str">
        <x:v>0</x:v>
      </x:c>
      <x:c r="F226" s="9" t="str">
        <x:v>0</x:v>
      </x:c>
      <x:c r="G226" s="9" t="str">
        <x:v>Yes</x:v>
      </x:c>
      <x:c r="H226" s="9" t="str">
        <x:v>Agree</x:v>
      </x:c>
      <x:c r="I226" s="9" t="str">
        <x:v>0</x:v>
      </x:c>
      <x:c r="J226" s="9" t="str">
        <x:v>Final agreement</x:v>
      </x:c>
      <x:c r="K226" s="9" t="str">
        <x:v>FFF term, functional filaments, temperatures, speed, infill, functional-layer/channel dimensions and geometry are reported, but the printer model and nozzle diameter are not.</x:v>
      </x:c>
      <x:c r="L226" s="9" t="str">
        <x:v>PDF pp. 2–11; Figs. 1–6; cited SI</x:v>
      </x:c>
      <x:c r="M226" s="9" t="str">
        <x:v>Fabrication is described, but reconstruction-critical layer height, orientation/toolpath details are not reported.</x:v>
      </x:c>
      <x:c r="N226" s="9" t="str">
        <x:v>Article PDF p. 2</x:v>
      </x:c>
      <x:c r="O226" s="9" t="str">
        <x:v>FFF term, functional filaments, temperatures, speed, infill, functional-layer/channel dimensions and geometry are reported, but the printer model and nozzle diameter are not.</x:v>
      </x:c>
      <x:c r="P226" s="9" t="str">
        <x:v>PDF pp. 2–11; Figs. 1–6; cited SI</x:v>
      </x:c>
    </x:row>
    <x:row r="227">
      <x:c r="A227" s="9" t="n">
        <x:v>29</x:v>
      </x:c>
      <x:c r="B227" s="9" t="str">
        <x:v>S036</x:v>
      </x:c>
      <x:c r="C227" s="9" t="str">
        <x:v>Xuan et al. (2026)</x:v>
      </x:c>
      <x:c r="D227" s="9" t="str">
        <x:v>L2</x:v>
      </x:c>
      <x:c r="E227" s="9" t="str">
        <x:v>1</x:v>
      </x:c>
      <x:c r="F227" s="9" t="str">
        <x:v>1</x:v>
      </x:c>
      <x:c r="G227" s="9" t="str">
        <x:v>Yes</x:v>
      </x:c>
      <x:c r="H227" s="9" t="str">
        <x:v>Agree</x:v>
      </x:c>
      <x:c r="I227" s="9" t="str">
        <x:v>1</x:v>
      </x:c>
      <x:c r="J227" s="9" t="str">
        <x:v>Final agreement</x:v>
      </x:c>
      <x:c r="K227" s="9" t="str">
        <x:v>CB-PLA/PLA layers, electrode roles, microfluidics, adhesive and readout are described.</x:v>
      </x:c>
      <x:c r="L227" s="9" t="str">
        <x:v>PDF pp. 2–11; Figs. 1–6; cited SI</x:v>
      </x:c>
      <x:c r="M227" s="9" t="str">
        <x:v>Functional host, sensing constituent and relevant electrode/interface materials are identified.</x:v>
      </x:c>
      <x:c r="N227" s="9" t="str">
        <x:v>Article PDF p. 2</x:v>
      </x:c>
      <x:c r="O227" s="9" t="str">
        <x:v>CB-PLA/PLA layers, electrode roles, microfluidics, adhesive and readout are described.</x:v>
      </x:c>
      <x:c r="P227" s="9" t="str">
        <x:v>PDF pp. 2–11; Figs. 1–6; cited SI</x:v>
      </x:c>
    </x:row>
    <x:row r="228">
      <x:c r="A228" s="9" t="n">
        <x:v>29</x:v>
      </x:c>
      <x:c r="B228" s="9" t="str">
        <x:v>S036</x:v>
      </x:c>
      <x:c r="C228" s="9" t="str">
        <x:v>Xuan et al. (2026)</x:v>
      </x:c>
      <x:c r="D228" s="9" t="str">
        <x:v>L3</x:v>
      </x:c>
      <x:c r="E228" s="9" t="str">
        <x:v>1</x:v>
      </x:c>
      <x:c r="F228" s="9" t="str">
        <x:v>1</x:v>
      </x:c>
      <x:c r="G228" s="9" t="str">
        <x:v>Yes</x:v>
      </x:c>
      <x:c r="H228" s="9" t="str">
        <x:v>Agree</x:v>
      </x:c>
      <x:c r="I228" s="9" t="str">
        <x:v>1</x:v>
      </x:c>
      <x:c r="J228" s="9" t="str">
        <x:v>Final agreement</x:v>
      </x:c>
      <x:c r="K228" s="9" t="str">
        <x:v>Syringe-pump/timer references and on-body comparison protocols are reported.</x:v>
      </x:c>
      <x:c r="L228" s="9" t="str">
        <x:v>PDF pp. 2–11; Figs. 1–6; cited SI</x:v>
      </x:c>
      <x:c r="M228" s="9" t="str">
        <x:v>Sensor output is related to a controlled or independently measured input with a stated procedure and range.</x:v>
      </x:c>
      <x:c r="N228" s="9" t="str">
        <x:v>Article PDF p. 11</x:v>
      </x:c>
      <x:c r="O228" s="9" t="str">
        <x:v>Syringe-pump/timer references and on-body comparison protocols are reported.</x:v>
      </x:c>
      <x:c r="P228" s="9" t="str">
        <x:v>PDF pp. 2–11; Figs. 1–6; cited SI</x:v>
      </x:c>
    </x:row>
    <x:row r="229">
      <x:c r="A229" s="9" t="n">
        <x:v>29</x:v>
      </x:c>
      <x:c r="B229" s="9" t="str">
        <x:v>S036</x:v>
      </x:c>
      <x:c r="C229" s="9" t="str">
        <x:v>Xuan et al. (2026)</x:v>
      </x:c>
      <x:c r="D229" s="9" t="str">
        <x:v>L4</x:v>
      </x:c>
      <x:c r="E229" s="9" t="str">
        <x:v>1</x:v>
      </x:c>
      <x:c r="F229" s="9" t="str">
        <x:v>1</x:v>
      </x:c>
      <x:c r="G229" s="9" t="str">
        <x:v>Yes</x:v>
      </x:c>
      <x:c r="H229" s="9" t="str">
        <x:v>Agree</x:v>
      </x:c>
      <x:c r="I229" s="9" t="str">
        <x:v>1</x:v>
      </x:c>
      <x:c r="J229" s="9" t="str">
        <x:v>Final agreement</x:v>
      </x:c>
      <x:c r="K229" s="9" t="str">
        <x:v>Calibration equations, rate ranges, differences, correlations and uncertainty/dispersion are reported.</x:v>
      </x:c>
      <x:c r="L229" s="9" t="str">
        <x:v>PDF pp. 2–11; Figs. 1–6; cited SI</x:v>
      </x:c>
      <x:c r="M229" s="9" t="str">
        <x:v>A modality-appropriate quantitative response, units/calculation and operating range are reported.</x:v>
      </x:c>
      <x:c r="N229" s="9" t="str">
        <x:v>Article PDF p. 5</x:v>
      </x:c>
      <x:c r="O229" s="9" t="str">
        <x:v>Calibration equations, rate ranges, differences, correlations and uncertainty/dispersion are reported.</x:v>
      </x:c>
      <x:c r="P229" s="9" t="str">
        <x:v>PDF pp. 2–11; Figs. 1–6; cited SI</x:v>
      </x:c>
    </x:row>
    <x:row r="230">
      <x:c r="A230" s="9" t="n">
        <x:v>29</x:v>
      </x:c>
      <x:c r="B230" s="9" t="str">
        <x:v>S036</x:v>
      </x:c>
      <x:c r="C230" s="9" t="str">
        <x:v>Xuan et al. (2026)</x:v>
      </x:c>
      <x:c r="D230" s="9" t="str">
        <x:v>L5</x:v>
      </x:c>
      <x:c r="E230" s="9" t="str">
        <x:v>1</x:v>
      </x:c>
      <x:c r="F230" s="9" t="str">
        <x:v>1</x:v>
      </x:c>
      <x:c r="G230" s="9" t="str">
        <x:v>Yes</x:v>
      </x:c>
      <x:c r="H230" s="9" t="str">
        <x:v>Agree</x:v>
      </x:c>
      <x:c r="I230" s="9" t="str">
        <x:v>1</x:v>
      </x:c>
      <x:c r="J230" s="9" t="str">
        <x:v>Final agreement</x:v>
      </x:c>
      <x:c r="K230" s="9" t="str">
        <x:v>Repeated fixed-rate observations with n=6–8 and standard deviations report repeated-measurement precision.</x:v>
      </x:c>
      <x:c r="L230" s="9" t="str">
        <x:v>PDF pp. 2–11; Figs. 1–6; cited SI</x:v>
      </x:c>
      <x:c r="M230" s="9" t="str">
        <x:v>At fixed syringe-pump rates, six to eight repeated measurements yielded means and standard deviations.</x:v>
      </x:c>
      <x:c r="N230" s="9" t="str">
        <x:v>Article PDF p. 9, Table S5 cited</x:v>
      </x:c>
      <x:c r="O230" s="9" t="str">
        <x:v>Repeated fixed-rate observations with n=6–8 and standard deviations report repeated-measurement precision.</x:v>
      </x:c>
      <x:c r="P230" s="9" t="str">
        <x:v>PDF pp. 2–11; Figs. 1–6; cited SI</x:v>
      </x:c>
    </x:row>
    <x:row r="231">
      <x:c r="A231" s="9" t="n">
        <x:v>29</x:v>
      </x:c>
      <x:c r="B231" s="9" t="str">
        <x:v>S036</x:v>
      </x:c>
      <x:c r="C231" s="9" t="str">
        <x:v>Xuan et al. (2026)</x:v>
      </x:c>
      <x:c r="D231" s="9" t="str">
        <x:v>L6</x:v>
      </x:c>
      <x:c r="E231" s="9" t="str">
        <x:v>1</x:v>
      </x:c>
      <x:c r="F231" s="9" t="str">
        <x:v>1</x:v>
      </x:c>
      <x:c r="G231" s="9" t="str">
        <x:v>Yes</x:v>
      </x:c>
      <x:c r="H231" s="9" t="str">
        <x:v>Agree</x:v>
      </x:c>
      <x:c r="I231" s="9" t="str">
        <x:v>1</x:v>
      </x:c>
      <x:c r="J231" s="9" t="str">
        <x:v>Final agreement</x:v>
      </x:c>
      <x:c r="K231" s="9" t="str">
        <x:v>Temperature 24–40 °C and concentration 0.5×–1.25× were varied with sweat-rate deviation reported.</x:v>
      </x:c>
      <x:c r="L231" s="9" t="str">
        <x:v>PDF pp. 2–11; Figs. 1–6; cited SI</x:v>
      </x:c>
      <x:c r="M231" s="9" t="str">
        <x:v>Final rating supersedes the earlier rating; no revised narrative reason was supplied.</x:v>
      </x:c>
      <x:c r="N231" s="9" t="str">
        <x:v>Finalized reviewer-rating workbook</x:v>
      </x:c>
      <x:c r="O231" s="9" t="str">
        <x:v>Temperature 24–40 °C and concentration 0.5×–1.25× were varied with sweat-rate deviation reported.</x:v>
      </x:c>
      <x:c r="P231" s="9" t="str">
        <x:v>PDF pp. 2–11; Figs. 1–6; cited SI</x:v>
      </x:c>
    </x:row>
    <x:row r="232">
      <x:c r="A232" s="9" t="n">
        <x:v>29</x:v>
      </x:c>
      <x:c r="B232" s="9" t="str">
        <x:v>S036</x:v>
      </x:c>
      <x:c r="C232" s="9" t="str">
        <x:v>Xuan et al. (2026)</x:v>
      </x:c>
      <x:c r="D232" s="9" t="str">
        <x:v>L7</x:v>
      </x:c>
      <x:c r="E232" s="9" t="str">
        <x:v>1</x:v>
      </x:c>
      <x:c r="F232" s="9" t="str">
        <x:v>1</x:v>
      </x:c>
      <x:c r="G232" s="9" t="str">
        <x:v>Yes</x:v>
      </x:c>
      <x:c r="H232" s="9" t="str">
        <x:v>Agree</x:v>
      </x:c>
      <x:c r="I232" s="9" t="str">
        <x:v>1</x:v>
      </x:c>
      <x:c r="J232" s="9" t="str">
        <x:v>Final agreement</x:v>
      </x:c>
      <x:c r="K232" s="9" t="str">
        <x:v>The attached sweat-rate device cannot accommodate the entire exercise's perspiration volume; monitoring ends at approximately 2200 seconds because its capacity is insufficient.</x:v>
      </x:c>
      <x:c r="L232" s="9" t="str">
        <x:v>S036_Main.pdf, physical p. 3, assembly/cycling protocol; pp. 9-10, on-body section, p. 10 first paragraph/Fig. 6.</x:v>
      </x:c>
      <x:c r="M232" s="9" t="str">
        <x:v>The attached sweat-rate device cannot accommodate the entire exercise's perspiration volume; monitoring ends at approximately 2200 seconds because its capacity is insufficient.</x:v>
      </x:c>
      <x:c r="N232" s="9" t="str">
        <x:v>S036_Main.pdf, physical p. 3, assembly/cycling protocol; pp. 9-10, on-body section, p. 10 first paragraph/Fig. 6.</x:v>
      </x:c>
      <x:c r="O232" s="9" t="str">
        <x:v>The attached sweat-rate device cannot accommodate the entire exercise's perspiration volume; monitoring ends at approximately 2200 seconds because its capacity is insufficient.</x:v>
      </x:c>
      <x:c r="P232" s="9" t="str">
        <x:v>S036_Main.pdf, physical p. 3, assembly/cycling protocol; pp. 9-10, on-body section, p. 10 first paragraph/Fig. 6.</x:v>
      </x:c>
    </x:row>
    <x:row r="233">
      <x:c r="A233" s="9" t="n">
        <x:v>29</x:v>
      </x:c>
      <x:c r="B233" s="9" t="str">
        <x:v>S036</x:v>
      </x:c>
      <x:c r="C233" s="9" t="str">
        <x:v>Xuan et al. (2026)</x:v>
      </x:c>
      <x:c r="D233" s="9" t="str">
        <x:v>L8</x:v>
      </x:c>
      <x:c r="E233" s="9" t="str">
        <x:v>0</x:v>
      </x:c>
      <x:c r="F233" s="9" t="str">
        <x:v>0</x:v>
      </x:c>
      <x:c r="G233" s="9" t="str">
        <x:v>Yes</x:v>
      </x:c>
      <x:c r="H233" s="9" t="str">
        <x:v>Agree</x:v>
      </x:c>
      <x:c r="I233" s="9" t="str">
        <x:v>0</x:v>
      </x:c>
      <x:c r="J233" s="9" t="str">
        <x:v>Final agreement</x:v>
      </x:c>
      <x:c r="K233" s="9" t="str">
        <x:v>Replicate observations and two participants are reported; ≥3 separate fabricated devices are not identified.</x:v>
      </x:c>
      <x:c r="L233" s="9" t="str">
        <x:v>PDF pp. 2–11; Figs. 1–6; cited SI</x:v>
      </x:c>
      <x:c r="M233" s="9" t="str">
        <x:v>Repeated readings and multiple subjects are reported, but three independently fabricated equivalent devices with between-device variation are not.</x:v>
      </x:c>
      <x:c r="N233" s="9" t="str">
        <x:v>Article PDF pp. 9-10</x:v>
      </x:c>
      <x:c r="O233" s="9" t="str">
        <x:v>Replicate observations and two participants are reported; ≥3 separate fabricated devices are not identified.</x:v>
      </x:c>
      <x:c r="P233" s="9" t="str">
        <x:v>PDF pp. 2–11; Figs. 1–6; cited SI</x:v>
      </x:c>
    </x:row>
    <x:row r="234">
      <x:c r="A234" s="9" t="n">
        <x:v>30</x:v>
      </x:c>
      <x:c r="B234" s="9" t="str">
        <x:v>S037</x:v>
      </x:c>
      <x:c r="C234" s="9" t="str">
        <x:v>Wolterink et al. (2021)</x:v>
      </x:c>
      <x:c r="D234" s="9" t="str">
        <x:v>L1</x:v>
      </x:c>
      <x:c r="E234" s="9" t="str">
        <x:v>0</x:v>
      </x:c>
      <x:c r="F234" s="9" t="str">
        <x:v>0</x:v>
      </x:c>
      <x:c r="G234" s="9" t="str">
        <x:v>Yes</x:v>
      </x:c>
      <x:c r="H234" s="9" t="str">
        <x:v>Agree</x:v>
      </x:c>
      <x:c r="I234" s="9" t="str">
        <x:v>0</x:v>
      </x:c>
      <x:c r="J234" s="9" t="str">
        <x:v>Final agreement</x:v>
      </x:c>
      <x:c r="K234" s="9" t="str">
        <x:v>Printer, materials, layer height, gauge path and geometry are reported, but nozzle, temperatures, speed and sensor infill are absent.</x:v>
      </x:c>
      <x:c r="L234" s="9" t="str">
        <x:v>PDF pp. 1–10; Figs. 1–16</x:v>
      </x:c>
      <x:c r="M234" s="9" t="str">
        <x:v>Fabrication is described, but reconstruction-critical nozzle, layer height, infill, speed details are not reported.</x:v>
      </x:c>
      <x:c r="N234" s="9" t="str">
        <x:v>Article PDF p. 1</x:v>
      </x:c>
      <x:c r="O234" s="9" t="str">
        <x:v>Printer, materials, layer height, gauge path and geometry are reported, but nozzle, temperatures, speed and sensor infill are absent.</x:v>
      </x:c>
      <x:c r="P234" s="9" t="str">
        <x:v>PDF pp. 1–10; Figs. 1–16</x:v>
      </x:c>
    </x:row>
    <x:row r="235">
      <x:c r="A235" s="9" t="n">
        <x:v>30</x:v>
      </x:c>
      <x:c r="B235" s="9" t="str">
        <x:v>S037</x:v>
      </x:c>
      <x:c r="C235" s="9" t="str">
        <x:v>Wolterink et al. (2021)</x:v>
      </x:c>
      <x:c r="D235" s="9" t="str">
        <x:v>L2</x:v>
      </x:c>
      <x:c r="E235" s="9" t="str">
        <x:v>1</x:v>
      </x:c>
      <x:c r="F235" s="9" t="str">
        <x:v>1</x:v>
      </x:c>
      <x:c r="G235" s="9" t="str">
        <x:v>Yes</x:v>
      </x:c>
      <x:c r="H235" s="9" t="str">
        <x:v>Agree</x:v>
      </x:c>
      <x:c r="I235" s="9" t="str">
        <x:v>1</x:v>
      </x:c>
      <x:c r="J235" s="9" t="str">
        <x:v>Final agreement</x:v>
      </x:c>
      <x:c r="K235" s="9" t="str">
        <x:v>Conductive/nonconductive TPU, PETG, contacts, gauge and bridge roles are described.</x:v>
      </x:c>
      <x:c r="L235" s="9" t="str">
        <x:v>PDF pp. 1–10; Figs. 1–16</x:v>
      </x:c>
      <x:c r="M235" s="9" t="str">
        <x:v>Functional host, sensing constituent and relevant electrode/interface materials are identified.</x:v>
      </x:c>
      <x:c r="N235" s="9" t="str">
        <x:v>Article PDF p. 1</x:v>
      </x:c>
      <x:c r="O235" s="9" t="str">
        <x:v>Conductive/nonconductive TPU, PETG, contacts, gauge and bridge roles are described.</x:v>
      </x:c>
      <x:c r="P235" s="9" t="str">
        <x:v>PDF pp. 1–10; Figs. 1–16</x:v>
      </x:c>
    </x:row>
    <x:row r="236">
      <x:c r="A236" s="9" t="n">
        <x:v>30</x:v>
      </x:c>
      <x:c r="B236" s="9" t="str">
        <x:v>S037</x:v>
      </x:c>
      <x:c r="C236" s="9" t="str">
        <x:v>Wolterink et al. (2021)</x:v>
      </x:c>
      <x:c r="D236" s="9" t="str">
        <x:v>L3</x:v>
      </x:c>
      <x:c r="E236" s="9" t="str">
        <x:v>1</x:v>
      </x:c>
      <x:c r="F236" s="9" t="str">
        <x:v>1</x:v>
      </x:c>
      <x:c r="G236" s="9" t="str">
        <x:v>Yes</x:v>
      </x:c>
      <x:c r="H236" s="9" t="str">
        <x:v>Agree</x:v>
      </x:c>
      <x:c r="I236" s="9" t="str">
        <x:v>1</x:v>
      </x:c>
      <x:c r="J236" s="9" t="str">
        <x:v>Final agreement</x:v>
      </x:c>
      <x:c r="K236" s="9" t="str">
        <x:v>Actuator/load-cell references, angles, force, frequency and processing are reported.</x:v>
      </x:c>
      <x:c r="L236" s="9" t="str">
        <x:v>PDF pp. 1–10; Figs. 1–16</x:v>
      </x:c>
      <x:c r="M236" s="9" t="str">
        <x:v>A position-controlled actuator and synchronized load cell supplied the applied displacement and force references.</x:v>
      </x:c>
      <x:c r="N236" s="9" t="str">
        <x:v>Article PDF pp. 4-5, Section 2.3</x:v>
      </x:c>
      <x:c r="O236" s="9" t="str">
        <x:v>Actuator/load-cell references, angles, force, frequency and processing are reported.</x:v>
      </x:c>
      <x:c r="P236" s="9" t="str">
        <x:v>PDF pp. 1–10; Figs. 1–16</x:v>
      </x:c>
    </x:row>
    <x:row r="237">
      <x:c r="A237" s="9" t="n">
        <x:v>30</x:v>
      </x:c>
      <x:c r="B237" s="9" t="str">
        <x:v>S037</x:v>
      </x:c>
      <x:c r="C237" s="9" t="str">
        <x:v>Wolterink et al. (2021)</x:v>
      </x:c>
      <x:c r="D237" s="9" t="str">
        <x:v>L4</x:v>
      </x:c>
      <x:c r="E237" s="9" t="str">
        <x:v>1</x:v>
      </x:c>
      <x:c r="F237" s="9" t="str">
        <x:v>1</x:v>
      </x:c>
      <x:c r="G237" s="9" t="str">
        <x:v>Yes</x:v>
      </x:c>
      <x:c r="H237" s="9" t="str">
        <x:v>Agree</x:v>
      </x:c>
      <x:c r="I237" s="9" t="str">
        <x:v>1</x:v>
      </x:c>
      <x:c r="J237" s="9" t="str">
        <x:v>Final agreement</x:v>
      </x:c>
      <x:c r="K237" s="9" t="str">
        <x:v>Normalized output and stated force/strain ranges are reported; performance is chiefly graphical.</x:v>
      </x:c>
      <x:c r="L237" s="9" t="str">
        <x:v>PDF pp. 1–10; Figs. 1–16</x:v>
      </x:c>
      <x:c r="M237" s="9" t="str">
        <x:v>Normalized resistance-force responses, sensitivity and crosstalk are reported over stated force ranges.</x:v>
      </x:c>
      <x:c r="N237" s="9" t="str">
        <x:v>Article PDF pp. 6-10, Figures 8-14</x:v>
      </x:c>
      <x:c r="O237" s="9" t="str">
        <x:v>Normalized output and stated force/strain ranges are reported; performance is chiefly graphical.</x:v>
      </x:c>
      <x:c r="P237" s="9" t="str">
        <x:v>PDF pp. 1–10; Figs. 1–16</x:v>
      </x:c>
    </x:row>
    <x:row r="238">
      <x:c r="A238" s="9" t="n">
        <x:v>30</x:v>
      </x:c>
      <x:c r="B238" s="9" t="str">
        <x:v>S037</x:v>
      </x:c>
      <x:c r="C238" s="9" t="str">
        <x:v>Wolterink et al. (2021)</x:v>
      </x:c>
      <x:c r="D238" s="9" t="str">
        <x:v>L5</x:v>
      </x:c>
      <x:c r="E238" s="9" t="str">
        <x:v>1</x:v>
      </x:c>
      <x:c r="F238" s="9" t="str">
        <x:v>1</x:v>
      </x:c>
      <x:c r="G238" s="9" t="str">
        <x:v>Yes</x:v>
      </x:c>
      <x:c r="H238" s="9" t="str">
        <x:v>Agree</x:v>
      </x:c>
      <x:c r="I238" s="9" t="str">
        <x:v>1</x:v>
      </x:c>
      <x:c r="J238" s="9" t="str">
        <x:v>Final agreement</x:v>
      </x:c>
      <x:c r="K238" s="9" t="str">
        <x:v>Ten material cycles and approximately ten sensor cycles per condition are summarized with means/SD and settling behavior.</x:v>
      </x:c>
      <x:c r="L238" s="9" t="str">
        <x:v>PDF pp. 1–10; Figs. 1–16</x:v>
      </x:c>
      <x:c r="M238" s="9" t="str">
        <x:v>A stated repeated-test range/count is accompanied by a stability, hysteresis, retention or failure outcome.</x:v>
      </x:c>
      <x:c r="N238" s="9" t="str">
        <x:v>Article PDF p. 12</x:v>
      </x:c>
      <x:c r="O238" s="9" t="str">
        <x:v>Ten material cycles and approximately ten sensor cycles per condition are summarized with means/SD and settling behavior.</x:v>
      </x:c>
      <x:c r="P238" s="9" t="str">
        <x:v>PDF pp. 1–10; Figs. 1–16</x:v>
      </x:c>
    </x:row>
    <x:row r="239">
      <x:c r="A239" s="9" t="n">
        <x:v>30</x:v>
      </x:c>
      <x:c r="B239" s="9" t="str">
        <x:v>S037</x:v>
      </x:c>
      <x:c r="C239" s="9" t="str">
        <x:v>Wolterink et al. (2021)</x:v>
      </x:c>
      <x:c r="D239" s="9" t="str">
        <x:v>L6</x:v>
      </x:c>
      <x:c r="E239" s="9" t="str">
        <x:v>0</x:v>
      </x:c>
      <x:c r="F239" s="9" t="str">
        <x:v>0</x:v>
      </x:c>
      <x:c r="G239" s="9" t="str">
        <x:v>Yes</x:v>
      </x:c>
      <x:c r="H239" s="9" t="str">
        <x:v>Agree</x:v>
      </x:c>
      <x:c r="I239" s="9" t="str">
        <x:v>0</x:v>
      </x:c>
      <x:c r="J239" s="9" t="str">
        <x:v>Final agreement</x:v>
      </x:c>
      <x:c r="K239" s="9" t="str">
        <x:v>No qualifying environmental/use exposure was tested.</x:v>
      </x:c>
      <x:c r="L239" s="9" t="str">
        <x:v>PDF pp. 1–10; Figs. 1–16</x:v>
      </x:c>
      <x:c r="M239" s="9" t="str">
        <x:v>No qualifying response under a declared non-measurand environmental/use exposure is reported.</x:v>
      </x:c>
      <x:c r="N239" s="9" t="str">
        <x:v>Article PDF p. 2</x:v>
      </x:c>
      <x:c r="O239" s="9" t="str">
        <x:v>No qualifying environmental/use exposure was tested.</x:v>
      </x:c>
      <x:c r="P239" s="9" t="str">
        <x:v>PDF pp. 1–10; Figs. 1–16</x:v>
      </x:c>
    </x:row>
    <x:row r="240">
      <x:c r="A240" s="9" t="n">
        <x:v>30</x:v>
      </x:c>
      <x:c r="B240" s="9" t="str">
        <x:v>S037</x:v>
      </x:c>
      <x:c r="C240" s="9" t="str">
        <x:v>Wolterink et al. (2021)</x:v>
      </x:c>
      <x:c r="D240" s="9" t="str">
        <x:v>L7</x:v>
      </x:c>
      <x:c r="E240" s="9" t="str">
        <x:v>0</x:v>
      </x:c>
      <x:c r="F240" s="9" t="str">
        <x:v>0</x:v>
      </x:c>
      <x:c r="G240" s="9" t="str">
        <x:v>Yes</x:v>
      </x:c>
      <x:c r="H240" s="9" t="str">
        <x:v>Agree</x:v>
      </x:c>
      <x:c r="I240" s="9" t="str">
        <x:v>0</x:v>
      </x:c>
      <x:c r="J240" s="9" t="str">
        <x:v>Final agreement</x:v>
      </x:c>
      <x:c r="K240" s="9" t="str">
        <x:v>Final L7 rating from the targeted reassessment.</x:v>
      </x:c>
      <x:c r="L240" s="9" t="str">
        <x:v>Finalized reviewer-rating workbook</x:v>
      </x:c>
      <x:c r="M240" s="9" t="str">
        <x:v>Final L7 rating from the targeted reassessment.</x:v>
      </x:c>
      <x:c r="N240" s="9" t="str">
        <x:v>Finalized reviewer-rating workbook</x:v>
      </x:c>
      <x:c r="O240" s="9" t="str">
        <x:v>No qualifying interface-integrity test or repeated final monolithic wearable-assembly test with a retention/failure endpoint was located.</x:v>
      </x:c>
      <x:c r="P240" s="9" t="str">
        <x:v>PDF pp. 1–10; Figs. 1–16</x:v>
      </x:c>
    </x:row>
    <x:row r="241">
      <x:c r="A241" s="9" t="n">
        <x:v>30</x:v>
      </x:c>
      <x:c r="B241" s="9" t="str">
        <x:v>S037</x:v>
      </x:c>
      <x:c r="C241" s="9" t="str">
        <x:v>Wolterink et al. (2021)</x:v>
      </x:c>
      <x:c r="D241" s="9" t="str">
        <x:v>L8</x:v>
      </x:c>
      <x:c r="E241" s="9" t="str">
        <x:v>0</x:v>
      </x:c>
      <x:c r="F241" s="9" t="str">
        <x:v>0</x:v>
      </x:c>
      <x:c r="G241" s="9" t="str">
        <x:v>Yes</x:v>
      </x:c>
      <x:c r="H241" s="9" t="str">
        <x:v>Agree</x:v>
      </x:c>
      <x:c r="I241" s="9" t="str">
        <x:v>0</x:v>
      </x:c>
      <x:c r="J241" s="9" t="str">
        <x:v>Final agreement</x:v>
      </x:c>
      <x:c r="K241" s="9" t="str">
        <x:v>Only inside/outside prototypes are described; configurations are not three independent replicate devices.</x:v>
      </x:c>
      <x:c r="L241" s="9" t="str">
        <x:v>PDF pp. 1–10; Figs. 1–16</x:v>
      </x:c>
      <x:c r="M241" s="9" t="str">
        <x:v>At least three equivalent independently fabricated units with quantified between-unit variation are not reported.</x:v>
      </x:c>
      <x:c r="N241" s="9" t="str">
        <x:v>Article PDF p. 11</x:v>
      </x:c>
      <x:c r="O241" s="9" t="str">
        <x:v>Only inside/outside prototypes are described; configurations are not three independent replicate devices.</x:v>
      </x:c>
      <x:c r="P241" s="9" t="str">
        <x:v>PDF pp. 1–10; Figs. 1–16</x:v>
      </x:c>
    </x:row>
    <x:row r="242">
      <x:c r="A242" s="9" t="n">
        <x:v>31</x:v>
      </x:c>
      <x:c r="B242" s="9" t="str">
        <x:v>S038</x:v>
      </x:c>
      <x:c r="C242" s="9" t="str">
        <x:v>Christ et al. (2018)</x:v>
      </x:c>
      <x:c r="D242" s="9" t="str">
        <x:v>L1</x:v>
      </x:c>
      <x:c r="E242" s="9" t="str">
        <x:v>1</x:v>
      </x:c>
      <x:c r="F242" s="9" t="str">
        <x:v>1</x:v>
      </x:c>
      <x:c r="G242" s="9" t="str">
        <x:v>Yes</x:v>
      </x:c>
      <x:c r="H242" s="9" t="str">
        <x:v>Agree</x:v>
      </x:c>
      <x:c r="I242" s="9" t="str">
        <x:v>1</x:v>
      </x:c>
      <x:c r="J242" s="9" t="str">
        <x:v>Final agreement</x:v>
      </x:c>
      <x:c r="K242" s="9" t="str">
        <x:v>FFF term, printer model, both functional filaments, nozzle/bed temperatures, speed, layer height, infill and geometry are reported.</x:v>
      </x:c>
      <x:c r="L242" s="9" t="str">
        <x:v>PDF pp. 3–12; Figs. 1–11; Table 1</x:v>
      </x:c>
      <x:c r="M242" s="9" t="str">
        <x:v>Reconstruction-relevant printer, material, temperature, layer, speed, path/geometry and post-processing details are reported.</x:v>
      </x:c>
      <x:c r="N242" s="9" t="str">
        <x:v>Article PDF p. 5</x:v>
      </x:c>
      <x:c r="O242" s="9" t="str">
        <x:v>FFF term, printer model, both functional filaments, nozzle/bed temperatures, speed, layer height, infill and geometry are reported.</x:v>
      </x:c>
      <x:c r="P242" s="9" t="str">
        <x:v>PDF pp. 3–12; Figs. 1–11; Table 1</x:v>
      </x:c>
    </x:row>
    <x:row r="243">
      <x:c r="A243" s="9" t="n">
        <x:v>31</x:v>
      </x:c>
      <x:c r="B243" s="9" t="str">
        <x:v>S038</x:v>
      </x:c>
      <x:c r="C243" s="9" t="str">
        <x:v>Christ et al. (2018)</x:v>
      </x:c>
      <x:c r="D243" s="9" t="str">
        <x:v>L2</x:v>
      </x:c>
      <x:c r="E243" s="9" t="str">
        <x:v>1</x:v>
      </x:c>
      <x:c r="F243" s="9" t="str">
        <x:v>1</x:v>
      </x:c>
      <x:c r="G243" s="9" t="str">
        <x:v>Yes</x:v>
      </x:c>
      <x:c r="H243" s="9" t="str">
        <x:v>Agree</x:v>
      </x:c>
      <x:c r="I243" s="9" t="str">
        <x:v>1</x:v>
      </x:c>
      <x:c r="J243" s="9" t="str">
        <x:v>Final agreement</x:v>
      </x:c>
      <x:c r="K243" s="9" t="str">
        <x:v>Conductive and insulating materials, trace geometry and contacts are described.</x:v>
      </x:c>
      <x:c r="L243" s="9" t="str">
        <x:v>PDF pp. 3–12; Figs. 1–11; Table 1</x:v>
      </x:c>
      <x:c r="M243" s="9" t="str">
        <x:v>Functional host, sensing constituent and relevant electrode/interface materials are identified.</x:v>
      </x:c>
      <x:c r="N243" s="9" t="str">
        <x:v>Article PDF p. 3</x:v>
      </x:c>
      <x:c r="O243" s="9" t="str">
        <x:v>Conductive and insulating materials, trace geometry and contacts are described.</x:v>
      </x:c>
      <x:c r="P243" s="9" t="str">
        <x:v>PDF pp. 3–12; Figs. 1–11; Table 1</x:v>
      </x:c>
    </x:row>
    <x:row r="244">
      <x:c r="A244" s="9" t="n">
        <x:v>31</x:v>
      </x:c>
      <x:c r="B244" s="9" t="str">
        <x:v>S038</x:v>
      </x:c>
      <x:c r="C244" s="9" t="str">
        <x:v>Christ et al. (2018)</x:v>
      </x:c>
      <x:c r="D244" s="9" t="str">
        <x:v>L3</x:v>
      </x:c>
      <x:c r="E244" s="9" t="str">
        <x:v>1</x:v>
      </x:c>
      <x:c r="F244" s="9" t="str">
        <x:v>1</x:v>
      </x:c>
      <x:c r="G244" s="9" t="str">
        <x:v>Yes</x:v>
      </x:c>
      <x:c r="H244" s="9" t="str">
        <x:v>Agree</x:v>
      </x:c>
      <x:c r="I244" s="9" t="str">
        <x:v>1</x:v>
      </x:c>
      <x:c r="J244" s="9" t="str">
        <x:v>Final agreement</x:v>
      </x:c>
      <x:c r="K244" s="9" t="str">
        <x:v>A custom tensile machine, loading rates, hold time and resistance circuit are reported.</x:v>
      </x:c>
      <x:c r="L244" s="9" t="str">
        <x:v>PDF pp. 3–12; Figs. 1–11; Table 1</x:v>
      </x:c>
      <x:c r="M244" s="9" t="str">
        <x:v>Sensor output is related to a controlled or independently measured input with a stated procedure and range.</x:v>
      </x:c>
      <x:c r="N244" s="9" t="str">
        <x:v>Article PDF p. 10</x:v>
      </x:c>
      <x:c r="O244" s="9" t="str">
        <x:v>A custom tensile machine, loading rates, hold time and resistance circuit are reported.</x:v>
      </x:c>
      <x:c r="P244" s="9" t="str">
        <x:v>PDF pp. 3–12; Figs. 1–11; Table 1</x:v>
      </x:c>
    </x:row>
    <x:row r="245">
      <x:c r="A245" s="9" t="n">
        <x:v>31</x:v>
      </x:c>
      <x:c r="B245" s="9" t="str">
        <x:v>S038</x:v>
      </x:c>
      <x:c r="C245" s="9" t="str">
        <x:v>Christ et al. (2018)</x:v>
      </x:c>
      <x:c r="D245" s="9" t="str">
        <x:v>L4</x:v>
      </x:c>
      <x:c r="E245" s="9" t="str">
        <x:v>1</x:v>
      </x:c>
      <x:c r="F245" s="9" t="str">
        <x:v>1</x:v>
      </x:c>
      <x:c r="G245" s="9" t="str">
        <x:v>Yes</x:v>
      </x:c>
      <x:c r="H245" s="9" t="str">
        <x:v>Agree</x:v>
      </x:c>
      <x:c r="I245" s="9" t="str">
        <x:v>1</x:v>
      </x:c>
      <x:c r="J245" s="9" t="str">
        <x:v>Final agreement</x:v>
      </x:c>
      <x:c r="K245" s="9" t="str">
        <x:v>Relative resistance and gauge factor are reported over stated strain ranges.</x:v>
      </x:c>
      <x:c r="L245" s="9" t="str">
        <x:v>PDF pp. 3–12; Figs. 1–11; Table 1</x:v>
      </x:c>
      <x:c r="M245" s="9" t="str">
        <x:v>A modality-appropriate quantitative response, units/calculation and operating range are reported.</x:v>
      </x:c>
      <x:c r="N245" s="9" t="str">
        <x:v>Article PDF p. 11</x:v>
      </x:c>
      <x:c r="O245" s="9" t="str">
        <x:v>Relative resistance and gauge factor are reported over stated strain ranges.</x:v>
      </x:c>
      <x:c r="P245" s="9" t="str">
        <x:v>PDF pp. 3–12; Figs. 1–11; Table 1</x:v>
      </x:c>
    </x:row>
    <x:row r="246">
      <x:c r="A246" s="9" t="n">
        <x:v>31</x:v>
      </x:c>
      <x:c r="B246" s="9" t="str">
        <x:v>S038</x:v>
      </x:c>
      <x:c r="C246" s="9" t="str">
        <x:v>Christ et al. (2018)</x:v>
      </x:c>
      <x:c r="D246" s="9" t="str">
        <x:v>L5</x:v>
      </x:c>
      <x:c r="E246" s="9" t="str">
        <x:v>1</x:v>
      </x:c>
      <x:c r="F246" s="9" t="str">
        <x:v>1</x:v>
      </x:c>
      <x:c r="G246" s="9" t="str">
        <x:v>Yes</x:v>
      </x:c>
      <x:c r="H246" s="9" t="str">
        <x:v>Agree</x:v>
      </x:c>
      <x:c r="I246" s="9" t="str">
        <x:v>1</x:v>
      </x:c>
      <x:c r="J246" s="9" t="str">
        <x:v>Final agreement</x:v>
      </x:c>
      <x:c r="K246" s="9" t="str">
        <x:v>Twenty loading–unloading cycles at 50% strain report early drift and later repeatability.</x:v>
      </x:c>
      <x:c r="L246" s="9" t="str">
        <x:v>PDF pp. 3–12; Figs. 1–11; Table 1</x:v>
      </x:c>
      <x:c r="M246" s="9" t="str">
        <x:v>A stated repeated-test range/count is accompanied by a stability, hysteresis, retention or failure outcome.</x:v>
      </x:c>
      <x:c r="N246" s="9" t="str">
        <x:v>Article PDF p. 7</x:v>
      </x:c>
      <x:c r="O246" s="9" t="str">
        <x:v>Twenty loading–unloading cycles at 50% strain report early drift and later repeatability.</x:v>
      </x:c>
      <x:c r="P246" s="9" t="str">
        <x:v>PDF pp. 3–12; Figs. 1–11; Table 1</x:v>
      </x:c>
    </x:row>
    <x:row r="247">
      <x:c r="A247" s="9" t="n">
        <x:v>31</x:v>
      </x:c>
      <x:c r="B247" s="9" t="str">
        <x:v>S038</x:v>
      </x:c>
      <x:c r="C247" s="9" t="str">
        <x:v>Christ et al. (2018)</x:v>
      </x:c>
      <x:c r="D247" s="9" t="str">
        <x:v>L6</x:v>
      </x:c>
      <x:c r="E247" s="9" t="str">
        <x:v>0</x:v>
      </x:c>
      <x:c r="F247" s="9" t="str">
        <x:v>0</x:v>
      </x:c>
      <x:c r="G247" s="9" t="str">
        <x:v>Yes</x:v>
      </x:c>
      <x:c r="H247" s="9" t="str">
        <x:v>Agree</x:v>
      </x:c>
      <x:c r="I247" s="9" t="str">
        <x:v>0</x:v>
      </x:c>
      <x:c r="J247" s="9" t="str">
        <x:v>Final agreement</x:v>
      </x:c>
      <x:c r="K247" s="9" t="str">
        <x:v>No environmental or separate use-related exposure was tested.</x:v>
      </x:c>
      <x:c r="L247" s="9" t="str">
        <x:v>PDF pp. 3–12; Figs. 1–11; Table 1</x:v>
      </x:c>
      <x:c r="M247" s="9" t="str">
        <x:v>No qualifying response under a declared non-measurand environmental/use exposure is reported.</x:v>
      </x:c>
      <x:c r="N247" s="9" t="str">
        <x:v>Article PDF p. 1</x:v>
      </x:c>
      <x:c r="O247" s="9" t="str">
        <x:v>No environmental or separate use-related exposure was tested.</x:v>
      </x:c>
      <x:c r="P247" s="9" t="str">
        <x:v>PDF pp. 3–12; Figs. 1–11; Table 1</x:v>
      </x:c>
    </x:row>
    <x:row r="248">
      <x:c r="A248" s="9" t="n">
        <x:v>31</x:v>
      </x:c>
      <x:c r="B248" s="9" t="str">
        <x:v>S038</x:v>
      </x:c>
      <x:c r="C248" s="9" t="str">
        <x:v>Christ et al. (2018)</x:v>
      </x:c>
      <x:c r="D248" s="9" t="str">
        <x:v>L7</x:v>
      </x:c>
      <x:c r="E248" s="9" t="str">
        <x:v>1</x:v>
      </x:c>
      <x:c r="F248" s="9" t="str">
        <x:v>1</x:v>
      </x:c>
      <x:c r="G248" s="9" t="str">
        <x:v>Yes</x:v>
      </x:c>
      <x:c r="H248" s="9" t="str">
        <x:v>Agree</x:v>
      </x:c>
      <x:c r="I248" s="9" t="str">
        <x:v>1</x:v>
      </x:c>
      <x:c r="J248" s="9" t="str">
        <x:v>Final agreement</x:v>
      </x:c>
      <x:c r="K248" s="9" t="str">
        <x:v>The text explicitly reports relatively repeatable resistance responses across all three flexing cycles at the specified positions.</x:v>
      </x:c>
      <x:c r="L248" s="9" t="str">
        <x:v>S038_Main.pdf, physical p. 12, section 3.5 and Fig. 11b-c.</x:v>
      </x:c>
      <x:c r="M248" s="9" t="str">
        <x:v>The text explicitly reports relatively repeatable resistance responses across all three flexing cycles at the specified positions.</x:v>
      </x:c>
      <x:c r="N248" s="9" t="str">
        <x:v>S038_Main.pdf, physical p. 12, section 3.5 and Fig. 11b-c.</x:v>
      </x:c>
      <x:c r="O248" s="9" t="str">
        <x:v>The text explicitly reports relatively repeatable resistance responses across all three flexing cycles at the specified positions.</x:v>
      </x:c>
      <x:c r="P248" s="9" t="str">
        <x:v>S038_Main.pdf, physical p. 12, section 3.5 and Fig. 11b-c.</x:v>
      </x:c>
    </x:row>
    <x:row r="249">
      <x:c r="A249" s="9" t="n">
        <x:v>31</x:v>
      </x:c>
      <x:c r="B249" s="9" t="str">
        <x:v>S038</x:v>
      </x:c>
      <x:c r="C249" s="9" t="str">
        <x:v>Christ et al. (2018)</x:v>
      </x:c>
      <x:c r="D249" s="9" t="str">
        <x:v>L8</x:v>
      </x:c>
      <x:c r="E249" s="9" t="str">
        <x:v>0</x:v>
      </x:c>
      <x:c r="F249" s="9" t="str">
        <x:v>0</x:v>
      </x:c>
      <x:c r="G249" s="9" t="str">
        <x:v>Yes</x:v>
      </x:c>
      <x:c r="H249" s="9" t="str">
        <x:v>Agree</x:v>
      </x:c>
      <x:c r="I249" s="9" t="str">
        <x:v>0</x:v>
      </x:c>
      <x:c r="J249" s="9" t="str">
        <x:v>Final agreement</x:v>
      </x:c>
      <x:c r="K249" s="9" t="str">
        <x:v>Architectures and directions were compared, but three separately fabricated units per condition were not identified.</x:v>
      </x:c>
      <x:c r="L249" s="9" t="str">
        <x:v>PDF pp. 3–12; Figs. 1–11; Table 1</x:v>
      </x:c>
      <x:c r="M249" s="9" t="str">
        <x:v>At least three equivalent independently fabricated units with quantified between-unit variation are not reported.</x:v>
      </x:c>
      <x:c r="N249" s="9" t="str">
        <x:v>Article PDF p. 1</x:v>
      </x:c>
      <x:c r="O249" s="9" t="str">
        <x:v>Architectures and directions were compared, but three separately fabricated units per condition were not identified.</x:v>
      </x:c>
      <x:c r="P249" s="9" t="str">
        <x:v>PDF pp. 3–12; Figs. 1–11; Table 1</x:v>
      </x:c>
    </x:row>
    <x:row r="250">
      <x:c r="A250" s="9" t="n">
        <x:v>32</x:v>
      </x:c>
      <x:c r="B250" s="9" t="str">
        <x:v>S039</x:v>
      </x:c>
      <x:c r="C250" s="9" t="str">
        <x:v>Shin et al. (2022)</x:v>
      </x:c>
      <x:c r="D250" s="9" t="str">
        <x:v>L1</x:v>
      </x:c>
      <x:c r="E250" s="9" t="str">
        <x:v>1</x:v>
      </x:c>
      <x:c r="F250" s="9" t="str">
        <x:v>1</x:v>
      </x:c>
      <x:c r="G250" s="9" t="str">
        <x:v>Yes</x:v>
      </x:c>
      <x:c r="H250" s="9" t="str">
        <x:v>Agree</x:v>
      </x:c>
      <x:c r="I250" s="9" t="str">
        <x:v>1</x:v>
      </x:c>
      <x:c r="J250" s="9" t="str">
        <x:v>Final agreement</x:v>
      </x:c>
      <x:c r="K250" s="9" t="str">
        <x:v>FDM term, printer, TPU, temperatures, speed, layer heights, infill, orientation and geometry are reported.</x:v>
      </x:c>
      <x:c r="L250" s="9" t="str">
        <x:v>PDF pp. 3–9; Figs. 2–10</x:v>
      </x:c>
      <x:c r="M250" s="9" t="str">
        <x:v>Reconstruction-relevant printer, material, temperature, layer, speed, path/geometry and post-processing details are reported.</x:v>
      </x:c>
      <x:c r="N250" s="9" t="str">
        <x:v>Article PDF p. 3</x:v>
      </x:c>
      <x:c r="O250" s="9" t="str">
        <x:v>FDM term, printer, TPU, temperatures, speed, layer heights, infill, orientation and geometry are reported.</x:v>
      </x:c>
      <x:c r="P250" s="9" t="str">
        <x:v>PDF pp. 3–9; Figs. 2–10</x:v>
      </x:c>
    </x:row>
    <x:row r="251">
      <x:c r="A251" s="9" t="n">
        <x:v>32</x:v>
      </x:c>
      <x:c r="B251" s="9" t="str">
        <x:v>S039</x:v>
      </x:c>
      <x:c r="C251" s="9" t="str">
        <x:v>Shin et al. (2022)</x:v>
      </x:c>
      <x:c r="D251" s="9" t="str">
        <x:v>L2</x:v>
      </x:c>
      <x:c r="E251" s="9" t="str">
        <x:v>1</x:v>
      </x:c>
      <x:c r="F251" s="9" t="str">
        <x:v>1</x:v>
      </x:c>
      <x:c r="G251" s="9" t="str">
        <x:v>Yes</x:v>
      </x:c>
      <x:c r="H251" s="9" t="str">
        <x:v>Agree</x:v>
      </x:c>
      <x:c r="I251" s="9" t="str">
        <x:v>1</x:v>
      </x:c>
      <x:c r="J251" s="9" t="str">
        <x:v>Final agreement</x:v>
      </x:c>
      <x:c r="K251" s="9" t="str">
        <x:v>Printed TPU, Pt layer, prestretch, contacts and sensing roles are described.</x:v>
      </x:c>
      <x:c r="L251" s="9" t="str">
        <x:v>PDF pp. 3–9; Figs. 2–10</x:v>
      </x:c>
      <x:c r="M251" s="9" t="str">
        <x:v>Functional host, sensing constituent and relevant electrode/interface materials are identified.</x:v>
      </x:c>
      <x:c r="N251" s="9" t="str">
        <x:v>Article PDF p. 9</x:v>
      </x:c>
      <x:c r="O251" s="9" t="str">
        <x:v>Printed TPU, Pt layer, prestretch, contacts and sensing roles are described.</x:v>
      </x:c>
      <x:c r="P251" s="9" t="str">
        <x:v>PDF pp. 3–9; Figs. 2–10</x:v>
      </x:c>
    </x:row>
    <x:row r="252">
      <x:c r="A252" s="9" t="n">
        <x:v>32</x:v>
      </x:c>
      <x:c r="B252" s="9" t="str">
        <x:v>S039</x:v>
      </x:c>
      <x:c r="C252" s="9" t="str">
        <x:v>Shin et al. (2022)</x:v>
      </x:c>
      <x:c r="D252" s="9" t="str">
        <x:v>L3</x:v>
      </x:c>
      <x:c r="E252" s="9" t="str">
        <x:v>1</x:v>
      </x:c>
      <x:c r="F252" s="9" t="str">
        <x:v>1</x:v>
      </x:c>
      <x:c r="G252" s="9" t="str">
        <x:v>Yes</x:v>
      </x:c>
      <x:c r="H252" s="9" t="str">
        <x:v>Agree</x:v>
      </x:c>
      <x:c r="I252" s="9" t="str">
        <x:v>1</x:v>
      </x:c>
      <x:c r="J252" s="9" t="str">
        <x:v>Final agreement</x:v>
      </x:c>
      <x:c r="K252" s="9" t="str">
        <x:v>Controlled stretching and defined body-motion protocols are reported.</x:v>
      </x:c>
      <x:c r="L252" s="9" t="str">
        <x:v>PDF pp. 3–9; Figs. 2–10</x:v>
      </x:c>
      <x:c r="M252" s="9" t="str">
        <x:v>Printed gauges were loaded through controlled tensile strains and bending angles with synchronized resistance recording.</x:v>
      </x:c>
      <x:c r="N252" s="9" t="str">
        <x:v>Article PDF pp. 4-7, Figures 3-7</x:v>
      </x:c>
      <x:c r="O252" s="9" t="str">
        <x:v>Controlled stretching and defined body-motion protocols are reported.</x:v>
      </x:c>
      <x:c r="P252" s="9" t="str">
        <x:v>PDF pp. 3–9; Figs. 2–10</x:v>
      </x:c>
    </x:row>
    <x:row r="253">
      <x:c r="A253" s="9" t="n">
        <x:v>32</x:v>
      </x:c>
      <x:c r="B253" s="9" t="str">
        <x:v>S039</x:v>
      </x:c>
      <x:c r="C253" s="9" t="str">
        <x:v>Shin et al. (2022)</x:v>
      </x:c>
      <x:c r="D253" s="9" t="str">
        <x:v>L4</x:v>
      </x:c>
      <x:c r="E253" s="9" t="str">
        <x:v>1</x:v>
      </x:c>
      <x:c r="F253" s="9" t="str">
        <x:v>1</x:v>
      </x:c>
      <x:c r="G253" s="9" t="str">
        <x:v>Yes</x:v>
      </x:c>
      <x:c r="H253" s="9" t="str">
        <x:v>Agree</x:v>
      </x:c>
      <x:c r="I253" s="9" t="str">
        <x:v>1</x:v>
      </x:c>
      <x:c r="J253" s="9" t="str">
        <x:v>Final agreement</x:v>
      </x:c>
      <x:c r="K253" s="9" t="str">
        <x:v>GF and recovery time are defined and quantified over the stated strain range.</x:v>
      </x:c>
      <x:c r="L253" s="9" t="str">
        <x:v>PDF pp. 3–9; Figs. 2–10</x:v>
      </x:c>
      <x:c r="M253" s="9" t="str">
        <x:v>A modality-appropriate quantitative response, units/calculation and operating range are reported.</x:v>
      </x:c>
      <x:c r="N253" s="9" t="str">
        <x:v>Article PDF p. 9</x:v>
      </x:c>
      <x:c r="O253" s="9" t="str">
        <x:v>GF and recovery time are defined and quantified over the stated strain range.</x:v>
      </x:c>
      <x:c r="P253" s="9" t="str">
        <x:v>PDF pp. 3–9; Figs. 2–10</x:v>
      </x:c>
    </x:row>
    <x:row r="254">
      <x:c r="A254" s="9" t="n">
        <x:v>32</x:v>
      </x:c>
      <x:c r="B254" s="9" t="str">
        <x:v>S039</x:v>
      </x:c>
      <x:c r="C254" s="9" t="str">
        <x:v>Shin et al. (2022)</x:v>
      </x:c>
      <x:c r="D254" s="9" t="str">
        <x:v>L5</x:v>
      </x:c>
      <x:c r="E254" s="9" t="str">
        <x:v>1</x:v>
      </x:c>
      <x:c r="F254" s="9" t="str">
        <x:v>1</x:v>
      </x:c>
      <x:c r="G254" s="9" t="str">
        <x:v>Yes</x:v>
      </x:c>
      <x:c r="H254" s="9" t="str">
        <x:v>Agree</x:v>
      </x:c>
      <x:c r="I254" s="9" t="str">
        <x:v>1</x:v>
      </x:c>
      <x:c r="J254" s="9" t="str">
        <x:v>Final agreement</x:v>
      </x:c>
      <x:c r="K254" s="9" t="str">
        <x:v>Five transient repetitions and 500 continuous cycles report response stability.</x:v>
      </x:c>
      <x:c r="L254" s="9" t="str">
        <x:v>PDF pp. 3–9; Figs. 2–10</x:v>
      </x:c>
      <x:c r="M254" s="9" t="str">
        <x:v>A stated repeated-test range/count is accompanied by a stability, hysteresis, retention or failure outcome.</x:v>
      </x:c>
      <x:c r="N254" s="9" t="str">
        <x:v>Article PDF p. 6</x:v>
      </x:c>
      <x:c r="O254" s="9" t="str">
        <x:v>Five transient repetitions and 500 continuous cycles report response stability.</x:v>
      </x:c>
      <x:c r="P254" s="9" t="str">
        <x:v>PDF pp. 3–9; Figs. 2–10</x:v>
      </x:c>
    </x:row>
    <x:row r="255">
      <x:c r="A255" s="9" t="n">
        <x:v>32</x:v>
      </x:c>
      <x:c r="B255" s="9" t="str">
        <x:v>S039</x:v>
      </x:c>
      <x:c r="C255" s="9" t="str">
        <x:v>Shin et al. (2022)</x:v>
      </x:c>
      <x:c r="D255" s="9" t="str">
        <x:v>L6</x:v>
      </x:c>
      <x:c r="E255" s="9" t="str">
        <x:v>0</x:v>
      </x:c>
      <x:c r="F255" s="9" t="str">
        <x:v>0</x:v>
      </x:c>
      <x:c r="G255" s="9" t="str">
        <x:v>Yes</x:v>
      </x:c>
      <x:c r="H255" s="9" t="str">
        <x:v>Agree</x:v>
      </x:c>
      <x:c r="I255" s="9" t="str">
        <x:v>0</x:v>
      </x:c>
      <x:c r="J255" s="9" t="str">
        <x:v>Final agreement</x:v>
      </x:c>
      <x:c r="K255" s="9" t="str">
        <x:v>Exercise changed the physiological measurand; no separate environmental/use exposure was applied to the sensor.</x:v>
      </x:c>
      <x:c r="L255" s="9" t="str">
        <x:v>PDF pp. 3–9; Figs. 2–10</x:v>
      </x:c>
      <x:c r="M255" s="9" t="str">
        <x:v>No qualifying response under a declared non-measurand environmental/use exposure is reported.</x:v>
      </x:c>
      <x:c r="N255" s="9" t="str">
        <x:v>Article PDF p. 2</x:v>
      </x:c>
      <x:c r="O255" s="9" t="str">
        <x:v>Exercise changed the physiological measurand; no separate environmental/use exposure was applied to the sensor.</x:v>
      </x:c>
      <x:c r="P255" s="9" t="str">
        <x:v>PDF pp. 3–9; Figs. 2–10</x:v>
      </x:c>
    </x:row>
    <x:row r="256">
      <x:c r="A256" s="9" t="n">
        <x:v>32</x:v>
      </x:c>
      <x:c r="B256" s="9" t="str">
        <x:v>S039</x:v>
      </x:c>
      <x:c r="C256" s="9" t="str">
        <x:v>Shin et al. (2022)</x:v>
      </x:c>
      <x:c r="D256" s="9" t="str">
        <x:v>L7</x:v>
      </x:c>
      <x:c r="E256" s="9" t="str">
        <x:v>1</x:v>
      </x:c>
      <x:c r="F256" s="9" t="str">
        <x:v>1</x:v>
      </x:c>
      <x:c r="G256" s="9" t="str">
        <x:v>Yes</x:v>
      </x:c>
      <x:c r="H256" s="9" t="str">
        <x:v>Agree</x:v>
      </x:c>
      <x:c r="I256" s="9" t="str">
        <x:v>1</x:v>
      </x:c>
      <x:c r="J256" s="9" t="str">
        <x:v>Final agreement</x:v>
      </x:c>
      <x:c r="K256" s="9" t="str">
        <x:v>Final L7 rating from the targeted reassessment.</x:v>
      </x:c>
      <x:c r="L256" s="9" t="str">
        <x:v>Finalized reviewer-rating workbook</x:v>
      </x:c>
      <x:c r="M256" s="9" t="str">
        <x:v>Final L7 rating from the targeted reassessment.</x:v>
      </x:c>
      <x:c r="N256" s="9" t="str">
        <x:v>Finalized reviewer-rating workbook</x:v>
      </x:c>
      <x:c r="O256" s="9" t="str">
        <x:v>The printed finger glove returned to its initial signal during continuous bending/releasing motions.</x:v>
      </x:c>
      <x:c r="P256" s="9" t="str">
        <x:v>PDF pp. 3–9; Figs. 2–10</x:v>
      </x:c>
    </x:row>
    <x:row r="257">
      <x:c r="A257" s="9" t="n">
        <x:v>32</x:v>
      </x:c>
      <x:c r="B257" s="9" t="str">
        <x:v>S039</x:v>
      </x:c>
      <x:c r="C257" s="9" t="str">
        <x:v>Shin et al. (2022)</x:v>
      </x:c>
      <x:c r="D257" s="9" t="str">
        <x:v>L8</x:v>
      </x:c>
      <x:c r="E257" s="9" t="str">
        <x:v>1</x:v>
      </x:c>
      <x:c r="F257" s="9" t="str">
        <x:v>1</x:v>
      </x:c>
      <x:c r="G257" s="9" t="str">
        <x:v>Yes</x:v>
      </x:c>
      <x:c r="H257" s="9" t="str">
        <x:v>Agree</x:v>
      </x:c>
      <x:c r="I257" s="9" t="str">
        <x:v>1</x:v>
      </x:c>
      <x:c r="J257" s="9" t="str">
        <x:v>Final agreement</x:v>
      </x:c>
      <x:c r="K257" s="9" t="str">
        <x:v>Four separate samples per FSG type were quantitatively compared with averages/deviations.</x:v>
      </x:c>
      <x:c r="L257" s="9" t="str">
        <x:v>PDF pp. 3–9; Figs. 2–10</x:v>
      </x:c>
      <x:c r="M257" s="9" t="str">
        <x:v>Final rating supersedes the earlier rating; no revised narrative reason was supplied.</x:v>
      </x:c>
      <x:c r="N257" s="9" t="str">
        <x:v>Finalized reviewer-rating workbook</x:v>
      </x:c>
      <x:c r="O257" s="9" t="str">
        <x:v>Four separate samples per FSG type were quantitatively compared with averages/deviations.</x:v>
      </x:c>
      <x:c r="P257" s="9" t="str">
        <x:v>PDF pp. 3–9; Figs. 2–10</x:v>
      </x:c>
    </x:row>
    <x:row r="258">
      <x:c r="A258" s="9" t="n">
        <x:v>33</x:v>
      </x:c>
      <x:c r="B258" s="9" t="str">
        <x:v>S043</x:v>
      </x:c>
      <x:c r="C258" s="9" t="str">
        <x:v>Carvalho et al. (2025)</x:v>
      </x:c>
      <x:c r="D258" s="9" t="str">
        <x:v>L1</x:v>
      </x:c>
      <x:c r="E258" s="9" t="str">
        <x:v>1</x:v>
      </x:c>
      <x:c r="F258" s="9" t="str">
        <x:v>1</x:v>
      </x:c>
      <x:c r="G258" s="9" t="str">
        <x:v>Yes</x:v>
      </x:c>
      <x:c r="H258" s="9" t="str">
        <x:v>Agree</x:v>
      </x:c>
      <x:c r="I258" s="9" t="str">
        <x:v>1</x:v>
      </x:c>
      <x:c r="J258" s="9" t="str">
        <x:v>Final agreement</x:v>
      </x:c>
      <x:c r="K258" s="9" t="str">
        <x:v>FFF printers, materials, nozzle, temperatures, speed, infill and electrode/wristband geometry are reported.</x:v>
      </x:c>
      <x:c r="L258" s="9" t="str">
        <x:v>PDF pp. 2–12; Figs. 1–8; Tables 1–4; cited SI</x:v>
      </x:c>
      <x:c r="M258" s="9" t="str">
        <x:v>Reconstruction-relevant printer, material, temperature, layer, speed, path/geometry and post-processing details are reported.</x:v>
      </x:c>
      <x:c r="N258" s="9" t="str">
        <x:v>Article PDF p. 3</x:v>
      </x:c>
      <x:c r="O258" s="9" t="str">
        <x:v>FFF printers, materials, nozzle, temperatures, speed, infill and electrode/wristband geometry are reported.</x:v>
      </x:c>
      <x:c r="P258" s="9" t="str">
        <x:v>PDF pp. 2–12; Figs. 1–8; Tables 1–4; cited SI</x:v>
      </x:c>
    </x:row>
    <x:row r="259">
      <x:c r="A259" s="9" t="n">
        <x:v>33</x:v>
      </x:c>
      <x:c r="B259" s="9" t="str">
        <x:v>S043</x:v>
      </x:c>
      <x:c r="C259" s="9" t="str">
        <x:v>Carvalho et al. (2025)</x:v>
      </x:c>
      <x:c r="D259" s="9" t="str">
        <x:v>L2</x:v>
      </x:c>
      <x:c r="E259" s="9" t="str">
        <x:v>1</x:v>
      </x:c>
      <x:c r="F259" s="9" t="str">
        <x:v>1</x:v>
      </x:c>
      <x:c r="G259" s="9" t="str">
        <x:v>Yes</x:v>
      </x:c>
      <x:c r="H259" s="9" t="str">
        <x:v>Agree</x:v>
      </x:c>
      <x:c r="I259" s="9" t="str">
        <x:v>1</x:v>
      </x:c>
      <x:c r="J259" s="9" t="str">
        <x:v>Final agreement</x:v>
      </x:c>
      <x:c r="K259" s="9" t="str">
        <x:v>Electrode compositions, wristband, treatments, connectors and electrochemical roles are described.</x:v>
      </x:c>
      <x:c r="L259" s="9" t="str">
        <x:v>PDF pp. 2–12; Figs. 1–8; Tables 1–4; cited SI</x:v>
      </x:c>
      <x:c r="M259" s="9" t="str">
        <x:v>Functional host, sensing constituent and relevant electrode/interface materials are identified.</x:v>
      </x:c>
      <x:c r="N259" s="9" t="str">
        <x:v>Article PDF p. 2</x:v>
      </x:c>
      <x:c r="O259" s="9" t="str">
        <x:v>Electrode compositions, wristband, treatments, connectors and electrochemical roles are described.</x:v>
      </x:c>
      <x:c r="P259" s="9" t="str">
        <x:v>PDF pp. 2–12; Figs. 1–8; Tables 1–4; cited SI</x:v>
      </x:c>
    </x:row>
    <x:row r="260">
      <x:c r="A260" s="9" t="n">
        <x:v>33</x:v>
      </x:c>
      <x:c r="B260" s="9" t="str">
        <x:v>S043</x:v>
      </x:c>
      <x:c r="C260" s="9" t="str">
        <x:v>Carvalho et al. (2025)</x:v>
      </x:c>
      <x:c r="D260" s="9" t="str">
        <x:v>L3</x:v>
      </x:c>
      <x:c r="E260" s="9" t="str">
        <x:v>1</x:v>
      </x:c>
      <x:c r="F260" s="9" t="str">
        <x:v>1</x:v>
      </x:c>
      <x:c r="G260" s="9" t="str">
        <x:v>Yes</x:v>
      </x:c>
      <x:c r="H260" s="9" t="str">
        <x:v>Agree</x:v>
      </x:c>
      <x:c r="I260" s="9" t="str">
        <x:v>1</x:v>
      </x:c>
      <x:c r="J260" s="9" t="str">
        <x:v>Final agreement</x:v>
      </x:c>
      <x:c r="K260" s="9" t="str">
        <x:v>Benchmark redox probes, commercial electrodes and standard-addition procedures are reported.</x:v>
      </x:c>
      <x:c r="L260" s="9" t="str">
        <x:v>PDF pp. 2–12; Figs. 1–8; Tables 1–4; cited SI</x:v>
      </x:c>
      <x:c r="M260" s="9" t="str">
        <x:v>Sensor output is related to a controlled or independently measured input with a stated procedure and range.</x:v>
      </x:c>
      <x:c r="N260" s="9" t="str">
        <x:v>Article PDF p. 3</x:v>
      </x:c>
      <x:c r="O260" s="9" t="str">
        <x:v>Benchmark redox probes, commercial electrodes and standard-addition procedures are reported.</x:v>
      </x:c>
      <x:c r="P260" s="9" t="str">
        <x:v>PDF pp. 2–12; Figs. 1–8; Tables 1–4; cited SI</x:v>
      </x:c>
    </x:row>
    <x:row r="261">
      <x:c r="A261" s="9" t="n">
        <x:v>33</x:v>
      </x:c>
      <x:c r="B261" s="9" t="str">
        <x:v>S043</x:v>
      </x:c>
      <x:c r="C261" s="9" t="str">
        <x:v>Carvalho et al. (2025)</x:v>
      </x:c>
      <x:c r="D261" s="9" t="str">
        <x:v>L4</x:v>
      </x:c>
      <x:c r="E261" s="9" t="str">
        <x:v>1</x:v>
      </x:c>
      <x:c r="F261" s="9" t="str">
        <x:v>1</x:v>
      </x:c>
      <x:c r="G261" s="9" t="str">
        <x:v>Yes</x:v>
      </x:c>
      <x:c r="H261" s="9" t="str">
        <x:v>Agree</x:v>
      </x:c>
      <x:c r="I261" s="9" t="str">
        <x:v>1</x:v>
      </x:c>
      <x:c r="J261" s="9" t="str">
        <x:v>Final agreement</x:v>
      </x:c>
      <x:c r="K261" s="9" t="str">
        <x:v>Linear range, regression, LOD/LOQ and recovery are defined and quantified.</x:v>
      </x:c>
      <x:c r="L261" s="9" t="str">
        <x:v>PDF pp. 2–12; Figs. 1–8; Tables 1–4; cited SI</x:v>
      </x:c>
      <x:c r="M261" s="9" t="str">
        <x:v>A modality-appropriate quantitative response, units/calculation and operating range are reported.</x:v>
      </x:c>
      <x:c r="N261" s="9" t="str">
        <x:v>Article PDF p. 2</x:v>
      </x:c>
      <x:c r="O261" s="9" t="str">
        <x:v>Linear range, regression, LOD/LOQ and recovery are defined and quantified.</x:v>
      </x:c>
      <x:c r="P261" s="9" t="str">
        <x:v>PDF pp. 2–12; Figs. 1–8; Tables 1–4; cited SI</x:v>
      </x:c>
    </x:row>
    <x:row r="262">
      <x:c r="A262" s="9" t="n">
        <x:v>33</x:v>
      </x:c>
      <x:c r="B262" s="9" t="str">
        <x:v>S043</x:v>
      </x:c>
      <x:c r="C262" s="9" t="str">
        <x:v>Carvalho et al. (2025)</x:v>
      </x:c>
      <x:c r="D262" s="9" t="str">
        <x:v>L5</x:v>
      </x:c>
      <x:c r="E262" s="9" t="str">
        <x:v>0</x:v>
      </x:c>
      <x:c r="F262" s="9" t="str">
        <x:v>0</x:v>
      </x:c>
      <x:c r="G262" s="9" t="str">
        <x:v>Yes</x:v>
      </x:c>
      <x:c r="H262" s="9" t="str">
        <x:v>Agree</x:v>
      </x:c>
      <x:c r="I262" s="9" t="str">
        <x:v>0</x:v>
      </x:c>
      <x:c r="J262" s="9" t="str">
        <x:v>Final agreement</x:v>
      </x:c>
      <x:c r="K262" s="9" t="str">
        <x:v>No ≥3-cycle same-device retention test with a stability endpoint was identified.</x:v>
      </x:c>
      <x:c r="L262" s="9" t="str">
        <x:v>PDF pp. 2–12; Figs. 1–8; Tables 1–4; cited SI</x:v>
      </x:c>
      <x:c r="M262" s="9" t="str">
        <x:v>Repeated abrasion is described during electrode preparation, but no qualifying repeated sensor-response stability endpoint is reported.</x:v>
      </x:c>
      <x:c r="N262" s="9" t="str">
        <x:v>Article PDF p. 3; pp. 7-12</x:v>
      </x:c>
      <x:c r="O262" s="9" t="str">
        <x:v>No ≥3-cycle same-device retention test with a stability endpoint was identified.</x:v>
      </x:c>
      <x:c r="P262" s="9" t="str">
        <x:v>PDF pp. 2–12; Figs. 1–8; Tables 1–4; cited SI</x:v>
      </x:c>
    </x:row>
    <x:row r="263">
      <x:c r="A263" s="9" t="n">
        <x:v>33</x:v>
      </x:c>
      <x:c r="B263" s="9" t="str">
        <x:v>S043</x:v>
      </x:c>
      <x:c r="C263" s="9" t="str">
        <x:v>Carvalho et al. (2025)</x:v>
      </x:c>
      <x:c r="D263" s="9" t="str">
        <x:v>L6</x:v>
      </x:c>
      <x:c r="E263" s="9" t="str">
        <x:v>0</x:v>
      </x:c>
      <x:c r="F263" s="9" t="str">
        <x:v>0</x:v>
      </x:c>
      <x:c r="G263" s="9" t="str">
        <x:v>Yes</x:v>
      </x:c>
      <x:c r="H263" s="9" t="str">
        <x:v>Agree</x:v>
      </x:c>
      <x:c r="I263" s="9" t="str">
        <x:v>0</x:v>
      </x:c>
      <x:c r="J263" s="9" t="str">
        <x:v>Final agreement</x:v>
      </x:c>
      <x:c r="K263" s="9" t="str">
        <x:v>Artificial sweat is the analytical sample matrix, not a separate environmental exposure.</x:v>
      </x:c>
      <x:c r="L263" s="9" t="str">
        <x:v>PDF pp. 2–12; Figs. 1–8; Tables 1–4; cited SI</x:v>
      </x:c>
      <x:c r="M263" s="9" t="str">
        <x:v>Final rating supersedes the earlier rating; no revised narrative reason was supplied.</x:v>
      </x:c>
      <x:c r="N263" s="9" t="str">
        <x:v>Finalized reviewer-rating workbook</x:v>
      </x:c>
      <x:c r="O263" s="9" t="str">
        <x:v>Artificial sweat is the analytical sample matrix, not a separate environmental exposure.</x:v>
      </x:c>
      <x:c r="P263" s="9" t="str">
        <x:v>PDF pp. 2–12; Figs. 1–8; Tables 1–4; cited SI</x:v>
      </x:c>
    </x:row>
    <x:row r="264">
      <x:c r="A264" s="9" t="n">
        <x:v>33</x:v>
      </x:c>
      <x:c r="B264" s="9" t="str">
        <x:v>S043</x:v>
      </x:c>
      <x:c r="C264" s="9" t="str">
        <x:v>Carvalho et al. (2025)</x:v>
      </x:c>
      <x:c r="D264" s="9" t="str">
        <x:v>L7</x:v>
      </x:c>
      <x:c r="E264" s="9" t="str">
        <x:v>0</x:v>
      </x:c>
      <x:c r="F264" s="9" t="str">
        <x:v>0</x:v>
      </x:c>
      <x:c r="G264" s="9" t="str">
        <x:v>Yes</x:v>
      </x:c>
      <x:c r="H264" s="9" t="str">
        <x:v>Agree</x:v>
      </x:c>
      <x:c r="I264" s="9" t="str">
        <x:v>0</x:v>
      </x:c>
      <x:c r="J264" s="9" t="str">
        <x:v>Final agreement</x:v>
      </x:c>
      <x:c r="K264" s="9" t="str">
        <x:v>Final L7 rating from the targeted reassessment.</x:v>
      </x:c>
      <x:c r="L264" s="9" t="str">
        <x:v>Finalized reviewer-rating workbook</x:v>
      </x:c>
      <x:c r="M264" s="9" t="str">
        <x:v>Final L7 rating from the targeted reassessment.</x:v>
      </x:c>
      <x:c r="N264" s="9" t="str">
        <x:v>Finalized reviewer-rating workbook</x:v>
      </x:c>
      <x:c r="O264" s="9" t="str">
        <x:v>No qualifying interface-integrity test or repeated final monolithic wearable-assembly test with a retention/failure endpoint was located.</x:v>
      </x:c>
      <x:c r="P264" s="9" t="str">
        <x:v>PDF pp. 2–12; Figs. 1–8; Tables 1–4; cited SI</x:v>
      </x:c>
    </x:row>
    <x:row r="265">
      <x:c r="A265" s="9" t="n">
        <x:v>33</x:v>
      </x:c>
      <x:c r="B265" s="9" t="str">
        <x:v>S043</x:v>
      </x:c>
      <x:c r="C265" s="9" t="str">
        <x:v>Carvalho et al. (2025)</x:v>
      </x:c>
      <x:c r="D265" s="9" t="str">
        <x:v>L8</x:v>
      </x:c>
      <x:c r="E265" s="9" t="str">
        <x:v>0</x:v>
      </x:c>
      <x:c r="F265" s="9" t="str">
        <x:v>0</x:v>
      </x:c>
      <x:c r="G265" s="9" t="str">
        <x:v>Yes</x:v>
      </x:c>
      <x:c r="H265" s="9" t="str">
        <x:v>Agree</x:v>
      </x:c>
      <x:c r="I265" s="9" t="str">
        <x:v>0</x:v>
      </x:c>
      <x:c r="J265" s="9" t="str">
        <x:v>Final agreement</x:v>
      </x:c>
      <x:c r="K265" s="9" t="str">
        <x:v>The number of separately fabricated complete sensor systems used for quantitative comparison was not stated.</x:v>
      </x:c>
      <x:c r="L265" s="9" t="str">
        <x:v>PDF pp. 2–12; Figs. 1–8; Tables 1–4; cited SI</x:v>
      </x:c>
      <x:c r="M265" s="9" t="str">
        <x:v>At least three equivalent independently fabricated units with quantified between-unit variation are not reported.</x:v>
      </x:c>
      <x:c r="N265" s="9" t="str">
        <x:v>Article PDF p. 3</x:v>
      </x:c>
      <x:c r="O265" s="9" t="str">
        <x:v>The number of separately fabricated complete sensor systems used for quantitative comparison was not stated.</x:v>
      </x:c>
      <x:c r="P265" s="9" t="str">
        <x:v>PDF pp. 2–12; Figs. 1–8; Tables 1–4; cited SI</x:v>
      </x:c>
    </x:row>
    <x:row r="266">
      <x:c r="A266" s="9" t="n">
        <x:v>34</x:v>
      </x:c>
      <x:c r="B266" s="9" t="str">
        <x:v>S044</x:v>
      </x:c>
      <x:c r="C266" s="9" t="str">
        <x:v>Li et al. (2021)</x:v>
      </x:c>
      <x:c r="D266" s="9" t="str">
        <x:v>L1</x:v>
      </x:c>
      <x:c r="E266" s="9" t="str">
        <x:v>1</x:v>
      </x:c>
      <x:c r="F266" s="9" t="str">
        <x:v>1</x:v>
      </x:c>
      <x:c r="G266" s="9" t="str">
        <x:v>Yes</x:v>
      </x:c>
      <x:c r="H266" s="9" t="str">
        <x:v>Agree</x:v>
      </x:c>
      <x:c r="I266" s="9" t="str">
        <x:v>1</x:v>
      </x:c>
      <x:c r="J266" s="9" t="str">
        <x:v>Final agreement</x:v>
      </x:c>
      <x:c r="K266" s="9" t="str">
        <x:v>FDM term, printer, functional filament, nozzle temperature, layer height, infill and geometry are reported.</x:v>
      </x:c>
      <x:c r="L266" s="9" t="str">
        <x:v>PDF pp. 4–11; Figs. 1, 5–6; cited SI</x:v>
      </x:c>
      <x:c r="M266" s="9" t="str">
        <x:v>Final rating supersedes the earlier rating; no revised narrative reason was supplied.</x:v>
      </x:c>
      <x:c r="N266" s="9" t="str">
        <x:v>Finalized reviewer-rating workbook</x:v>
      </x:c>
      <x:c r="O266" s="9" t="str">
        <x:v>FDM term, printer, functional filament, nozzle temperature, layer height, infill and geometry are reported.</x:v>
      </x:c>
      <x:c r="P266" s="9" t="str">
        <x:v>PDF pp. 4–11; Figs. 1, 5–6; cited SI</x:v>
      </x:c>
    </x:row>
    <x:row r="267">
      <x:c r="A267" s="9" t="n">
        <x:v>34</x:v>
      </x:c>
      <x:c r="B267" s="9" t="str">
        <x:v>S044</x:v>
      </x:c>
      <x:c r="C267" s="9" t="str">
        <x:v>Li et al. (2021)</x:v>
      </x:c>
      <x:c r="D267" s="9" t="str">
        <x:v>L2</x:v>
      </x:c>
      <x:c r="E267" s="9" t="str">
        <x:v>1</x:v>
      </x:c>
      <x:c r="F267" s="9" t="str">
        <x:v>1</x:v>
      </x:c>
      <x:c r="G267" s="9" t="str">
        <x:v>Yes</x:v>
      </x:c>
      <x:c r="H267" s="9" t="str">
        <x:v>Agree</x:v>
      </x:c>
      <x:c r="I267" s="9" t="str">
        <x:v>1</x:v>
      </x:c>
      <x:c r="J267" s="9" t="str">
        <x:v>Final agreement</x:v>
      </x:c>
      <x:c r="K267" s="9" t="str">
        <x:v>GNP/TPU filament, electrodes, encapsulation and signal acquisition are described.</x:v>
      </x:c>
      <x:c r="L267" s="9" t="str">
        <x:v>PDF pp. 4–11; Figs. 1, 5–6; cited SI</x:v>
      </x:c>
      <x:c r="M267" s="9" t="str">
        <x:v>Functional host, sensing constituent and relevant electrode/interface materials are identified.</x:v>
      </x:c>
      <x:c r="N267" s="9" t="str">
        <x:v>Article PDF p. 3</x:v>
      </x:c>
      <x:c r="O267" s="9" t="str">
        <x:v>GNP/TPU filament, electrodes, encapsulation and signal acquisition are described.</x:v>
      </x:c>
      <x:c r="P267" s="9" t="str">
        <x:v>PDF pp. 4–11; Figs. 1, 5–6; cited SI</x:v>
      </x:c>
    </x:row>
    <x:row r="268">
      <x:c r="A268" s="9" t="n">
        <x:v>34</x:v>
      </x:c>
      <x:c r="B268" s="9" t="str">
        <x:v>S044</x:v>
      </x:c>
      <x:c r="C268" s="9" t="str">
        <x:v>Li et al. (2021)</x:v>
      </x:c>
      <x:c r="D268" s="9" t="str">
        <x:v>L3</x:v>
      </x:c>
      <x:c r="E268" s="9" t="str">
        <x:v>1</x:v>
      </x:c>
      <x:c r="F268" s="9" t="str">
        <x:v>1</x:v>
      </x:c>
      <x:c r="G268" s="9" t="str">
        <x:v>Yes</x:v>
      </x:c>
      <x:c r="H268" s="9" t="str">
        <x:v>Agree</x:v>
      </x:c>
      <x:c r="I268" s="9" t="str">
        <x:v>1</x:v>
      </x:c>
      <x:c r="J268" s="9" t="str">
        <x:v>Final agreement</x:v>
      </x:c>
      <x:c r="K268" s="9" t="str">
        <x:v>Universal mechanical testing and stated loading protocols are reported.</x:v>
      </x:c>
      <x:c r="L268" s="9" t="str">
        <x:v>PDF pp. 4–11; Figs. 1, 5–6; cited SI</x:v>
      </x:c>
      <x:c r="M268" s="9" t="str">
        <x:v>Sensor output is related to a controlled or independently measured input with a stated procedure and range.</x:v>
      </x:c>
      <x:c r="N268" s="9" t="str">
        <x:v>Article PDF p. 11</x:v>
      </x:c>
      <x:c r="O268" s="9" t="str">
        <x:v>Universal mechanical testing and stated loading protocols are reported.</x:v>
      </x:c>
      <x:c r="P268" s="9" t="str">
        <x:v>PDF pp. 4–11; Figs. 1, 5–6; cited SI</x:v>
      </x:c>
    </x:row>
    <x:row r="269">
      <x:c r="A269" s="9" t="n">
        <x:v>34</x:v>
      </x:c>
      <x:c r="B269" s="9" t="str">
        <x:v>S044</x:v>
      </x:c>
      <x:c r="C269" s="9" t="str">
        <x:v>Li et al. (2021)</x:v>
      </x:c>
      <x:c r="D269" s="9" t="str">
        <x:v>L4</x:v>
      </x:c>
      <x:c r="E269" s="9" t="str">
        <x:v>1</x:v>
      </x:c>
      <x:c r="F269" s="9" t="str">
        <x:v>1</x:v>
      </x:c>
      <x:c r="G269" s="9" t="str">
        <x:v>Yes</x:v>
      </x:c>
      <x:c r="H269" s="9" t="str">
        <x:v>Agree</x:v>
      </x:c>
      <x:c r="I269" s="9" t="str">
        <x:v>1</x:v>
      </x:c>
      <x:c r="J269" s="9" t="str">
        <x:v>Final agreement</x:v>
      </x:c>
      <x:c r="K269" s="9" t="str">
        <x:v>GF, hysteresis and drift are quantified over stated strain/rate ranges.</x:v>
      </x:c>
      <x:c r="L269" s="9" t="str">
        <x:v>PDF pp. 4–11; Figs. 1, 5–6; cited SI</x:v>
      </x:c>
      <x:c r="M269" s="9" t="str">
        <x:v>A modality-appropriate quantitative response, units/calculation and operating range are reported.</x:v>
      </x:c>
      <x:c r="N269" s="9" t="str">
        <x:v>Article PDF p. 12</x:v>
      </x:c>
      <x:c r="O269" s="9" t="str">
        <x:v>GF, hysteresis and drift are quantified over stated strain/rate ranges.</x:v>
      </x:c>
      <x:c r="P269" s="9" t="str">
        <x:v>PDF pp. 4–11; Figs. 1, 5–6; cited SI</x:v>
      </x:c>
    </x:row>
    <x:row r="270">
      <x:c r="A270" s="9" t="n">
        <x:v>34</x:v>
      </x:c>
      <x:c r="B270" s="9" t="str">
        <x:v>S044</x:v>
      </x:c>
      <x:c r="C270" s="9" t="str">
        <x:v>Li et al. (2021)</x:v>
      </x:c>
      <x:c r="D270" s="9" t="str">
        <x:v>L5</x:v>
      </x:c>
      <x:c r="E270" s="9" t="str">
        <x:v>1</x:v>
      </x:c>
      <x:c r="F270" s="9" t="str">
        <x:v>1</x:v>
      </x:c>
      <x:c r="G270" s="9" t="str">
        <x:v>Yes</x:v>
      </x:c>
      <x:c r="H270" s="9" t="str">
        <x:v>Agree</x:v>
      </x:c>
      <x:c r="I270" s="9" t="str">
        <x:v>1</x:v>
      </x:c>
      <x:c r="J270" s="9" t="str">
        <x:v>Final agreement</x:v>
      </x:c>
      <x:c r="K270" s="9" t="str">
        <x:v>A 500-cycle compression test reports a maximum 9.5% GF drift after 400 cycles.</x:v>
      </x:c>
      <x:c r="L270" s="9" t="str">
        <x:v>PDF pp. 4–11; Figs. 1, 5–6; cited SI</x:v>
      </x:c>
      <x:c r="M270" s="9" t="str">
        <x:v>A stated repeated-test range/count is accompanied by a stability, hysteresis, retention or failure outcome.</x:v>
      </x:c>
      <x:c r="N270" s="9" t="str">
        <x:v>Article PDF p. 3</x:v>
      </x:c>
      <x:c r="O270" s="9" t="str">
        <x:v>A 500-cycle compression test reports a maximum 9.5% GF drift after 400 cycles.</x:v>
      </x:c>
      <x:c r="P270" s="9" t="str">
        <x:v>PDF pp. 4–11; Figs. 1, 5–6; cited SI</x:v>
      </x:c>
    </x:row>
    <x:row r="271">
      <x:c r="A271" s="9" t="n">
        <x:v>34</x:v>
      </x:c>
      <x:c r="B271" s="9" t="str">
        <x:v>S044</x:v>
      </x:c>
      <x:c r="C271" s="9" t="str">
        <x:v>Li et al. (2021)</x:v>
      </x:c>
      <x:c r="D271" s="9" t="str">
        <x:v>L6</x:v>
      </x:c>
      <x:c r="E271" s="9" t="str">
        <x:v>0</x:v>
      </x:c>
      <x:c r="F271" s="9" t="str">
        <x:v>0</x:v>
      </x:c>
      <x:c r="G271" s="9" t="str">
        <x:v>Yes</x:v>
      </x:c>
      <x:c r="H271" s="9" t="str">
        <x:v>Agree</x:v>
      </x:c>
      <x:c r="I271" s="9" t="str">
        <x:v>0</x:v>
      </x:c>
      <x:c r="J271" s="9" t="str">
        <x:v>Final agreement</x:v>
      </x:c>
      <x:c r="K271" s="9" t="str">
        <x:v>Loading speed is a test variable for the intended measurand; no separate qualifying exposure was tested.</x:v>
      </x:c>
      <x:c r="L271" s="9" t="str">
        <x:v>PDF pp. 4–11; Figs. 1, 5–6; cited SI</x:v>
      </x:c>
      <x:c r="M271" s="9" t="str">
        <x:v>No qualifying response under a declared non-measurand environmental/use exposure is reported.</x:v>
      </x:c>
      <x:c r="N271" s="9" t="str">
        <x:v>Article PDF p. 12</x:v>
      </x:c>
      <x:c r="O271" s="9" t="str">
        <x:v>Loading speed is a test variable for the intended measurand; no separate qualifying exposure was tested.</x:v>
      </x:c>
      <x:c r="P271" s="9" t="str">
        <x:v>PDF pp. 4–11; Figs. 1, 5–6; cited SI</x:v>
      </x:c>
    </x:row>
    <x:row r="272">
      <x:c r="A272" s="9" t="n">
        <x:v>34</x:v>
      </x:c>
      <x:c r="B272" s="9" t="str">
        <x:v>S044</x:v>
      </x:c>
      <x:c r="C272" s="9" t="str">
        <x:v>Li et al. (2021)</x:v>
      </x:c>
      <x:c r="D272" s="9" t="str">
        <x:v>L7</x:v>
      </x:c>
      <x:c r="E272" s="9" t="str">
        <x:v>0</x:v>
      </x:c>
      <x:c r="F272" s="9" t="str">
        <x:v>0</x:v>
      </x:c>
      <x:c r="G272" s="9" t="str">
        <x:v>Yes</x:v>
      </x:c>
      <x:c r="H272" s="9" t="str">
        <x:v>Agree</x:v>
      </x:c>
      <x:c r="I272" s="9" t="str">
        <x:v>0</x:v>
      </x:c>
      <x:c r="J272" s="9" t="str">
        <x:v>Final agreement</x:v>
      </x:c>
      <x:c r="K272" s="9" t="str">
        <x:v>Final L7 rating from the targeted reassessment.</x:v>
      </x:c>
      <x:c r="L272" s="9" t="str">
        <x:v>Finalized reviewer-rating workbook</x:v>
      </x:c>
      <x:c r="M272" s="9" t="str">
        <x:v>Final L7 rating from the targeted reassessment.</x:v>
      </x:c>
      <x:c r="N272" s="9" t="str">
        <x:v>Finalized reviewer-rating workbook</x:v>
      </x:c>
      <x:c r="O272" s="9" t="str">
        <x:v>No qualifying interface-integrity test or repeated final monolithic wearable-assembly test with a retention/failure endpoint was located.</x:v>
      </x:c>
      <x:c r="P272" s="9" t="str">
        <x:v>PDF pp. 4–11; Figs. 1, 5–6; cited SI</x:v>
      </x:c>
    </x:row>
    <x:row r="273">
      <x:c r="A273" s="9" t="n">
        <x:v>34</x:v>
      </x:c>
      <x:c r="B273" s="9" t="str">
        <x:v>S044</x:v>
      </x:c>
      <x:c r="C273" s="9" t="str">
        <x:v>Li et al. (2021)</x:v>
      </x:c>
      <x:c r="D273" s="9" t="str">
        <x:v>L8</x:v>
      </x:c>
      <x:c r="E273" s="9" t="str">
        <x:v>0</x:v>
      </x:c>
      <x:c r="F273" s="9" t="str">
        <x:v>0</x:v>
      </x:c>
      <x:c r="G273" s="9" t="str">
        <x:v>Yes</x:v>
      </x:c>
      <x:c r="H273" s="9" t="str">
        <x:v>Agree</x:v>
      </x:c>
      <x:c r="I273" s="9" t="str">
        <x:v>0</x:v>
      </x:c>
      <x:c r="J273" s="9" t="str">
        <x:v>Final agreement</x:v>
      </x:c>
      <x:c r="K273" s="9" t="str">
        <x:v>Architecture variants were compared; ≥3 separately fabricated replicate devices were not identified.</x:v>
      </x:c>
      <x:c r="L273" s="9" t="str">
        <x:v>PDF pp. 4–11; Figs. 1, 5–6; cited SI</x:v>
      </x:c>
      <x:c r="M273" s="9" t="str">
        <x:v>At least three equivalent independently fabricated units with quantified between-unit variation are not reported.</x:v>
      </x:c>
      <x:c r="N273" s="9" t="str">
        <x:v>Article PDF p. 8</x:v>
      </x:c>
      <x:c r="O273" s="9" t="str">
        <x:v>Architecture variants were compared; ≥3 separately fabricated replicate devices were not identified.</x:v>
      </x:c>
      <x:c r="P273" s="9" t="str">
        <x:v>PDF pp. 4–11; Figs. 1, 5–6; cited SI</x:v>
      </x:c>
    </x:row>
    <x:row r="274">
      <x:c r="A274" s="9" t="n">
        <x:v>35</x:v>
      </x:c>
      <x:c r="B274" s="9" t="str">
        <x:v>S046</x:v>
      </x:c>
      <x:c r="C274" s="9" t="str">
        <x:v>Zhou et al. (2024)</x:v>
      </x:c>
      <x:c r="D274" s="9" t="str">
        <x:v>L1</x:v>
      </x:c>
      <x:c r="E274" s="9" t="str">
        <x:v>0</x:v>
      </x:c>
      <x:c r="F274" s="9" t="str">
        <x:v>0</x:v>
      </x:c>
      <x:c r="G274" s="9" t="str">
        <x:v>Yes</x:v>
      </x:c>
      <x:c r="H274" s="9" t="str">
        <x:v>Agree</x:v>
      </x:c>
      <x:c r="I274" s="9" t="str">
        <x:v>0</x:v>
      </x:c>
      <x:c r="J274" s="9" t="str">
        <x:v>Final agreement</x:v>
      </x:c>
      <x:c r="K274" s="9" t="str">
        <x:v>The supplement reports the Anycubic Kobra Plus i3 printer, 90 °C platform, 250 °C nozzle and 15 mm s^-1 speed, but layer height, infill value/pattern and orientation/toolpath remain unreported; the tested device cannot be fully reconstructed.</x:v>
      </x:c>
      <x:c r="L274" s="9" t="str">
        <x:v>Supplementary pp. 3-4; Fig. S3</x:v>
      </x:c>
      <x:c r="M274" s="9" t="str">
        <x:v>Fabrication is described, but reconstruction-critical layer height, infill, orientation/toolpath details are not reported.</x:v>
      </x:c>
      <x:c r="N274" s="9" t="str">
        <x:v>Article PDF p. 3</x:v>
      </x:c>
      <x:c r="O274" s="9" t="str">
        <x:v>The supplement reports the Anycubic Kobra Plus i3 printer, 90 °C platform, 250 °C nozzle and 15 mm s^-1 speed, but layer height, infill value/pattern and orientation/toolpath remain unreported; the tested device cannot be fully reconstructed.</x:v>
      </x:c>
      <x:c r="P274" s="9" t="str">
        <x:v>Supplementary pp. 3-4; Fig. S3</x:v>
      </x:c>
    </x:row>
    <x:row r="275">
      <x:c r="A275" s="9" t="n">
        <x:v>35</x:v>
      </x:c>
      <x:c r="B275" s="9" t="str">
        <x:v>S046</x:v>
      </x:c>
      <x:c r="C275" s="9" t="str">
        <x:v>Zhou et al. (2024)</x:v>
      </x:c>
      <x:c r="D275" s="9" t="str">
        <x:v>L2</x:v>
      </x:c>
      <x:c r="E275" s="9" t="str">
        <x:v>1</x:v>
      </x:c>
      <x:c r="F275" s="9" t="str">
        <x:v>1</x:v>
      </x:c>
      <x:c r="G275" s="9" t="str">
        <x:v>Yes</x:v>
      </x:c>
      <x:c r="H275" s="9" t="str">
        <x:v>Agree</x:v>
      </x:c>
      <x:c r="I275" s="9" t="str">
        <x:v>1</x:v>
      </x:c>
      <x:c r="J275" s="9" t="str">
        <x:v>Final agreement</x:v>
      </x:c>
      <x:c r="K275" s="9" t="str">
        <x:v>PVDF/CFO composition, filament preparation and voltage acquisition are described.</x:v>
      </x:c>
      <x:c r="L275" s="9" t="str">
        <x:v>PDF pp. 2–7; Figs. 3–5; cited Supplementary Figs. S1–S5</x:v>
      </x:c>
      <x:c r="M275" s="9" t="str">
        <x:v>Functional host, sensing constituent and relevant electrode/interface materials are identified.</x:v>
      </x:c>
      <x:c r="N275" s="9" t="str">
        <x:v>Article PDF p. 8</x:v>
      </x:c>
      <x:c r="O275" s="9" t="str">
        <x:v>PVDF/CFO composition, filament preparation and voltage acquisition are described.</x:v>
      </x:c>
      <x:c r="P275" s="9" t="str">
        <x:v>PDF pp. 2–7; Figs. 3–5; cited Supplementary Figs. S1–S5</x:v>
      </x:c>
    </x:row>
    <x:row r="276">
      <x:c r="A276" s="9" t="n">
        <x:v>35</x:v>
      </x:c>
      <x:c r="B276" s="9" t="str">
        <x:v>S046</x:v>
      </x:c>
      <x:c r="C276" s="9" t="str">
        <x:v>Zhou et al. (2024)</x:v>
      </x:c>
      <x:c r="D276" s="9" t="str">
        <x:v>L3</x:v>
      </x:c>
      <x:c r="E276" s="9" t="str">
        <x:v>1</x:v>
      </x:c>
      <x:c r="F276" s="9" t="str">
        <x:v>1</x:v>
      </x:c>
      <x:c r="G276" s="9" t="str">
        <x:v>Yes</x:v>
      </x:c>
      <x:c r="H276" s="9" t="str">
        <x:v>Agree</x:v>
      </x:c>
      <x:c r="I276" s="9" t="str">
        <x:v>1</x:v>
      </x:c>
      <x:c r="J276" s="9" t="str">
        <x:v>Final agreement</x:v>
      </x:c>
      <x:c r="K276" s="9" t="str">
        <x:v>Controlled drop weights/heights, periodic magnetic fields and stated walking frequencies are reported.</x:v>
      </x:c>
      <x:c r="L276" s="9" t="str">
        <x:v>PDF pp. 2–7; Figs. 3–5; cited Supplementary Figs. S1–S5</x:v>
      </x:c>
      <x:c r="M276" s="9" t="str">
        <x:v>Sensor output is related to a controlled or independently measured input with a stated procedure and range.</x:v>
      </x:c>
      <x:c r="N276" s="9" t="str">
        <x:v>Article PDF p. 3</x:v>
      </x:c>
      <x:c r="O276" s="9" t="str">
        <x:v>Controlled drop weights/heights, periodic magnetic fields and stated walking frequencies are reported.</x:v>
      </x:c>
      <x:c r="P276" s="9" t="str">
        <x:v>PDF pp. 2–7; Figs. 3–5; cited Supplementary Figs. S1–S5</x:v>
      </x:c>
    </x:row>
    <x:row r="277">
      <x:c r="A277" s="9" t="n">
        <x:v>35</x:v>
      </x:c>
      <x:c r="B277" s="9" t="str">
        <x:v>S046</x:v>
      </x:c>
      <x:c r="C277" s="9" t="str">
        <x:v>Zhou et al. (2024)</x:v>
      </x:c>
      <x:c r="D277" s="9" t="str">
        <x:v>L4</x:v>
      </x:c>
      <x:c r="E277" s="9" t="str">
        <x:v>1</x:v>
      </x:c>
      <x:c r="F277" s="9" t="str">
        <x:v>1</x:v>
      </x:c>
      <x:c r="G277" s="9" t="str">
        <x:v>Yes</x:v>
      </x:c>
      <x:c r="H277" s="9" t="str">
        <x:v>Agree</x:v>
      </x:c>
      <x:c r="I277" s="9" t="str">
        <x:v>1</x:v>
      </x:c>
      <x:c r="J277" s="9" t="str">
        <x:v>Final agreement</x:v>
      </x:c>
      <x:c r="K277" s="9" t="str">
        <x:v>Output voltage, piezoelectric voltage coefficient and magnetoelectric coefficient are defined and quantified.</x:v>
      </x:c>
      <x:c r="L277" s="9" t="str">
        <x:v>PDF pp. 2–7; Figs. 3–5; cited Supplementary Figs. S1–S5</x:v>
      </x:c>
      <x:c r="M277" s="9" t="str">
        <x:v>A modality-appropriate quantitative response, units/calculation and operating range are reported.</x:v>
      </x:c>
      <x:c r="N277" s="9" t="str">
        <x:v>Article PDF p. 6</x:v>
      </x:c>
      <x:c r="O277" s="9" t="str">
        <x:v>Output voltage, piezoelectric voltage coefficient and magnetoelectric coefficient are defined and quantified.</x:v>
      </x:c>
      <x:c r="P277" s="9" t="str">
        <x:v>PDF pp. 2–7; Figs. 3–5; cited Supplementary Figs. S1–S5</x:v>
      </x:c>
    </x:row>
    <x:row r="278">
      <x:c r="A278" s="9" t="n">
        <x:v>35</x:v>
      </x:c>
      <x:c r="B278" s="9" t="str">
        <x:v>S046</x:v>
      </x:c>
      <x:c r="C278" s="9" t="str">
        <x:v>Zhou et al. (2024)</x:v>
      </x:c>
      <x:c r="D278" s="9" t="str">
        <x:v>L5</x:v>
      </x:c>
      <x:c r="E278" s="9" t="str">
        <x:v>0</x:v>
      </x:c>
      <x:c r="F278" s="9" t="str">
        <x:v>0</x:v>
      </x:c>
      <x:c r="G278" s="9" t="str">
        <x:v>Yes</x:v>
      </x:c>
      <x:c r="H278" s="9" t="str">
        <x:v>Agree</x:v>
      </x:c>
      <x:c r="I278" s="9" t="str">
        <x:v>0</x:v>
      </x:c>
      <x:c r="J278" s="9" t="str">
        <x:v>Final agreement</x:v>
      </x:c>
      <x:c r="K278" s="9" t="str">
        <x:v>Periodic responses are shown, but an explicit ≥3-cycle count and retention outcome are not reported.</x:v>
      </x:c>
      <x:c r="L278" s="9" t="str">
        <x:v>PDF pp. 2–7; Figs. 3–5; cited Supplementary Figs. S1–S5</x:v>
      </x:c>
      <x:c r="M278" s="9" t="str">
        <x:v>Repeated testing lacks either a clear count/range or a qualifying stability/retention/failure outcome.</x:v>
      </x:c>
      <x:c r="N278" s="9" t="str">
        <x:v>Article PDF p. 1</x:v>
      </x:c>
      <x:c r="O278" s="9" t="str">
        <x:v>Periodic responses are shown, but an explicit ≥3-cycle count and retention outcome are not reported.</x:v>
      </x:c>
      <x:c r="P278" s="9" t="str">
        <x:v>PDF pp. 2–7; Figs. 3–5; cited Supplementary Figs. S1–S5</x:v>
      </x:c>
    </x:row>
    <x:row r="279">
      <x:c r="A279" s="9" t="n">
        <x:v>35</x:v>
      </x:c>
      <x:c r="B279" s="9" t="str">
        <x:v>S046</x:v>
      </x:c>
      <x:c r="C279" s="9" t="str">
        <x:v>Zhou et al. (2024)</x:v>
      </x:c>
      <x:c r="D279" s="9" t="str">
        <x:v>L6</x:v>
      </x:c>
      <x:c r="E279" s="9" t="str">
        <x:v>0</x:v>
      </x:c>
      <x:c r="F279" s="9" t="str">
        <x:v>0</x:v>
      </x:c>
      <x:c r="G279" s="9" t="str">
        <x:v>Yes</x:v>
      </x:c>
      <x:c r="H279" s="9" t="str">
        <x:v>Agree</x:v>
      </x:c>
      <x:c r="I279" s="9" t="str">
        <x:v>0</x:v>
      </x:c>
      <x:c r="J279" s="9" t="str">
        <x:v>Final agreement</x:v>
      </x:c>
      <x:c r="K279" s="9" t="str">
        <x:v>No qualifying environmental exposure was tested.</x:v>
      </x:c>
      <x:c r="L279" s="9" t="str">
        <x:v>PDF pp. 2–7; Figs. 3–5; cited Supplementary Figs. S1–S5</x:v>
      </x:c>
      <x:c r="M279" s="9" t="str">
        <x:v>No qualifying response under a declared non-measurand environmental/use exposure is reported.</x:v>
      </x:c>
      <x:c r="N279" s="9" t="str">
        <x:v>Article PDF p. 6</x:v>
      </x:c>
      <x:c r="O279" s="9" t="str">
        <x:v>No qualifying environmental exposure was tested.</x:v>
      </x:c>
      <x:c r="P279" s="9" t="str">
        <x:v>PDF pp. 2–7; Figs. 3–5; cited Supplementary Figs. S1–S5</x:v>
      </x:c>
    </x:row>
    <x:row r="280">
      <x:c r="A280" s="9" t="n">
        <x:v>35</x:v>
      </x:c>
      <x:c r="B280" s="9" t="str">
        <x:v>S046</x:v>
      </x:c>
      <x:c r="C280" s="9" t="str">
        <x:v>Zhou et al. (2024)</x:v>
      </x:c>
      <x:c r="D280" s="9" t="str">
        <x:v>L7</x:v>
      </x:c>
      <x:c r="E280" s="9" t="str">
        <x:v>1</x:v>
      </x:c>
      <x:c r="F280" s="9" t="str">
        <x:v>1</x:v>
      </x:c>
      <x:c r="G280" s="9" t="str">
        <x:v>Yes</x:v>
      </x:c>
      <x:c r="H280" s="9" t="str">
        <x:v>Agree</x:v>
      </x:c>
      <x:c r="I280" s="9" t="str">
        <x:v>1</x:v>
      </x:c>
      <x:c r="J280" s="9" t="str">
        <x:v>Final agreement</x:v>
      </x:c>
      <x:c r="K280" s="9" t="str">
        <x:v>A Z-shaped spring embedded in the author's insole is assessed during repeated walking at two frequencies; maintained stable voltage is explicitly reported.</x:v>
      </x:c>
      <x:c r="L280" s="9" t="str">
        <x:v>S046_Main.pdf, physical pp. 6-7, Fig. 5c-e and application paragraph (printed pp. 1021-1022).</x:v>
      </x:c>
      <x:c r="M280" s="9" t="str">
        <x:v>A Z-shaped spring embedded in the author's insole is assessed during repeated walking at two frequencies; maintained stable voltage is explicitly reported.</x:v>
      </x:c>
      <x:c r="N280" s="9" t="str">
        <x:v>S046_Main.pdf, physical pp. 6-7, Fig. 5c-e and application paragraph (printed pp. 1021-1022).</x:v>
      </x:c>
      <x:c r="O280" s="9" t="str">
        <x:v>A Z-shaped spring embedded in the author's insole is assessed during repeated walking at two frequencies; maintained stable voltage is explicitly reported.</x:v>
      </x:c>
      <x:c r="P280" s="9" t="str">
        <x:v>S046_Main.pdf, physical pp. 6-7, Fig. 5c-e and application paragraph (printed pp. 1021-1022).</x:v>
      </x:c>
    </x:row>
    <x:row r="281">
      <x:c r="A281" s="9" t="n">
        <x:v>35</x:v>
      </x:c>
      <x:c r="B281" s="9" t="str">
        <x:v>S046</x:v>
      </x:c>
      <x:c r="C281" s="9" t="str">
        <x:v>Zhou et al. (2024)</x:v>
      </x:c>
      <x:c r="D281" s="9" t="str">
        <x:v>L8</x:v>
      </x:c>
      <x:c r="E281" s="9" t="str">
        <x:v>0</x:v>
      </x:c>
      <x:c r="F281" s="9" t="str">
        <x:v>0</x:v>
      </x:c>
      <x:c r="G281" s="9" t="str">
        <x:v>Yes</x:v>
      </x:c>
      <x:c r="H281" s="9" t="str">
        <x:v>Agree</x:v>
      </x:c>
      <x:c r="I281" s="9" t="str">
        <x:v>0</x:v>
      </x:c>
      <x:c r="J281" s="9" t="str">
        <x:v>Final agreement</x:v>
      </x:c>
      <x:c r="K281" s="9" t="str">
        <x:v>Only one demonstrated sleeve and one Z spring were identified; composition variants are not replicate devices.</x:v>
      </x:c>
      <x:c r="L281" s="9" t="str">
        <x:v>PDF pp. 2–7; Figs. 3–5; cited Supplementary Figs. S1–S5</x:v>
      </x:c>
      <x:c r="M281" s="9" t="str">
        <x:v>At least three equivalent independently fabricated units with quantified between-unit variation are not reported.</x:v>
      </x:c>
      <x:c r="N281" s="9" t="str">
        <x:v>Article PDF p. 6</x:v>
      </x:c>
      <x:c r="O281" s="9" t="str">
        <x:v>Only one demonstrated sleeve and one Z spring were identified; composition variants are not replicate devices.</x:v>
      </x:c>
      <x:c r="P281" s="9" t="str">
        <x:v>PDF pp. 2–7; Figs. 3–5; cited Supplementary Figs. S1–S5</x:v>
      </x:c>
    </x:row>
    <x:row r="282">
      <x:c r="A282" s="9" t="n">
        <x:v>36</x:v>
      </x:c>
      <x:c r="B282" s="9" t="str">
        <x:v>S047</x:v>
      </x:c>
      <x:c r="C282" s="9" t="str">
        <x:v>Shin et al. (2025)</x:v>
      </x:c>
      <x:c r="D282" s="9" t="str">
        <x:v>L1</x:v>
      </x:c>
      <x:c r="E282" s="9" t="str">
        <x:v>0</x:v>
      </x:c>
      <x:c r="F282" s="9" t="str">
        <x:v>0</x:v>
      </x:c>
      <x:c r="G282" s="9" t="str">
        <x:v>Yes</x:v>
      </x:c>
      <x:c r="H282" s="9" t="str">
        <x:v>Agree</x:v>
      </x:c>
      <x:c r="I282" s="9" t="str">
        <x:v>0</x:v>
      </x:c>
      <x:c r="J282" s="9" t="str">
        <x:v>Final agreement</x:v>
      </x:c>
      <x:c r="K282" s="9" t="str">
        <x:v>FDM, printer and PLA are named, but nozzle, temperatures, speed, layer height and infill are not reported.</x:v>
      </x:c>
      <x:c r="L282" s="9" t="str">
        <x:v>PDF pp. 3–13; Figs. 2–12; Table 1</x:v>
      </x:c>
      <x:c r="M282" s="9" t="str">
        <x:v>Fabrication is described, but reconstruction-critical nozzle, temperature, layer height, infill details are not reported.</x:v>
      </x:c>
      <x:c r="N282" s="9" t="str">
        <x:v>Article PDF p. 4</x:v>
      </x:c>
      <x:c r="O282" s="9" t="str">
        <x:v>FDM, printer and PLA are named, but nozzle, temperatures, speed, layer height and infill are not reported.</x:v>
      </x:c>
      <x:c r="P282" s="9" t="str">
        <x:v>PDF pp. 3–13; Figs. 2–12; Table 1</x:v>
      </x:c>
    </x:row>
    <x:row r="283">
      <x:c r="A283" s="9" t="n">
        <x:v>36</x:v>
      </x:c>
      <x:c r="B283" s="9" t="str">
        <x:v>S047</x:v>
      </x:c>
      <x:c r="C283" s="9" t="str">
        <x:v>Shin et al. (2025)</x:v>
      </x:c>
      <x:c r="D283" s="9" t="str">
        <x:v>L2</x:v>
      </x:c>
      <x:c r="E283" s="9" t="str">
        <x:v>1</x:v>
      </x:c>
      <x:c r="F283" s="9" t="str">
        <x:v>1</x:v>
      </x:c>
      <x:c r="G283" s="9" t="str">
        <x:v>Yes</x:v>
      </x:c>
      <x:c r="H283" s="9" t="str">
        <x:v>Agree</x:v>
      </x:c>
      <x:c r="I283" s="9" t="str">
        <x:v>1</x:v>
      </x:c>
      <x:c r="J283" s="9" t="str">
        <x:v>Final agreement</x:v>
      </x:c>
      <x:c r="K283" s="9" t="str">
        <x:v>Mask, FSR modules, silicone interface, straps and readout architecture are described.</x:v>
      </x:c>
      <x:c r="L283" s="9" t="str">
        <x:v>PDF pp. 3–13; Figs. 2–12; Table 1</x:v>
      </x:c>
      <x:c r="M283" s="9" t="str">
        <x:v>Functional host, sensing constituent and relevant electrode/interface materials are identified.</x:v>
      </x:c>
      <x:c r="N283" s="9" t="str">
        <x:v>Article PDF p. 4</x:v>
      </x:c>
      <x:c r="O283" s="9" t="str">
        <x:v>Mask, FSR modules, silicone interface, straps and readout architecture are described.</x:v>
      </x:c>
      <x:c r="P283" s="9" t="str">
        <x:v>PDF pp. 3–13; Figs. 2–12; Table 1</x:v>
      </x:c>
    </x:row>
    <x:row r="284">
      <x:c r="A284" s="9" t="n">
        <x:v>36</x:v>
      </x:c>
      <x:c r="B284" s="9" t="str">
        <x:v>S047</x:v>
      </x:c>
      <x:c r="C284" s="9" t="str">
        <x:v>Shin et al. (2025)</x:v>
      </x:c>
      <x:c r="D284" s="9" t="str">
        <x:v>L3</x:v>
      </x:c>
      <x:c r="E284" s="9" t="str">
        <x:v>1</x:v>
      </x:c>
      <x:c r="F284" s="9" t="str">
        <x:v>1</x:v>
      </x:c>
      <x:c r="G284" s="9" t="str">
        <x:v>Yes</x:v>
      </x:c>
      <x:c r="H284" s="9" t="str">
        <x:v>Agree</x:v>
      </x:c>
      <x:c r="I284" s="9" t="str">
        <x:v>1</x:v>
      </x:c>
      <x:c r="J284" s="9" t="str">
        <x:v>Final agreement</x:v>
      </x:c>
      <x:c r="K284" s="9" t="str">
        <x:v>Weight screening and patient-specific PicoPress calibration at 15 and 25 mmHg are reported.</x:v>
      </x:c>
      <x:c r="L284" s="9" t="str">
        <x:v>PDF pp. 3–13; Figs. 2–12; Table 1</x:v>
      </x:c>
      <x:c r="M284" s="9" t="str">
        <x:v>Sensor output is related to a controlled or independently measured input with a stated procedure and range.</x:v>
      </x:c>
      <x:c r="N284" s="9" t="str">
        <x:v>Article PDF p. 7</x:v>
      </x:c>
      <x:c r="O284" s="9" t="str">
        <x:v>Weight screening and patient-specific PicoPress calibration at 15 and 25 mmHg are reported.</x:v>
      </x:c>
      <x:c r="P284" s="9" t="str">
        <x:v>PDF pp. 3–13; Figs. 2–12; Table 1</x:v>
      </x:c>
    </x:row>
    <x:row r="285">
      <x:c r="A285" s="9" t="n">
        <x:v>36</x:v>
      </x:c>
      <x:c r="B285" s="9" t="str">
        <x:v>S047</x:v>
      </x:c>
      <x:c r="C285" s="9" t="str">
        <x:v>Shin et al. (2025)</x:v>
      </x:c>
      <x:c r="D285" s="9" t="str">
        <x:v>L4</x:v>
      </x:c>
      <x:c r="E285" s="9" t="str">
        <x:v>1</x:v>
      </x:c>
      <x:c r="F285" s="9" t="str">
        <x:v>1</x:v>
      </x:c>
      <x:c r="G285" s="9" t="str">
        <x:v>Yes</x:v>
      </x:c>
      <x:c r="H285" s="9" t="str">
        <x:v>Agree</x:v>
      </x:c>
      <x:c r="I285" s="9" t="str">
        <x:v>1</x:v>
      </x:c>
      <x:c r="J285" s="9" t="str">
        <x:v>Final agreement</x:v>
      </x:c>
      <x:c r="K285" s="9" t="str">
        <x:v>Pressure, logged averages/SD and clinical outcomes are quantitatively reported.</x:v>
      </x:c>
      <x:c r="L285" s="9" t="str">
        <x:v>PDF pp. 3–13; Figs. 2–12; Table 1</x:v>
      </x:c>
      <x:c r="M285" s="9" t="str">
        <x:v>A modality-appropriate quantitative response, units/calculation and operating range are reported.</x:v>
      </x:c>
      <x:c r="N285" s="9" t="str">
        <x:v>Article PDF p. 7</x:v>
      </x:c>
      <x:c r="O285" s="9" t="str">
        <x:v>Pressure, logged averages/SD and clinical outcomes are quantitatively reported.</x:v>
      </x:c>
      <x:c r="P285" s="9" t="str">
        <x:v>PDF pp. 3–13; Figs. 2–12; Table 1</x:v>
      </x:c>
    </x:row>
    <x:row r="286">
      <x:c r="A286" s="9" t="n">
        <x:v>36</x:v>
      </x:c>
      <x:c r="B286" s="9" t="str">
        <x:v>S047</x:v>
      </x:c>
      <x:c r="C286" s="9" t="str">
        <x:v>Shin et al. (2025)</x:v>
      </x:c>
      <x:c r="D286" s="9" t="str">
        <x:v>L5</x:v>
      </x:c>
      <x:c r="E286" s="9" t="str">
        <x:v>0</x:v>
      </x:c>
      <x:c r="F286" s="9" t="str">
        <x:v>0</x:v>
      </x:c>
      <x:c r="G286" s="9" t="str">
        <x:v>Yes</x:v>
      </x:c>
      <x:c r="H286" s="9" t="str">
        <x:v>Agree</x:v>
      </x:c>
      <x:c r="I286" s="9" t="str">
        <x:v>0</x:v>
      </x:c>
      <x:c r="J286" s="9" t="str">
        <x:v>Final agreement</x:v>
      </x:c>
      <x:c r="K286" s="9" t="str">
        <x:v>Four-week monitoring does not report a controlled repeated sensor-retention test or recalibration drift endpoint.</x:v>
      </x:c>
      <x:c r="L286" s="9" t="str">
        <x:v>PDF pp. 3–13; Figs. 2–12; Table 1</x:v>
      </x:c>
      <x:c r="M286" s="9" t="str">
        <x:v>Repeated testing lacks either a clear count/range or a qualifying stability/retention/failure outcome.</x:v>
      </x:c>
      <x:c r="N286" s="9" t="str">
        <x:v>Article PDF p. 2</x:v>
      </x:c>
      <x:c r="O286" s="9" t="str">
        <x:v>Four-week monitoring does not report a controlled repeated sensor-retention test or recalibration drift endpoint.</x:v>
      </x:c>
      <x:c r="P286" s="9" t="str">
        <x:v>PDF pp. 3–13; Figs. 2–12; Table 1</x:v>
      </x:c>
    </x:row>
    <x:row r="287">
      <x:c r="A287" s="9" t="n">
        <x:v>36</x:v>
      </x:c>
      <x:c r="B287" s="9" t="str">
        <x:v>S047</x:v>
      </x:c>
      <x:c r="C287" s="9" t="str">
        <x:v>Shin et al. (2025)</x:v>
      </x:c>
      <x:c r="D287" s="9" t="str">
        <x:v>L6</x:v>
      </x:c>
      <x:c r="E287" s="9" t="str">
        <x:v>0</x:v>
      </x:c>
      <x:c r="F287" s="9" t="str">
        <x:v>0</x:v>
      </x:c>
      <x:c r="G287" s="9" t="str">
        <x:v>Yes</x:v>
      </x:c>
      <x:c r="H287" s="9" t="str">
        <x:v>Agree</x:v>
      </x:c>
      <x:c r="I287" s="9" t="str">
        <x:v>0</x:v>
      </x:c>
      <x:c r="J287" s="9" t="str">
        <x:v>Final agreement</x:v>
      </x:c>
      <x:c r="K287" s="9" t="str">
        <x:v>Clinical wear provides application data but no declared environmental exposure with sensor-response retention.</x:v>
      </x:c>
      <x:c r="L287" s="9" t="str">
        <x:v>PDF pp. 3–13; Figs. 2–12; Table 1</x:v>
      </x:c>
      <x:c r="M287" s="9" t="str">
        <x:v>Final rating supersedes the earlier rating; no revised narrative reason was supplied.</x:v>
      </x:c>
      <x:c r="N287" s="9" t="str">
        <x:v>Finalized reviewer-rating workbook</x:v>
      </x:c>
      <x:c r="O287" s="9" t="str">
        <x:v>Clinical wear provides application data but no declared environmental exposure with sensor-response retention.</x:v>
      </x:c>
      <x:c r="P287" s="9" t="str">
        <x:v>PDF pp. 3–13; Figs. 2–12; Table 1</x:v>
      </x:c>
    </x:row>
    <x:row r="288">
      <x:c r="A288" s="9" t="n">
        <x:v>36</x:v>
      </x:c>
      <x:c r="B288" s="9" t="str">
        <x:v>S047</x:v>
      </x:c>
      <x:c r="C288" s="9" t="str">
        <x:v>Shin et al. (2025)</x:v>
      </x:c>
      <x:c r="D288" s="9" t="str">
        <x:v>L7</x:v>
      </x:c>
      <x:c r="E288" s="9" t="str">
        <x:v>1</x:v>
      </x:c>
      <x:c r="F288" s="9" t="str">
        <x:v>1</x:v>
      </x:c>
      <x:c r="G288" s="9" t="str">
        <x:v>Yes</x:v>
      </x:c>
      <x:c r="H288" s="9" t="str">
        <x:v>Agree</x:v>
      </x:c>
      <x:c r="I288" s="9" t="str">
        <x:v>1</x:v>
      </x:c>
      <x:c r="J288" s="9" t="str">
        <x:v>Final agreement</x:v>
      </x:c>
      <x:c r="K288" s="9" t="str">
        <x:v>Pressure is recorded to confirm maintenance of 15-25 mmHg; section 3.2.1 reports that mean pressure is maintained through the trial with strap adjustment.</x:v>
      </x:c>
      <x:c r="L288" s="9" t="str">
        <x:v>S047_Main.pdf, physical p. 6, clinical protocol; pp. 9-10, section 3.2.1/Fig. 9. The figure shows the initial hour; adjacent text reports trial-period maintenance.</x:v>
      </x:c>
      <x:c r="M288" s="9" t="str">
        <x:v>Pressure is recorded to confirm maintenance of 15-25 mmHg; section 3.2.1 reports that mean pressure is maintained through the trial with strap adjustment.</x:v>
      </x:c>
      <x:c r="N288" s="9" t="str">
        <x:v>S047_Main.pdf, physical p. 6, clinical protocol; pp. 9-10, section 3.2.1/Fig. 9. The figure shows the initial hour; adjacent text reports trial-period maintenance.</x:v>
      </x:c>
      <x:c r="O288" s="9" t="str">
        <x:v>Pressure is recorded to confirm maintenance of 15-25 mmHg; section 3.2.1 reports that mean pressure is maintained through the trial with strap adjustment.</x:v>
      </x:c>
      <x:c r="P288" s="9" t="str">
        <x:v>S047_Main.pdf, physical p. 6, clinical protocol; pp. 9-10, section 3.2.1/Fig. 9. The figure shows the initial hour; adjacent text reports trial-period maintenance.</x:v>
      </x:c>
    </x:row>
    <x:row r="289">
      <x:c r="A289" s="9" t="n">
        <x:v>36</x:v>
      </x:c>
      <x:c r="B289" s="9" t="str">
        <x:v>S047</x:v>
      </x:c>
      <x:c r="C289" s="9" t="str">
        <x:v>Shin et al. (2025)</x:v>
      </x:c>
      <x:c r="D289" s="9" t="str">
        <x:v>L8</x:v>
      </x:c>
      <x:c r="E289" s="9" t="str">
        <x:v>0</x:v>
      </x:c>
      <x:c r="F289" s="9" t="str">
        <x:v>0</x:v>
      </x:c>
      <x:c r="G289" s="9" t="str">
        <x:v>Yes</x:v>
      </x:c>
      <x:c r="H289" s="9" t="str">
        <x:v>Agree</x:v>
      </x:c>
      <x:c r="I289" s="9" t="str">
        <x:v>0</x:v>
      </x:c>
      <x:c r="J289" s="9" t="str">
        <x:v>Final agreement</x:v>
      </x:c>
      <x:c r="K289" s="9" t="str">
        <x:v>Two masks were used; eight commercial FSR modules were screened, not three separately fabricated FDM sensing systems.</x:v>
      </x:c>
      <x:c r="L289" s="9" t="str">
        <x:v>PDF pp. 3–13; Figs. 2–12; Table 1</x:v>
      </x:c>
      <x:c r="M289" s="9" t="str">
        <x:v>At least three equivalent independently fabricated units with quantified between-unit variation are not reported.</x:v>
      </x:c>
      <x:c r="N289" s="9" t="str">
        <x:v>Article PDF p. 7</x:v>
      </x:c>
      <x:c r="O289" s="9" t="str">
        <x:v>Two masks were used; eight commercial FSR modules were screened, not three separately fabricated FDM sensing systems.</x:v>
      </x:c>
      <x:c r="P289" s="9" t="str">
        <x:v>PDF pp. 3–13; Figs. 2–12; Table 1</x:v>
      </x:c>
    </x:row>
    <x:row r="290">
      <x:c r="A290" s="9" t="n">
        <x:v>37</x:v>
      </x:c>
      <x:c r="B290" s="9" t="str">
        <x:v>S048</x:v>
      </x:c>
      <x:c r="C290" s="9" t="str">
        <x:v>Gunasekaran et al. (2022)</x:v>
      </x:c>
      <x:c r="D290" s="9" t="str">
        <x:v>L1</x:v>
      </x:c>
      <x:c r="E290" s="9" t="str">
        <x:v>1</x:v>
      </x:c>
      <x:c r="F290" s="9" t="str">
        <x:v>1</x:v>
      </x:c>
      <x:c r="G290" s="9" t="str">
        <x:v>Yes</x:v>
      </x:c>
      <x:c r="H290" s="9" t="str">
        <x:v>Agree</x:v>
      </x:c>
      <x:c r="I290" s="9" t="str">
        <x:v>1</x:v>
      </x:c>
      <x:c r="J290" s="9" t="str">
        <x:v>Final agreement</x:v>
      </x:c>
      <x:c r="K290" s="9" t="str">
        <x:v>FDM printer, TPU/graphene, nozzle, temperature, speed, layer height, pattern/infill and processing geometry are reported.</x:v>
      </x:c>
      <x:c r="L290" s="9" t="str">
        <x:v>PDF pp. 3–9; Figs. 1, 4–9; cited SI</x:v>
      </x:c>
      <x:c r="M290" s="9" t="str">
        <x:v>Reconstruction-relevant printer, material, temperature, layer, speed, path/geometry and post-processing details are reported.</x:v>
      </x:c>
      <x:c r="N290" s="9" t="str">
        <x:v>Article PDF p. 3</x:v>
      </x:c>
      <x:c r="O290" s="9" t="str">
        <x:v>FDM printer, TPU/graphene, nozzle, temperature, speed, layer height, pattern/infill and processing geometry are reported.</x:v>
      </x:c>
      <x:c r="P290" s="9" t="str">
        <x:v>PDF pp. 3–9; Figs. 1, 4–9; cited SI</x:v>
      </x:c>
    </x:row>
    <x:row r="291">
      <x:c r="A291" s="9" t="n">
        <x:v>37</x:v>
      </x:c>
      <x:c r="B291" s="9" t="str">
        <x:v>S048</x:v>
      </x:c>
      <x:c r="C291" s="9" t="str">
        <x:v>Gunasekaran et al. (2022)</x:v>
      </x:c>
      <x:c r="D291" s="9" t="str">
        <x:v>L2</x:v>
      </x:c>
      <x:c r="E291" s="9" t="str">
        <x:v>1</x:v>
      </x:c>
      <x:c r="F291" s="9" t="str">
        <x:v>1</x:v>
      </x:c>
      <x:c r="G291" s="9" t="str">
        <x:v>Yes</x:v>
      </x:c>
      <x:c r="H291" s="9" t="str">
        <x:v>Agree</x:v>
      </x:c>
      <x:c r="I291" s="9" t="str">
        <x:v>1</x:v>
      </x:c>
      <x:c r="J291" s="9" t="str">
        <x:v>Final agreement</x:v>
      </x:c>
      <x:c r="K291" s="9" t="str">
        <x:v>TPU, graphene deposition/embedding, contacts and sensing roles are described.</x:v>
      </x:c>
      <x:c r="L291" s="9" t="str">
        <x:v>PDF pp. 3–9; Figs. 1, 4–9; cited SI</x:v>
      </x:c>
      <x:c r="M291" s="9" t="str">
        <x:v>Functional host, sensing constituent and relevant electrode/interface materials are identified.</x:v>
      </x:c>
      <x:c r="N291" s="9" t="str">
        <x:v>Article PDF p. 10</x:v>
      </x:c>
      <x:c r="O291" s="9" t="str">
        <x:v>TPU, graphene deposition/embedding, contacts and sensing roles are described.</x:v>
      </x:c>
      <x:c r="P291" s="9" t="str">
        <x:v>PDF pp. 3–9; Figs. 1, 4–9; cited SI</x:v>
      </x:c>
    </x:row>
    <x:row r="292">
      <x:c r="A292" s="9" t="n">
        <x:v>37</x:v>
      </x:c>
      <x:c r="B292" s="9" t="str">
        <x:v>S048</x:v>
      </x:c>
      <x:c r="C292" s="9" t="str">
        <x:v>Gunasekaran et al. (2022)</x:v>
      </x:c>
      <x:c r="D292" s="9" t="str">
        <x:v>L3</x:v>
      </x:c>
      <x:c r="E292" s="9" t="str">
        <x:v>1</x:v>
      </x:c>
      <x:c r="F292" s="9" t="str">
        <x:v>1</x:v>
      </x:c>
      <x:c r="G292" s="9" t="str">
        <x:v>Yes</x:v>
      </x:c>
      <x:c r="H292" s="9" t="str">
        <x:v>Agree</x:v>
      </x:c>
      <x:c r="I292" s="9" t="str">
        <x:v>1</x:v>
      </x:c>
      <x:c r="J292" s="9" t="str">
        <x:v>Final agreement</x:v>
      </x:c>
      <x:c r="K292" s="9" t="str">
        <x:v>Mechanical test conditions and resistance/current acquisition are reported.</x:v>
      </x:c>
      <x:c r="L292" s="9" t="str">
        <x:v>PDF pp. 3–9; Figs. 1, 4–9; cited SI</x:v>
      </x:c>
      <x:c r="M292" s="9" t="str">
        <x:v>A universal testing machine applied controlled tensile loading while electrical output was recorded.</x:v>
      </x:c>
      <x:c r="N292" s="9" t="str">
        <x:v>Article PDF p. 7, Figure 6</x:v>
      </x:c>
      <x:c r="O292" s="9" t="str">
        <x:v>Mechanical test conditions and resistance/current acquisition are reported.</x:v>
      </x:c>
      <x:c r="P292" s="9" t="str">
        <x:v>PDF pp. 3–9; Figs. 1, 4–9; cited SI</x:v>
      </x:c>
    </x:row>
    <x:row r="293">
      <x:c r="A293" s="9" t="n">
        <x:v>37</x:v>
      </x:c>
      <x:c r="B293" s="9" t="str">
        <x:v>S048</x:v>
      </x:c>
      <x:c r="C293" s="9" t="str">
        <x:v>Gunasekaran et al. (2022)</x:v>
      </x:c>
      <x:c r="D293" s="9" t="str">
        <x:v>L4</x:v>
      </x:c>
      <x:c r="E293" s="9" t="str">
        <x:v>1</x:v>
      </x:c>
      <x:c r="F293" s="9" t="str">
        <x:v>1</x:v>
      </x:c>
      <x:c r="G293" s="9" t="str">
        <x:v>Yes</x:v>
      </x:c>
      <x:c r="H293" s="9" t="str">
        <x:v>Agree</x:v>
      </x:c>
      <x:c r="I293" s="9" t="str">
        <x:v>1</x:v>
      </x:c>
      <x:c r="J293" s="9" t="str">
        <x:v>Final agreement</x:v>
      </x:c>
      <x:c r="K293" s="9" t="str">
        <x:v>Sensitivity and GF equations, ranges, cycling thresholds and exposure response are reported.</x:v>
      </x:c>
      <x:c r="L293" s="9" t="str">
        <x:v>PDF pp. 3–9; Figs. 1, 4–9; cited SI</x:v>
      </x:c>
      <x:c r="M293" s="9" t="str">
        <x:v>Gauge factor, resistance/current response, hysteresis and response range are reported quantitatively.</x:v>
      </x:c>
      <x:c r="N293" s="9" t="str">
        <x:v>Article PDF pp. 6-9, Figures 5-8</x:v>
      </x:c>
      <x:c r="O293" s="9" t="str">
        <x:v>Sensitivity and GF equations, ranges, cycling thresholds and exposure response are reported.</x:v>
      </x:c>
      <x:c r="P293" s="9" t="str">
        <x:v>PDF pp. 3–9; Figs. 1, 4–9; cited SI</x:v>
      </x:c>
    </x:row>
    <x:row r="294">
      <x:c r="A294" s="9" t="n">
        <x:v>37</x:v>
      </x:c>
      <x:c r="B294" s="9" t="str">
        <x:v>S048</x:v>
      </x:c>
      <x:c r="C294" s="9" t="str">
        <x:v>Gunasekaran et al. (2022)</x:v>
      </x:c>
      <x:c r="D294" s="9" t="str">
        <x:v>L5</x:v>
      </x:c>
      <x:c r="E294" s="9" t="str">
        <x:v>1</x:v>
      </x:c>
      <x:c r="F294" s="9" t="str">
        <x:v>1</x:v>
      </x:c>
      <x:c r="G294" s="9" t="str">
        <x:v>Yes</x:v>
      </x:c>
      <x:c r="H294" s="9" t="str">
        <x:v>Agree</x:v>
      </x:c>
      <x:c r="I294" s="9" t="str">
        <x:v>1</x:v>
      </x:c>
      <x:c r="J294" s="9" t="str">
        <x:v>Final agreement</x:v>
      </x:c>
      <x:c r="K294" s="9" t="str">
        <x:v>Five-cycle compression tests and a tensile test beyond 1500 cycles report recovery and degradation.</x:v>
      </x:c>
      <x:c r="L294" s="9" t="str">
        <x:v>PDF pp. 3–9; Figs. 1, 4–9; cited SI</x:v>
      </x:c>
      <x:c r="M294" s="9" t="str">
        <x:v>A stated repeated-test range/count is accompanied by a stability, hysteresis, retention or failure outcome.</x:v>
      </x:c>
      <x:c r="N294" s="9" t="str">
        <x:v>Article PDF p. 7</x:v>
      </x:c>
      <x:c r="O294" s="9" t="str">
        <x:v>Five-cycle compression tests and a tensile test beyond 1500 cycles report recovery and degradation.</x:v>
      </x:c>
      <x:c r="P294" s="9" t="str">
        <x:v>PDF pp. 3–9; Figs. 1, 4–9; cited SI</x:v>
      </x:c>
    </x:row>
    <x:row r="295">
      <x:c r="A295" s="9" t="n">
        <x:v>37</x:v>
      </x:c>
      <x:c r="B295" s="9" t="str">
        <x:v>S048</x:v>
      </x:c>
      <x:c r="C295" s="9" t="str">
        <x:v>Gunasekaran et al. (2022)</x:v>
      </x:c>
      <x:c r="D295" s="9" t="str">
        <x:v>L6</x:v>
      </x:c>
      <x:c r="E295" s="9" t="str">
        <x:v>1</x:v>
      </x:c>
      <x:c r="F295" s="9" t="str">
        <x:v>1</x:v>
      </x:c>
      <x:c r="G295" s="9" t="str">
        <x:v>Yes</x:v>
      </x:c>
      <x:c r="H295" s="9" t="str">
        <x:v>Agree</x:v>
      </x:c>
      <x:c r="I295" s="9" t="str">
        <x:v>1</x:v>
      </x:c>
      <x:c r="J295" s="9" t="str">
        <x:v>Final agreement</x:v>
      </x:c>
      <x:c r="K295" s="9" t="str">
        <x:v>Water and organic-solvent immersion/ultrasonication for four hours was followed by resistance measurements.</x:v>
      </x:c>
      <x:c r="L295" s="9" t="str">
        <x:v>PDF pp. 3–9; Figs. 1, 4–9; cited SI</x:v>
      </x:c>
      <x:c r="M295" s="9" t="str">
        <x:v>Sensor/system response is reported under a declared non-measurand environmental or use-related exposure.</x:v>
      </x:c>
      <x:c r="N295" s="9" t="str">
        <x:v>Article PDF p. 4</x:v>
      </x:c>
      <x:c r="O295" s="9" t="str">
        <x:v>Water and organic-solvent immersion/ultrasonication for four hours was followed by resistance measurements.</x:v>
      </x:c>
      <x:c r="P295" s="9" t="str">
        <x:v>PDF pp. 3–9; Figs. 1, 4–9; cited SI</x:v>
      </x:c>
    </x:row>
    <x:row r="296">
      <x:c r="A296" s="9" t="n">
        <x:v>37</x:v>
      </x:c>
      <x:c r="B296" s="9" t="str">
        <x:v>S048</x:v>
      </x:c>
      <x:c r="C296" s="9" t="str">
        <x:v>Gunasekaran et al. (2022)</x:v>
      </x:c>
      <x:c r="D296" s="9" t="str">
        <x:v>L7</x:v>
      </x:c>
      <x:c r="E296" s="9" t="str">
        <x:v>0</x:v>
      </x:c>
      <x:c r="F296" s="9" t="str">
        <x:v>0</x:v>
      </x:c>
      <x:c r="G296" s="9" t="str">
        <x:v>Yes</x:v>
      </x:c>
      <x:c r="H296" s="9" t="str">
        <x:v>Agree</x:v>
      </x:c>
      <x:c r="I296" s="9" t="str">
        <x:v>0</x:v>
      </x:c>
      <x:c r="J296" s="9" t="str">
        <x:v>Final agreement</x:v>
      </x:c>
      <x:c r="K296" s="9" t="str">
        <x:v>Final L7 rating from the targeted reassessment.</x:v>
      </x:c>
      <x:c r="L296" s="9" t="str">
        <x:v>Finalized reviewer-rating workbook</x:v>
      </x:c>
      <x:c r="M296" s="9" t="str">
        <x:v>Final L7 rating from the targeted reassessment.</x:v>
      </x:c>
      <x:c r="N296" s="9" t="str">
        <x:v>Finalized reviewer-rating workbook</x:v>
      </x:c>
      <x:c r="O296" s="9" t="str">
        <x:v>No qualifying interface-integrity test or repeated final monolithic wearable-assembly test with a retention/failure endpoint was located.</x:v>
      </x:c>
      <x:c r="P296" s="9" t="str">
        <x:v>PDF pp. 3–9; Figs. 1, 4–9; cited SI</x:v>
      </x:c>
    </x:row>
    <x:row r="297">
      <x:c r="A297" s="9" t="n">
        <x:v>37</x:v>
      </x:c>
      <x:c r="B297" s="9" t="str">
        <x:v>S048</x:v>
      </x:c>
      <x:c r="C297" s="9" t="str">
        <x:v>Gunasekaran et al. (2022)</x:v>
      </x:c>
      <x:c r="D297" s="9" t="str">
        <x:v>L8</x:v>
      </x:c>
      <x:c r="E297" s="9" t="str">
        <x:v>0</x:v>
      </x:c>
      <x:c r="F297" s="9" t="str">
        <x:v>0</x:v>
      </x:c>
      <x:c r="G297" s="9" t="str">
        <x:v>Yes</x:v>
      </x:c>
      <x:c r="H297" s="9" t="str">
        <x:v>Agree</x:v>
      </x:c>
      <x:c r="I297" s="9" t="str">
        <x:v>0</x:v>
      </x:c>
      <x:c r="J297" s="9" t="str">
        <x:v>Final agreement</x:v>
      </x:c>
      <x:c r="K297" s="9" t="str">
        <x:v>Material and pattern variants were tested; ≥3 separate complete sensors were not quantitatively compared.</x:v>
      </x:c>
      <x:c r="L297" s="9" t="str">
        <x:v>PDF pp. 3–9; Figs. 1, 4–9; cited SI</x:v>
      </x:c>
      <x:c r="M297" s="9" t="str">
        <x:v>At least three equivalent independently fabricated units with quantified between-unit variation are not reported.</x:v>
      </x:c>
      <x:c r="N297" s="9" t="str">
        <x:v>Article PDF p. 5</x:v>
      </x:c>
      <x:c r="O297" s="9" t="str">
        <x:v>Material and pattern variants were tested; ≥3 separate complete sensors were not quantitatively compared.</x:v>
      </x:c>
      <x:c r="P297" s="9" t="str">
        <x:v>PDF pp. 3–9; Figs. 1, 4–9; cited SI</x:v>
      </x:c>
    </x:row>
    <x:row r="298">
      <x:c r="A298" s="9" t="n">
        <x:v>38</x:v>
      </x:c>
      <x:c r="B298" s="9" t="str">
        <x:v>S050</x:v>
      </x:c>
      <x:c r="C298" s="9" t="str">
        <x:v>Leal-Junior et al. (2018)</x:v>
      </x:c>
      <x:c r="D298" s="9" t="str">
        <x:v>L1</x:v>
      </x:c>
      <x:c r="E298" s="9" t="str">
        <x:v>0</x:v>
      </x:c>
      <x:c r="F298" s="9" t="str">
        <x:v>0</x:v>
      </x:c>
      <x:c r="G298" s="9" t="str">
        <x:v>Yes</x:v>
      </x:c>
      <x:c r="H298" s="9" t="str">
        <x:v>Agree</x:v>
      </x:c>
      <x:c r="I298" s="9" t="str">
        <x:v>0</x:v>
      </x:c>
      <x:c r="J298" s="9" t="str">
        <x:v>Final agreement</x:v>
      </x:c>
      <x:c r="K298" s="9" t="str">
        <x:v>Printer and materials are named, but nozzle/extrusion temperature, layer height, speed and toolpath are not reported.</x:v>
      </x:c>
      <x:c r="L298" s="9" t="str">
        <x:v>PDF pp. 3–10; Figs. 1–8</x:v>
      </x:c>
      <x:c r="M298" s="9" t="str">
        <x:v>Fabrication is described, but reconstruction-critical nozzle, layer height, infill, speed details are not reported.</x:v>
      </x:c>
      <x:c r="N298" s="9" t="str">
        <x:v>Article PDF p. 3</x:v>
      </x:c>
      <x:c r="O298" s="9" t="str">
        <x:v>Printer and materials are named, but nozzle/extrusion temperature, layer height, speed and toolpath are not reported.</x:v>
      </x:c>
      <x:c r="P298" s="9" t="str">
        <x:v>PDF pp. 3–10; Figs. 1–8</x:v>
      </x:c>
    </x:row>
    <x:row r="299">
      <x:c r="A299" s="9" t="n">
        <x:v>38</x:v>
      </x:c>
      <x:c r="B299" s="9" t="str">
        <x:v>S050</x:v>
      </x:c>
      <x:c r="C299" s="9" t="str">
        <x:v>Leal-Junior et al. (2018)</x:v>
      </x:c>
      <x:c r="D299" s="9" t="str">
        <x:v>L2</x:v>
      </x:c>
      <x:c r="E299" s="9" t="str">
        <x:v>1</x:v>
      </x:c>
      <x:c r="F299" s="9" t="str">
        <x:v>1</x:v>
      </x:c>
      <x:c r="G299" s="9" t="str">
        <x:v>Yes</x:v>
      </x:c>
      <x:c r="H299" s="9" t="str">
        <x:v>Agree</x:v>
      </x:c>
      <x:c r="I299" s="9" t="str">
        <x:v>1</x:v>
      </x:c>
      <x:c r="J299" s="9" t="str">
        <x:v>Final agreement</x:v>
      </x:c>
      <x:c r="K299" s="9" t="str">
        <x:v>ABS/TPU support roles and both embedded FBGs are described.</x:v>
      </x:c>
      <x:c r="L299" s="9" t="str">
        <x:v>PDF pp. 3–10; Figs. 1–8</x:v>
      </x:c>
      <x:c r="M299" s="9" t="str">
        <x:v>Functional host, sensing constituent and relevant electrode/interface materials are identified.</x:v>
      </x:c>
      <x:c r="N299" s="9" t="str">
        <x:v>Article PDF p. 3</x:v>
      </x:c>
      <x:c r="O299" s="9" t="str">
        <x:v>ABS/TPU support roles and both embedded FBGs are described.</x:v>
      </x:c>
      <x:c r="P299" s="9" t="str">
        <x:v>PDF pp. 3–10; Figs. 1–8</x:v>
      </x:c>
    </x:row>
    <x:row r="300">
      <x:c r="A300" s="9" t="n">
        <x:v>38</x:v>
      </x:c>
      <x:c r="B300" s="9" t="str">
        <x:v>S050</x:v>
      </x:c>
      <x:c r="C300" s="9" t="str">
        <x:v>Leal-Junior et al. (2018)</x:v>
      </x:c>
      <x:c r="D300" s="9" t="str">
        <x:v>L3</x:v>
      </x:c>
      <x:c r="E300" s="9" t="str">
        <x:v>1</x:v>
      </x:c>
      <x:c r="F300" s="9" t="str">
        <x:v>1</x:v>
      </x:c>
      <x:c r="G300" s="9" t="str">
        <x:v>Yes</x:v>
      </x:c>
      <x:c r="H300" s="9" t="str">
        <x:v>Agree</x:v>
      </x:c>
      <x:c r="I300" s="9" t="str">
        <x:v>1</x:v>
      </x:c>
      <x:c r="J300" s="9" t="str">
        <x:v>Final agreement</x:v>
      </x:c>
      <x:c r="K300" s="9" t="str">
        <x:v>Controlled force, temperature and motion tests use stated references.</x:v>
      </x:c>
      <x:c r="L300" s="9" t="str">
        <x:v>PDF pp. 3–10; Figs. 1–8</x:v>
      </x:c>
      <x:c r="M300" s="9" t="str">
        <x:v>Sensor output is related to a controlled or independently measured input with a stated procedure and range.</x:v>
      </x:c>
      <x:c r="N300" s="9" t="str">
        <x:v>Article PDF p. 6</x:v>
      </x:c>
      <x:c r="O300" s="9" t="str">
        <x:v>Controlled force, temperature and motion tests use stated references.</x:v>
      </x:c>
      <x:c r="P300" s="9" t="str">
        <x:v>PDF pp. 3–10; Figs. 1–8</x:v>
      </x:c>
    </x:row>
    <x:row r="301">
      <x:c r="A301" s="9" t="n">
        <x:v>38</x:v>
      </x:c>
      <x:c r="B301" s="9" t="str">
        <x:v>S050</x:v>
      </x:c>
      <x:c r="C301" s="9" t="str">
        <x:v>Leal-Junior et al. (2018)</x:v>
      </x:c>
      <x:c r="D301" s="9" t="str">
        <x:v>L4</x:v>
      </x:c>
      <x:c r="E301" s="9" t="str">
        <x:v>1</x:v>
      </x:c>
      <x:c r="F301" s="9" t="str">
        <x:v>1</x:v>
      </x:c>
      <x:c r="G301" s="9" t="str">
        <x:v>Yes</x:v>
      </x:c>
      <x:c r="H301" s="9" t="str">
        <x:v>Agree</x:v>
      </x:c>
      <x:c r="I301" s="9" t="str">
        <x:v>1</x:v>
      </x:c>
      <x:c r="J301" s="9" t="str">
        <x:v>Final agreement</x:v>
      </x:c>
      <x:c r="K301" s="9" t="str">
        <x:v>Sensitivities, errors and tested ranges are quantified.</x:v>
      </x:c>
      <x:c r="L301" s="9" t="str">
        <x:v>PDF pp. 3–10; Figs. 1–8</x:v>
      </x:c>
      <x:c r="M301" s="9" t="str">
        <x:v>A modality-appropriate quantitative response, units/calculation and operating range are reported.</x:v>
      </x:c>
      <x:c r="N301" s="9" t="str">
        <x:v>Article PDF p. 7</x:v>
      </x:c>
      <x:c r="O301" s="9" t="str">
        <x:v>Sensitivities, errors and tested ranges are quantified.</x:v>
      </x:c>
      <x:c r="P301" s="9" t="str">
        <x:v>PDF pp. 3–10; Figs. 1–8</x:v>
      </x:c>
    </x:row>
    <x:row r="302">
      <x:c r="A302" s="9" t="n">
        <x:v>38</x:v>
      </x:c>
      <x:c r="B302" s="9" t="str">
        <x:v>S050</x:v>
      </x:c>
      <x:c r="C302" s="9" t="str">
        <x:v>Leal-Junior et al. (2018)</x:v>
      </x:c>
      <x:c r="D302" s="9" t="str">
        <x:v>L5</x:v>
      </x:c>
      <x:c r="E302" s="9" t="str">
        <x:v>1</x:v>
      </x:c>
      <x:c r="F302" s="9" t="str">
        <x:v>1</x:v>
      </x:c>
      <x:c r="G302" s="9" t="str">
        <x:v>Yes</x:v>
      </x:c>
      <x:c r="H302" s="9" t="str">
        <x:v>Agree</x:v>
      </x:c>
      <x:c r="I302" s="9" t="str">
        <x:v>1</x:v>
      </x:c>
      <x:c r="J302" s="9" t="str">
        <x:v>Final agreement</x:v>
      </x:c>
      <x:c r="K302" s="9" t="str">
        <x:v>Five exoskeleton flexion/extension cycles provide a repeated application-response trace.</x:v>
      </x:c>
      <x:c r="L302" s="9" t="str">
        <x:v>PDF pp. 3–10; Figs. 1–8</x:v>
      </x:c>
      <x:c r="M302" s="9" t="str">
        <x:v>Final rating supersedes the earlier rating; no revised narrative reason was supplied.</x:v>
      </x:c>
      <x:c r="N302" s="9" t="str">
        <x:v>Finalized reviewer-rating workbook</x:v>
      </x:c>
      <x:c r="O302" s="9" t="str">
        <x:v>Five exoskeleton flexion/extension cycles provide a repeated application-response trace.</x:v>
      </x:c>
      <x:c r="P302" s="9" t="str">
        <x:v>PDF pp. 3–10; Figs. 1–8</x:v>
      </x:c>
    </x:row>
    <x:row r="303">
      <x:c r="A303" s="9" t="n">
        <x:v>38</x:v>
      </x:c>
      <x:c r="B303" s="9" t="str">
        <x:v>S050</x:v>
      </x:c>
      <x:c r="C303" s="9" t="str">
        <x:v>Leal-Junior et al. (2018)</x:v>
      </x:c>
      <x:c r="D303" s="9" t="str">
        <x:v>L6</x:v>
      </x:c>
      <x:c r="E303" s="9" t="str">
        <x:v>1</x:v>
      </x:c>
      <x:c r="F303" s="9" t="str">
        <x:v>1</x:v>
      </x:c>
      <x:c r="G303" s="9" t="str">
        <x:v>Yes</x:v>
      </x:c>
      <x:c r="H303" s="9" t="str">
        <x:v>Agree</x:v>
      </x:c>
      <x:c r="I303" s="9" t="str">
        <x:v>1</x:v>
      </x:c>
      <x:c r="J303" s="9" t="str">
        <x:v>Final agreement</x:v>
      </x:c>
      <x:c r="K303" s="9" t="str">
        <x:v>Sensor response was quantified from 25 to 45 °C and force compensation was evaluated.</x:v>
      </x:c>
      <x:c r="L303" s="9" t="str">
        <x:v>PDF pp. 3–10; Figs. 1–8</x:v>
      </x:c>
      <x:c r="M303" s="9" t="str">
        <x:v>Sensor/system response is reported under a declared non-measurand environmental or use-related exposure.</x:v>
      </x:c>
      <x:c r="N303" s="9" t="str">
        <x:v>Article PDF p. 6</x:v>
      </x:c>
      <x:c r="O303" s="9" t="str">
        <x:v>Sensor response was quantified from 25 to 45 °C and force compensation was evaluated.</x:v>
      </x:c>
      <x:c r="P303" s="9" t="str">
        <x:v>PDF pp. 3–10; Figs. 1–8</x:v>
      </x:c>
    </x:row>
    <x:row r="304">
      <x:c r="A304" s="9" t="n">
        <x:v>38</x:v>
      </x:c>
      <x:c r="B304" s="9" t="str">
        <x:v>S050</x:v>
      </x:c>
      <x:c r="C304" s="9" t="str">
        <x:v>Leal-Junior et al. (2018)</x:v>
      </x:c>
      <x:c r="D304" s="9" t="str">
        <x:v>L7</x:v>
      </x:c>
      <x:c r="E304" s="9" t="str">
        <x:v>0</x:v>
      </x:c>
      <x:c r="F304" s="9" t="str">
        <x:v>0</x:v>
      </x:c>
      <x:c r="G304" s="9" t="str">
        <x:v>Yes</x:v>
      </x:c>
      <x:c r="H304" s="9" t="str">
        <x:v>Agree</x:v>
      </x:c>
      <x:c r="I304" s="9" t="str">
        <x:v>0</x:v>
      </x:c>
      <x:c r="J304" s="9" t="str">
        <x:v>Final agreement</x:v>
      </x:c>
      <x:c r="K304" s="9" t="str">
        <x:v>Final L7 rating from the targeted reassessment.</x:v>
      </x:c>
      <x:c r="L304" s="9" t="str">
        <x:v>Finalized reviewer-rating workbook</x:v>
      </x:c>
      <x:c r="M304" s="9" t="str">
        <x:v>Final L7 rating from the targeted reassessment.</x:v>
      </x:c>
      <x:c r="N304" s="9" t="str">
        <x:v>Finalized reviewer-rating workbook</x:v>
      </x:c>
      <x:c r="O304" s="9" t="str">
        <x:v>No qualifying interface-integrity test or repeated final monolithic wearable-assembly test with a retention/failure endpoint was located.</x:v>
      </x:c>
      <x:c r="P304" s="9" t="str">
        <x:v>PDF pp. 3–10; Figs. 1–8</x:v>
      </x:c>
    </x:row>
    <x:row r="305">
      <x:c r="A305" s="9" t="n">
        <x:v>38</x:v>
      </x:c>
      <x:c r="B305" s="9" t="str">
        <x:v>S050</x:v>
      </x:c>
      <x:c r="C305" s="9" t="str">
        <x:v>Leal-Junior et al. (2018)</x:v>
      </x:c>
      <x:c r="D305" s="9" t="str">
        <x:v>L8</x:v>
      </x:c>
      <x:c r="E305" s="9" t="str">
        <x:v>0</x:v>
      </x:c>
      <x:c r="F305" s="9" t="str">
        <x:v>0</x:v>
      </x:c>
      <x:c r="G305" s="9" t="str">
        <x:v>Yes</x:v>
      </x:c>
      <x:c r="H305" s="9" t="str">
        <x:v>Agree</x:v>
      </x:c>
      <x:c r="I305" s="9" t="str">
        <x:v>0</x:v>
      </x:c>
      <x:c r="J305" s="9" t="str">
        <x:v>Final agreement</x:v>
      </x:c>
      <x:c r="K305" s="9" t="str">
        <x:v>Only two complete support/FBG assemblies were identified.</x:v>
      </x:c>
      <x:c r="L305" s="9" t="str">
        <x:v>PDF pp. 3–10; Figs. 1–8</x:v>
      </x:c>
      <x:c r="M305" s="9" t="str">
        <x:v>At least three equivalent independently fabricated units with quantified between-unit variation are not reported.</x:v>
      </x:c>
      <x:c r="N305" s="9" t="str">
        <x:v>Article PDF p. 6</x:v>
      </x:c>
      <x:c r="O305" s="9" t="str">
        <x:v>Only two complete support/FBG assemblies were identified.</x:v>
      </x:c>
      <x:c r="P305" s="9" t="str">
        <x:v>PDF pp. 3–10; Figs. 1–8</x:v>
      </x:c>
    </x:row>
    <x:row r="306">
      <x:c r="A306" s="9" t="n">
        <x:v>39</x:v>
      </x:c>
      <x:c r="B306" s="9" t="str">
        <x:v>S051</x:v>
      </x:c>
      <x:c r="C306" s="9" t="str">
        <x:v>Ota et al. (2017)</x:v>
      </x:c>
      <x:c r="D306" s="9" t="str">
        <x:v>L1</x:v>
      </x:c>
      <x:c r="E306" s="9" t="str">
        <x:v>1</x:v>
      </x:c>
      <x:c r="F306" s="9" t="str">
        <x:v>1</x:v>
      </x:c>
      <x:c r="G306" s="9" t="str">
        <x:v>Yes</x:v>
      </x:c>
      <x:c r="H306" s="9" t="str">
        <x:v>Agree</x:v>
      </x:c>
      <x:c r="I306" s="9" t="str">
        <x:v>1</x:v>
      </x:c>
      <x:c r="J306" s="9" t="str">
        <x:v>Final agreement</x:v>
      </x:c>
      <x:c r="K306" s="9" t="str">
        <x:v>FDM printer, flexible filament, nozzle, temperatures, speed, layer height and device/channel geometry are reported.</x:v>
      </x:c>
      <x:c r="L306" s="9" t="str">
        <x:v>PDF pp. 2–7; Figs. 1–5</x:v>
      </x:c>
      <x:c r="M306" s="9" t="str">
        <x:v>Final rating supersedes the earlier rating; no revised narrative reason was supplied.</x:v>
      </x:c>
      <x:c r="N306" s="9" t="str">
        <x:v>Finalized reviewer-rating workbook</x:v>
      </x:c>
      <x:c r="O306" s="9" t="str">
        <x:v>FDM printer, flexible filament, nozzle, temperatures, speed, layer height and device/channel geometry are reported.</x:v>
      </x:c>
      <x:c r="P306" s="9" t="str">
        <x:v>PDF pp. 2–7; Figs. 1–5</x:v>
      </x:c>
    </x:row>
    <x:row r="307">
      <x:c r="A307" s="9" t="n">
        <x:v>39</x:v>
      </x:c>
      <x:c r="B307" s="9" t="str">
        <x:v>S051</x:v>
      </x:c>
      <x:c r="C307" s="9" t="str">
        <x:v>Ota et al. (2017)</x:v>
      </x:c>
      <x:c r="D307" s="9" t="str">
        <x:v>L2</x:v>
      </x:c>
      <x:c r="E307" s="9" t="str">
        <x:v>1</x:v>
      </x:c>
      <x:c r="F307" s="9" t="str">
        <x:v>1</x:v>
      </x:c>
      <x:c r="G307" s="9" t="str">
        <x:v>Yes</x:v>
      </x:c>
      <x:c r="H307" s="9" t="str">
        <x:v>Agree</x:v>
      </x:c>
      <x:c r="I307" s="9" t="str">
        <x:v>1</x:v>
      </x:c>
      <x:c r="J307" s="9" t="str">
        <x:v>Final agreement</x:v>
      </x:c>
      <x:c r="K307" s="9" t="str">
        <x:v>Printed polyurethane, Galinstan, PDMS/epoxy and electronic elements are described by role.</x:v>
      </x:c>
      <x:c r="L307" s="9" t="str">
        <x:v>PDF pp. 2–7; Figs. 1–5</x:v>
      </x:c>
      <x:c r="M307" s="9" t="str">
        <x:v>Functional host, sensing constituent and relevant electrode/interface materials are identified.</x:v>
      </x:c>
      <x:c r="N307" s="9" t="str">
        <x:v>Article PDF p. 1</x:v>
      </x:c>
      <x:c r="O307" s="9" t="str">
        <x:v>Printed polyurethane, Galinstan, PDMS/epoxy and electronic elements are described by role.</x:v>
      </x:c>
      <x:c r="P307" s="9" t="str">
        <x:v>PDF pp. 2–7; Figs. 1–5</x:v>
      </x:c>
    </x:row>
    <x:row r="308">
      <x:c r="A308" s="9" t="n">
        <x:v>39</x:v>
      </x:c>
      <x:c r="B308" s="9" t="str">
        <x:v>S051</x:v>
      </x:c>
      <x:c r="C308" s="9" t="str">
        <x:v>Ota et al. (2017)</x:v>
      </x:c>
      <x:c r="D308" s="9" t="str">
        <x:v>L3</x:v>
      </x:c>
      <x:c r="E308" s="9" t="str">
        <x:v>1</x:v>
      </x:c>
      <x:c r="F308" s="9" t="str">
        <x:v>1</x:v>
      </x:c>
      <x:c r="G308" s="9" t="str">
        <x:v>Yes</x:v>
      </x:c>
      <x:c r="H308" s="9" t="str">
        <x:v>Agree</x:v>
      </x:c>
      <x:c r="I308" s="9" t="str">
        <x:v>1</x:v>
      </x:c>
      <x:c r="J308" s="9" t="str">
        <x:v>Final agreement</x:v>
      </x:c>
      <x:c r="K308" s="9" t="str">
        <x:v>Temperature calibration and stated room/exercise conditions are reported.</x:v>
      </x:c>
      <x:c r="L308" s="9" t="str">
        <x:v>PDF pp. 2–7; Figs. 1–5</x:v>
      </x:c>
      <x:c r="M308" s="9" t="str">
        <x:v>Sensor output is related to a controlled or independently measured input with a stated procedure and range.</x:v>
      </x:c>
      <x:c r="N308" s="9" t="str">
        <x:v>Article PDF p. 6</x:v>
      </x:c>
      <x:c r="O308" s="9" t="str">
        <x:v>Temperature calibration and stated room/exercise conditions are reported.</x:v>
      </x:c>
      <x:c r="P308" s="9" t="str">
        <x:v>PDF pp. 2–7; Figs. 1–5</x:v>
      </x:c>
    </x:row>
    <x:row r="309">
      <x:c r="A309" s="9" t="n">
        <x:v>39</x:v>
      </x:c>
      <x:c r="B309" s="9" t="str">
        <x:v>S051</x:v>
      </x:c>
      <x:c r="C309" s="9" t="str">
        <x:v>Ota et al. (2017)</x:v>
      </x:c>
      <x:c r="D309" s="9" t="str">
        <x:v>L4</x:v>
      </x:c>
      <x:c r="E309" s="9" t="str">
        <x:v>1</x:v>
      </x:c>
      <x:c r="F309" s="9" t="str">
        <x:v>1</x:v>
      </x:c>
      <x:c r="G309" s="9" t="str">
        <x:v>Yes</x:v>
      </x:c>
      <x:c r="H309" s="9" t="str">
        <x:v>Agree</x:v>
      </x:c>
      <x:c r="I309" s="9" t="str">
        <x:v>1</x:v>
      </x:c>
      <x:c r="J309" s="9" t="str">
        <x:v>Final agreement</x:v>
      </x:c>
      <x:c r="K309" s="9" t="str">
        <x:v>Calibration ranges, frequency response and time-series temperature outputs are quantitative.</x:v>
      </x:c>
      <x:c r="L309" s="9" t="str">
        <x:v>PDF pp. 2–7; Figs. 1–5</x:v>
      </x:c>
      <x:c r="M309" s="9" t="str">
        <x:v>A modality-appropriate quantitative response, units/calculation and operating range are reported.</x:v>
      </x:c>
      <x:c r="N309" s="9" t="str">
        <x:v>Article PDF p. 7</x:v>
      </x:c>
      <x:c r="O309" s="9" t="str">
        <x:v>Calibration ranges, frequency response and time-series temperature outputs are quantitative.</x:v>
      </x:c>
      <x:c r="P309" s="9" t="str">
        <x:v>PDF pp. 2–7; Figs. 1–5</x:v>
      </x:c>
    </x:row>
    <x:row r="310">
      <x:c r="A310" s="9" t="n">
        <x:v>39</x:v>
      </x:c>
      <x:c r="B310" s="9" t="str">
        <x:v>S051</x:v>
      </x:c>
      <x:c r="C310" s="9" t="str">
        <x:v>Ota et al. (2017)</x:v>
      </x:c>
      <x:c r="D310" s="9" t="str">
        <x:v>L5</x:v>
      </x:c>
      <x:c r="E310" s="9" t="str">
        <x:v>0</x:v>
      </x:c>
      <x:c r="F310" s="9" t="str">
        <x:v>0</x:v>
      </x:c>
      <x:c r="G310" s="9" t="str">
        <x:v>Yes</x:v>
      </x:c>
      <x:c r="H310" s="9" t="str">
        <x:v>Agree</x:v>
      </x:c>
      <x:c r="I310" s="9" t="str">
        <x:v>0</x:v>
      </x:c>
      <x:c r="J310" s="9" t="str">
        <x:v>Final agreement</x:v>
      </x:c>
      <x:c r="K310" s="9" t="str">
        <x:v>No same-stimulus ≥3-cycle stability or retention endpoint was identified.</x:v>
      </x:c>
      <x:c r="L310" s="9" t="str">
        <x:v>PDF pp. 2–7; Figs. 1–5</x:v>
      </x:c>
      <x:c r="M310" s="9" t="str">
        <x:v>Repeated testing lacks either a clear count/range or a qualifying stability/retention/failure outcome.</x:v>
      </x:c>
      <x:c r="N310" s="9" t="str">
        <x:v>Article PDF p. 1</x:v>
      </x:c>
      <x:c r="O310" s="9" t="str">
        <x:v>No same-stimulus ≥3-cycle stability or retention endpoint was identified.</x:v>
      </x:c>
      <x:c r="P310" s="9" t="str">
        <x:v>PDF pp. 2–7; Figs. 1–5</x:v>
      </x:c>
    </x:row>
    <x:row r="311">
      <x:c r="A311" s="9" t="n">
        <x:v>39</x:v>
      </x:c>
      <x:c r="B311" s="9" t="str">
        <x:v>S051</x:v>
      </x:c>
      <x:c r="C311" s="9" t="str">
        <x:v>Ota et al. (2017)</x:v>
      </x:c>
      <x:c r="D311" s="9" t="str">
        <x:v>L6</x:v>
      </x:c>
      <x:c r="E311" s="9" t="str">
        <x:v>1</x:v>
      </x:c>
      <x:c r="F311" s="9" t="str">
        <x:v>1</x:v>
      </x:c>
      <x:c r="G311" s="9" t="str">
        <x:v>Yes</x:v>
      </x:c>
      <x:c r="H311" s="9" t="str">
        <x:v>Agree</x:v>
      </x:c>
      <x:c r="I311" s="9" t="str">
        <x:v>1</x:v>
      </x:c>
      <x:c r="J311" s="9" t="str">
        <x:v>Final agreement</x:v>
      </x:c>
      <x:c r="K311" s="9" t="str">
        <x:v>The device response was measured in rooms from 6 to 40 °C.</x:v>
      </x:c>
      <x:c r="L311" s="9" t="str">
        <x:v>PDF pp. 2–7; Figs. 1–5</x:v>
      </x:c>
      <x:c r="M311" s="9" t="str">
        <x:v>Sensor/system response is reported under a declared non-measurand environmental or use-related exposure.</x:v>
      </x:c>
      <x:c r="N311" s="9" t="str">
        <x:v>Article PDF p. 7</x:v>
      </x:c>
      <x:c r="O311" s="9" t="str">
        <x:v>The device response was measured in rooms from 6 to 40 °C.</x:v>
      </x:c>
      <x:c r="P311" s="9" t="str">
        <x:v>PDF pp. 2–7; Figs. 1–5</x:v>
      </x:c>
    </x:row>
    <x:row r="312">
      <x:c r="A312" s="9" t="n">
        <x:v>39</x:v>
      </x:c>
      <x:c r="B312" s="9" t="str">
        <x:v>S051</x:v>
      </x:c>
      <x:c r="C312" s="9" t="str">
        <x:v>Ota et al. (2017)</x:v>
      </x:c>
      <x:c r="D312" s="9" t="str">
        <x:v>L7</x:v>
      </x:c>
      <x:c r="E312" s="9" t="str">
        <x:v>0</x:v>
      </x:c>
      <x:c r="F312" s="9" t="str">
        <x:v>0</x:v>
      </x:c>
      <x:c r="G312" s="9" t="str">
        <x:v>Yes</x:v>
      </x:c>
      <x:c r="H312" s="9" t="str">
        <x:v>Agree</x:v>
      </x:c>
      <x:c r="I312" s="9" t="str">
        <x:v>0</x:v>
      </x:c>
      <x:c r="J312" s="9" t="str">
        <x:v>Final agreement</x:v>
      </x:c>
      <x:c r="K312" s="9" t="str">
        <x:v>Final L7 rating from the targeted reassessment.</x:v>
      </x:c>
      <x:c r="L312" s="9" t="str">
        <x:v>Finalized reviewer-rating workbook</x:v>
      </x:c>
      <x:c r="M312" s="9" t="str">
        <x:v>Final L7 rating from the targeted reassessment.</x:v>
      </x:c>
      <x:c r="N312" s="9" t="str">
        <x:v>Finalized reviewer-rating workbook</x:v>
      </x:c>
      <x:c r="O312" s="9" t="str">
        <x:v>No qualifying interface-integrity test or repeated final monolithic wearable-assembly test with a retention/failure endpoint was located.</x:v>
      </x:c>
      <x:c r="P312" s="9" t="str">
        <x:v>PDF pp. 2–7; Figs. 1–5</x:v>
      </x:c>
    </x:row>
    <x:row r="313">
      <x:c r="A313" s="9" t="n">
        <x:v>39</x:v>
      </x:c>
      <x:c r="B313" s="9" t="str">
        <x:v>S051</x:v>
      </x:c>
      <x:c r="C313" s="9" t="str">
        <x:v>Ota et al. (2017)</x:v>
      </x:c>
      <x:c r="D313" s="9" t="str">
        <x:v>L8</x:v>
      </x:c>
      <x:c r="E313" s="9" t="str">
        <x:v>0</x:v>
      </x:c>
      <x:c r="F313" s="9" t="str">
        <x:v>0</x:v>
      </x:c>
      <x:c r="G313" s="9" t="str">
        <x:v>Yes</x:v>
      </x:c>
      <x:c r="H313" s="9" t="str">
        <x:v>Agree</x:v>
      </x:c>
      <x:c r="I313" s="9" t="str">
        <x:v>0</x:v>
      </x:c>
      <x:c r="J313" s="9" t="str">
        <x:v>Final agreement</x:v>
      </x:c>
      <x:c r="K313" s="9" t="str">
        <x:v>No quantitative comparison of ≥3 separately fabricated complete earables was reported.</x:v>
      </x:c>
      <x:c r="L313" s="9" t="str">
        <x:v>PDF pp. 2–7; Figs. 1–5</x:v>
      </x:c>
      <x:c r="M313" s="9" t="str">
        <x:v>At least three equivalent independently fabricated units with quantified between-unit variation are not reported.</x:v>
      </x:c>
      <x:c r="N313" s="9" t="str">
        <x:v>Article PDF p. 1</x:v>
      </x:c>
      <x:c r="O313" s="9" t="str">
        <x:v>No quantitative comparison of ≥3 separately fabricated complete earables was reported.</x:v>
      </x:c>
      <x:c r="P313" s="9" t="str">
        <x:v>PDF pp. 2–7; Figs. 1–5</x:v>
      </x:c>
    </x:row>
    <x:row r="314">
      <x:c r="A314" s="9" t="n">
        <x:v>40</x:v>
      </x:c>
      <x:c r="B314" s="9" t="str">
        <x:v>S052</x:v>
      </x:c>
      <x:c r="C314" s="9" t="str">
        <x:v>Li et al. (2026)</x:v>
      </x:c>
      <x:c r="D314" s="9" t="str">
        <x:v>L1</x:v>
      </x:c>
      <x:c r="E314" s="9" t="str">
        <x:v>0</x:v>
      </x:c>
      <x:c r="F314" s="9" t="str">
        <x:v>0</x:v>
      </x:c>
      <x:c r="G314" s="9" t="str">
        <x:v>Yes</x:v>
      </x:c>
      <x:c r="H314" s="9" t="str">
        <x:v>Agree</x:v>
      </x:c>
      <x:c r="I314" s="9" t="str">
        <x:v>0</x:v>
      </x:c>
      <x:c r="J314" s="9" t="str">
        <x:v>Final agreement</x:v>
      </x:c>
      <x:c r="K314" s="9" t="str">
        <x:v>The main article reports the F430 NX printer and 225/130 °C nozzle/base temperatures, and Supplementary Table S1 gives device geometry; nozzle diameter, layer height, print speed, infill and orientation/toolpath remain unreported.</x:v>
      </x:c>
      <x:c r="L314" s="9" t="str">
        <x:v>Main article p. 2; Supplementary Table S1</x:v>
      </x:c>
      <x:c r="M314" s="9" t="str">
        <x:v>Fabrication is described, but reconstruction-critical temperature, layer height, infill, speed details are not reported.</x:v>
      </x:c>
      <x:c r="N314" s="9" t="str">
        <x:v>Article PDF p. 2</x:v>
      </x:c>
      <x:c r="O314" s="9" t="str">
        <x:v>The main article reports the F430 NX printer and 225/130 °C nozzle/base temperatures, and Supplementary Table S1 gives device geometry; nozzle diameter, layer height, print speed, infill and orientation/toolpath remain unreported.</x:v>
      </x:c>
      <x:c r="P314" s="9" t="str">
        <x:v>Main article p. 2; Supplementary Table S1</x:v>
      </x:c>
    </x:row>
    <x:row r="315">
      <x:c r="A315" s="9" t="n">
        <x:v>40</x:v>
      </x:c>
      <x:c r="B315" s="9" t="str">
        <x:v>S052</x:v>
      </x:c>
      <x:c r="C315" s="9" t="str">
        <x:v>Li et al. (2026)</x:v>
      </x:c>
      <x:c r="D315" s="9" t="str">
        <x:v>L2</x:v>
      </x:c>
      <x:c r="E315" s="9" t="str">
        <x:v>1</x:v>
      </x:c>
      <x:c r="F315" s="9" t="str">
        <x:v>1</x:v>
      </x:c>
      <x:c r="G315" s="9" t="str">
        <x:v>Yes</x:v>
      </x:c>
      <x:c r="H315" s="9" t="str">
        <x:v>Agree</x:v>
      </x:c>
      <x:c r="I315" s="9" t="str">
        <x:v>1</x:v>
      </x:c>
      <x:c r="J315" s="9" t="str">
        <x:v>Final agreement</x:v>
      </x:c>
      <x:c r="K315" s="9" t="str">
        <x:v>PVDF grade, MMT loadings, filament preparation and device role are described.</x:v>
      </x:c>
      <x:c r="L315" s="9" t="str">
        <x:v>PDF pp. 2–12; Figs. 1–6; cited Supplementary Table S1 and Figs. S1–S21</x:v>
      </x:c>
      <x:c r="M315" s="9" t="str">
        <x:v>Functional host, sensing constituent and relevant electrode/interface materials are identified.</x:v>
      </x:c>
      <x:c r="N315" s="9" t="str">
        <x:v>Article PDF p. 2</x:v>
      </x:c>
      <x:c r="O315" s="9" t="str">
        <x:v>PVDF grade, MMT loadings, filament preparation and device role are described.</x:v>
      </x:c>
      <x:c r="P315" s="9" t="str">
        <x:v>PDF pp. 2–12; Figs. 1–6; cited Supplementary Table S1 and Figs. S1–S21</x:v>
      </x:c>
    </x:row>
    <x:row r="316">
      <x:c r="A316" s="9" t="n">
        <x:v>40</x:v>
      </x:c>
      <x:c r="B316" s="9" t="str">
        <x:v>S052</x:v>
      </x:c>
      <x:c r="C316" s="9" t="str">
        <x:v>Li et al. (2026)</x:v>
      </x:c>
      <x:c r="D316" s="9" t="str">
        <x:v>L3</x:v>
      </x:c>
      <x:c r="E316" s="9" t="str">
        <x:v>1</x:v>
      </x:c>
      <x:c r="F316" s="9" t="str">
        <x:v>1</x:v>
      </x:c>
      <x:c r="G316" s="9" t="str">
        <x:v>Yes</x:v>
      </x:c>
      <x:c r="H316" s="9" t="str">
        <x:v>Agree</x:v>
      </x:c>
      <x:c r="I316" s="9" t="str">
        <x:v>1</x:v>
      </x:c>
      <x:c r="J316" s="9" t="str">
        <x:v>Final agreement</x:v>
      </x:c>
      <x:c r="K316" s="9" t="str">
        <x:v>Mechanical/electrical tests use stated loading and instruments.</x:v>
      </x:c>
      <x:c r="L316" s="9" t="str">
        <x:v>PDF pp. 2–12; Figs. 1–6; cited Supplementary Table S1 and Figs. S1–S21</x:v>
      </x:c>
      <x:c r="M316" s="9" t="str">
        <x:v>Printed composites were evaluated under controlled bending and tapping/impact conditions with defined mechanical inputs.</x:v>
      </x:c>
      <x:c r="N316" s="9" t="str">
        <x:v>Article PDF pp. 8-11, Figures 4-6</x:v>
      </x:c>
      <x:c r="O316" s="9" t="str">
        <x:v>Mechanical/electrical tests use stated loading and instruments.</x:v>
      </x:c>
      <x:c r="P316" s="9" t="str">
        <x:v>PDF pp. 2–12; Figs. 1–6; cited Supplementary Table S1 and Figs. S1–S21</x:v>
      </x:c>
    </x:row>
    <x:row r="317">
      <x:c r="A317" s="9" t="n">
        <x:v>40</x:v>
      </x:c>
      <x:c r="B317" s="9" t="str">
        <x:v>S052</x:v>
      </x:c>
      <x:c r="C317" s="9" t="str">
        <x:v>Li et al. (2026)</x:v>
      </x:c>
      <x:c r="D317" s="9" t="str">
        <x:v>L4</x:v>
      </x:c>
      <x:c r="E317" s="9" t="str">
        <x:v>1</x:v>
      </x:c>
      <x:c r="F317" s="9" t="str">
        <x:v>1</x:v>
      </x:c>
      <x:c r="G317" s="9" t="str">
        <x:v>Yes</x:v>
      </x:c>
      <x:c r="H317" s="9" t="str">
        <x:v>Agree</x:v>
      </x:c>
      <x:c r="I317" s="9" t="str">
        <x:v>1</x:v>
      </x:c>
      <x:c r="J317" s="9" t="str">
        <x:v>Final agreement</x:v>
      </x:c>
      <x:c r="K317" s="9" t="str">
        <x:v>Mechanical, piezoelectric, timing and classification outcomes are quantified over stated ranges.</x:v>
      </x:c>
      <x:c r="L317" s="9" t="str">
        <x:v>PDF pp. 2–12; Figs. 1–6; cited Supplementary Table S1 and Figs. S1–S21</x:v>
      </x:c>
      <x:c r="M317" s="9" t="str">
        <x:v>Piezoelectric coefficients and voltage responses are reported quantitatively across material and structure conditions.</x:v>
      </x:c>
      <x:c r="N317" s="9" t="str">
        <x:v>Article PDF pp. 8-11, Figures 4-6</x:v>
      </x:c>
      <x:c r="O317" s="9" t="str">
        <x:v>Mechanical, piezoelectric, timing and classification outcomes are quantified over stated ranges.</x:v>
      </x:c>
      <x:c r="P317" s="9" t="str">
        <x:v>PDF pp. 2–12; Figs. 1–6; cited Supplementary Table S1 and Figs. S1–S21</x:v>
      </x:c>
    </x:row>
    <x:row r="318">
      <x:c r="A318" s="9" t="n">
        <x:v>40</x:v>
      </x:c>
      <x:c r="B318" s="9" t="str">
        <x:v>S052</x:v>
      </x:c>
      <x:c r="C318" s="9" t="str">
        <x:v>Li et al. (2026)</x:v>
      </x:c>
      <x:c r="D318" s="9" t="str">
        <x:v>L5</x:v>
      </x:c>
      <x:c r="E318" s="9" t="str">
        <x:v>1</x:v>
      </x:c>
      <x:c r="F318" s="9" t="str">
        <x:v>1</x:v>
      </x:c>
      <x:c r="G318" s="9" t="str">
        <x:v>Yes</x:v>
      </x:c>
      <x:c r="H318" s="9" t="str">
        <x:v>Agree</x:v>
      </x:c>
      <x:c r="I318" s="9" t="str">
        <x:v>1</x:v>
      </x:c>
      <x:c r="J318" s="9" t="str">
        <x:v>Final agreement</x:v>
      </x:c>
      <x:c r="K318" s="9" t="str">
        <x:v>Two hundred mechanical cycles and 5000 sensor cycles report retained response.</x:v>
      </x:c>
      <x:c r="L318" s="9" t="str">
        <x:v>PDF pp. 2–12; Figs. 1–6; cited Supplementary Table S1 and Figs. S1–S21</x:v>
      </x:c>
      <x:c r="M318" s="9" t="str">
        <x:v>Output voltage remained stable over 5000 consecutive vertical-loading cycles.</x:v>
      </x:c>
      <x:c r="N318" s="9" t="str">
        <x:v>Article PDF p. 9, Figure 4k</x:v>
      </x:c>
      <x:c r="O318" s="9" t="str">
        <x:v>Two hundred mechanical cycles and 5000 sensor cycles report retained response.</x:v>
      </x:c>
      <x:c r="P318" s="9" t="str">
        <x:v>PDF pp. 2–12; Figs. 1–6; cited Supplementary Table S1 and Figs. S1–S21</x:v>
      </x:c>
    </x:row>
    <x:row r="319">
      <x:c r="A319" s="9" t="n">
        <x:v>40</x:v>
      </x:c>
      <x:c r="B319" s="9" t="str">
        <x:v>S052</x:v>
      </x:c>
      <x:c r="C319" s="9" t="str">
        <x:v>Li et al. (2026)</x:v>
      </x:c>
      <x:c r="D319" s="9" t="str">
        <x:v>L6</x:v>
      </x:c>
      <x:c r="E319" s="9" t="str">
        <x:v>1</x:v>
      </x:c>
      <x:c r="F319" s="9" t="str">
        <x:v>1</x:v>
      </x:c>
      <x:c r="G319" s="9" t="str">
        <x:v>Yes</x:v>
      </x:c>
      <x:c r="H319" s="9" t="str">
        <x:v>Agree</x:v>
      </x:c>
      <x:c r="I319" s="9" t="str">
        <x:v>1</x:v>
      </x:c>
      <x:c r="J319" s="9" t="str">
        <x:v>Final agreement</x:v>
      </x:c>
      <x:c r="K319" s="9" t="str">
        <x:v>Ambient humidity and temperature response are explicitly reported, with detail in cited supplementary figures.</x:v>
      </x:c>
      <x:c r="L319" s="9" t="str">
        <x:v>PDF pp. 2–12; Figs. 1–6; cited Supplementary Table S1 and Figs. S1–S21</x:v>
      </x:c>
      <x:c r="M319" s="9" t="str">
        <x:v>Device output was measured across ambient humidity conditions and remained consistent.</x:v>
      </x:c>
      <x:c r="N319" s="9" t="str">
        <x:v>Article PDF pp. 8-9, Figure 4l</x:v>
      </x:c>
      <x:c r="O319" s="9" t="str">
        <x:v>Ambient humidity and temperature response are explicitly reported, with detail in cited supplementary figures.</x:v>
      </x:c>
      <x:c r="P319" s="9" t="str">
        <x:v>PDF pp. 2–12; Figs. 1–6; cited Supplementary Table S1 and Figs. S1–S21</x:v>
      </x:c>
    </x:row>
    <x:row r="320">
      <x:c r="A320" s="9" t="n">
        <x:v>40</x:v>
      </x:c>
      <x:c r="B320" s="9" t="str">
        <x:v>S052</x:v>
      </x:c>
      <x:c r="C320" s="9" t="str">
        <x:v>Li et al. (2026)</x:v>
      </x:c>
      <x:c r="D320" s="9" t="str">
        <x:v>L7</x:v>
      </x:c>
      <x:c r="E320" s="9" t="str">
        <x:v>1</x:v>
      </x:c>
      <x:c r="F320" s="9" t="str">
        <x:v>0</x:v>
      </x:c>
      <x:c r="G320" s="9" t="str">
        <x:v>Yes</x:v>
      </x:c>
      <x:c r="H320" s="9" t="str">
        <x:v>Disagree</x:v>
      </x:c>
      <x:c r="I320" s="9" t="str">
        <x:v>1</x:v>
      </x:c>
      <x:c r="J320" s="9" t="str">
        <x:v>Final consensus applied</x:v>
      </x:c>
      <x:c r="K320" s="9" t="str">
        <x:v>The final hand-worn sensor was quantitatively evaluated across five object-manipulation classes.</x:v>
      </x:c>
      <x:c r="L320" s="9" t="str">
        <x:v>PDF pp. 10-12; Fig. 6</x:v>
      </x:c>
      <x:c r="M320" s="9" t="str">
        <x:v>The final hand-worn sensor was quantitatively evaluated across five object-manipulation classes.</x:v>
      </x:c>
      <x:c r="N320" s="9" t="str">
        <x:v>PDF pp. 10-12; Fig. 6</x:v>
      </x:c>
      <x:c r="O320" s="9" t="str">
        <x:v>The final hand-worn sensor was quantitatively evaluated across five object-manipulation classes.</x:v>
      </x:c>
      <x:c r="P320" s="9" t="str">
        <x:v>PDF pp. 10-12; Fig. 6</x:v>
      </x:c>
    </x:row>
    <x:row r="321">
      <x:c r="A321" s="9" t="n">
        <x:v>40</x:v>
      </x:c>
      <x:c r="B321" s="9" t="str">
        <x:v>S052</x:v>
      </x:c>
      <x:c r="C321" s="9" t="str">
        <x:v>Li et al. (2026)</x:v>
      </x:c>
      <x:c r="D321" s="9" t="str">
        <x:v>L8</x:v>
      </x:c>
      <x:c r="E321" s="9" t="str">
        <x:v>0</x:v>
      </x:c>
      <x:c r="F321" s="9" t="str">
        <x:v>0</x:v>
      </x:c>
      <x:c r="G321" s="9" t="str">
        <x:v>Yes</x:v>
      </x:c>
      <x:c r="H321" s="9" t="str">
        <x:v>Agree</x:v>
      </x:c>
      <x:c r="I321" s="9" t="str">
        <x:v>0</x:v>
      </x:c>
      <x:c r="J321" s="9" t="str">
        <x:v>Final agreement</x:v>
      </x:c>
      <x:c r="K321" s="9" t="str">
        <x:v>A ±6% batch variation is stated, but the number of separately fabricated complete sensors is not identified.</x:v>
      </x:c>
      <x:c r="L321" s="9" t="str">
        <x:v>PDF pp. 2–12; Figs. 1–6; cited Supplementary Table S1 and Figs. S1–S21</x:v>
      </x:c>
      <x:c r="M321" s="9" t="str">
        <x:v>Final rating supersedes the earlier rating; no revised narrative reason was supplied.</x:v>
      </x:c>
      <x:c r="N321" s="9" t="str">
        <x:v>Finalized reviewer-rating workbook</x:v>
      </x:c>
      <x:c r="O321" s="9" t="str">
        <x:v>A ±6% batch variation is stated, but the number of separately fabricated complete sensors is not identified.</x:v>
      </x:c>
      <x:c r="P321" s="9" t="str">
        <x:v>PDF pp. 2–12; Figs. 1–6; cited Supplementary Table S1 and Figs. S1–S21</x:v>
      </x:c>
    </x:row>
    <x:row r="322">
      <x:c r="A322" s="9" t="n">
        <x:v>41</x:v>
      </x:c>
      <x:c r="B322" s="9" t="str">
        <x:v>S053</x:v>
      </x:c>
      <x:c r="C322" s="9" t="str">
        <x:v>Li et al. (2023)</x:v>
      </x:c>
      <x:c r="D322" s="9" t="str">
        <x:v>L1</x:v>
      </x:c>
      <x:c r="E322" s="9" t="str">
        <x:v>0</x:v>
      </x:c>
      <x:c r="F322" s="9" t="str">
        <x:v>0</x:v>
      </x:c>
      <x:c r="G322" s="9" t="str">
        <x:v>Yes</x:v>
      </x:c>
      <x:c r="H322" s="9" t="str">
        <x:v>Agree</x:v>
      </x:c>
      <x:c r="I322" s="9" t="str">
        <x:v>0</x:v>
      </x:c>
      <x:c r="J322" s="9" t="str">
        <x:v>Final agreement</x:v>
      </x:c>
      <x:c r="K322" s="9" t="str">
        <x:v>FDM, composition, nozzle temperature, layer height, infill and geometry are stated, but the printer model is not reported.</x:v>
      </x:c>
      <x:c r="L322" s="9" t="str">
        <x:v>PDF pp. 3–13; Figs. 1–9</x:v>
      </x:c>
      <x:c r="M322" s="9" t="str">
        <x:v>Fabrication is described, but reconstruction-critical speed, orientation/toolpath details are not reported.</x:v>
      </x:c>
      <x:c r="N322" s="9" t="str">
        <x:v>Article PDF p. 12</x:v>
      </x:c>
      <x:c r="O322" s="9" t="str">
        <x:v>FDM, composition, nozzle temperature, layer height, infill and geometry are stated, but the printer model is not reported.</x:v>
      </x:c>
      <x:c r="P322" s="9" t="str">
        <x:v>PDF pp. 3–13; Figs. 1–9</x:v>
      </x:c>
    </x:row>
    <x:row r="323">
      <x:c r="A323" s="9" t="n">
        <x:v>41</x:v>
      </x:c>
      <x:c r="B323" s="9" t="str">
        <x:v>S053</x:v>
      </x:c>
      <x:c r="C323" s="9" t="str">
        <x:v>Li et al. (2023)</x:v>
      </x:c>
      <x:c r="D323" s="9" t="str">
        <x:v>L2</x:v>
      </x:c>
      <x:c r="E323" s="9" t="str">
        <x:v>1</x:v>
      </x:c>
      <x:c r="F323" s="9" t="str">
        <x:v>1</x:v>
      </x:c>
      <x:c r="G323" s="9" t="str">
        <x:v>Yes</x:v>
      </x:c>
      <x:c r="H323" s="9" t="str">
        <x:v>Agree</x:v>
      </x:c>
      <x:c r="I323" s="9" t="str">
        <x:v>1</x:v>
      </x:c>
      <x:c r="J323" s="9" t="str">
        <x:v>Final agreement</x:v>
      </x:c>
      <x:c r="K323" s="9" t="str">
        <x:v>Hybrid-filler ratios, TPU matrix and porosity variants are described.</x:v>
      </x:c>
      <x:c r="L323" s="9" t="str">
        <x:v>PDF pp. 3–13; Figs. 1–9</x:v>
      </x:c>
      <x:c r="M323" s="9" t="str">
        <x:v>Functional host, sensing constituent and relevant electrode/interface materials are identified.</x:v>
      </x:c>
      <x:c r="N323" s="9" t="str">
        <x:v>Article PDF p. 2</x:v>
      </x:c>
      <x:c r="O323" s="9" t="str">
        <x:v>Hybrid-filler ratios, TPU matrix and porosity variants are described.</x:v>
      </x:c>
      <x:c r="P323" s="9" t="str">
        <x:v>PDF pp. 3–13; Figs. 1–9</x:v>
      </x:c>
    </x:row>
    <x:row r="324">
      <x:c r="A324" s="9" t="n">
        <x:v>41</x:v>
      </x:c>
      <x:c r="B324" s="9" t="str">
        <x:v>S053</x:v>
      </x:c>
      <x:c r="C324" s="9" t="str">
        <x:v>Li et al. (2023)</x:v>
      </x:c>
      <x:c r="D324" s="9" t="str">
        <x:v>L3</x:v>
      </x:c>
      <x:c r="E324" s="9" t="str">
        <x:v>1</x:v>
      </x:c>
      <x:c r="F324" s="9" t="str">
        <x:v>1</x:v>
      </x:c>
      <x:c r="G324" s="9" t="str">
        <x:v>Yes</x:v>
      </x:c>
      <x:c r="H324" s="9" t="str">
        <x:v>Agree</x:v>
      </x:c>
      <x:c r="I324" s="9" t="str">
        <x:v>1</x:v>
      </x:c>
      <x:c r="J324" s="9" t="str">
        <x:v>Final agreement</x:v>
      </x:c>
      <x:c r="K324" s="9" t="str">
        <x:v>Controlled compression and body-action protocols are reported.</x:v>
      </x:c>
      <x:c r="L324" s="9" t="str">
        <x:v>PDF pp. 3–13; Figs. 1–9</x:v>
      </x:c>
      <x:c r="M324" s="9" t="str">
        <x:v>Sensor output is related to a controlled or independently measured input with a stated procedure and range.</x:v>
      </x:c>
      <x:c r="N324" s="9" t="str">
        <x:v>Article PDF p. 2</x:v>
      </x:c>
      <x:c r="O324" s="9" t="str">
        <x:v>Controlled compression and body-action protocols are reported.</x:v>
      </x:c>
      <x:c r="P324" s="9" t="str">
        <x:v>PDF pp. 3–13; Figs. 1–9</x:v>
      </x:c>
    </x:row>
    <x:row r="325">
      <x:c r="A325" s="9" t="n">
        <x:v>41</x:v>
      </x:c>
      <x:c r="B325" s="9" t="str">
        <x:v>S053</x:v>
      </x:c>
      <x:c r="C325" s="9" t="str">
        <x:v>Li et al. (2023)</x:v>
      </x:c>
      <x:c r="D325" s="9" t="str">
        <x:v>L4</x:v>
      </x:c>
      <x:c r="E325" s="9" t="str">
        <x:v>1</x:v>
      </x:c>
      <x:c r="F325" s="9" t="str">
        <x:v>1</x:v>
      </x:c>
      <x:c r="G325" s="9" t="str">
        <x:v>Yes</x:v>
      </x:c>
      <x:c r="H325" s="9" t="str">
        <x:v>Agree</x:v>
      </x:c>
      <x:c r="I325" s="9" t="str">
        <x:v>1</x:v>
      </x:c>
      <x:c r="J325" s="9" t="str">
        <x:v>Final agreement</x:v>
      </x:c>
      <x:c r="K325" s="9" t="str">
        <x:v>Sensitivity, range, timing and durability outcomes are quantitative.</x:v>
      </x:c>
      <x:c r="L325" s="9" t="str">
        <x:v>PDF pp. 3–13; Figs. 1–9</x:v>
      </x:c>
      <x:c r="M325" s="9" t="str">
        <x:v>A modality-appropriate quantitative response, units/calculation and operating range are reported.</x:v>
      </x:c>
      <x:c r="N325" s="9" t="str">
        <x:v>Article PDF p. 10</x:v>
      </x:c>
      <x:c r="O325" s="9" t="str">
        <x:v>Sensitivity, range, timing and durability outcomes are quantitative.</x:v>
      </x:c>
      <x:c r="P325" s="9" t="str">
        <x:v>PDF pp. 3–13; Figs. 1–9</x:v>
      </x:c>
    </x:row>
    <x:row r="326">
      <x:c r="A326" s="9" t="n">
        <x:v>41</x:v>
      </x:c>
      <x:c r="B326" s="9" t="str">
        <x:v>S053</x:v>
      </x:c>
      <x:c r="C326" s="9" t="str">
        <x:v>Li et al. (2023)</x:v>
      </x:c>
      <x:c r="D326" s="9" t="str">
        <x:v>L5</x:v>
      </x:c>
      <x:c r="E326" s="9" t="str">
        <x:v>1</x:v>
      </x:c>
      <x:c r="F326" s="9" t="str">
        <x:v>1</x:v>
      </x:c>
      <x:c r="G326" s="9" t="str">
        <x:v>Yes</x:v>
      </x:c>
      <x:c r="H326" s="9" t="str">
        <x:v>Agree</x:v>
      </x:c>
      <x:c r="I326" s="9" t="str">
        <x:v>1</x:v>
      </x:c>
      <x:c r="J326" s="9" t="str">
        <x:v>Final agreement</x:v>
      </x:c>
      <x:c r="K326" s="9" t="str">
        <x:v>The selected sensor completed 1000 cycles and a 10,000 s loading test.</x:v>
      </x:c>
      <x:c r="L326" s="9" t="str">
        <x:v>PDF pp. 3–13; Figs. 1–9</x:v>
      </x:c>
      <x:c r="M326" s="9" t="str">
        <x:v>A stated repeated-test range/count is accompanied by a stability, hysteresis, retention or failure outcome.</x:v>
      </x:c>
      <x:c r="N326" s="9" t="str">
        <x:v>Article PDF p. 10</x:v>
      </x:c>
      <x:c r="O326" s="9" t="str">
        <x:v>The selected sensor completed 1000 cycles and a 10,000 s loading test.</x:v>
      </x:c>
      <x:c r="P326" s="9" t="str">
        <x:v>PDF pp. 3–13; Figs. 1–9</x:v>
      </x:c>
    </x:row>
    <x:row r="327">
      <x:c r="A327" s="9" t="n">
        <x:v>41</x:v>
      </x:c>
      <x:c r="B327" s="9" t="str">
        <x:v>S053</x:v>
      </x:c>
      <x:c r="C327" s="9" t="str">
        <x:v>Li et al. (2023)</x:v>
      </x:c>
      <x:c r="D327" s="9" t="str">
        <x:v>L6</x:v>
      </x:c>
      <x:c r="E327" s="9" t="str">
        <x:v>0</x:v>
      </x:c>
      <x:c r="F327" s="9" t="str">
        <x:v>0</x:v>
      </x:c>
      <x:c r="G327" s="9" t="str">
        <x:v>Yes</x:v>
      </x:c>
      <x:c r="H327" s="9" t="str">
        <x:v>Agree</x:v>
      </x:c>
      <x:c r="I327" s="9" t="str">
        <x:v>0</x:v>
      </x:c>
      <x:c r="J327" s="9" t="str">
        <x:v>Final agreement</x:v>
      </x:c>
      <x:c r="K327" s="9" t="str">
        <x:v>No distinct qualifying environmental or use-related exposure was identified.</x:v>
      </x:c>
      <x:c r="L327" s="9" t="str">
        <x:v>PDF pp. 3–13; Figs. 1–9</x:v>
      </x:c>
      <x:c r="M327" s="9" t="str">
        <x:v>No qualifying response under a declared non-measurand environmental/use exposure is reported.</x:v>
      </x:c>
      <x:c r="N327" s="9" t="str">
        <x:v>Article PDF p. 10</x:v>
      </x:c>
      <x:c r="O327" s="9" t="str">
        <x:v>No distinct qualifying environmental or use-related exposure was identified.</x:v>
      </x:c>
      <x:c r="P327" s="9" t="str">
        <x:v>PDF pp. 3–13; Figs. 1–9</x:v>
      </x:c>
    </x:row>
    <x:row r="328">
      <x:c r="A328" s="9" t="n">
        <x:v>41</x:v>
      </x:c>
      <x:c r="B328" s="9" t="str">
        <x:v>S053</x:v>
      </x:c>
      <x:c r="C328" s="9" t="str">
        <x:v>Li et al. (2023)</x:v>
      </x:c>
      <x:c r="D328" s="9" t="str">
        <x:v>L7</x:v>
      </x:c>
      <x:c r="E328" s="9" t="str">
        <x:v>0</x:v>
      </x:c>
      <x:c r="F328" s="9" t="str">
        <x:v>0</x:v>
      </x:c>
      <x:c r="G328" s="9" t="str">
        <x:v>Yes</x:v>
      </x:c>
      <x:c r="H328" s="9" t="str">
        <x:v>Agree</x:v>
      </x:c>
      <x:c r="I328" s="9" t="str">
        <x:v>0</x:v>
      </x:c>
      <x:c r="J328" s="9" t="str">
        <x:v>Final agreement</x:v>
      </x:c>
      <x:c r="K328" s="9" t="str">
        <x:v>Final L7 rating from the targeted reassessment.</x:v>
      </x:c>
      <x:c r="L328" s="9" t="str">
        <x:v>Finalized reviewer-rating workbook</x:v>
      </x:c>
      <x:c r="M328" s="9" t="str">
        <x:v>Final L7 rating from the targeted reassessment.</x:v>
      </x:c>
      <x:c r="N328" s="9" t="str">
        <x:v>Finalized reviewer-rating workbook</x:v>
      </x:c>
      <x:c r="O328" s="9" t="str">
        <x:v>No qualifying interface-integrity test or repeated final monolithic wearable-assembly test with a retention/failure endpoint was located.</x:v>
      </x:c>
      <x:c r="P328" s="9" t="str">
        <x:v>PDF pp. 3–13; Figs. 1–9</x:v>
      </x:c>
    </x:row>
    <x:row r="329">
      <x:c r="A329" s="9" t="n">
        <x:v>41</x:v>
      </x:c>
      <x:c r="B329" s="9" t="str">
        <x:v>S053</x:v>
      </x:c>
      <x:c r="C329" s="9" t="str">
        <x:v>Li et al. (2023)</x:v>
      </x:c>
      <x:c r="D329" s="9" t="str">
        <x:v>L8</x:v>
      </x:c>
      <x:c r="E329" s="9" t="str">
        <x:v>0</x:v>
      </x:c>
      <x:c r="F329" s="9" t="str">
        <x:v>0</x:v>
      </x:c>
      <x:c r="G329" s="9" t="str">
        <x:v>Yes</x:v>
      </x:c>
      <x:c r="H329" s="9" t="str">
        <x:v>Agree</x:v>
      </x:c>
      <x:c r="I329" s="9" t="str">
        <x:v>0</x:v>
      </x:c>
      <x:c r="J329" s="9" t="str">
        <x:v>Final agreement</x:v>
      </x:c>
      <x:c r="K329" s="9" t="str">
        <x:v>No comparison of ≥3 separately fabricated complete sensors was identified.</x:v>
      </x:c>
      <x:c r="L329" s="9" t="str">
        <x:v>PDF pp. 3–13; Figs. 1–9</x:v>
      </x:c>
      <x:c r="M329" s="9" t="str">
        <x:v>At least three equivalent independently fabricated units with quantified between-unit variation are not reported.</x:v>
      </x:c>
      <x:c r="N329" s="9" t="str">
        <x:v>Article PDF p. 12</x:v>
      </x:c>
      <x:c r="O329" s="9" t="str">
        <x:v>No comparison of ≥3 separately fabricated complete sensors was identified.</x:v>
      </x:c>
      <x:c r="P329" s="9" t="str">
        <x:v>PDF pp. 3–13; Figs. 1–9</x:v>
      </x:c>
    </x:row>
    <x:row r="330">
      <x:c r="A330" s="9" t="n">
        <x:v>42</x:v>
      </x:c>
      <x:c r="B330" s="9" t="str">
        <x:v>S054</x:v>
      </x:c>
      <x:c r="C330" s="9" t="str">
        <x:v>Chatzistergos et al. (2021)</x:v>
      </x:c>
      <x:c r="D330" s="9" t="str">
        <x:v>L1</x:v>
      </x:c>
      <x:c r="E330" s="9" t="str">
        <x:v>0</x:v>
      </x:c>
      <x:c r="F330" s="9" t="str">
        <x:v>0</x:v>
      </x:c>
      <x:c r="G330" s="9" t="str">
        <x:v>Yes</x:v>
      </x:c>
      <x:c r="H330" s="9" t="str">
        <x:v>Agree</x:v>
      </x:c>
      <x:c r="I330" s="9" t="str">
        <x:v>0</x:v>
      </x:c>
      <x:c r="J330" s="9" t="str">
        <x:v>Final agreement</x:v>
      </x:c>
      <x:c r="K330" s="9" t="str">
        <x:v>FDM and Filaflex geometry are stated, but printer and essential processing settings are absent.</x:v>
      </x:c>
      <x:c r="L330" s="9" t="str">
        <x:v>PDF pp. 3–9; Figs. 1–7; Appendix 1</x:v>
      </x:c>
      <x:c r="M330" s="9" t="str">
        <x:v>Fabrication is described, but reconstruction-critical nozzle, temperature, layer height, infill details are not reported.</x:v>
      </x:c>
      <x:c r="N330" s="9" t="str">
        <x:v>Article PDF p. 1</x:v>
      </x:c>
      <x:c r="O330" s="9" t="str">
        <x:v>FDM and Filaflex geometry are stated, but printer and essential processing settings are absent.</x:v>
      </x:c>
      <x:c r="P330" s="9" t="str">
        <x:v>PDF pp. 3–9; Figs. 1–7; Appendix 1</x:v>
      </x:c>
    </x:row>
    <x:row r="331">
      <x:c r="A331" s="9" t="n">
        <x:v>42</x:v>
      </x:c>
      <x:c r="B331" s="9" t="str">
        <x:v>S054</x:v>
      </x:c>
      <x:c r="C331" s="9" t="str">
        <x:v>Chatzistergos et al. (2021)</x:v>
      </x:c>
      <x:c r="D331" s="9" t="str">
        <x:v>L2</x:v>
      </x:c>
      <x:c r="E331" s="9" t="str">
        <x:v>1</x:v>
      </x:c>
      <x:c r="F331" s="9" t="str">
        <x:v>1</x:v>
      </x:c>
      <x:c r="G331" s="9" t="str">
        <x:v>Yes</x:v>
      </x:c>
      <x:c r="H331" s="9" t="str">
        <x:v>Agree</x:v>
      </x:c>
      <x:c r="I331" s="9" t="str">
        <x:v>1</x:v>
      </x:c>
      <x:c r="J331" s="9" t="str">
        <x:v>Final agreement</x:v>
      </x:c>
      <x:c r="K331" s="9" t="str">
        <x:v>Filaflex grade and complete thin-wall geometry are described.</x:v>
      </x:c>
      <x:c r="L331" s="9" t="str">
        <x:v>PDF pp. 3–9; Figs. 1–7; Appendix 1</x:v>
      </x:c>
      <x:c r="M331" s="9" t="str">
        <x:v>The printed thin-wall sensing structure material and geometry are identified for the overload indicator.</x:v>
      </x:c>
      <x:c r="N331" s="9" t="str">
        <x:v>Article PDF pp. 3-4, Figure 1</x:v>
      </x:c>
      <x:c r="O331" s="9" t="str">
        <x:v>Filaflex grade and complete thin-wall geometry are described.</x:v>
      </x:c>
      <x:c r="P331" s="9" t="str">
        <x:v>PDF pp. 3–9; Figs. 1–7; Appendix 1</x:v>
      </x:c>
    </x:row>
    <x:row r="332">
      <x:c r="A332" s="9" t="n">
        <x:v>42</x:v>
      </x:c>
      <x:c r="B332" s="9" t="str">
        <x:v>S054</x:v>
      </x:c>
      <x:c r="C332" s="9" t="str">
        <x:v>Chatzistergos et al. (2021)</x:v>
      </x:c>
      <x:c r="D332" s="9" t="str">
        <x:v>L3</x:v>
      </x:c>
      <x:c r="E332" s="9" t="str">
        <x:v>1</x:v>
      </x:c>
      <x:c r="F332" s="9" t="str">
        <x:v>1</x:v>
      </x:c>
      <x:c r="G332" s="9" t="str">
        <x:v>Yes</x:v>
      </x:c>
      <x:c r="H332" s="9" t="str">
        <x:v>Agree</x:v>
      </x:c>
      <x:c r="I332" s="9" t="str">
        <x:v>1</x:v>
      </x:c>
      <x:c r="J332" s="9" t="str">
        <x:v>Final agreement</x:v>
      </x:c>
      <x:c r="K332" s="9" t="str">
        <x:v>Randomized mechanical ageing magnitudes and controlled cycling are reported.</x:v>
      </x:c>
      <x:c r="L332" s="9" t="str">
        <x:v>PDF pp. 3–9; Figs. 1–7; Appendix 1</x:v>
      </x:c>
      <x:c r="M332" s="9" t="str">
        <x:v>Thin-wall specimens were exposed to controlled repeated pressure loads defined relative to each sample's maximum pressure.</x:v>
      </x:c>
      <x:c r="N332" s="9" t="str">
        <x:v>Article PDF pp. 3-6, Section 2.2</x:v>
      </x:c>
      <x:c r="O332" s="9" t="str">
        <x:v>Randomized mechanical ageing magnitudes and controlled cycling are reported.</x:v>
      </x:c>
      <x:c r="P332" s="9" t="str">
        <x:v>PDF pp. 3–9; Figs. 1–7; Appendix 1</x:v>
      </x:c>
    </x:row>
    <x:row r="333">
      <x:c r="A333" s="9" t="n">
        <x:v>42</x:v>
      </x:c>
      <x:c r="B333" s="9" t="str">
        <x:v>S054</x:v>
      </x:c>
      <x:c r="C333" s="9" t="str">
        <x:v>Chatzistergos et al. (2021)</x:v>
      </x:c>
      <x:c r="D333" s="9" t="str">
        <x:v>L4</x:v>
      </x:c>
      <x:c r="E333" s="9" t="str">
        <x:v>1</x:v>
      </x:c>
      <x:c r="F333" s="9" t="str">
        <x:v>1</x:v>
      </x:c>
      <x:c r="G333" s="9" t="str">
        <x:v>Yes</x:v>
      </x:c>
      <x:c r="H333" s="9" t="str">
        <x:v>Agree</x:v>
      </x:c>
      <x:c r="I333" s="9" t="str">
        <x:v>1</x:v>
      </x:c>
      <x:c r="J333" s="9" t="str">
        <x:v>Final agreement</x:v>
      </x:c>
      <x:c r="K333" s="9" t="str">
        <x:v>Pmax, stiffness, threshold, AUC, sensitivity and specificity are defined and quantified.</x:v>
      </x:c>
      <x:c r="L333" s="9" t="str">
        <x:v>PDF pp. 3–9; Figs. 1–7; Appendix 1</x:v>
      </x:c>
      <x:c r="M333" s="9" t="str">
        <x:v>Equivalent stiffness, pressure thresholds and diagnostic sensitivity/specificity are quantitatively reported.</x:v>
      </x:c>
      <x:c r="N333" s="9" t="str">
        <x:v>Article PDF pp. 5-8, Figures 3-6</x:v>
      </x:c>
      <x:c r="O333" s="9" t="str">
        <x:v>Pmax, stiffness, threshold, AUC, sensitivity and specificity are defined and quantified.</x:v>
      </x:c>
      <x:c r="P333" s="9" t="str">
        <x:v>PDF pp. 3–9; Figs. 1–7; Appendix 1</x:v>
      </x:c>
    </x:row>
    <x:row r="334">
      <x:c r="A334" s="9" t="n">
        <x:v>42</x:v>
      </x:c>
      <x:c r="B334" s="9" t="str">
        <x:v>S054</x:v>
      </x:c>
      <x:c r="C334" s="9" t="str">
        <x:v>Chatzistergos et al. (2021)</x:v>
      </x:c>
      <x:c r="D334" s="9" t="str">
        <x:v>L5</x:v>
      </x:c>
      <x:c r="E334" s="9" t="str">
        <x:v>1</x:v>
      </x:c>
      <x:c r="F334" s="9" t="str">
        <x:v>1</x:v>
      </x:c>
      <x:c r="G334" s="9" t="str">
        <x:v>Yes</x:v>
      </x:c>
      <x:c r="H334" s="9" t="str">
        <x:v>Agree</x:v>
      </x:c>
      <x:c r="I334" s="9" t="str">
        <x:v>1</x:v>
      </x:c>
      <x:c r="J334" s="9" t="str">
        <x:v>Final agreement</x:v>
      </x:c>
      <x:c r="K334" s="9" t="str">
        <x:v>Specimens completed 2000 or 14,000 repeated compression cycles with pre/post outcomes.</x:v>
      </x:c>
      <x:c r="L334" s="9" t="str">
        <x:v>PDF pp. 3–9; Figs. 1–7; Appendix 1</x:v>
      </x:c>
      <x:c r="M334" s="9" t="str">
        <x:v>Repeated overload cycles used stated pressure ratios and the resulting stiffness change/failure threshold was quantified.</x:v>
      </x:c>
      <x:c r="N334" s="9" t="str">
        <x:v>Article PDF pp. 3-8</x:v>
      </x:c>
      <x:c r="O334" s="9" t="str">
        <x:v>Specimens completed 2000 or 14,000 repeated compression cycles with pre/post outcomes.</x:v>
      </x:c>
      <x:c r="P334" s="9" t="str">
        <x:v>PDF pp. 3–9; Figs. 1–7; Appendix 1</x:v>
      </x:c>
    </x:row>
    <x:row r="335">
      <x:c r="A335" s="9" t="n">
        <x:v>42</x:v>
      </x:c>
      <x:c r="B335" s="9" t="str">
        <x:v>S054</x:v>
      </x:c>
      <x:c r="C335" s="9" t="str">
        <x:v>Chatzistergos et al. (2021)</x:v>
      </x:c>
      <x:c r="D335" s="9" t="str">
        <x:v>L6</x:v>
      </x:c>
      <x:c r="E335" s="9" t="str">
        <x:v>0</x:v>
      </x:c>
      <x:c r="F335" s="9" t="str">
        <x:v>0</x:v>
      </x:c>
      <x:c r="G335" s="9" t="str">
        <x:v>Yes</x:v>
      </x:c>
      <x:c r="H335" s="9" t="str">
        <x:v>Agree</x:v>
      </x:c>
      <x:c r="I335" s="9" t="str">
        <x:v>0</x:v>
      </x:c>
      <x:c r="J335" s="9" t="str">
        <x:v>Final agreement</x:v>
      </x:c>
      <x:c r="K335" s="9" t="str">
        <x:v>Only room-temperature cyclic loading was used; temperature/humidity were explicitly left for future work.</x:v>
      </x:c>
      <x:c r="L335" s="9" t="str">
        <x:v>PDF pp. 3–9; Figs. 1–7; Appendix 1</x:v>
      </x:c>
      <x:c r="M335" s="9" t="str">
        <x:v>No qualifying response under a declared non-measurand environmental/use exposure is reported.</x:v>
      </x:c>
      <x:c r="N335" s="9" t="str">
        <x:v>Article PDF p. 8</x:v>
      </x:c>
      <x:c r="O335" s="9" t="str">
        <x:v>Only room-temperature cyclic loading was used; temperature/humidity were explicitly left for future work.</x:v>
      </x:c>
      <x:c r="P335" s="9" t="str">
        <x:v>PDF pp. 3–9; Figs. 1–7; Appendix 1</x:v>
      </x:c>
    </x:row>
    <x:row r="336">
      <x:c r="A336" s="9" t="n">
        <x:v>42</x:v>
      </x:c>
      <x:c r="B336" s="9" t="str">
        <x:v>S054</x:v>
      </x:c>
      <x:c r="C336" s="9" t="str">
        <x:v>Chatzistergos et al. (2021)</x:v>
      </x:c>
      <x:c r="D336" s="9" t="str">
        <x:v>L7</x:v>
      </x:c>
      <x:c r="E336" s="9" t="str">
        <x:v>0</x:v>
      </x:c>
      <x:c r="F336" s="9" t="str">
        <x:v>0</x:v>
      </x:c>
      <x:c r="G336" s="9" t="str">
        <x:v>Yes</x:v>
      </x:c>
      <x:c r="H336" s="9" t="str">
        <x:v>Agree</x:v>
      </x:c>
      <x:c r="I336" s="9" t="str">
        <x:v>0</x:v>
      </x:c>
      <x:c r="J336" s="9" t="str">
        <x:v>Final agreement</x:v>
      </x:c>
      <x:c r="K336" s="9" t="str">
        <x:v>Final L7 rating from the targeted reassessment.</x:v>
      </x:c>
      <x:c r="L336" s="9" t="str">
        <x:v>Finalized reviewer-rating workbook</x:v>
      </x:c>
      <x:c r="M336" s="9" t="str">
        <x:v>Final L7 rating from the targeted reassessment.</x:v>
      </x:c>
      <x:c r="N336" s="9" t="str">
        <x:v>Finalized reviewer-rating workbook</x:v>
      </x:c>
      <x:c r="O336" s="9" t="str">
        <x:v>No qualifying interface-integrity test or repeated final monolithic wearable-assembly test with a retention/failure endpoint was located.</x:v>
      </x:c>
      <x:c r="P336" s="9" t="str">
        <x:v>PDF pp. 3–9; Figs. 1–7; Appendix 1</x:v>
      </x:c>
    </x:row>
    <x:row r="337">
      <x:c r="A337" s="9" t="n">
        <x:v>42</x:v>
      </x:c>
      <x:c r="B337" s="9" t="str">
        <x:v>S054</x:v>
      </x:c>
      <x:c r="C337" s="9" t="str">
        <x:v>Chatzistergos et al. (2021)</x:v>
      </x:c>
      <x:c r="D337" s="9" t="str">
        <x:v>L8</x:v>
      </x:c>
      <x:c r="E337" s="9" t="str">
        <x:v>1</x:v>
      </x:c>
      <x:c r="F337" s="9" t="str">
        <x:v>1</x:v>
      </x:c>
      <x:c r="G337" s="9" t="str">
        <x:v>Yes</x:v>
      </x:c>
      <x:c r="H337" s="9" t="str">
        <x:v>Agree</x:v>
      </x:c>
      <x:c r="I337" s="9" t="str">
        <x:v>1</x:v>
      </x:c>
      <x:c r="J337" s="9" t="str">
        <x:v>Final agreement</x:v>
      </x:c>
      <x:c r="K337" s="9" t="str">
        <x:v>Twenty-six independently printed specimens were quantitatively compared.</x:v>
      </x:c>
      <x:c r="L337" s="9" t="str">
        <x:v>PDF pp. 3–9; Figs. 1–7; Appendix 1</x:v>
      </x:c>
      <x:c r="M337" s="9" t="str">
        <x:v>Final rating supersedes the earlier rating; no revised narrative reason was supplied.</x:v>
      </x:c>
      <x:c r="N337" s="9" t="str">
        <x:v>Finalized reviewer-rating workbook</x:v>
      </x:c>
      <x:c r="O337" s="9" t="str">
        <x:v>Twenty-six independently printed specimens were quantitatively compared.</x:v>
      </x:c>
      <x:c r="P337" s="9" t="str">
        <x:v>PDF pp. 3–9; Figs. 1–7; Appendix 1</x:v>
      </x:c>
    </x:row>
    <x:row r="338">
      <x:c r="A338" s="9" t="n">
        <x:v>43</x:v>
      </x:c>
      <x:c r="B338" s="9" t="str">
        <x:v>S055</x:v>
      </x:c>
      <x:c r="C338" s="9" t="str">
        <x:v>Ben Harrath et al. (2026)</x:v>
      </x:c>
      <x:c r="D338" s="9" t="str">
        <x:v>L1</x:v>
      </x:c>
      <x:c r="E338" s="9" t="str">
        <x:v>1</x:v>
      </x:c>
      <x:c r="F338" s="9" t="str">
        <x:v>1</x:v>
      </x:c>
      <x:c r="G338" s="9" t="str">
        <x:v>Yes</x:v>
      </x:c>
      <x:c r="H338" s="9" t="str">
        <x:v>Agree</x:v>
      </x:c>
      <x:c r="I338" s="9" t="str">
        <x:v>1</x:v>
      </x:c>
      <x:c r="J338" s="9" t="str">
        <x:v>Final agreement</x:v>
      </x:c>
      <x:c r="K338" s="9" t="str">
        <x:v>Modified printer, PVDF, nozzle, temperatures, speed, layer height, infill, orientation and electric-field settings are reported.</x:v>
      </x:c>
      <x:c r="L338" s="9" t="str">
        <x:v>PDF pp. 3–9; Figs. 1–10</x:v>
      </x:c>
      <x:c r="M338" s="9" t="str">
        <x:v>Reconstruction-relevant printer, material, temperature, layer, speed, path/geometry and post-processing details are reported.</x:v>
      </x:c>
      <x:c r="N338" s="9" t="str">
        <x:v>Article PDF p. 9</x:v>
      </x:c>
      <x:c r="O338" s="9" t="str">
        <x:v>Modified printer, PVDF, nozzle, temperatures, speed, layer height, infill, orientation and electric-field settings are reported.</x:v>
      </x:c>
      <x:c r="P338" s="9" t="str">
        <x:v>PDF pp. 3–9; Figs. 1–10</x:v>
      </x:c>
    </x:row>
    <x:row r="339">
      <x:c r="A339" s="9" t="n">
        <x:v>43</x:v>
      </x:c>
      <x:c r="B339" s="9" t="str">
        <x:v>S055</x:v>
      </x:c>
      <x:c r="C339" s="9" t="str">
        <x:v>Ben Harrath et al. (2026)</x:v>
      </x:c>
      <x:c r="D339" s="9" t="str">
        <x:v>L2</x:v>
      </x:c>
      <x:c r="E339" s="9" t="str">
        <x:v>1</x:v>
      </x:c>
      <x:c r="F339" s="9" t="str">
        <x:v>1</x:v>
      </x:c>
      <x:c r="G339" s="9" t="str">
        <x:v>Yes</x:v>
      </x:c>
      <x:c r="H339" s="9" t="str">
        <x:v>Agree</x:v>
      </x:c>
      <x:c r="I339" s="9" t="str">
        <x:v>1</x:v>
      </x:c>
      <x:c r="J339" s="9" t="str">
        <x:v>Final agreement</x:v>
      </x:c>
      <x:c r="K339" s="9" t="str">
        <x:v>PVDF, layer variants, copper electrodes and PET are described.</x:v>
      </x:c>
      <x:c r="L339" s="9" t="str">
        <x:v>PDF pp. 3–9; Figs. 1–10</x:v>
      </x:c>
      <x:c r="M339" s="9" t="str">
        <x:v>Functional host, sensing constituent and relevant electrode/interface materials are identified.</x:v>
      </x:c>
      <x:c r="N339" s="9" t="str">
        <x:v>Article PDF p. 2</x:v>
      </x:c>
      <x:c r="O339" s="9" t="str">
        <x:v>PVDF, layer variants, copper electrodes and PET are described.</x:v>
      </x:c>
      <x:c r="P339" s="9" t="str">
        <x:v>PDF pp. 3–9; Figs. 1–10</x:v>
      </x:c>
    </x:row>
    <x:row r="340">
      <x:c r="A340" s="9" t="n">
        <x:v>43</x:v>
      </x:c>
      <x:c r="B340" s="9" t="str">
        <x:v>S055</x:v>
      </x:c>
      <x:c r="C340" s="9" t="str">
        <x:v>Ben Harrath et al. (2026)</x:v>
      </x:c>
      <x:c r="D340" s="9" t="str">
        <x:v>L3</x:v>
      </x:c>
      <x:c r="E340" s="9" t="str">
        <x:v>1</x:v>
      </x:c>
      <x:c r="F340" s="9" t="str">
        <x:v>1</x:v>
      </x:c>
      <x:c r="G340" s="9" t="str">
        <x:v>Yes</x:v>
      </x:c>
      <x:c r="H340" s="9" t="str">
        <x:v>Agree</x:v>
      </x:c>
      <x:c r="I340" s="9" t="str">
        <x:v>1</x:v>
      </x:c>
      <x:c r="J340" s="9" t="str">
        <x:v>Final agreement</x:v>
      </x:c>
      <x:c r="K340" s="9" t="str">
        <x:v>Controlled force, frequency and motion tests are reported.</x:v>
      </x:c>
      <x:c r="L340" s="9" t="str">
        <x:v>PDF pp. 3–9; Figs. 1–10</x:v>
      </x:c>
      <x:c r="M340" s="9" t="str">
        <x:v>Sensor output is related to a controlled or independently measured input with a stated procedure and range.</x:v>
      </x:c>
      <x:c r="N340" s="9" t="str">
        <x:v>Article PDF p. 7</x:v>
      </x:c>
      <x:c r="O340" s="9" t="str">
        <x:v>Controlled force, frequency and motion tests are reported.</x:v>
      </x:c>
      <x:c r="P340" s="9" t="str">
        <x:v>PDF pp. 3–9; Figs. 1–10</x:v>
      </x:c>
    </x:row>
    <x:row r="341">
      <x:c r="A341" s="9" t="n">
        <x:v>43</x:v>
      </x:c>
      <x:c r="B341" s="9" t="str">
        <x:v>S055</x:v>
      </x:c>
      <x:c r="C341" s="9" t="str">
        <x:v>Ben Harrath et al. (2026)</x:v>
      </x:c>
      <x:c r="D341" s="9" t="str">
        <x:v>L4</x:v>
      </x:c>
      <x:c r="E341" s="9" t="str">
        <x:v>1</x:v>
      </x:c>
      <x:c r="F341" s="9" t="str">
        <x:v>1</x:v>
      </x:c>
      <x:c r="G341" s="9" t="str">
        <x:v>Yes</x:v>
      </x:c>
      <x:c r="H341" s="9" t="str">
        <x:v>Agree</x:v>
      </x:c>
      <x:c r="I341" s="9" t="str">
        <x:v>1</x:v>
      </x:c>
      <x:c r="J341" s="9" t="str">
        <x:v>Final agreement</x:v>
      </x:c>
      <x:c r="K341" s="9" t="str">
        <x:v>Sensitivity, linearity, voltage and cycle outcomes are quantitative.</x:v>
      </x:c>
      <x:c r="L341" s="9" t="str">
        <x:v>PDF pp. 3–9; Figs. 1–10</x:v>
      </x:c>
      <x:c r="M341" s="9" t="str">
        <x:v>A modality-appropriate quantitative response, units/calculation and operating range are reported.</x:v>
      </x:c>
      <x:c r="N341" s="9" t="str">
        <x:v>Article PDF p. 7</x:v>
      </x:c>
      <x:c r="O341" s="9" t="str">
        <x:v>Sensitivity, linearity, voltage and cycle outcomes are quantitative.</x:v>
      </x:c>
      <x:c r="P341" s="9" t="str">
        <x:v>PDF pp. 3–9; Figs. 1–10</x:v>
      </x:c>
    </x:row>
    <x:row r="342">
      <x:c r="A342" s="9" t="n">
        <x:v>43</x:v>
      </x:c>
      <x:c r="B342" s="9" t="str">
        <x:v>S055</x:v>
      </x:c>
      <x:c r="C342" s="9" t="str">
        <x:v>Ben Harrath et al. (2026)</x:v>
      </x:c>
      <x:c r="D342" s="9" t="str">
        <x:v>L5</x:v>
      </x:c>
      <x:c r="E342" s="9" t="str">
        <x:v>1</x:v>
      </x:c>
      <x:c r="F342" s="9" t="str">
        <x:v>1</x:v>
      </x:c>
      <x:c r="G342" s="9" t="str">
        <x:v>Yes</x:v>
      </x:c>
      <x:c r="H342" s="9" t="str">
        <x:v>Agree</x:v>
      </x:c>
      <x:c r="I342" s="9" t="str">
        <x:v>1</x:v>
      </x:c>
      <x:c r="J342" s="9" t="str">
        <x:v>Final agreement</x:v>
      </x:c>
      <x:c r="K342" s="9" t="str">
        <x:v>The sensor was tested beyond 11,600 cycles with a reported stable response.</x:v>
      </x:c>
      <x:c r="L342" s="9" t="str">
        <x:v>PDF pp. 3–9; Figs. 1–10</x:v>
      </x:c>
      <x:c r="M342" s="9" t="str">
        <x:v>A stated repeated-test range/count is accompanied by a stability, hysteresis, retention or failure outcome.</x:v>
      </x:c>
      <x:c r="N342" s="9" t="str">
        <x:v>Article PDF p. 7</x:v>
      </x:c>
      <x:c r="O342" s="9" t="str">
        <x:v>The sensor was tested beyond 11,600 cycles with a reported stable response.</x:v>
      </x:c>
      <x:c r="P342" s="9" t="str">
        <x:v>PDF pp. 3–9; Figs. 1–10</x:v>
      </x:c>
    </x:row>
    <x:row r="343">
      <x:c r="A343" s="9" t="n">
        <x:v>43</x:v>
      </x:c>
      <x:c r="B343" s="9" t="str">
        <x:v>S055</x:v>
      </x:c>
      <x:c r="C343" s="9" t="str">
        <x:v>Ben Harrath et al. (2026)</x:v>
      </x:c>
      <x:c r="D343" s="9" t="str">
        <x:v>L6</x:v>
      </x:c>
      <x:c r="E343" s="9" t="str">
        <x:v>0</x:v>
      </x:c>
      <x:c r="F343" s="9" t="str">
        <x:v>0</x:v>
      </x:c>
      <x:c r="G343" s="9" t="str">
        <x:v>Yes</x:v>
      </x:c>
      <x:c r="H343" s="9" t="str">
        <x:v>Agree</x:v>
      </x:c>
      <x:c r="I343" s="9" t="str">
        <x:v>0</x:v>
      </x:c>
      <x:c r="J343" s="9" t="str">
        <x:v>Final agreement</x:v>
      </x:c>
      <x:c r="K343" s="9" t="str">
        <x:v>No separate qualifying environmental/use exposure was identified.</x:v>
      </x:c>
      <x:c r="L343" s="9" t="str">
        <x:v>PDF pp. 3–9; Figs. 1–10</x:v>
      </x:c>
      <x:c r="M343" s="9" t="str">
        <x:v>No qualifying response under a declared non-measurand environmental/use exposure is reported.</x:v>
      </x:c>
      <x:c r="N343" s="9" t="str">
        <x:v>Article PDF p. 7</x:v>
      </x:c>
      <x:c r="O343" s="9" t="str">
        <x:v>No separate qualifying environmental/use exposure was identified.</x:v>
      </x:c>
      <x:c r="P343" s="9" t="str">
        <x:v>PDF pp. 3–9; Figs. 1–10</x:v>
      </x:c>
    </x:row>
    <x:row r="344">
      <x:c r="A344" s="9" t="n">
        <x:v>43</x:v>
      </x:c>
      <x:c r="B344" s="9" t="str">
        <x:v>S055</x:v>
      </x:c>
      <x:c r="C344" s="9" t="str">
        <x:v>Ben Harrath et al. (2026)</x:v>
      </x:c>
      <x:c r="D344" s="9" t="str">
        <x:v>L7</x:v>
      </x:c>
      <x:c r="E344" s="9" t="str">
        <x:v>1</x:v>
      </x:c>
      <x:c r="F344" s="9" t="str">
        <x:v>1</x:v>
      </x:c>
      <x:c r="G344" s="9" t="str">
        <x:v>Yes</x:v>
      </x:c>
      <x:c r="H344" s="9" t="str">
        <x:v>Agree</x:v>
      </x:c>
      <x:c r="I344" s="9" t="str">
        <x:v>1</x:v>
      </x:c>
      <x:c r="J344" s="9" t="str">
        <x:v>Final agreement</x:v>
      </x:c>
      <x:c r="K344" s="9" t="str">
        <x:v>After initial gait adjustment, the body-attached sensor gives a consistent walking output over the reported 10-second interval. Separate 11600-cycle compression is not used for this score.</x:v>
      </x:c>
      <x:c r="L344" s="9" t="str">
        <x:v>S055_Main.pdf, physical p. 7, section 2.6; p. 9, Fig. 6a. Fig. 5g concerns bench durability.</x:v>
      </x:c>
      <x:c r="M344" s="9" t="str">
        <x:v>After initial gait adjustment, the body-attached sensor gives a consistent walking output over the reported 10-second interval. Separate 11600-cycle compression is not used for this score.</x:v>
      </x:c>
      <x:c r="N344" s="9" t="str">
        <x:v>S055_Main.pdf, physical p. 7, section 2.6; p. 9, Fig. 6a. Fig. 5g concerns bench durability.</x:v>
      </x:c>
      <x:c r="O344" s="9" t="str">
        <x:v>After initial gait adjustment, the body-attached sensor gives a consistent walking output over the reported 10-second interval. Separate 11600-cycle compression is not used for this score.</x:v>
      </x:c>
      <x:c r="P344" s="9" t="str">
        <x:v>S055_Main.pdf, physical p. 7, section 2.6; p. 9, Fig. 6a. Fig. 5g concerns bench durability.</x:v>
      </x:c>
    </x:row>
    <x:row r="345">
      <x:c r="A345" s="9" t="n">
        <x:v>43</x:v>
      </x:c>
      <x:c r="B345" s="9" t="str">
        <x:v>S055</x:v>
      </x:c>
      <x:c r="C345" s="9" t="str">
        <x:v>Ben Harrath et al. (2026)</x:v>
      </x:c>
      <x:c r="D345" s="9" t="str">
        <x:v>L8</x:v>
      </x:c>
      <x:c r="E345" s="9" t="str">
        <x:v>0</x:v>
      </x:c>
      <x:c r="F345" s="9" t="str">
        <x:v>0</x:v>
      </x:c>
      <x:c r="G345" s="9" t="str">
        <x:v>Yes</x:v>
      </x:c>
      <x:c r="H345" s="9" t="str">
        <x:v>Agree</x:v>
      </x:c>
      <x:c r="I345" s="9" t="str">
        <x:v>0</x:v>
      </x:c>
      <x:c r="J345" s="9" t="str">
        <x:v>Final agreement</x:v>
      </x:c>
      <x:c r="K345" s="9" t="str">
        <x:v>Layer-count variants were compared, but ≥3 replicate complete sensors were not identified.</x:v>
      </x:c>
      <x:c r="L345" s="9" t="str">
        <x:v>PDF pp. 3–9; Figs. 1–10</x:v>
      </x:c>
      <x:c r="M345" s="9" t="str">
        <x:v>At least three equivalent independently fabricated units with quantified between-unit variation are not reported.</x:v>
      </x:c>
      <x:c r="N345" s="9" t="str">
        <x:v>Article PDF p. 7</x:v>
      </x:c>
      <x:c r="O345" s="9" t="str">
        <x:v>Layer-count variants were compared, but ≥3 replicate complete sensors were not identified.</x:v>
      </x:c>
      <x:c r="P345" s="9" t="str">
        <x:v>PDF pp. 3–9; Figs. 1–10</x:v>
      </x:c>
    </x:row>
    <x:row r="346">
      <x:c r="A346" s="9" t="n">
        <x:v>44</x:v>
      </x:c>
      <x:c r="B346" s="9" t="str">
        <x:v>S056</x:v>
      </x:c>
      <x:c r="C346" s="9" t="str">
        <x:v>Wei et al. (2026)</x:v>
      </x:c>
      <x:c r="D346" s="9" t="str">
        <x:v>L1</x:v>
      </x:c>
      <x:c r="E346" s="9" t="str">
        <x:v>1</x:v>
      </x:c>
      <x:c r="F346" s="9" t="str">
        <x:v>1</x:v>
      </x:c>
      <x:c r="G346" s="9" t="str">
        <x:v>Yes</x:v>
      </x:c>
      <x:c r="H346" s="9" t="str">
        <x:v>Agree</x:v>
      </x:c>
      <x:c r="I346" s="9" t="str">
        <x:v>1</x:v>
      </x:c>
      <x:c r="J346" s="9" t="str">
        <x:v>Final agreement</x:v>
      </x:c>
      <x:c r="K346" s="9" t="str">
        <x:v>Printer, selected functional composition, nozzle/bed temperatures, speed, layer height, infill and geometries are reported.</x:v>
      </x:c>
      <x:c r="L346" s="9" t="str">
        <x:v>PDF pp. 3–15; Figs. 1–9; Tables 1–2</x:v>
      </x:c>
      <x:c r="M346" s="9" t="str">
        <x:v>Reconstruction-relevant printer, material, temperature, layer, speed, path/geometry and post-processing details are reported.</x:v>
      </x:c>
      <x:c r="N346" s="9" t="str">
        <x:v>Article PDF p. 3</x:v>
      </x:c>
      <x:c r="O346" s="9" t="str">
        <x:v>Printer, selected functional composition, nozzle/bed temperatures, speed, layer height, infill and geometries are reported.</x:v>
      </x:c>
      <x:c r="P346" s="9" t="str">
        <x:v>PDF pp. 3–15; Figs. 1–9; Tables 1–2</x:v>
      </x:c>
    </x:row>
    <x:row r="347">
      <x:c r="A347" s="9" t="n">
        <x:v>44</x:v>
      </x:c>
      <x:c r="B347" s="9" t="str">
        <x:v>S056</x:v>
      </x:c>
      <x:c r="C347" s="9" t="str">
        <x:v>Wei et al. (2026)</x:v>
      </x:c>
      <x:c r="D347" s="9" t="str">
        <x:v>L2</x:v>
      </x:c>
      <x:c r="E347" s="9" t="str">
        <x:v>1</x:v>
      </x:c>
      <x:c r="F347" s="9" t="str">
        <x:v>1</x:v>
      </x:c>
      <x:c r="G347" s="9" t="str">
        <x:v>Yes</x:v>
      </x:c>
      <x:c r="H347" s="9" t="str">
        <x:v>Agree</x:v>
      </x:c>
      <x:c r="I347" s="9" t="str">
        <x:v>1</x:v>
      </x:c>
      <x:c r="J347" s="9" t="str">
        <x:v>Final agreement</x:v>
      </x:c>
      <x:c r="K347" s="9" t="str">
        <x:v>MWCNT/CB loadings, TPU matrix and electrode/device roles are described.</x:v>
      </x:c>
      <x:c r="L347" s="9" t="str">
        <x:v>PDF pp. 3–15; Figs. 1–9; Tables 1–2</x:v>
      </x:c>
      <x:c r="M347" s="9" t="str">
        <x:v>Functional host, sensing constituent and relevant electrode/interface materials are identified.</x:v>
      </x:c>
      <x:c r="N347" s="9" t="str">
        <x:v>Article PDF p. 3</x:v>
      </x:c>
      <x:c r="O347" s="9" t="str">
        <x:v>MWCNT/CB loadings, TPU matrix and electrode/device roles are described.</x:v>
      </x:c>
      <x:c r="P347" s="9" t="str">
        <x:v>PDF pp. 3–15; Figs. 1–9; Tables 1–2</x:v>
      </x:c>
    </x:row>
    <x:row r="348">
      <x:c r="A348" s="9" t="n">
        <x:v>44</x:v>
      </x:c>
      <x:c r="B348" s="9" t="str">
        <x:v>S056</x:v>
      </x:c>
      <x:c r="C348" s="9" t="str">
        <x:v>Wei et al. (2026)</x:v>
      </x:c>
      <x:c r="D348" s="9" t="str">
        <x:v>L3</x:v>
      </x:c>
      <x:c r="E348" s="9" t="str">
        <x:v>1</x:v>
      </x:c>
      <x:c r="F348" s="9" t="str">
        <x:v>1</x:v>
      </x:c>
      <x:c r="G348" s="9" t="str">
        <x:v>Yes</x:v>
      </x:c>
      <x:c r="H348" s="9" t="str">
        <x:v>Agree</x:v>
      </x:c>
      <x:c r="I348" s="9" t="str">
        <x:v>1</x:v>
      </x:c>
      <x:c r="J348" s="9" t="str">
        <x:v>Final agreement</x:v>
      </x:c>
      <x:c r="K348" s="9" t="str">
        <x:v>Controlled mechanical/electrical protocols and declared environmental tests are reported.</x:v>
      </x:c>
      <x:c r="L348" s="9" t="str">
        <x:v>PDF pp. 3–15; Figs. 1–9; Tables 1–2</x:v>
      </x:c>
      <x:c r="M348" s="9" t="str">
        <x:v>Sensor output is related to a controlled or independently measured input with a stated procedure and range.</x:v>
      </x:c>
      <x:c r="N348" s="9" t="str">
        <x:v>Article PDF p. 7</x:v>
      </x:c>
      <x:c r="O348" s="9" t="str">
        <x:v>Controlled mechanical/electrical protocols and declared environmental tests are reported.</x:v>
      </x:c>
      <x:c r="P348" s="9" t="str">
        <x:v>PDF pp. 3–15; Figs. 1–9; Tables 1–2</x:v>
      </x:c>
    </x:row>
    <x:row r="349">
      <x:c r="A349" s="9" t="n">
        <x:v>44</x:v>
      </x:c>
      <x:c r="B349" s="9" t="str">
        <x:v>S056</x:v>
      </x:c>
      <x:c r="C349" s="9" t="str">
        <x:v>Wei et al. (2026)</x:v>
      </x:c>
      <x:c r="D349" s="9" t="str">
        <x:v>L4</x:v>
      </x:c>
      <x:c r="E349" s="9" t="str">
        <x:v>1</x:v>
      </x:c>
      <x:c r="F349" s="9" t="str">
        <x:v>1</x:v>
      </x:c>
      <x:c r="G349" s="9" t="str">
        <x:v>Yes</x:v>
      </x:c>
      <x:c r="H349" s="9" t="str">
        <x:v>Agree</x:v>
      </x:c>
      <x:c r="I349" s="9" t="str">
        <x:v>1</x:v>
      </x:c>
      <x:c r="J349" s="9" t="str">
        <x:v>Final agreement</x:v>
      </x:c>
      <x:c r="K349" s="9" t="str">
        <x:v>Sensitivity, range, timing and cycle response are quantitative.</x:v>
      </x:c>
      <x:c r="L349" s="9" t="str">
        <x:v>PDF pp. 3–15; Figs. 1–9; Tables 1–2</x:v>
      </x:c>
      <x:c r="M349" s="9" t="str">
        <x:v>A modality-appropriate quantitative response, units/calculation and operating range are reported.</x:v>
      </x:c>
      <x:c r="N349" s="9" t="str">
        <x:v>Article PDF p. 7</x:v>
      </x:c>
      <x:c r="O349" s="9" t="str">
        <x:v>Sensitivity, range, timing and cycle response are quantitative.</x:v>
      </x:c>
      <x:c r="P349" s="9" t="str">
        <x:v>PDF pp. 3–15; Figs. 1–9; Tables 1–2</x:v>
      </x:c>
    </x:row>
    <x:row r="350">
      <x:c r="A350" s="9" t="n">
        <x:v>44</x:v>
      </x:c>
      <x:c r="B350" s="9" t="str">
        <x:v>S056</x:v>
      </x:c>
      <x:c r="C350" s="9" t="str">
        <x:v>Wei et al. (2026)</x:v>
      </x:c>
      <x:c r="D350" s="9" t="str">
        <x:v>L5</x:v>
      </x:c>
      <x:c r="E350" s="9" t="str">
        <x:v>1</x:v>
      </x:c>
      <x:c r="F350" s="9" t="str">
        <x:v>1</x:v>
      </x:c>
      <x:c r="G350" s="9" t="str">
        <x:v>Yes</x:v>
      </x:c>
      <x:c r="H350" s="9" t="str">
        <x:v>Agree</x:v>
      </x:c>
      <x:c r="I350" s="9" t="str">
        <x:v>1</x:v>
      </x:c>
      <x:c r="J350" s="9" t="str">
        <x:v>Final agreement</x:v>
      </x:c>
      <x:c r="K350" s="9" t="str">
        <x:v>Pressure and strain devices underwent 20-cycle tests.</x:v>
      </x:c>
      <x:c r="L350" s="9" t="str">
        <x:v>PDF pp. 3–15; Figs. 1–9; Tables 1–2</x:v>
      </x:c>
      <x:c r="M350" s="9" t="str">
        <x:v>A stated repeated-test range/count is accompanied by a stability, hysteresis, retention or failure outcome.</x:v>
      </x:c>
      <x:c r="N350" s="9" t="str">
        <x:v>Article PDF p. 17</x:v>
      </x:c>
      <x:c r="O350" s="9" t="str">
        <x:v>Pressure and strain devices underwent 20-cycle tests.</x:v>
      </x:c>
      <x:c r="P350" s="9" t="str">
        <x:v>PDF pp. 3–15; Figs. 1–9; Tables 1–2</x:v>
      </x:c>
    </x:row>
    <x:row r="351">
      <x:c r="A351" s="9" t="n">
        <x:v>44</x:v>
      </x:c>
      <x:c r="B351" s="9" t="str">
        <x:v>S056</x:v>
      </x:c>
      <x:c r="C351" s="9" t="str">
        <x:v>Wei et al. (2026)</x:v>
      </x:c>
      <x:c r="D351" s="9" t="str">
        <x:v>L6</x:v>
      </x:c>
      <x:c r="E351" s="9" t="str">
        <x:v>1</x:v>
      </x:c>
      <x:c r="F351" s="9" t="str">
        <x:v>1</x:v>
      </x:c>
      <x:c r="G351" s="9" t="str">
        <x:v>Yes</x:v>
      </x:c>
      <x:c r="H351" s="9" t="str">
        <x:v>Agree</x:v>
      </x:c>
      <x:c r="I351" s="9" t="str">
        <x:v>1</x:v>
      </x:c>
      <x:c r="J351" s="9" t="str">
        <x:v>Final agreement</x:v>
      </x:c>
      <x:c r="K351" s="9" t="str">
        <x:v>Liquids, humidity and sweat-related responses were measured.</x:v>
      </x:c>
      <x:c r="L351" s="9" t="str">
        <x:v>PDF pp. 3–15; Figs. 1–9; Tables 1–2</x:v>
      </x:c>
      <x:c r="M351" s="9" t="str">
        <x:v>Sensor/system response is reported under a declared non-measurand environmental or use-related exposure.</x:v>
      </x:c>
      <x:c r="N351" s="9" t="str">
        <x:v>Article PDF p. 3</x:v>
      </x:c>
      <x:c r="O351" s="9" t="str">
        <x:v>Liquids, humidity and sweat-related responses were measured.</x:v>
      </x:c>
      <x:c r="P351" s="9" t="str">
        <x:v>PDF pp. 3–15; Figs. 1–9; Tables 1–2</x:v>
      </x:c>
    </x:row>
    <x:row r="352">
      <x:c r="A352" s="9" t="n">
        <x:v>44</x:v>
      </x:c>
      <x:c r="B352" s="9" t="str">
        <x:v>S056</x:v>
      </x:c>
      <x:c r="C352" s="9" t="str">
        <x:v>Wei et al. (2026)</x:v>
      </x:c>
      <x:c r="D352" s="9" t="str">
        <x:v>L7</x:v>
      </x:c>
      <x:c r="E352" s="9" t="str">
        <x:v>1</x:v>
      </x:c>
      <x:c r="F352" s="9" t="str">
        <x:v>1</x:v>
      </x:c>
      <x:c r="G352" s="9" t="str">
        <x:v>Yes</x:v>
      </x:c>
      <x:c r="H352" s="9" t="str">
        <x:v>Agree</x:v>
      </x:c>
      <x:c r="I352" s="9" t="str">
        <x:v>1</x:v>
      </x:c>
      <x:c r="J352" s="9" t="str">
        <x:v>Final agreement</x:v>
      </x:c>
      <x:c r="K352" s="9" t="str">
        <x:v>The authors evaluate stable signal patterns for repeated calf/neck/larynx actions and stable responses for repeated joint movements in the worn demonstrations.</x:v>
      </x:c>
      <x:c r="L352" s="9" t="str">
        <x:v>S056_Main.pdf, physical p. 13, Fig. 11a-h; p. 14, accompanying interpretation and Fig. 12b-c.</x:v>
      </x:c>
      <x:c r="M352" s="9" t="str">
        <x:v>The authors evaluate stable signal patterns for repeated calf/neck/larynx actions and stable responses for repeated joint movements in the worn demonstrations.</x:v>
      </x:c>
      <x:c r="N352" s="9" t="str">
        <x:v>S056_Main.pdf, physical p. 13, Fig. 11a-h; p. 14, accompanying interpretation and Fig. 12b-c.</x:v>
      </x:c>
      <x:c r="O352" s="9" t="str">
        <x:v>The authors evaluate stable signal patterns for repeated calf/neck/larynx actions and stable responses for repeated joint movements in the worn demonstrations.</x:v>
      </x:c>
      <x:c r="P352" s="9" t="str">
        <x:v>S056_Main.pdf, physical p. 13, Fig. 11a-h; p. 14, accompanying interpretation and Fig. 12b-c.</x:v>
      </x:c>
    </x:row>
    <x:row r="353">
      <x:c r="A353" s="9" t="n">
        <x:v>44</x:v>
      </x:c>
      <x:c r="B353" s="9" t="str">
        <x:v>S056</x:v>
      </x:c>
      <x:c r="C353" s="9" t="str">
        <x:v>Wei et al. (2026)</x:v>
      </x:c>
      <x:c r="D353" s="9" t="str">
        <x:v>L8</x:v>
      </x:c>
      <x:c r="E353" s="9" t="str">
        <x:v>0</x:v>
      </x:c>
      <x:c r="F353" s="9" t="str">
        <x:v>0</x:v>
      </x:c>
      <x:c r="G353" s="9" t="str">
        <x:v>Yes</x:v>
      </x:c>
      <x:c r="H353" s="9" t="str">
        <x:v>Agree</x:v>
      </x:c>
      <x:c r="I353" s="9" t="str">
        <x:v>0</x:v>
      </x:c>
      <x:c r="J353" s="9" t="str">
        <x:v>Final agreement</x:v>
      </x:c>
      <x:c r="K353" s="9" t="str">
        <x:v>Replicated material specimens were reported, but ≥3 separately fabricated complete sensors were not quantitatively compared.</x:v>
      </x:c>
      <x:c r="L353" s="9" t="str">
        <x:v>PDF pp. 3–15; Figs. 1–9; Tables 1–2</x:v>
      </x:c>
      <x:c r="M353" s="9" t="str">
        <x:v>At least three equivalent independently fabricated units with quantified between-unit variation are not reported.</x:v>
      </x:c>
      <x:c r="N353" s="9" t="str">
        <x:v>Article PDF p. 1</x:v>
      </x:c>
      <x:c r="O353" s="9" t="str">
        <x:v>Replicated material specimens were reported, but ≥3 separately fabricated complete sensors were not quantitatively compared.</x:v>
      </x:c>
      <x:c r="P353" s="9" t="str">
        <x:v>PDF pp. 3–15; Figs. 1–9; Tables 1–2</x:v>
      </x:c>
    </x:row>
    <x:row r="354">
      <x:c r="A354" s="9" t="n">
        <x:v>45</x:v>
      </x:c>
      <x:c r="B354" s="9" t="str">
        <x:v>S057</x:v>
      </x:c>
      <x:c r="C354" s="9" t="str">
        <x:v>Wei et al. (2026)</x:v>
      </x:c>
      <x:c r="D354" s="9" t="str">
        <x:v>L1</x:v>
      </x:c>
      <x:c r="E354" s="9" t="str">
        <x:v>1</x:v>
      </x:c>
      <x:c r="F354" s="9" t="str">
        <x:v>1</x:v>
      </x:c>
      <x:c r="G354" s="9" t="str">
        <x:v>Yes</x:v>
      </x:c>
      <x:c r="H354" s="9" t="str">
        <x:v>Agree</x:v>
      </x:c>
      <x:c r="I354" s="9" t="str">
        <x:v>1</x:v>
      </x:c>
      <x:c r="J354" s="9" t="str">
        <x:v>Final agreement</x:v>
      </x:c>
      <x:c r="K354" s="9" t="str">
        <x:v>Custom FDM system, functional composition, nozzle, temperatures, speed, layer height, infill and TPMS geometry are reported.</x:v>
      </x:c>
      <x:c r="L354" s="9" t="str">
        <x:v>PDF pp. 3–15; Figs. 1–10</x:v>
      </x:c>
      <x:c r="M354" s="9" t="str">
        <x:v>Reconstruction-relevant printer, material, temperature, layer, speed, path/geometry and post-processing details are reported.</x:v>
      </x:c>
      <x:c r="N354" s="9" t="str">
        <x:v>Article PDF p. 3</x:v>
      </x:c>
      <x:c r="O354" s="9" t="str">
        <x:v>Custom FDM system, functional composition, nozzle, temperatures, speed, layer height, infill and TPMS geometry are reported.</x:v>
      </x:c>
      <x:c r="P354" s="9" t="str">
        <x:v>PDF pp. 3–15; Figs. 1–10</x:v>
      </x:c>
    </x:row>
    <x:row r="355">
      <x:c r="A355" s="9" t="n">
        <x:v>45</x:v>
      </x:c>
      <x:c r="B355" s="9" t="str">
        <x:v>S057</x:v>
      </x:c>
      <x:c r="C355" s="9" t="str">
        <x:v>Wei et al. (2026)</x:v>
      </x:c>
      <x:c r="D355" s="9" t="str">
        <x:v>L2</x:v>
      </x:c>
      <x:c r="E355" s="9" t="str">
        <x:v>1</x:v>
      </x:c>
      <x:c r="F355" s="9" t="str">
        <x:v>1</x:v>
      </x:c>
      <x:c r="G355" s="9" t="str">
        <x:v>Yes</x:v>
      </x:c>
      <x:c r="H355" s="9" t="str">
        <x:v>Agree</x:v>
      </x:c>
      <x:c r="I355" s="9" t="str">
        <x:v>1</x:v>
      </x:c>
      <x:c r="J355" s="9" t="str">
        <x:v>Final agreement</x:v>
      </x:c>
      <x:c r="K355" s="9" t="str">
        <x:v>CNT loading series, TPU matrix and contacts are described.</x:v>
      </x:c>
      <x:c r="L355" s="9" t="str">
        <x:v>PDF pp. 3–15; Figs. 1–10</x:v>
      </x:c>
      <x:c r="M355" s="9" t="str">
        <x:v>Functional host, sensing constituent and relevant electrode/interface materials are identified.</x:v>
      </x:c>
      <x:c r="N355" s="9" t="str">
        <x:v>Article PDF p. 2</x:v>
      </x:c>
      <x:c r="O355" s="9" t="str">
        <x:v>CNT loading series, TPU matrix and contacts are described.</x:v>
      </x:c>
      <x:c r="P355" s="9" t="str">
        <x:v>PDF pp. 3–15; Figs. 1–10</x:v>
      </x:c>
    </x:row>
    <x:row r="356">
      <x:c r="A356" s="9" t="n">
        <x:v>45</x:v>
      </x:c>
      <x:c r="B356" s="9" t="str">
        <x:v>S057</x:v>
      </x:c>
      <x:c r="C356" s="9" t="str">
        <x:v>Wei et al. (2026)</x:v>
      </x:c>
      <x:c r="D356" s="9" t="str">
        <x:v>L3</x:v>
      </x:c>
      <x:c r="E356" s="9" t="str">
        <x:v>1</x:v>
      </x:c>
      <x:c r="F356" s="9" t="str">
        <x:v>1</x:v>
      </x:c>
      <x:c r="G356" s="9" t="str">
        <x:v>Yes</x:v>
      </x:c>
      <x:c r="H356" s="9" t="str">
        <x:v>Agree</x:v>
      </x:c>
      <x:c r="I356" s="9" t="str">
        <x:v>1</x:v>
      </x:c>
      <x:c r="J356" s="9" t="str">
        <x:v>Final agreement</x:v>
      </x:c>
      <x:c r="K356" s="9" t="str">
        <x:v>Controlled tensile and application protocols are reported.</x:v>
      </x:c>
      <x:c r="L356" s="9" t="str">
        <x:v>PDF pp. 3–15; Figs. 1–10</x:v>
      </x:c>
      <x:c r="M356" s="9" t="str">
        <x:v>Sensor output is related to a controlled or independently measured input with a stated procedure and range.</x:v>
      </x:c>
      <x:c r="N356" s="9" t="str">
        <x:v>Article PDF p. 16</x:v>
      </x:c>
      <x:c r="O356" s="9" t="str">
        <x:v>Controlled tensile and application protocols are reported.</x:v>
      </x:c>
      <x:c r="P356" s="9" t="str">
        <x:v>PDF pp. 3–15; Figs. 1–10</x:v>
      </x:c>
    </x:row>
    <x:row r="357">
      <x:c r="A357" s="9" t="n">
        <x:v>45</x:v>
      </x:c>
      <x:c r="B357" s="9" t="str">
        <x:v>S057</x:v>
      </x:c>
      <x:c r="C357" s="9" t="str">
        <x:v>Wei et al. (2026)</x:v>
      </x:c>
      <x:c r="D357" s="9" t="str">
        <x:v>L4</x:v>
      </x:c>
      <x:c r="E357" s="9" t="str">
        <x:v>1</x:v>
      </x:c>
      <x:c r="F357" s="9" t="str">
        <x:v>1</x:v>
      </x:c>
      <x:c r="G357" s="9" t="str">
        <x:v>Yes</x:v>
      </x:c>
      <x:c r="H357" s="9" t="str">
        <x:v>Agree</x:v>
      </x:c>
      <x:c r="I357" s="9" t="str">
        <x:v>1</x:v>
      </x:c>
      <x:c r="J357" s="9" t="str">
        <x:v>Final agreement</x:v>
      </x:c>
      <x:c r="K357" s="9" t="str">
        <x:v>GF, range, response/recovery, drift and cycle outcomes are quantitative.</x:v>
      </x:c>
      <x:c r="L357" s="9" t="str">
        <x:v>PDF pp. 3–15; Figs. 1–10</x:v>
      </x:c>
      <x:c r="M357" s="9" t="str">
        <x:v>A modality-appropriate quantitative response, units/calculation and operating range are reported.</x:v>
      </x:c>
      <x:c r="N357" s="9" t="str">
        <x:v>Article PDF p. 16</x:v>
      </x:c>
      <x:c r="O357" s="9" t="str">
        <x:v>GF, range, response/recovery, drift and cycle outcomes are quantitative.</x:v>
      </x:c>
      <x:c r="P357" s="9" t="str">
        <x:v>PDF pp. 3–15; Figs. 1–10</x:v>
      </x:c>
    </x:row>
    <x:row r="358">
      <x:c r="A358" s="9" t="n">
        <x:v>45</x:v>
      </x:c>
      <x:c r="B358" s="9" t="str">
        <x:v>S057</x:v>
      </x:c>
      <x:c r="C358" s="9" t="str">
        <x:v>Wei et al. (2026)</x:v>
      </x:c>
      <x:c r="D358" s="9" t="str">
        <x:v>L5</x:v>
      </x:c>
      <x:c r="E358" s="9" t="str">
        <x:v>1</x:v>
      </x:c>
      <x:c r="F358" s="9" t="str">
        <x:v>1</x:v>
      </x:c>
      <x:c r="G358" s="9" t="str">
        <x:v>Yes</x:v>
      </x:c>
      <x:c r="H358" s="9" t="str">
        <x:v>Agree</x:v>
      </x:c>
      <x:c r="I358" s="9" t="str">
        <x:v>1</x:v>
      </x:c>
      <x:c r="J358" s="9" t="str">
        <x:v>Final agreement</x:v>
      </x:c>
      <x:c r="K358" s="9" t="str">
        <x:v>Selected sensors completed 500 cycles at three strain levels.</x:v>
      </x:c>
      <x:c r="L358" s="9" t="str">
        <x:v>PDF pp. 3–15; Figs. 1–10</x:v>
      </x:c>
      <x:c r="M358" s="9" t="str">
        <x:v>A stated repeated-test range/count is accompanied by a stability, hysteresis, retention or failure outcome.</x:v>
      </x:c>
      <x:c r="N358" s="9" t="str">
        <x:v>Article PDF p. 2</x:v>
      </x:c>
      <x:c r="O358" s="9" t="str">
        <x:v>Selected sensors completed 500 cycles at three strain levels.</x:v>
      </x:c>
      <x:c r="P358" s="9" t="str">
        <x:v>PDF pp. 3–15; Figs. 1–10</x:v>
      </x:c>
    </x:row>
    <x:row r="359">
      <x:c r="A359" s="9" t="n">
        <x:v>45</x:v>
      </x:c>
      <x:c r="B359" s="9" t="str">
        <x:v>S057</x:v>
      </x:c>
      <x:c r="C359" s="9" t="str">
        <x:v>Wei et al. (2026)</x:v>
      </x:c>
      <x:c r="D359" s="9" t="str">
        <x:v>L6</x:v>
      </x:c>
      <x:c r="E359" s="9" t="str">
        <x:v>0</x:v>
      </x:c>
      <x:c r="F359" s="9" t="str">
        <x:v>0</x:v>
      </x:c>
      <x:c r="G359" s="9" t="str">
        <x:v>Yes</x:v>
      </x:c>
      <x:c r="H359" s="9" t="str">
        <x:v>Agree</x:v>
      </x:c>
      <x:c r="I359" s="9" t="str">
        <x:v>0</x:v>
      </x:c>
      <x:c r="J359" s="9" t="str">
        <x:v>Final agreement</x:v>
      </x:c>
      <x:c r="K359" s="9" t="str">
        <x:v>No distinct qualifying environmental/use exposure was identified.</x:v>
      </x:c>
      <x:c r="L359" s="9" t="str">
        <x:v>PDF pp. 3–15; Figs. 1–10</x:v>
      </x:c>
      <x:c r="M359" s="9" t="str">
        <x:v>No qualifying response under a declared non-measurand environmental/use exposure is reported.</x:v>
      </x:c>
      <x:c r="N359" s="9" t="str">
        <x:v>Article PDF p. 16</x:v>
      </x:c>
      <x:c r="O359" s="9" t="str">
        <x:v>No distinct qualifying environmental/use exposure was identified.</x:v>
      </x:c>
      <x:c r="P359" s="9" t="str">
        <x:v>PDF pp. 3–15; Figs. 1–10</x:v>
      </x:c>
    </x:row>
    <x:row r="360">
      <x:c r="A360" s="9" t="n">
        <x:v>45</x:v>
      </x:c>
      <x:c r="B360" s="9" t="str">
        <x:v>S057</x:v>
      </x:c>
      <x:c r="C360" s="9" t="str">
        <x:v>Wei et al. (2026)</x:v>
      </x:c>
      <x:c r="D360" s="9" t="str">
        <x:v>L7</x:v>
      </x:c>
      <x:c r="E360" s="9" t="str">
        <x:v>1</x:v>
      </x:c>
      <x:c r="F360" s="9" t="str">
        <x:v>1</x:v>
      </x:c>
      <x:c r="G360" s="9" t="str">
        <x:v>Yes</x:v>
      </x:c>
      <x:c r="H360" s="9" t="str">
        <x:v>Agree</x:v>
      </x:c>
      <x:c r="I360" s="9" t="str">
        <x:v>1</x:v>
      </x:c>
      <x:c r="J360" s="9" t="str">
        <x:v>Final agreement</x:v>
      </x:c>
      <x:c r="K360" s="9" t="str">
        <x:v>Attached throat sensors produce distinct, reproducible swallowing/coughing profiles; the finger/wrist trials also receive an explicit repeatability assessment.</x:v>
      </x:c>
      <x:c r="L360" s="9" t="str">
        <x:v>S057_Main.pdf, physical pp. 15-16, section 3.3/Fig. 15c-e, especially p. 16 opening paragraph.</x:v>
      </x:c>
      <x:c r="M360" s="9" t="str">
        <x:v>Attached throat sensors produce distinct, reproducible swallowing/coughing profiles; the finger/wrist trials also receive an explicit repeatability assessment.</x:v>
      </x:c>
      <x:c r="N360" s="9" t="str">
        <x:v>S057_Main.pdf, physical pp. 15-16, section 3.3/Fig. 15c-e, especially p. 16 opening paragraph.</x:v>
      </x:c>
      <x:c r="O360" s="9" t="str">
        <x:v>Attached throat sensors produce distinct, reproducible swallowing/coughing profiles; the finger/wrist trials also receive an explicit repeatability assessment.</x:v>
      </x:c>
      <x:c r="P360" s="9" t="str">
        <x:v>S057_Main.pdf, physical pp. 15-16, section 3.3/Fig. 15c-e, especially p. 16 opening paragraph.</x:v>
      </x:c>
    </x:row>
    <x:row r="361">
      <x:c r="A361" s="9" t="n">
        <x:v>45</x:v>
      </x:c>
      <x:c r="B361" s="9" t="str">
        <x:v>S057</x:v>
      </x:c>
      <x:c r="C361" s="9" t="str">
        <x:v>Wei et al. (2026)</x:v>
      </x:c>
      <x:c r="D361" s="9" t="str">
        <x:v>L8</x:v>
      </x:c>
      <x:c r="E361" s="9" t="str">
        <x:v>0</x:v>
      </x:c>
      <x:c r="F361" s="9" t="str">
        <x:v>0</x:v>
      </x:c>
      <x:c r="G361" s="9" t="str">
        <x:v>Yes</x:v>
      </x:c>
      <x:c r="H361" s="9" t="str">
        <x:v>Agree</x:v>
      </x:c>
      <x:c r="I361" s="9" t="str">
        <x:v>0</x:v>
      </x:c>
      <x:c r="J361" s="9" t="str">
        <x:v>Final agreement</x:v>
      </x:c>
      <x:c r="K361" s="9" t="str">
        <x:v>Five material-wire specimens were used, but ≥3 separately fabricated complete sensors were not compared.</x:v>
      </x:c>
      <x:c r="L361" s="9" t="str">
        <x:v>PDF pp. 3–15; Figs. 1–10</x:v>
      </x:c>
      <x:c r="M361" s="9" t="str">
        <x:v>At least three equivalent independently fabricated units with quantified between-unit variation are not reported.</x:v>
      </x:c>
      <x:c r="N361" s="9" t="str">
        <x:v>Article PDF p. 7</x:v>
      </x:c>
      <x:c r="O361" s="9" t="str">
        <x:v>Five material-wire specimens were used, but ≥3 separately fabricated complete sensors were not compared.</x:v>
      </x:c>
      <x:c r="P361" s="9" t="str">
        <x:v>PDF pp. 3–15; Figs. 1–10</x:v>
      </x:c>
    </x:row>
    <x:row r="362">
      <x:c r="A362" s="9" t="n">
        <x:v>46</x:v>
      </x:c>
      <x:c r="B362" s="9" t="str">
        <x:v>S058</x:v>
      </x:c>
      <x:c r="C362" s="9" t="str">
        <x:v>Yang et al. (2026)</x:v>
      </x:c>
      <x:c r="D362" s="9" t="str">
        <x:v>L1</x:v>
      </x:c>
      <x:c r="E362" s="9" t="str">
        <x:v>1</x:v>
      </x:c>
      <x:c r="F362" s="9" t="str">
        <x:v>1</x:v>
      </x:c>
      <x:c r="G362" s="9" t="str">
        <x:v>Yes</x:v>
      </x:c>
      <x:c r="H362" s="9" t="str">
        <x:v>Agree</x:v>
      </x:c>
      <x:c r="I362" s="9" t="str">
        <x:v>1</x:v>
      </x:c>
      <x:c r="J362" s="9" t="str">
        <x:v>Final agreement</x:v>
      </x:c>
      <x:c r="K362" s="9" t="str">
        <x:v>The printer, TPE filament, 240 °C nozzle temperature, device dimensions and variant-specific nozzle diameter, layer height, first-layer height and thermal post-treatment are reported.</x:v>
      </x:c>
      <x:c r="L362" s="9" t="str">
        <x:v>Main article Experimental section 3.1; Supplementary Table S1</x:v>
      </x:c>
      <x:c r="M362" s="9" t="str">
        <x:v>Final rating supersedes the earlier rating; no revised narrative reason was supplied.</x:v>
      </x:c>
      <x:c r="N362" s="9" t="str">
        <x:v>Finalized reviewer-rating workbook</x:v>
      </x:c>
      <x:c r="O362" s="9" t="str">
        <x:v>The printer, TPE filament, 240 °C nozzle temperature, device dimensions and variant-specific nozzle diameter, layer height, first-layer height and thermal post-treatment are reported.</x:v>
      </x:c>
      <x:c r="P362" s="9" t="str">
        <x:v>Main article Experimental section 3.1; Supplementary Table S1</x:v>
      </x:c>
    </x:row>
    <x:row r="363">
      <x:c r="A363" s="9" t="n">
        <x:v>46</x:v>
      </x:c>
      <x:c r="B363" s="9" t="str">
        <x:v>S058</x:v>
      </x:c>
      <x:c r="C363" s="9" t="str">
        <x:v>Yang et al. (2026)</x:v>
      </x:c>
      <x:c r="D363" s="9" t="str">
        <x:v>L2</x:v>
      </x:c>
      <x:c r="E363" s="9" t="str">
        <x:v>1</x:v>
      </x:c>
      <x:c r="F363" s="9" t="str">
        <x:v>1</x:v>
      </x:c>
      <x:c r="G363" s="9" t="str">
        <x:v>Yes</x:v>
      </x:c>
      <x:c r="H363" s="9" t="str">
        <x:v>Agree</x:v>
      </x:c>
      <x:c r="I363" s="9" t="str">
        <x:v>1</x:v>
      </x:c>
      <x:c r="J363" s="9" t="str">
        <x:v>Final agreement</x:v>
      </x:c>
      <x:c r="K363" s="9" t="str">
        <x:v>TPE structure, FPC electrodes and encapsulation are described.</x:v>
      </x:c>
      <x:c r="L363" s="9" t="str">
        <x:v>PDF pp. 3–13; Figs. 1–8; cited Supplementary Table S1</x:v>
      </x:c>
      <x:c r="M363" s="9" t="str">
        <x:v>Functional host, sensing constituent and relevant electrode/interface materials are identified.</x:v>
      </x:c>
      <x:c r="N363" s="9" t="str">
        <x:v>Article PDF p. 2</x:v>
      </x:c>
      <x:c r="O363" s="9" t="str">
        <x:v>TPE structure, FPC electrodes and encapsulation are described.</x:v>
      </x:c>
      <x:c r="P363" s="9" t="str">
        <x:v>PDF pp. 3–13; Figs. 1–8; cited Supplementary Table S1</x:v>
      </x:c>
    </x:row>
    <x:row r="364">
      <x:c r="A364" s="9" t="n">
        <x:v>46</x:v>
      </x:c>
      <x:c r="B364" s="9" t="str">
        <x:v>S058</x:v>
      </x:c>
      <x:c r="C364" s="9" t="str">
        <x:v>Yang et al. (2026)</x:v>
      </x:c>
      <x:c r="D364" s="9" t="str">
        <x:v>L3</x:v>
      </x:c>
      <x:c r="E364" s="9" t="str">
        <x:v>1</x:v>
      </x:c>
      <x:c r="F364" s="9" t="str">
        <x:v>1</x:v>
      </x:c>
      <x:c r="G364" s="9" t="str">
        <x:v>Yes</x:v>
      </x:c>
      <x:c r="H364" s="9" t="str">
        <x:v>Agree</x:v>
      </x:c>
      <x:c r="I364" s="9" t="str">
        <x:v>1</x:v>
      </x:c>
      <x:c r="J364" s="9" t="str">
        <x:v>Final agreement</x:v>
      </x:c>
      <x:c r="K364" s="9" t="str">
        <x:v>Controlled force, exposure, cycling and gait protocols are reported.</x:v>
      </x:c>
      <x:c r="L364" s="9" t="str">
        <x:v>PDF pp. 3–13; Figs. 1–8; cited Supplementary Table S1</x:v>
      </x:c>
      <x:c r="M364" s="9" t="str">
        <x:v>Sensor output is related to a controlled or independently measured input with a stated procedure and range.</x:v>
      </x:c>
      <x:c r="N364" s="9" t="str">
        <x:v>Article PDF p. 5</x:v>
      </x:c>
      <x:c r="O364" s="9" t="str">
        <x:v>Controlled force, exposure, cycling and gait protocols are reported.</x:v>
      </x:c>
      <x:c r="P364" s="9" t="str">
        <x:v>PDF pp. 3–13; Figs. 1–8; cited Supplementary Table S1</x:v>
      </x:c>
    </x:row>
    <x:row r="365">
      <x:c r="A365" s="9" t="n">
        <x:v>46</x:v>
      </x:c>
      <x:c r="B365" s="9" t="str">
        <x:v>S058</x:v>
      </x:c>
      <x:c r="C365" s="9" t="str">
        <x:v>Yang et al. (2026)</x:v>
      </x:c>
      <x:c r="D365" s="9" t="str">
        <x:v>L4</x:v>
      </x:c>
      <x:c r="E365" s="9" t="str">
        <x:v>1</x:v>
      </x:c>
      <x:c r="F365" s="9" t="str">
        <x:v>1</x:v>
      </x:c>
      <x:c r="G365" s="9" t="str">
        <x:v>Yes</x:v>
      </x:c>
      <x:c r="H365" s="9" t="str">
        <x:v>Agree</x:v>
      </x:c>
      <x:c r="I365" s="9" t="str">
        <x:v>1</x:v>
      </x:c>
      <x:c r="J365" s="9" t="str">
        <x:v>Final agreement</x:v>
      </x:c>
      <x:c r="K365" s="9" t="str">
        <x:v>Sensitivity, retention, CV and classification metrics are quantitative.</x:v>
      </x:c>
      <x:c r="L365" s="9" t="str">
        <x:v>PDF pp. 3–13; Figs. 1–8; cited Supplementary Table S1</x:v>
      </x:c>
      <x:c r="M365" s="9" t="str">
        <x:v>A modality-appropriate quantitative response, units/calculation and operating range are reported.</x:v>
      </x:c>
      <x:c r="N365" s="9" t="str">
        <x:v>Article PDF p. 14</x:v>
      </x:c>
      <x:c r="O365" s="9" t="str">
        <x:v>Sensitivity, retention, CV and classification metrics are quantitative.</x:v>
      </x:c>
      <x:c r="P365" s="9" t="str">
        <x:v>PDF pp. 3–13; Figs. 1–8; cited Supplementary Table S1</x:v>
      </x:c>
    </x:row>
    <x:row r="366">
      <x:c r="A366" s="9" t="n">
        <x:v>46</x:v>
      </x:c>
      <x:c r="B366" s="9" t="str">
        <x:v>S058</x:v>
      </x:c>
      <x:c r="C366" s="9" t="str">
        <x:v>Yang et al. (2026)</x:v>
      </x:c>
      <x:c r="D366" s="9" t="str">
        <x:v>L5</x:v>
      </x:c>
      <x:c r="E366" s="9" t="str">
        <x:v>1</x:v>
      </x:c>
      <x:c r="F366" s="9" t="str">
        <x:v>1</x:v>
      </x:c>
      <x:c r="G366" s="9" t="str">
        <x:v>Yes</x:v>
      </x:c>
      <x:c r="H366" s="9" t="str">
        <x:v>Agree</x:v>
      </x:c>
      <x:c r="I366" s="9" t="str">
        <x:v>1</x:v>
      </x:c>
      <x:c r="J366" s="9" t="str">
        <x:v>Final agreement</x:v>
      </x:c>
      <x:c r="K366" s="9" t="str">
        <x:v>20,000 loading and 5000 bending cycles report retained response.</x:v>
      </x:c>
      <x:c r="L366" s="9" t="str">
        <x:v>PDF pp. 3–13; Figs. 1–8; cited Supplementary Table S1</x:v>
      </x:c>
      <x:c r="M366" s="9" t="str">
        <x:v>A stated repeated-test range/count is accompanied by a stability, hysteresis, retention or failure outcome.</x:v>
      </x:c>
      <x:c r="N366" s="9" t="str">
        <x:v>Article PDF p. 8</x:v>
      </x:c>
      <x:c r="O366" s="9" t="str">
        <x:v>20,000 loading and 5000 bending cycles report retained response.</x:v>
      </x:c>
      <x:c r="P366" s="9" t="str">
        <x:v>PDF pp. 3–13; Figs. 1–8; cited Supplementary Table S1</x:v>
      </x:c>
    </x:row>
    <x:row r="367">
      <x:c r="A367" s="9" t="n">
        <x:v>46</x:v>
      </x:c>
      <x:c r="B367" s="9" t="str">
        <x:v>S058</x:v>
      </x:c>
      <x:c r="C367" s="9" t="str">
        <x:v>Yang et al. (2026)</x:v>
      </x:c>
      <x:c r="D367" s="9" t="str">
        <x:v>L6</x:v>
      </x:c>
      <x:c r="E367" s="9" t="str">
        <x:v>1</x:v>
      </x:c>
      <x:c r="F367" s="9" t="str">
        <x:v>1</x:v>
      </x:c>
      <x:c r="G367" s="9" t="str">
        <x:v>Yes</x:v>
      </x:c>
      <x:c r="H367" s="9" t="str">
        <x:v>Agree</x:v>
      </x:c>
      <x:c r="I367" s="9" t="str">
        <x:v>1</x:v>
      </x:c>
      <x:c r="J367" s="9" t="str">
        <x:v>Final agreement</x:v>
      </x:c>
      <x:c r="K367" s="9" t="str">
        <x:v>Temperature, humidity and artificial-sweat responses were measured.</x:v>
      </x:c>
      <x:c r="L367" s="9" t="str">
        <x:v>PDF pp. 3–13; Figs. 1–8; cited Supplementary Table S1</x:v>
      </x:c>
      <x:c r="M367" s="9" t="str">
        <x:v>Sensor/system response is reported under a declared non-measurand environmental or use-related exposure.</x:v>
      </x:c>
      <x:c r="N367" s="9" t="str">
        <x:v>Article PDF p. 12</x:v>
      </x:c>
      <x:c r="O367" s="9" t="str">
        <x:v>Temperature, humidity and artificial-sweat responses were measured.</x:v>
      </x:c>
      <x:c r="P367" s="9" t="str">
        <x:v>PDF pp. 3–13; Figs. 1–8; cited Supplementary Table S1</x:v>
      </x:c>
    </x:row>
    <x:row r="368">
      <x:c r="A368" s="9" t="n">
        <x:v>46</x:v>
      </x:c>
      <x:c r="B368" s="9" t="str">
        <x:v>S058</x:v>
      </x:c>
      <x:c r="C368" s="9" t="str">
        <x:v>Yang et al. (2026)</x:v>
      </x:c>
      <x:c r="D368" s="9" t="str">
        <x:v>L7</x:v>
      </x:c>
      <x:c r="E368" s="9" t="str">
        <x:v>1</x:v>
      </x:c>
      <x:c r="F368" s="9" t="str">
        <x:v>1</x:v>
      </x:c>
      <x:c r="G368" s="9" t="str">
        <x:v>Yes</x:v>
      </x:c>
      <x:c r="H368" s="9" t="str">
        <x:v>Agree</x:v>
      </x:c>
      <x:c r="I368" s="9" t="str">
        <x:v>1</x:v>
      </x:c>
      <x:c r="J368" s="9" t="str">
        <x:v>Final agreement</x:v>
      </x:c>
      <x:c r="K368" s="9" t="str">
        <x:v>Supplementary Fig. S7c explicitly documents seven days of wear. The paper reports no structural damage, delamination or output failure after the reliability evaluation.</x:v>
      </x:c>
      <x:c r="L368" s="9" t="str">
        <x:v>S058_Supplement_01.docx, Fig. S7c (7-day wear trial); S058_Main.pdf, physical p. 8, reliability discussion, and p. 12, methods.</x:v>
      </x:c>
      <x:c r="M368" s="9" t="str">
        <x:v>Supplementary Fig. S7c explicitly documents seven days of wear. The paper reports no structural damage, delamination or output failure after the reliability evaluation.</x:v>
      </x:c>
      <x:c r="N368" s="9" t="str">
        <x:v>S058_Supplement_01.docx, Fig. S7c (7-day wear trial); S058_Main.pdf, physical p. 8, reliability discussion, and p. 12, methods.</x:v>
      </x:c>
      <x:c r="O368" s="9" t="str">
        <x:v>Supplementary Fig. S7c explicitly documents seven days of wear. The paper reports no structural damage, delamination or output failure after the reliability evaluation.</x:v>
      </x:c>
      <x:c r="P368" s="9" t="str">
        <x:v>S058_Supplement_01.docx, Fig. S7c (7-day wear trial); S058_Main.pdf, physical p. 8, reliability discussion, and p. 12, methods.</x:v>
      </x:c>
    </x:row>
    <x:row r="369">
      <x:c r="A369" s="9" t="n">
        <x:v>46</x:v>
      </x:c>
      <x:c r="B369" s="9" t="str">
        <x:v>S058</x:v>
      </x:c>
      <x:c r="C369" s="9" t="str">
        <x:v>Yang et al. (2026)</x:v>
      </x:c>
      <x:c r="D369" s="9" t="str">
        <x:v>L8</x:v>
      </x:c>
      <x:c r="E369" s="9" t="str">
        <x:v>1</x:v>
      </x:c>
      <x:c r="F369" s="9" t="str">
        <x:v>1</x:v>
      </x:c>
      <x:c r="G369" s="9" t="str">
        <x:v>Yes</x:v>
      </x:c>
      <x:c r="H369" s="9" t="str">
        <x:v>Agree</x:v>
      </x:c>
      <x:c r="I369" s="9" t="str">
        <x:v>1</x:v>
      </x:c>
      <x:c r="J369" s="9" t="str">
        <x:v>Final agreement</x:v>
      </x:c>
      <x:c r="K369" s="9" t="str">
        <x:v>Twenty-five sensors from five batches were quantitatively compared.</x:v>
      </x:c>
      <x:c r="L369" s="9" t="str">
        <x:v>PDF pp. 3–13; Figs. 1–8; cited Supplementary Table S1</x:v>
      </x:c>
      <x:c r="M369" s="9" t="str">
        <x:v>At least three independently fabricated units are compared under equivalent conditions with between-unit variation quantified.</x:v>
      </x:c>
      <x:c r="N369" s="9" t="str">
        <x:v>Article PDF p. 6</x:v>
      </x:c>
      <x:c r="O369" s="9" t="str">
        <x:v>Twenty-five sensors from five batches were quantitatively compared.</x:v>
      </x:c>
      <x:c r="P369" s="9" t="str">
        <x:v>PDF pp. 3–13; Figs. 1–8; cited Supplementary Table S1</x:v>
      </x:c>
    </x:row>
    <x:row r="370">
      <x:c r="A370" s="9" t="n">
        <x:v>47</x:v>
      </x:c>
      <x:c r="B370" s="9" t="str">
        <x:v>S059</x:v>
      </x:c>
      <x:c r="C370" s="9" t="str">
        <x:v>Saroli et al. (2026)</x:v>
      </x:c>
      <x:c r="D370" s="9" t="str">
        <x:v>L1</x:v>
      </x:c>
      <x:c r="E370" s="9" t="str">
        <x:v>1</x:v>
      </x:c>
      <x:c r="F370" s="9" t="str">
        <x:v>1</x:v>
      </x:c>
      <x:c r="G370" s="9" t="str">
        <x:v>Yes</x:v>
      </x:c>
      <x:c r="H370" s="9" t="str">
        <x:v>Agree</x:v>
      </x:c>
      <x:c r="I370" s="9" t="str">
        <x:v>1</x:v>
      </x:c>
      <x:c r="J370" s="9" t="str">
        <x:v>Final agreement</x:v>
      </x:c>
      <x:c r="K370" s="9" t="str">
        <x:v>The Sovol SV04 IDEX process and material-specific extrusion/bed temperatures, speeds, layer thickness, line width, infill level/pattern and wall/top/bottom settings are reported.</x:v>
      </x:c>
      <x:c r="L370" s="9" t="str">
        <x:v>Main article pp. 3-4; Supplementary Table S1, SI pp. 3-4</x:v>
      </x:c>
      <x:c r="M370" s="9" t="str">
        <x:v>Reconstruction-relevant printer, material, temperature, layer, speed, path/geometry and post-processing details are reported.</x:v>
      </x:c>
      <x:c r="N370" s="9" t="str">
        <x:v>S059_Supplementary.pdf, PDF p. 2</x:v>
      </x:c>
      <x:c r="O370" s="9" t="str">
        <x:v>The Sovol SV04 IDEX process and material-specific extrusion/bed temperatures, speeds, layer thickness, line width, infill level/pattern and wall/top/bottom settings are reported.</x:v>
      </x:c>
      <x:c r="P370" s="9" t="str">
        <x:v>Main article pp. 3-4; Supplementary Table S1, SI pp. 3-4</x:v>
      </x:c>
    </x:row>
    <x:row r="371">
      <x:c r="A371" s="9" t="n">
        <x:v>47</x:v>
      </x:c>
      <x:c r="B371" s="9" t="str">
        <x:v>S059</x:v>
      </x:c>
      <x:c r="C371" s="9" t="str">
        <x:v>Saroli et al. (2026)</x:v>
      </x:c>
      <x:c r="D371" s="9" t="str">
        <x:v>L2</x:v>
      </x:c>
      <x:c r="E371" s="9" t="str">
        <x:v>1</x:v>
      </x:c>
      <x:c r="F371" s="9" t="str">
        <x:v>1</x:v>
      </x:c>
      <x:c r="G371" s="9" t="str">
        <x:v>Yes</x:v>
      </x:c>
      <x:c r="H371" s="9" t="str">
        <x:v>Agree</x:v>
      </x:c>
      <x:c r="I371" s="9" t="str">
        <x:v>1</x:v>
      </x:c>
      <x:c r="J371" s="9" t="str">
        <x:v>Final agreement</x:v>
      </x:c>
      <x:c r="K371" s="9" t="str">
        <x:v>Conductive/insulating TPU, sensor/electrode geometries and integrated readout are described.</x:v>
      </x:c>
      <x:c r="L371" s="9" t="str">
        <x:v>PDF pp. 3–15; Figs. 1–9; cited Supplementary Table S1</x:v>
      </x:c>
      <x:c r="M371" s="9" t="str">
        <x:v>Functional host, sensing constituent and relevant electrode/interface materials are identified.</x:v>
      </x:c>
      <x:c r="N371" s="9" t="str">
        <x:v>Article PDF p. 14</x:v>
      </x:c>
      <x:c r="O371" s="9" t="str">
        <x:v>Conductive/insulating TPU, sensor/electrode geometries and integrated readout are described.</x:v>
      </x:c>
      <x:c r="P371" s="9" t="str">
        <x:v>PDF pp. 3–15; Figs. 1–9; cited Supplementary Table S1</x:v>
      </x:c>
    </x:row>
    <x:row r="372">
      <x:c r="A372" s="9" t="n">
        <x:v>47</x:v>
      </x:c>
      <x:c r="B372" s="9" t="str">
        <x:v>S059</x:v>
      </x:c>
      <x:c r="C372" s="9" t="str">
        <x:v>Saroli et al. (2026)</x:v>
      </x:c>
      <x:c r="D372" s="9" t="str">
        <x:v>L3</x:v>
      </x:c>
      <x:c r="E372" s="9" t="str">
        <x:v>1</x:v>
      </x:c>
      <x:c r="F372" s="9" t="str">
        <x:v>1</x:v>
      </x:c>
      <x:c r="G372" s="9" t="str">
        <x:v>Yes</x:v>
      </x:c>
      <x:c r="H372" s="9" t="str">
        <x:v>Agree</x:v>
      </x:c>
      <x:c r="I372" s="9" t="str">
        <x:v>1</x:v>
      </x:c>
      <x:c r="J372" s="9" t="str">
        <x:v>Final agreement</x:v>
      </x:c>
      <x:c r="K372" s="9" t="str">
        <x:v>Controlled mechanical, impedance and human-reference protocols are reported.</x:v>
      </x:c>
      <x:c r="L372" s="9" t="str">
        <x:v>PDF pp. 3–15; Figs. 1–9; cited Supplementary Table S1</x:v>
      </x:c>
      <x:c r="M372" s="9" t="str">
        <x:v>Sensor output is related to a controlled or independently measured input with a stated procedure and range.</x:v>
      </x:c>
      <x:c r="N372" s="9" t="str">
        <x:v>Article PDF p. 5</x:v>
      </x:c>
      <x:c r="O372" s="9" t="str">
        <x:v>Controlled mechanical, impedance and human-reference protocols are reported.</x:v>
      </x:c>
      <x:c r="P372" s="9" t="str">
        <x:v>PDF pp. 3–15; Figs. 1–9; cited Supplementary Table S1</x:v>
      </x:c>
    </x:row>
    <x:row r="373">
      <x:c r="A373" s="9" t="n">
        <x:v>47</x:v>
      </x:c>
      <x:c r="B373" s="9" t="str">
        <x:v>S059</x:v>
      </x:c>
      <x:c r="C373" s="9" t="str">
        <x:v>Saroli et al. (2026)</x:v>
      </x:c>
      <x:c r="D373" s="9" t="str">
        <x:v>L4</x:v>
      </x:c>
      <x:c r="E373" s="9" t="str">
        <x:v>1</x:v>
      </x:c>
      <x:c r="F373" s="9" t="str">
        <x:v>1</x:v>
      </x:c>
      <x:c r="G373" s="9" t="str">
        <x:v>Yes</x:v>
      </x:c>
      <x:c r="H373" s="9" t="str">
        <x:v>Agree</x:v>
      </x:c>
      <x:c r="I373" s="9" t="str">
        <x:v>1</x:v>
      </x:c>
      <x:c r="J373" s="9" t="str">
        <x:v>Final agreement</x:v>
      </x:c>
      <x:c r="K373" s="9" t="str">
        <x:v>GF, hysteresis, SNR, MAE and agreement outcomes are quantitative.</x:v>
      </x:c>
      <x:c r="L373" s="9" t="str">
        <x:v>PDF pp. 3–15; Figs. 1–9; cited Supplementary Table S1</x:v>
      </x:c>
      <x:c r="M373" s="9" t="str">
        <x:v>A modality-appropriate quantitative response, units/calculation and operating range are reported.</x:v>
      </x:c>
      <x:c r="N373" s="9" t="str">
        <x:v>Article PDF p. 2</x:v>
      </x:c>
      <x:c r="O373" s="9" t="str">
        <x:v>GF, hysteresis, SNR, MAE and agreement outcomes are quantitative.</x:v>
      </x:c>
      <x:c r="P373" s="9" t="str">
        <x:v>PDF pp. 3–15; Figs. 1–9; cited Supplementary Table S1</x:v>
      </x:c>
    </x:row>
    <x:row r="374">
      <x:c r="A374" s="9" t="n">
        <x:v>47</x:v>
      </x:c>
      <x:c r="B374" s="9" t="str">
        <x:v>S059</x:v>
      </x:c>
      <x:c r="C374" s="9" t="str">
        <x:v>Saroli et al. (2026)</x:v>
      </x:c>
      <x:c r="D374" s="9" t="str">
        <x:v>L5</x:v>
      </x:c>
      <x:c r="E374" s="9" t="str">
        <x:v>1</x:v>
      </x:c>
      <x:c r="F374" s="9" t="str">
        <x:v>1</x:v>
      </x:c>
      <x:c r="G374" s="9" t="str">
        <x:v>Yes</x:v>
      </x:c>
      <x:c r="H374" s="9" t="str">
        <x:v>Agree</x:v>
      </x:c>
      <x:c r="I374" s="9" t="str">
        <x:v>1</x:v>
      </x:c>
      <x:c r="J374" s="9" t="str">
        <x:v>Final agreement</x:v>
      </x:c>
      <x:c r="K374" s="9" t="str">
        <x:v>A 1000-cycle strain test reports stable performance.</x:v>
      </x:c>
      <x:c r="L374" s="9" t="str">
        <x:v>PDF pp. 3–15; Figs. 1–9; cited Supplementary Table S1</x:v>
      </x:c>
      <x:c r="M374" s="9" t="str">
        <x:v>A stated repeated-test range/count is accompanied by a stability, hysteresis, retention or failure outcome.</x:v>
      </x:c>
      <x:c r="N374" s="9" t="str">
        <x:v>Article PDF p. 5</x:v>
      </x:c>
      <x:c r="O374" s="9" t="str">
        <x:v>A 1000-cycle strain test reports stable performance.</x:v>
      </x:c>
      <x:c r="P374" s="9" t="str">
        <x:v>PDF pp. 3–15; Figs. 1–9; cited Supplementary Table S1</x:v>
      </x:c>
    </x:row>
    <x:row r="375">
      <x:c r="A375" s="9" t="n">
        <x:v>47</x:v>
      </x:c>
      <x:c r="B375" s="9" t="str">
        <x:v>S059</x:v>
      </x:c>
      <x:c r="C375" s="9" t="str">
        <x:v>Saroli et al. (2026)</x:v>
      </x:c>
      <x:c r="D375" s="9" t="str">
        <x:v>L6</x:v>
      </x:c>
      <x:c r="E375" s="9" t="str">
        <x:v>1</x:v>
      </x:c>
      <x:c r="F375" s="9" t="str">
        <x:v>1</x:v>
      </x:c>
      <x:c r="G375" s="9" t="str">
        <x:v>Yes</x:v>
      </x:c>
      <x:c r="H375" s="9" t="str">
        <x:v>Agree</x:v>
      </x:c>
      <x:c r="I375" s="9" t="str">
        <x:v>1</x:v>
      </x:c>
      <x:c r="J375" s="9" t="str">
        <x:v>Final agreement</x:v>
      </x:c>
      <x:c r="K375" s="9" t="str">
        <x:v>Electrodes were tested dry and after declared water moistening with quantitative impedance/SNR response.</x:v>
      </x:c>
      <x:c r="L375" s="9" t="str">
        <x:v>PDF pp. 3–15; Figs. 1–9; cited Supplementary Table S1</x:v>
      </x:c>
      <x:c r="M375" s="9" t="str">
        <x:v>Sensor/system response is reported under a declared non-measurand environmental or use-related exposure.</x:v>
      </x:c>
      <x:c r="N375" s="9" t="str">
        <x:v>Article PDF p. 10</x:v>
      </x:c>
      <x:c r="O375" s="9" t="str">
        <x:v>Electrodes were tested dry and after declared water moistening with quantitative impedance/SNR response.</x:v>
      </x:c>
      <x:c r="P375" s="9" t="str">
        <x:v>PDF pp. 3–15; Figs. 1–9; cited Supplementary Table S1</x:v>
      </x:c>
    </x:row>
    <x:row r="376">
      <x:c r="A376" s="9" t="n">
        <x:v>47</x:v>
      </x:c>
      <x:c r="B376" s="9" t="str">
        <x:v>S059</x:v>
      </x:c>
      <x:c r="C376" s="9" t="str">
        <x:v>Saroli et al. (2026)</x:v>
      </x:c>
      <x:c r="D376" s="9" t="str">
        <x:v>L7</x:v>
      </x:c>
      <x:c r="E376" s="9" t="str">
        <x:v>0</x:v>
      </x:c>
      <x:c r="F376" s="9" t="str">
        <x:v>0</x:v>
      </x:c>
      <x:c r="G376" s="9" t="str">
        <x:v>Yes</x:v>
      </x:c>
      <x:c r="H376" s="9" t="str">
        <x:v>Agree</x:v>
      </x:c>
      <x:c r="I376" s="9" t="str">
        <x:v>0</x:v>
      </x:c>
      <x:c r="J376" s="9" t="str">
        <x:v>Final agreement</x:v>
      </x:c>
      <x:c r="K376" s="9" t="str">
        <x:v>Final L7 rating from the targeted reassessment.</x:v>
      </x:c>
      <x:c r="L376" s="9" t="str">
        <x:v>Finalized reviewer-rating workbook</x:v>
      </x:c>
      <x:c r="M376" s="9" t="str">
        <x:v>Final L7 rating from the targeted reassessment.</x:v>
      </x:c>
      <x:c r="N376" s="9" t="str">
        <x:v>Finalized reviewer-rating workbook</x:v>
      </x:c>
      <x:c r="O376" s="9" t="str">
        <x:v>No qualifying interface-integrity test or repeated final monolithic wearable-assembly test with a retention/failure endpoint was located.</x:v>
      </x:c>
      <x:c r="P376" s="9" t="str">
        <x:v>PDF pp. 3–15; Figs. 1–9; cited Supplementary Table S1</x:v>
      </x:c>
    </x:row>
    <x:row r="377">
      <x:c r="A377" s="9" t="n">
        <x:v>47</x:v>
      </x:c>
      <x:c r="B377" s="9" t="str">
        <x:v>S059</x:v>
      </x:c>
      <x:c r="C377" s="9" t="str">
        <x:v>Saroli et al. (2026)</x:v>
      </x:c>
      <x:c r="D377" s="9" t="str">
        <x:v>L8</x:v>
      </x:c>
      <x:c r="E377" s="9" t="str">
        <x:v>0</x:v>
      </x:c>
      <x:c r="F377" s="9" t="str">
        <x:v>0</x:v>
      </x:c>
      <x:c r="G377" s="9" t="str">
        <x:v>Yes</x:v>
      </x:c>
      <x:c r="H377" s="9" t="str">
        <x:v>Agree</x:v>
      </x:c>
      <x:c r="I377" s="9" t="str">
        <x:v>0</x:v>
      </x:c>
      <x:c r="J377" s="9" t="str">
        <x:v>Final agreement</x:v>
      </x:c>
      <x:c r="K377" s="9" t="str">
        <x:v>Design variants, repetitions and participants were reported, but ≥3 replicate complete systems were not compared.</x:v>
      </x:c>
      <x:c r="L377" s="9" t="str">
        <x:v>PDF pp. 3–15; Figs. 1–9; cited Supplementary Table S1</x:v>
      </x:c>
      <x:c r="M377" s="9" t="str">
        <x:v>At least three equivalent independently fabricated units with quantified between-unit variation are not reported.</x:v>
      </x:c>
      <x:c r="N377" s="9" t="str">
        <x:v>Article PDF p. 5</x:v>
      </x:c>
      <x:c r="O377" s="9" t="str">
        <x:v>Design variants, repetitions and participants were reported, but ≥3 replicate complete systems were not compared.</x:v>
      </x:c>
      <x:c r="P377" s="9" t="str">
        <x:v>PDF pp. 3–15; Figs. 1–9; cited Supplementary Table S1</x:v>
      </x:c>
    </x:row>
    <x:row r="378">
      <x:c r="A378" s="9" t="n">
        <x:v>48</x:v>
      </x:c>
      <x:c r="B378" s="9" t="str">
        <x:v>S060</x:v>
      </x:c>
      <x:c r="C378" s="9" t="str">
        <x:v>Porfyrakis et al. (2026)</x:v>
      </x:c>
      <x:c r="D378" s="9" t="str">
        <x:v>L1</x:v>
      </x:c>
      <x:c r="E378" s="9" t="str">
        <x:v>1</x:v>
      </x:c>
      <x:c r="F378" s="9" t="str">
        <x:v>1</x:v>
      </x:c>
      <x:c r="G378" s="9" t="str">
        <x:v>Yes</x:v>
      </x:c>
      <x:c r="H378" s="9" t="str">
        <x:v>Agree</x:v>
      </x:c>
      <x:c r="I378" s="9" t="str">
        <x:v>1</x:v>
      </x:c>
      <x:c r="J378" s="9" t="str">
        <x:v>Final agreement</x:v>
      </x:c>
      <x:c r="K378" s="9" t="str">
        <x:v>Printer, active composite, nozzle, temperatures, speed, layer height and geometry are reported.</x:v>
      </x:c>
      <x:c r="L378" s="9" t="str">
        <x:v>PDF pp. 2–15; Figs. 1–10; Tables 1–4</x:v>
      </x:c>
      <x:c r="M378" s="9" t="str">
        <x:v>Reconstruction-relevant printer, material, temperature, layer, speed, path/geometry and post-processing details are reported.</x:v>
      </x:c>
      <x:c r="N378" s="9" t="str">
        <x:v>Article PDF p. 3</x:v>
      </x:c>
      <x:c r="O378" s="9" t="str">
        <x:v>Printer, active composite, nozzle, temperatures, speed, layer height and geometry are reported.</x:v>
      </x:c>
      <x:c r="P378" s="9" t="str">
        <x:v>PDF pp. 2–15; Figs. 1–10; Tables 1–4</x:v>
      </x:c>
    </x:row>
    <x:row r="379">
      <x:c r="A379" s="9" t="n">
        <x:v>48</x:v>
      </x:c>
      <x:c r="B379" s="9" t="str">
        <x:v>S060</x:v>
      </x:c>
      <x:c r="C379" s="9" t="str">
        <x:v>Porfyrakis et al. (2026)</x:v>
      </x:c>
      <x:c r="D379" s="9" t="str">
        <x:v>L2</x:v>
      </x:c>
      <x:c r="E379" s="9" t="str">
        <x:v>1</x:v>
      </x:c>
      <x:c r="F379" s="9" t="str">
        <x:v>1</x:v>
      </x:c>
      <x:c r="G379" s="9" t="str">
        <x:v>Yes</x:v>
      </x:c>
      <x:c r="H379" s="9" t="str">
        <x:v>Agree</x:v>
      </x:c>
      <x:c r="I379" s="9" t="str">
        <x:v>1</x:v>
      </x:c>
      <x:c r="J379" s="9" t="str">
        <x:v>Final agreement</x:v>
      </x:c>
      <x:c r="K379" s="9" t="str">
        <x:v>Composition, filament preparation, sensor geometry, contacts and integration are described.</x:v>
      </x:c>
      <x:c r="L379" s="9" t="str">
        <x:v>PDF pp. 2–15; Figs. 1–10; Tables 1–4</x:v>
      </x:c>
      <x:c r="M379" s="9" t="str">
        <x:v>Functional host, sensing constituent and relevant electrode/interface materials are identified.</x:v>
      </x:c>
      <x:c r="N379" s="9" t="str">
        <x:v>Article PDF p. 2</x:v>
      </x:c>
      <x:c r="O379" s="9" t="str">
        <x:v>Composition, filament preparation, sensor geometry, contacts and integration are described.</x:v>
      </x:c>
      <x:c r="P379" s="9" t="str">
        <x:v>PDF pp. 2–15; Figs. 1–10; Tables 1–4</x:v>
      </x:c>
    </x:row>
    <x:row r="380">
      <x:c r="A380" s="9" t="n">
        <x:v>48</x:v>
      </x:c>
      <x:c r="B380" s="9" t="str">
        <x:v>S060</x:v>
      </x:c>
      <x:c r="C380" s="9" t="str">
        <x:v>Porfyrakis et al. (2026)</x:v>
      </x:c>
      <x:c r="D380" s="9" t="str">
        <x:v>L3</x:v>
      </x:c>
      <x:c r="E380" s="9" t="str">
        <x:v>1</x:v>
      </x:c>
      <x:c r="F380" s="9" t="str">
        <x:v>1</x:v>
      </x:c>
      <x:c r="G380" s="9" t="str">
        <x:v>Yes</x:v>
      </x:c>
      <x:c r="H380" s="9" t="str">
        <x:v>Agree</x:v>
      </x:c>
      <x:c r="I380" s="9" t="str">
        <x:v>1</x:v>
      </x:c>
      <x:c r="J380" s="9" t="str">
        <x:v>Final agreement</x:v>
      </x:c>
      <x:c r="K380" s="9" t="str">
        <x:v>Controlled compression and a step demonstration are reported.</x:v>
      </x:c>
      <x:c r="L380" s="9" t="str">
        <x:v>PDF pp. 2–15; Figs. 1–10; Tables 1–4</x:v>
      </x:c>
      <x:c r="M380" s="9" t="str">
        <x:v>Sensor output is related to a controlled or independently measured input with a stated procedure and range.</x:v>
      </x:c>
      <x:c r="N380" s="9" t="str">
        <x:v>Article PDF p. 15</x:v>
      </x:c>
      <x:c r="O380" s="9" t="str">
        <x:v>Controlled compression and a step demonstration are reported.</x:v>
      </x:c>
      <x:c r="P380" s="9" t="str">
        <x:v>PDF pp. 2–15; Figs. 1–10; Tables 1–4</x:v>
      </x:c>
    </x:row>
    <x:row r="381">
      <x:c r="A381" s="9" t="n">
        <x:v>48</x:v>
      </x:c>
      <x:c r="B381" s="9" t="str">
        <x:v>S060</x:v>
      </x:c>
      <x:c r="C381" s="9" t="str">
        <x:v>Porfyrakis et al. (2026)</x:v>
      </x:c>
      <x:c r="D381" s="9" t="str">
        <x:v>L4</x:v>
      </x:c>
      <x:c r="E381" s="9" t="str">
        <x:v>1</x:v>
      </x:c>
      <x:c r="F381" s="9" t="str">
        <x:v>1</x:v>
      </x:c>
      <x:c r="G381" s="9" t="str">
        <x:v>Yes</x:v>
      </x:c>
      <x:c r="H381" s="9" t="str">
        <x:v>Agree</x:v>
      </x:c>
      <x:c r="I381" s="9" t="str">
        <x:v>1</x:v>
      </x:c>
      <x:c r="J381" s="9" t="str">
        <x:v>Final agreement</x:v>
      </x:c>
      <x:c r="K381" s="9" t="str">
        <x:v>GF, hysteresis, linearity and tested displacement ranges are quantified.</x:v>
      </x:c>
      <x:c r="L381" s="9" t="str">
        <x:v>PDF pp. 2–15; Figs. 1–10; Tables 1–4</x:v>
      </x:c>
      <x:c r="M381" s="9" t="str">
        <x:v>A modality-appropriate quantitative response, units/calculation and operating range are reported.</x:v>
      </x:c>
      <x:c r="N381" s="9" t="str">
        <x:v>Article PDF p. 15</x:v>
      </x:c>
      <x:c r="O381" s="9" t="str">
        <x:v>GF, hysteresis, linearity and tested displacement ranges are quantified.</x:v>
      </x:c>
      <x:c r="P381" s="9" t="str">
        <x:v>PDF pp. 2–15; Figs. 1–10; Tables 1–4</x:v>
      </x:c>
    </x:row>
    <x:row r="382">
      <x:c r="A382" s="9" t="n">
        <x:v>48</x:v>
      </x:c>
      <x:c r="B382" s="9" t="str">
        <x:v>S060</x:v>
      </x:c>
      <x:c r="C382" s="9" t="str">
        <x:v>Porfyrakis et al. (2026)</x:v>
      </x:c>
      <x:c r="D382" s="9" t="str">
        <x:v>L5</x:v>
      </x:c>
      <x:c r="E382" s="9" t="str">
        <x:v>1</x:v>
      </x:c>
      <x:c r="F382" s="9" t="str">
        <x:v>1</x:v>
      </x:c>
      <x:c r="G382" s="9" t="str">
        <x:v>Yes</x:v>
      </x:c>
      <x:c r="H382" s="9" t="str">
        <x:v>Agree</x:v>
      </x:c>
      <x:c r="I382" s="9" t="str">
        <x:v>1</x:v>
      </x:c>
      <x:c r="J382" s="9" t="str">
        <x:v>Final agreement</x:v>
      </x:c>
      <x:c r="K382" s="9" t="str">
        <x:v>Four initial cycles and a 100-cycle endurance test report repeated response.</x:v>
      </x:c>
      <x:c r="L382" s="9" t="str">
        <x:v>PDF pp. 2–15; Figs. 1–10; Tables 1–4</x:v>
      </x:c>
      <x:c r="M382" s="9" t="str">
        <x:v>A stated repeated-test range/count is accompanied by a stability, hysteresis, retention or failure outcome.</x:v>
      </x:c>
      <x:c r="N382" s="9" t="str">
        <x:v>Article PDF p. 13</x:v>
      </x:c>
      <x:c r="O382" s="9" t="str">
        <x:v>Four initial cycles and a 100-cycle endurance test report repeated response.</x:v>
      </x:c>
      <x:c r="P382" s="9" t="str">
        <x:v>PDF pp. 2–15; Figs. 1–10; Tables 1–4</x:v>
      </x:c>
    </x:row>
    <x:row r="383">
      <x:c r="A383" s="9" t="n">
        <x:v>48</x:v>
      </x:c>
      <x:c r="B383" s="9" t="str">
        <x:v>S060</x:v>
      </x:c>
      <x:c r="C383" s="9" t="str">
        <x:v>Porfyrakis et al. (2026)</x:v>
      </x:c>
      <x:c r="D383" s="9" t="str">
        <x:v>L6</x:v>
      </x:c>
      <x:c r="E383" s="9" t="str">
        <x:v>0</x:v>
      </x:c>
      <x:c r="F383" s="9" t="str">
        <x:v>0</x:v>
      </x:c>
      <x:c r="G383" s="9" t="str">
        <x:v>Yes</x:v>
      </x:c>
      <x:c r="H383" s="9" t="str">
        <x:v>Agree</x:v>
      </x:c>
      <x:c r="I383" s="9" t="str">
        <x:v>0</x:v>
      </x:c>
      <x:c r="J383" s="9" t="str">
        <x:v>Final agreement</x:v>
      </x:c>
      <x:c r="K383" s="9" t="str">
        <x:v>No distinct environmental or use-related exposure was tested.</x:v>
      </x:c>
      <x:c r="L383" s="9" t="str">
        <x:v>PDF pp. 2–15; Figs. 1–10; Tables 1–4</x:v>
      </x:c>
      <x:c r="M383" s="9" t="str">
        <x:v>No qualifying response under a declared non-measurand environmental/use exposure is reported.</x:v>
      </x:c>
      <x:c r="N383" s="9" t="str">
        <x:v>Article PDF p. 2</x:v>
      </x:c>
      <x:c r="O383" s="9" t="str">
        <x:v>No distinct environmental or use-related exposure was tested.</x:v>
      </x:c>
      <x:c r="P383" s="9" t="str">
        <x:v>PDF pp. 2–15; Figs. 1–10; Tables 1–4</x:v>
      </x:c>
    </x:row>
    <x:row r="384">
      <x:c r="A384" s="9" t="n">
        <x:v>48</x:v>
      </x:c>
      <x:c r="B384" s="9" t="str">
        <x:v>S060</x:v>
      </x:c>
      <x:c r="C384" s="9" t="str">
        <x:v>Porfyrakis et al. (2026)</x:v>
      </x:c>
      <x:c r="D384" s="9" t="str">
        <x:v>L7</x:v>
      </x:c>
      <x:c r="E384" s="9" t="str">
        <x:v>0</x:v>
      </x:c>
      <x:c r="F384" s="9" t="str">
        <x:v>0</x:v>
      </x:c>
      <x:c r="G384" s="9" t="str">
        <x:v>Yes</x:v>
      </x:c>
      <x:c r="H384" s="9" t="str">
        <x:v>Agree</x:v>
      </x:c>
      <x:c r="I384" s="9" t="str">
        <x:v>0</x:v>
      </x:c>
      <x:c r="J384" s="9" t="str">
        <x:v>Final agreement</x:v>
      </x:c>
      <x:c r="K384" s="9" t="str">
        <x:v>Final L7 rating from the targeted reassessment.</x:v>
      </x:c>
      <x:c r="L384" s="9" t="str">
        <x:v>Finalized reviewer-rating workbook</x:v>
      </x:c>
      <x:c r="M384" s="9" t="str">
        <x:v>Final L7 rating from the targeted reassessment.</x:v>
      </x:c>
      <x:c r="N384" s="9" t="str">
        <x:v>Finalized reviewer-rating workbook</x:v>
      </x:c>
      <x:c r="O384" s="9" t="str">
        <x:v>No qualifying interface-integrity test or repeated final monolithic wearable-assembly test with a retention/failure endpoint was located.</x:v>
      </x:c>
      <x:c r="P384" s="9" t="str">
        <x:v>PDF pp. 2–15; Figs. 1–10; Tables 1–4</x:v>
      </x:c>
    </x:row>
    <x:row r="385">
      <x:c r="A385" s="9" t="n">
        <x:v>48</x:v>
      </x:c>
      <x:c r="B385" s="9" t="str">
        <x:v>S060</x:v>
      </x:c>
      <x:c r="C385" s="9" t="str">
        <x:v>Porfyrakis et al. (2026)</x:v>
      </x:c>
      <x:c r="D385" s="9" t="str">
        <x:v>L8</x:v>
      </x:c>
      <x:c r="E385" s="9" t="str">
        <x:v>0</x:v>
      </x:c>
      <x:c r="F385" s="9" t="str">
        <x:v>0</x:v>
      </x:c>
      <x:c r="G385" s="9" t="str">
        <x:v>Yes</x:v>
      </x:c>
      <x:c r="H385" s="9" t="str">
        <x:v>Agree</x:v>
      </x:c>
      <x:c r="I385" s="9" t="str">
        <x:v>0</x:v>
      </x:c>
      <x:c r="J385" s="9" t="str">
        <x:v>Final agreement</x:v>
      </x:c>
      <x:c r="K385" s="9" t="str">
        <x:v>Each composition/cell-size configuration used one sensor; no ≥3-device same-condition comparison was reported.</x:v>
      </x:c>
      <x:c r="L385" s="9" t="str">
        <x:v>PDF pp. 2–15; Figs. 1–10; Tables 1–4</x:v>
      </x:c>
      <x:c r="M385" s="9" t="str">
        <x:v>At least three equivalent independently fabricated units with quantified between-unit variation are not reported.</x:v>
      </x:c>
      <x:c r="N385" s="9" t="str">
        <x:v>Article PDF p. 15</x:v>
      </x:c>
      <x:c r="O385" s="9" t="str">
        <x:v>Each composition/cell-size configuration used one sensor; no ≥3-device same-condition comparison was reported.</x:v>
      </x:c>
      <x:c r="P385" s="9" t="str">
        <x:v>PDF pp. 2–15; Figs. 1–10; Tables 1–4</x:v>
      </x:c>
    </x:row>
    <x:row r="386">
      <x:c r="A386" s="9" t="n">
        <x:v>49</x:v>
      </x:c>
      <x:c r="B386" s="9" t="str">
        <x:v>S061</x:v>
      </x:c>
      <x:c r="C386" s="9" t="str">
        <x:v>Kumar et al. (2026)</x:v>
      </x:c>
      <x:c r="D386" s="9" t="str">
        <x:v>L1</x:v>
      </x:c>
      <x:c r="E386" s="9" t="str">
        <x:v>0</x:v>
      </x:c>
      <x:c r="F386" s="9" t="str">
        <x:v>0</x:v>
      </x:c>
      <x:c r="G386" s="9" t="str">
        <x:v>Yes</x:v>
      </x:c>
      <x:c r="H386" s="9" t="str">
        <x:v>Agree</x:v>
      </x:c>
      <x:c r="I386" s="9" t="str">
        <x:v>0</x:v>
      </x:c>
      <x:c r="J386" s="9" t="str">
        <x:v>Final agreement</x:v>
      </x:c>
      <x:c r="K386" s="9" t="str">
        <x:v>FFF and several settings are stated, but printer model, nozzle diameter and layer height were not identified.</x:v>
      </x:c>
      <x:c r="L386" s="9" t="str">
        <x:v>PDF pp. 2–11; Figs. 1–13; Table 1</x:v>
      </x:c>
      <x:c r="M386" s="9" t="str">
        <x:v>Fabrication is described, but reconstruction-critical layer height details are not reported.</x:v>
      </x:c>
      <x:c r="N386" s="9" t="str">
        <x:v>Article PDF p. 2</x:v>
      </x:c>
      <x:c r="O386" s="9" t="str">
        <x:v>FFF and several settings are stated, but printer model, nozzle diameter and layer height were not identified.</x:v>
      </x:c>
      <x:c r="P386" s="9" t="str">
        <x:v>PDF pp. 2–11; Figs. 1–13; Table 1</x:v>
      </x:c>
    </x:row>
    <x:row r="387">
      <x:c r="A387" s="9" t="n">
        <x:v>49</x:v>
      </x:c>
      <x:c r="B387" s="9" t="str">
        <x:v>S061</x:v>
      </x:c>
      <x:c r="C387" s="9" t="str">
        <x:v>Kumar et al. (2026)</x:v>
      </x:c>
      <x:c r="D387" s="9" t="str">
        <x:v>L2</x:v>
      </x:c>
      <x:c r="E387" s="9" t="str">
        <x:v>1</x:v>
      </x:c>
      <x:c r="F387" s="9" t="str">
        <x:v>1</x:v>
      </x:c>
      <x:c r="G387" s="9" t="str">
        <x:v>Yes</x:v>
      </x:c>
      <x:c r="H387" s="9" t="str">
        <x:v>Agree</x:v>
      </x:c>
      <x:c r="I387" s="9" t="str">
        <x:v>1</x:v>
      </x:c>
      <x:c r="J387" s="9" t="str">
        <x:v>Final agreement</x:v>
      </x:c>
      <x:c r="K387" s="9" t="str">
        <x:v>PLA substrate, copper elements, connector and splint integration are described.</x:v>
      </x:c>
      <x:c r="L387" s="9" t="str">
        <x:v>PDF pp. 2–11; Figs. 1–13; Table 1</x:v>
      </x:c>
      <x:c r="M387" s="9" t="str">
        <x:v>Functional host, sensing constituent and relevant electrode/interface materials are identified.</x:v>
      </x:c>
      <x:c r="N387" s="9" t="str">
        <x:v>Article PDF p. 12</x:v>
      </x:c>
      <x:c r="O387" s="9" t="str">
        <x:v>PLA substrate, copper elements, connector and splint integration are described.</x:v>
      </x:c>
      <x:c r="P387" s="9" t="str">
        <x:v>PDF pp. 2–11; Figs. 1–13; Table 1</x:v>
      </x:c>
    </x:row>
    <x:row r="388">
      <x:c r="A388" s="9" t="n">
        <x:v>49</x:v>
      </x:c>
      <x:c r="B388" s="9" t="str">
        <x:v>S061</x:v>
      </x:c>
      <x:c r="C388" s="9" t="str">
        <x:v>Kumar et al. (2026)</x:v>
      </x:c>
      <x:c r="D388" s="9" t="str">
        <x:v>L3</x:v>
      </x:c>
      <x:c r="E388" s="9" t="str">
        <x:v>1</x:v>
      </x:c>
      <x:c r="F388" s="9" t="str">
        <x:v>1</x:v>
      </x:c>
      <x:c r="G388" s="9" t="str">
        <x:v>Yes</x:v>
      </x:c>
      <x:c r="H388" s="9" t="str">
        <x:v>Agree</x:v>
      </x:c>
      <x:c r="I388" s="9" t="str">
        <x:v>1</x:v>
      </x:c>
      <x:c r="J388" s="9" t="str">
        <x:v>Final agreement</x:v>
      </x:c>
      <x:c r="K388" s="9" t="str">
        <x:v>Controlled loads and VNA measurements are reported.</x:v>
      </x:c>
      <x:c r="L388" s="9" t="str">
        <x:v>PDF pp. 2–11; Figs. 1–13; Table 1</x:v>
      </x:c>
      <x:c r="M388" s="9" t="str">
        <x:v>Final rating supersedes the earlier rating; no revised narrative reason was supplied.</x:v>
      </x:c>
      <x:c r="N388" s="9" t="str">
        <x:v>Finalized reviewer-rating workbook</x:v>
      </x:c>
      <x:c r="O388" s="9" t="str">
        <x:v>Controlled loads and VNA measurements are reported.</x:v>
      </x:c>
      <x:c r="P388" s="9" t="str">
        <x:v>PDF pp. 2–11; Figs. 1–13; Table 1</x:v>
      </x:c>
    </x:row>
    <x:row r="389">
      <x:c r="A389" s="9" t="n">
        <x:v>49</x:v>
      </x:c>
      <x:c r="B389" s="9" t="str">
        <x:v>S061</x:v>
      </x:c>
      <x:c r="C389" s="9" t="str">
        <x:v>Kumar et al. (2026)</x:v>
      </x:c>
      <x:c r="D389" s="9" t="str">
        <x:v>L4</x:v>
      </x:c>
      <x:c r="E389" s="9" t="str">
        <x:v>1</x:v>
      </x:c>
      <x:c r="F389" s="9" t="str">
        <x:v>1</x:v>
      </x:c>
      <x:c r="G389" s="9" t="str">
        <x:v>Yes</x:v>
      </x:c>
      <x:c r="H389" s="9" t="str">
        <x:v>Agree</x:v>
      </x:c>
      <x:c r="I389" s="9" t="str">
        <x:v>1</x:v>
      </x:c>
      <x:c r="J389" s="9" t="str">
        <x:v>Final agreement</x:v>
      </x:c>
      <x:c r="K389" s="9" t="str">
        <x:v>Frequency/S11 values and applied-load range are quantitative.</x:v>
      </x:c>
      <x:c r="L389" s="9" t="str">
        <x:v>PDF pp. 2–11; Figs. 1–13; Table 1</x:v>
      </x:c>
      <x:c r="M389" s="9" t="str">
        <x:v>Final rating supersedes the earlier rating; no revised narrative reason was supplied.</x:v>
      </x:c>
      <x:c r="N389" s="9" t="str">
        <x:v>Finalized reviewer-rating workbook</x:v>
      </x:c>
      <x:c r="O389" s="9" t="str">
        <x:v>Frequency/S11 values and applied-load range are quantitative.</x:v>
      </x:c>
      <x:c r="P389" s="9" t="str">
        <x:v>PDF pp. 2–11; Figs. 1–13; Table 1</x:v>
      </x:c>
    </x:row>
    <x:row r="390">
      <x:c r="A390" s="9" t="n">
        <x:v>49</x:v>
      </x:c>
      <x:c r="B390" s="9" t="str">
        <x:v>S061</x:v>
      </x:c>
      <x:c r="C390" s="9" t="str">
        <x:v>Kumar et al. (2026)</x:v>
      </x:c>
      <x:c r="D390" s="9" t="str">
        <x:v>L5</x:v>
      </x:c>
      <x:c r="E390" s="9" t="str">
        <x:v>0</x:v>
      </x:c>
      <x:c r="F390" s="9" t="str">
        <x:v>0</x:v>
      </x:c>
      <x:c r="G390" s="9" t="str">
        <x:v>Yes</x:v>
      </x:c>
      <x:c r="H390" s="9" t="str">
        <x:v>Agree</x:v>
      </x:c>
      <x:c r="I390" s="9" t="str">
        <x:v>0</x:v>
      </x:c>
      <x:c r="J390" s="9" t="str">
        <x:v>Final agreement</x:v>
      </x:c>
      <x:c r="K390" s="9" t="str">
        <x:v>The million-cycle result is a simulation; no experimental ≥3-cycle retention test was identified.</x:v>
      </x:c>
      <x:c r="L390" s="9" t="str">
        <x:v>PDF pp. 2–11; Figs. 1–13; Table 1</x:v>
      </x:c>
      <x:c r="M390" s="9" t="str">
        <x:v>Repeated testing lacks either a clear count/range or a qualifying stability/retention/failure outcome.</x:v>
      </x:c>
      <x:c r="N390" s="9" t="str">
        <x:v>Article PDF p. 12</x:v>
      </x:c>
      <x:c r="O390" s="9" t="str">
        <x:v>The million-cycle result is a simulation; no experimental ≥3-cycle retention test was identified.</x:v>
      </x:c>
      <x:c r="P390" s="9" t="str">
        <x:v>PDF pp. 2–11; Figs. 1–13; Table 1</x:v>
      </x:c>
    </x:row>
    <x:row r="391">
      <x:c r="A391" s="9" t="n">
        <x:v>49</x:v>
      </x:c>
      <x:c r="B391" s="9" t="str">
        <x:v>S061</x:v>
      </x:c>
      <x:c r="C391" s="9" t="str">
        <x:v>Kumar et al. (2026)</x:v>
      </x:c>
      <x:c r="D391" s="9" t="str">
        <x:v>L6</x:v>
      </x:c>
      <x:c r="E391" s="9" t="str">
        <x:v>1</x:v>
      </x:c>
      <x:c r="F391" s="9" t="str">
        <x:v>1</x:v>
      </x:c>
      <x:c r="G391" s="9" t="str">
        <x:v>Yes</x:v>
      </x:c>
      <x:c r="H391" s="9" t="str">
        <x:v>Agree</x:v>
      </x:c>
      <x:c r="I391" s="9" t="str">
        <x:v>1</x:v>
      </x:c>
      <x:c r="J391" s="9" t="str">
        <x:v>Final agreement</x:v>
      </x:c>
      <x:c r="K391" s="9" t="str">
        <x:v>Response was compared between stated with-wear/without-wear assembly-loading states.</x:v>
      </x:c>
      <x:c r="L391" s="9" t="str">
        <x:v>PDF pp. 2–11; Figs. 1–13; Table 1</x:v>
      </x:c>
      <x:c r="M391" s="9" t="str">
        <x:v>Final rating supersedes the earlier rating; no revised narrative reason was supplied.</x:v>
      </x:c>
      <x:c r="N391" s="9" t="str">
        <x:v>Finalized reviewer-rating workbook</x:v>
      </x:c>
      <x:c r="O391" s="9" t="str">
        <x:v>Response was compared between stated with-wear/without-wear assembly-loading states.</x:v>
      </x:c>
      <x:c r="P391" s="9" t="str">
        <x:v>PDF pp. 2–11; Figs. 1–13; Table 1</x:v>
      </x:c>
    </x:row>
    <x:row r="392">
      <x:c r="A392" s="9" t="n">
        <x:v>49</x:v>
      </x:c>
      <x:c r="B392" s="9" t="str">
        <x:v>S061</x:v>
      </x:c>
      <x:c r="C392" s="9" t="str">
        <x:v>Kumar et al. (2026)</x:v>
      </x:c>
      <x:c r="D392" s="9" t="str">
        <x:v>L7</x:v>
      </x:c>
      <x:c r="E392" s="9" t="str">
        <x:v>0</x:v>
      </x:c>
      <x:c r="F392" s="9" t="str">
        <x:v>0</x:v>
      </x:c>
      <x:c r="G392" s="9" t="str">
        <x:v>Yes</x:v>
      </x:c>
      <x:c r="H392" s="9" t="str">
        <x:v>Agree</x:v>
      </x:c>
      <x:c r="I392" s="9" t="str">
        <x:v>0</x:v>
      </x:c>
      <x:c r="J392" s="9" t="str">
        <x:v>Final agreement</x:v>
      </x:c>
      <x:c r="K392" s="9" t="str">
        <x:v>The million-cycle fatigue result is an ANSYS prediction. The worn measurements concern static pressure/antenna response.</x:v>
      </x:c>
      <x:c r="L392" s="9" t="str">
        <x:v>S061_Main.pdf, physical p. 6, fatigue simulation; pp. 7-8, Fig. 11/Table 2.</x:v>
      </x:c>
      <x:c r="M392" s="9" t="str">
        <x:v>The million-cycle fatigue result is an ANSYS prediction. The worn measurements concern static pressure/antenna response.</x:v>
      </x:c>
      <x:c r="N392" s="9" t="str">
        <x:v>S061_Main.pdf, physical p. 6, fatigue simulation; pp. 7-8, Fig. 11/Table 2.</x:v>
      </x:c>
      <x:c r="O392" s="9" t="str">
        <x:v>The million-cycle fatigue result is an ANSYS prediction. The worn measurements concern static pressure/antenna response.</x:v>
      </x:c>
      <x:c r="P392" s="9" t="str">
        <x:v>S061_Main.pdf, physical p. 6, fatigue simulation; pp. 7-8, Fig. 11/Table 2.</x:v>
      </x:c>
    </x:row>
    <x:row r="393">
      <x:c r="A393" s="9" t="n">
        <x:v>49</x:v>
      </x:c>
      <x:c r="B393" s="9" t="str">
        <x:v>S061</x:v>
      </x:c>
      <x:c r="C393" s="9" t="str">
        <x:v>Kumar et al. (2026)</x:v>
      </x:c>
      <x:c r="D393" s="9" t="str">
        <x:v>L8</x:v>
      </x:c>
      <x:c r="E393" s="9" t="str">
        <x:v>0</x:v>
      </x:c>
      <x:c r="F393" s="9" t="str">
        <x:v>0</x:v>
      </x:c>
      <x:c r="G393" s="9" t="str">
        <x:v>Yes</x:v>
      </x:c>
      <x:c r="H393" s="9" t="str">
        <x:v>Agree</x:v>
      </x:c>
      <x:c r="I393" s="9" t="str">
        <x:v>0</x:v>
      </x:c>
      <x:c r="J393" s="9" t="str">
        <x:v>Final agreement</x:v>
      </x:c>
      <x:c r="K393" s="9" t="str">
        <x:v>No ≥3 separately fabricated complete antennas were quantitatively compared.</x:v>
      </x:c>
      <x:c r="L393" s="9" t="str">
        <x:v>PDF pp. 2–11; Figs. 1–13; Table 1</x:v>
      </x:c>
      <x:c r="M393" s="9" t="str">
        <x:v>At least three equivalent independently fabricated units with quantified between-unit variation are not reported.</x:v>
      </x:c>
      <x:c r="N393" s="9" t="str">
        <x:v>Article PDF p. 6</x:v>
      </x:c>
      <x:c r="O393" s="9" t="str">
        <x:v>No ≥3 separately fabricated complete antennas were quantitatively compared.</x:v>
      </x:c>
      <x:c r="P393" s="9" t="str">
        <x:v>PDF pp. 2–11; Figs. 1–13; Table 1</x:v>
      </x:c>
    </x:row>
    <x:row r="394">
      <x:c r="A394" s="9" t="n">
        <x:v>50</x:v>
      </x:c>
      <x:c r="B394" s="9" t="str">
        <x:v>S063</x:v>
      </x:c>
      <x:c r="C394" s="9" t="str">
        <x:v>Wu et al. (2026)</x:v>
      </x:c>
      <x:c r="D394" s="9" t="str">
        <x:v>L1</x:v>
      </x:c>
      <x:c r="E394" s="9" t="str">
        <x:v>1</x:v>
      </x:c>
      <x:c r="F394" s="9" t="str">
        <x:v>1</x:v>
      </x:c>
      <x:c r="G394" s="9" t="str">
        <x:v>Yes</x:v>
      </x:c>
      <x:c r="H394" s="9" t="str">
        <x:v>Agree</x:v>
      </x:c>
      <x:c r="I394" s="9" t="str">
        <x:v>1</x:v>
      </x:c>
      <x:c r="J394" s="9" t="str">
        <x:v>Final agreement</x:v>
      </x:c>
      <x:c r="K394" s="9" t="str">
        <x:v>Printer, TPU/CNT system, nozzle, temperatures, speed, layer height, infill and geometry are reported.</x:v>
      </x:c>
      <x:c r="L394" s="9" t="str">
        <x:v>PDF pp. 2–12; Figs. 1–9; Tables 1–2</x:v>
      </x:c>
      <x:c r="M394" s="9" t="str">
        <x:v>Reconstruction-relevant printer, material, temperature, layer, speed, path/geometry and post-processing details are reported.</x:v>
      </x:c>
      <x:c r="N394" s="9" t="str">
        <x:v>Article PDF p. 3</x:v>
      </x:c>
      <x:c r="O394" s="9" t="str">
        <x:v>Printer, TPU/CNT system, nozzle, temperatures, speed, layer height, infill and geometry are reported.</x:v>
      </x:c>
      <x:c r="P394" s="9" t="str">
        <x:v>PDF pp. 2–12; Figs. 1–9; Tables 1–2</x:v>
      </x:c>
    </x:row>
    <x:row r="395">
      <x:c r="A395" s="9" t="n">
        <x:v>50</x:v>
      </x:c>
      <x:c r="B395" s="9" t="str">
        <x:v>S063</x:v>
      </x:c>
      <x:c r="C395" s="9" t="str">
        <x:v>Wu et al. (2026)</x:v>
      </x:c>
      <x:c r="D395" s="9" t="str">
        <x:v>L2</x:v>
      </x:c>
      <x:c r="E395" s="9" t="str">
        <x:v>1</x:v>
      </x:c>
      <x:c r="F395" s="9" t="str">
        <x:v>1</x:v>
      </x:c>
      <x:c r="G395" s="9" t="str">
        <x:v>Yes</x:v>
      </x:c>
      <x:c r="H395" s="9" t="str">
        <x:v>Agree</x:v>
      </x:c>
      <x:c r="I395" s="9" t="str">
        <x:v>1</x:v>
      </x:c>
      <x:c r="J395" s="9" t="str">
        <x:v>Final agreement</x:v>
      </x:c>
      <x:c r="K395" s="9" t="str">
        <x:v>TPU grades, CNT treatment and electrical role are described.</x:v>
      </x:c>
      <x:c r="L395" s="9" t="str">
        <x:v>PDF pp. 2–12; Figs. 1–9; Tables 1–2</x:v>
      </x:c>
      <x:c r="M395" s="9" t="str">
        <x:v>Functional host, sensing constituent and relevant electrode/interface materials are identified.</x:v>
      </x:c>
      <x:c r="N395" s="9" t="str">
        <x:v>Article PDF p. 2</x:v>
      </x:c>
      <x:c r="O395" s="9" t="str">
        <x:v>TPU grades, CNT treatment and electrical role are described.</x:v>
      </x:c>
      <x:c r="P395" s="9" t="str">
        <x:v>PDF pp. 2–12; Figs. 1–9; Tables 1–2</x:v>
      </x:c>
    </x:row>
    <x:row r="396">
      <x:c r="A396" s="9" t="n">
        <x:v>50</x:v>
      </x:c>
      <x:c r="B396" s="9" t="str">
        <x:v>S063</x:v>
      </x:c>
      <x:c r="C396" s="9" t="str">
        <x:v>Wu et al. (2026)</x:v>
      </x:c>
      <x:c r="D396" s="9" t="str">
        <x:v>L3</x:v>
      </x:c>
      <x:c r="E396" s="9" t="str">
        <x:v>1</x:v>
      </x:c>
      <x:c r="F396" s="9" t="str">
        <x:v>1</x:v>
      </x:c>
      <x:c r="G396" s="9" t="str">
        <x:v>Yes</x:v>
      </x:c>
      <x:c r="H396" s="9" t="str">
        <x:v>Agree</x:v>
      </x:c>
      <x:c r="I396" s="9" t="str">
        <x:v>1</x:v>
      </x:c>
      <x:c r="J396" s="9" t="str">
        <x:v>Final agreement</x:v>
      </x:c>
      <x:c r="K396" s="9" t="str">
        <x:v>Controlled compression and body-action protocols are reported.</x:v>
      </x:c>
      <x:c r="L396" s="9" t="str">
        <x:v>PDF pp. 2–12; Figs. 1–9; Tables 1–2</x:v>
      </x:c>
      <x:c r="M396" s="9" t="str">
        <x:v>Sensor output is related to a controlled or independently measured input with a stated procedure and range.</x:v>
      </x:c>
      <x:c r="N396" s="9" t="str">
        <x:v>Article PDF p. 2</x:v>
      </x:c>
      <x:c r="O396" s="9" t="str">
        <x:v>Controlled compression and body-action protocols are reported.</x:v>
      </x:c>
      <x:c r="P396" s="9" t="str">
        <x:v>PDF pp. 2–12; Figs. 1–9; Tables 1–2</x:v>
      </x:c>
    </x:row>
    <x:row r="397">
      <x:c r="A397" s="9" t="n">
        <x:v>50</x:v>
      </x:c>
      <x:c r="B397" s="9" t="str">
        <x:v>S063</x:v>
      </x:c>
      <x:c r="C397" s="9" t="str">
        <x:v>Wu et al. (2026)</x:v>
      </x:c>
      <x:c r="D397" s="9" t="str">
        <x:v>L4</x:v>
      </x:c>
      <x:c r="E397" s="9" t="str">
        <x:v>1</x:v>
      </x:c>
      <x:c r="F397" s="9" t="str">
        <x:v>1</x:v>
      </x:c>
      <x:c r="G397" s="9" t="str">
        <x:v>Yes</x:v>
      </x:c>
      <x:c r="H397" s="9" t="str">
        <x:v>Agree</x:v>
      </x:c>
      <x:c r="I397" s="9" t="str">
        <x:v>1</x:v>
      </x:c>
      <x:c r="J397" s="9" t="str">
        <x:v>Final agreement</x:v>
      </x:c>
      <x:c r="K397" s="9" t="str">
        <x:v>Sensitivity, range and cycle behavior are quantitative.</x:v>
      </x:c>
      <x:c r="L397" s="9" t="str">
        <x:v>PDF pp. 2–12; Figs. 1–9; Tables 1–2</x:v>
      </x:c>
      <x:c r="M397" s="9" t="str">
        <x:v>A modality-appropriate quantitative response, units/calculation and operating range are reported.</x:v>
      </x:c>
      <x:c r="N397" s="9" t="str">
        <x:v>Article PDF p. 2</x:v>
      </x:c>
      <x:c r="O397" s="9" t="str">
        <x:v>Sensitivity, range and cycle behavior are quantitative.</x:v>
      </x:c>
      <x:c r="P397" s="9" t="str">
        <x:v>PDF pp. 2–12; Figs. 1–9; Tables 1–2</x:v>
      </x:c>
    </x:row>
    <x:row r="398">
      <x:c r="A398" s="9" t="n">
        <x:v>50</x:v>
      </x:c>
      <x:c r="B398" s="9" t="str">
        <x:v>S063</x:v>
      </x:c>
      <x:c r="C398" s="9" t="str">
        <x:v>Wu et al. (2026)</x:v>
      </x:c>
      <x:c r="D398" s="9" t="str">
        <x:v>L5</x:v>
      </x:c>
      <x:c r="E398" s="9" t="str">
        <x:v>1</x:v>
      </x:c>
      <x:c r="F398" s="9" t="str">
        <x:v>1</x:v>
      </x:c>
      <x:c r="G398" s="9" t="str">
        <x:v>Yes</x:v>
      </x:c>
      <x:c r="H398" s="9" t="str">
        <x:v>Agree</x:v>
      </x:c>
      <x:c r="I398" s="9" t="str">
        <x:v>1</x:v>
      </x:c>
      <x:c r="J398" s="9" t="str">
        <x:v>Final agreement</x:v>
      </x:c>
      <x:c r="K398" s="9" t="str">
        <x:v>Ten-cycle tests and a 1000-cycle endurance test report repeated response.</x:v>
      </x:c>
      <x:c r="L398" s="9" t="str">
        <x:v>PDF pp. 2–12; Figs. 1–9; Tables 1–2</x:v>
      </x:c>
      <x:c r="M398" s="9" t="str">
        <x:v>A stated repeated-test range/count is accompanied by a stability, hysteresis, retention or failure outcome.</x:v>
      </x:c>
      <x:c r="N398" s="9" t="str">
        <x:v>Article PDF p. 12</x:v>
      </x:c>
      <x:c r="O398" s="9" t="str">
        <x:v>Ten-cycle tests and a 1000-cycle endurance test report repeated response.</x:v>
      </x:c>
      <x:c r="P398" s="9" t="str">
        <x:v>PDF pp. 2–12; Figs. 1–9; Tables 1–2</x:v>
      </x:c>
    </x:row>
    <x:row r="399">
      <x:c r="A399" s="9" t="n">
        <x:v>50</x:v>
      </x:c>
      <x:c r="B399" s="9" t="str">
        <x:v>S063</x:v>
      </x:c>
      <x:c r="C399" s="9" t="str">
        <x:v>Wu et al. (2026)</x:v>
      </x:c>
      <x:c r="D399" s="9" t="str">
        <x:v>L6</x:v>
      </x:c>
      <x:c r="E399" s="9" t="str">
        <x:v>0</x:v>
      </x:c>
      <x:c r="F399" s="9" t="str">
        <x:v>0</x:v>
      </x:c>
      <x:c r="G399" s="9" t="str">
        <x:v>Yes</x:v>
      </x:c>
      <x:c r="H399" s="9" t="str">
        <x:v>Agree</x:v>
      </x:c>
      <x:c r="I399" s="9" t="str">
        <x:v>0</x:v>
      </x:c>
      <x:c r="J399" s="9" t="str">
        <x:v>Final agreement</x:v>
      </x:c>
      <x:c r="K399" s="9" t="str">
        <x:v>Humidity, sweat, washing and temperature were explicitly not investigated.</x:v>
      </x:c>
      <x:c r="L399" s="9" t="str">
        <x:v>PDF pp. 2–12; Figs. 1–9; Tables 1–2</x:v>
      </x:c>
      <x:c r="M399" s="9" t="str">
        <x:v>The authors explicitly state that humidity, sweat, washing and temperature effects were not investigated.</x:v>
      </x:c>
      <x:c r="N399" s="9" t="str">
        <x:v>Article PDF p. 13</x:v>
      </x:c>
      <x:c r="O399" s="9" t="str">
        <x:v>Humidity, sweat, washing and temperature were explicitly not investigated.</x:v>
      </x:c>
      <x:c r="P399" s="9" t="str">
        <x:v>PDF pp. 2–12; Figs. 1–9; Tables 1–2</x:v>
      </x:c>
    </x:row>
    <x:row r="400">
      <x:c r="A400" s="9" t="n">
        <x:v>50</x:v>
      </x:c>
      <x:c r="B400" s="9" t="str">
        <x:v>S063</x:v>
      </x:c>
      <x:c r="C400" s="9" t="str">
        <x:v>Wu et al. (2026)</x:v>
      </x:c>
      <x:c r="D400" s="9" t="str">
        <x:v>L7</x:v>
      </x:c>
      <x:c r="E400" s="9" t="str">
        <x:v>0</x:v>
      </x:c>
      <x:c r="F400" s="9" t="str">
        <x:v>0</x:v>
      </x:c>
      <x:c r="G400" s="9" t="str">
        <x:v>Yes</x:v>
      </x:c>
      <x:c r="H400" s="9" t="str">
        <x:v>Agree</x:v>
      </x:c>
      <x:c r="I400" s="9" t="str">
        <x:v>0</x:v>
      </x:c>
      <x:c r="J400" s="9" t="str">
        <x:v>Final agreement</x:v>
      </x:c>
      <x:c r="K400" s="9" t="str">
        <x:v>Final L7 rating from the targeted reassessment.</x:v>
      </x:c>
      <x:c r="L400" s="9" t="str">
        <x:v>Finalized reviewer-rating workbook</x:v>
      </x:c>
      <x:c r="M400" s="9" t="str">
        <x:v>Final L7 rating from the targeted reassessment.</x:v>
      </x:c>
      <x:c r="N400" s="9" t="str">
        <x:v>Finalized reviewer-rating workbook</x:v>
      </x:c>
      <x:c r="O400" s="9" t="str">
        <x:v>No qualifying interface-integrity test or repeated final monolithic wearable-assembly test with a retention/failure endpoint was located.</x:v>
      </x:c>
      <x:c r="P400" s="9" t="str">
        <x:v>PDF pp. 2–12; Figs. 1–9; Tables 1–2</x:v>
      </x:c>
    </x:row>
    <x:row r="401">
      <x:c r="A401" s="9" t="n">
        <x:v>50</x:v>
      </x:c>
      <x:c r="B401" s="9" t="str">
        <x:v>S063</x:v>
      </x:c>
      <x:c r="C401" s="9" t="str">
        <x:v>Wu et al. (2026)</x:v>
      </x:c>
      <x:c r="D401" s="9" t="str">
        <x:v>L8</x:v>
      </x:c>
      <x:c r="E401" s="9" t="str">
        <x:v>0</x:v>
      </x:c>
      <x:c r="F401" s="9" t="str">
        <x:v>0</x:v>
      </x:c>
      <x:c r="G401" s="9" t="str">
        <x:v>Yes</x:v>
      </x:c>
      <x:c r="H401" s="9" t="str">
        <x:v>Agree</x:v>
      </x:c>
      <x:c r="I401" s="9" t="str">
        <x:v>0</x:v>
      </x:c>
      <x:c r="J401" s="9" t="str">
        <x:v>Final agreement</x:v>
      </x:c>
      <x:c r="K401" s="9" t="str">
        <x:v>No ≥3 separately fabricated complete sensors were quantitatively compared.</x:v>
      </x:c>
      <x:c r="L401" s="9" t="str">
        <x:v>PDF pp. 2–12; Figs. 1–9; Tables 1–2</x:v>
      </x:c>
      <x:c r="M401" s="9" t="str">
        <x:v>At least three equivalent independently fabricated units with quantified between-unit variation are not reported.</x:v>
      </x:c>
      <x:c r="N401" s="9" t="str">
        <x:v>Article PDF p. 12</x:v>
      </x:c>
      <x:c r="O401" s="9" t="str">
        <x:v>No ≥3 separately fabricated complete sensors were quantitatively compared.</x:v>
      </x:c>
      <x:c r="P401" s="9" t="str">
        <x:v>PDF pp. 2–12; Figs. 1–9; Tables 1–2</x:v>
      </x:c>
    </x:row>
    <x:row r="402">
      <x:c r="A402" s="9" t="n">
        <x:v>51</x:v>
      </x:c>
      <x:c r="B402" s="9" t="str">
        <x:v>S064</x:v>
      </x:c>
      <x:c r="C402" s="9" t="str">
        <x:v>Tao et al. (2026)</x:v>
      </x:c>
      <x:c r="D402" s="9" t="str">
        <x:v>L1</x:v>
      </x:c>
      <x:c r="E402" s="9" t="str">
        <x:v>1</x:v>
      </x:c>
      <x:c r="F402" s="9" t="str">
        <x:v>1</x:v>
      </x:c>
      <x:c r="G402" s="9" t="str">
        <x:v>Yes</x:v>
      </x:c>
      <x:c r="H402" s="9" t="str">
        <x:v>Agree</x:v>
      </x:c>
      <x:c r="I402" s="9" t="str">
        <x:v>1</x:v>
      </x:c>
      <x:c r="J402" s="9" t="str">
        <x:v>Final agreement</x:v>
      </x:c>
      <x:c r="K402" s="9" t="str">
        <x:v>Printer, TPE, temperatures, speed, layer height, infill, raster and hybrid sequence are reported.</x:v>
      </x:c>
      <x:c r="L402" s="9" t="str">
        <x:v>PDF pp. 2–12; Figs. 1–10; Table 1</x:v>
      </x:c>
      <x:c r="M402" s="9" t="str">
        <x:v>Reconstruction-relevant printer, material, temperature, layer, speed, path/geometry and post-processing details are reported.</x:v>
      </x:c>
      <x:c r="N402" s="9" t="str">
        <x:v>Article PDF p. 3</x:v>
      </x:c>
      <x:c r="O402" s="9" t="str">
        <x:v>Printer, TPE, temperatures, speed, layer height, infill, raster and hybrid sequence are reported.</x:v>
      </x:c>
      <x:c r="P402" s="9" t="str">
        <x:v>PDF pp. 2–12; Figs. 1–10; Table 1</x:v>
      </x:c>
    </x:row>
    <x:row r="403">
      <x:c r="A403" s="9" t="n">
        <x:v>51</x:v>
      </x:c>
      <x:c r="B403" s="9" t="str">
        <x:v>S064</x:v>
      </x:c>
      <x:c r="C403" s="9" t="str">
        <x:v>Tao et al. (2026)</x:v>
      </x:c>
      <x:c r="D403" s="9" t="str">
        <x:v>L2</x:v>
      </x:c>
      <x:c r="E403" s="9" t="str">
        <x:v>1</x:v>
      </x:c>
      <x:c r="F403" s="9" t="str">
        <x:v>1</x:v>
      </x:c>
      <x:c r="G403" s="9" t="str">
        <x:v>Yes</x:v>
      </x:c>
      <x:c r="H403" s="9" t="str">
        <x:v>Agree</x:v>
      </x:c>
      <x:c r="I403" s="9" t="str">
        <x:v>1</x:v>
      </x:c>
      <x:c r="J403" s="9" t="str">
        <x:v>Final agreement</x:v>
      </x:c>
      <x:c r="K403" s="9" t="str">
        <x:v>Host, conductive filament, conductors, insulation and embedded geometry are described.</x:v>
      </x:c>
      <x:c r="L403" s="9" t="str">
        <x:v>PDF pp. 2–12; Figs. 1–10; Table 1</x:v>
      </x:c>
      <x:c r="M403" s="9" t="str">
        <x:v>Functional host, sensing constituent and relevant electrode/interface materials are identified.</x:v>
      </x:c>
      <x:c r="N403" s="9" t="str">
        <x:v>Article PDF p. 1</x:v>
      </x:c>
      <x:c r="O403" s="9" t="str">
        <x:v>Host, conductive filament, conductors, insulation and embedded geometry are described.</x:v>
      </x:c>
      <x:c r="P403" s="9" t="str">
        <x:v>PDF pp. 2–12; Figs. 1–10; Table 1</x:v>
      </x:c>
    </x:row>
    <x:row r="404">
      <x:c r="A404" s="9" t="n">
        <x:v>51</x:v>
      </x:c>
      <x:c r="B404" s="9" t="str">
        <x:v>S064</x:v>
      </x:c>
      <x:c r="C404" s="9" t="str">
        <x:v>Tao et al. (2026)</x:v>
      </x:c>
      <x:c r="D404" s="9" t="str">
        <x:v>L3</x:v>
      </x:c>
      <x:c r="E404" s="9" t="str">
        <x:v>1</x:v>
      </x:c>
      <x:c r="F404" s="9" t="str">
        <x:v>1</x:v>
      </x:c>
      <x:c r="G404" s="9" t="str">
        <x:v>Yes</x:v>
      </x:c>
      <x:c r="H404" s="9" t="str">
        <x:v>Agree</x:v>
      </x:c>
      <x:c r="I404" s="9" t="str">
        <x:v>1</x:v>
      </x:c>
      <x:c r="J404" s="9" t="str">
        <x:v>Final agreement</x:v>
      </x:c>
      <x:c r="K404" s="9" t="str">
        <x:v>Controlled impact and application protocols are reported.</x:v>
      </x:c>
      <x:c r="L404" s="9" t="str">
        <x:v>PDF pp. 2–12; Figs. 1–10; Table 1</x:v>
      </x:c>
      <x:c r="M404" s="9" t="str">
        <x:v>Known tensile, compression and impact inputs were applied while strain-sensor resistance was recorded and compared with simulation.</x:v>
      </x:c>
      <x:c r="N404" s="9" t="str">
        <x:v>Article PDF pp. 4-7, Figures 2-5</x:v>
      </x:c>
      <x:c r="O404" s="9" t="str">
        <x:v>Controlled impact and application protocols are reported.</x:v>
      </x:c>
      <x:c r="P404" s="9" t="str">
        <x:v>PDF pp. 2–12; Figs. 1–10; Table 1</x:v>
      </x:c>
    </x:row>
    <x:row r="405">
      <x:c r="A405" s="9" t="n">
        <x:v>51</x:v>
      </x:c>
      <x:c r="B405" s="9" t="str">
        <x:v>S064</x:v>
      </x:c>
      <x:c r="C405" s="9" t="str">
        <x:v>Tao et al. (2026)</x:v>
      </x:c>
      <x:c r="D405" s="9" t="str">
        <x:v>L4</x:v>
      </x:c>
      <x:c r="E405" s="9" t="str">
        <x:v>1</x:v>
      </x:c>
      <x:c r="F405" s="9" t="str">
        <x:v>1</x:v>
      </x:c>
      <x:c r="G405" s="9" t="str">
        <x:v>Yes</x:v>
      </x:c>
      <x:c r="H405" s="9" t="str">
        <x:v>Agree</x:v>
      </x:c>
      <x:c r="I405" s="9" t="str">
        <x:v>1</x:v>
      </x:c>
      <x:c r="J405" s="9" t="str">
        <x:v>Final agreement</x:v>
      </x:c>
      <x:c r="K405" s="9" t="str">
        <x:v>Impact strain/resistance outputs and comparison with simulation are quantitative.</x:v>
      </x:c>
      <x:c r="L405" s="9" t="str">
        <x:v>PDF pp. 2–12; Figs. 1–10; Table 1</x:v>
      </x:c>
      <x:c r="M405" s="9" t="str">
        <x:v>Gauge factor and resistance-strain/impact responses are reported over stated strain and velocity ranges.</x:v>
      </x:c>
      <x:c r="N405" s="9" t="str">
        <x:v>Article PDF pp. 4-7</x:v>
      </x:c>
      <x:c r="O405" s="9" t="str">
        <x:v>Impact strain/resistance outputs and comparison with simulation are quantitative.</x:v>
      </x:c>
      <x:c r="P405" s="9" t="str">
        <x:v>PDF pp. 2–12; Figs. 1–10; Table 1</x:v>
      </x:c>
    </x:row>
    <x:row r="406">
      <x:c r="A406" s="9" t="n">
        <x:v>51</x:v>
      </x:c>
      <x:c r="B406" s="9" t="str">
        <x:v>S064</x:v>
      </x:c>
      <x:c r="C406" s="9" t="str">
        <x:v>Tao et al. (2026)</x:v>
      </x:c>
      <x:c r="D406" s="9" t="str">
        <x:v>L5</x:v>
      </x:c>
      <x:c r="E406" s="9" t="str">
        <x:v>1</x:v>
      </x:c>
      <x:c r="F406" s="9" t="str">
        <x:v>1</x:v>
      </x:c>
      <x:c r="G406" s="9" t="str">
        <x:v>Yes</x:v>
      </x:c>
      <x:c r="H406" s="9" t="str">
        <x:v>Agree</x:v>
      </x:c>
      <x:c r="I406" s="9" t="str">
        <x:v>1</x:v>
      </x:c>
      <x:c r="J406" s="9" t="str">
        <x:v>Final agreement</x:v>
      </x:c>
      <x:c r="K406" s="9" t="str">
        <x:v>Repeated impacts provide ≥3 observations and expose irreversible baseline change.</x:v>
      </x:c>
      <x:c r="L406" s="9" t="str">
        <x:v>PDF pp. 2–12; Figs. 1–10; Table 1</x:v>
      </x:c>
      <x:c r="M406" s="9" t="str">
        <x:v>Final rating supersedes the earlier rating; no revised narrative reason was supplied.</x:v>
      </x:c>
      <x:c r="N406" s="9" t="str">
        <x:v>Finalized reviewer-rating workbook</x:v>
      </x:c>
      <x:c r="O406" s="9" t="str">
        <x:v>Repeated impacts provide ≥3 observations and expose irreversible baseline change.</x:v>
      </x:c>
      <x:c r="P406" s="9" t="str">
        <x:v>PDF pp. 2–12; Figs. 1–10; Table 1</x:v>
      </x:c>
    </x:row>
    <x:row r="407">
      <x:c r="A407" s="9" t="n">
        <x:v>51</x:v>
      </x:c>
      <x:c r="B407" s="9" t="str">
        <x:v>S064</x:v>
      </x:c>
      <x:c r="C407" s="9" t="str">
        <x:v>Tao et al. (2026)</x:v>
      </x:c>
      <x:c r="D407" s="9" t="str">
        <x:v>L6</x:v>
      </x:c>
      <x:c r="E407" s="9" t="str">
        <x:v>0</x:v>
      </x:c>
      <x:c r="F407" s="9" t="str">
        <x:v>0</x:v>
      </x:c>
      <x:c r="G407" s="9" t="str">
        <x:v>Yes</x:v>
      </x:c>
      <x:c r="H407" s="9" t="str">
        <x:v>Agree</x:v>
      </x:c>
      <x:c r="I407" s="9" t="str">
        <x:v>0</x:v>
      </x:c>
      <x:c r="J407" s="9" t="str">
        <x:v>Final agreement</x:v>
      </x:c>
      <x:c r="K407" s="9" t="str">
        <x:v>Impact is the intended measurand; no separate environmental/use exposure was tested.</x:v>
      </x:c>
      <x:c r="L407" s="9" t="str">
        <x:v>PDF pp. 2–12; Figs. 1–10; Table 1</x:v>
      </x:c>
      <x:c r="M407" s="9" t="str">
        <x:v>No qualifying response under a declared non-measurand environmental/use exposure is reported.</x:v>
      </x:c>
      <x:c r="N407" s="9" t="str">
        <x:v>Article PDF p. 11</x:v>
      </x:c>
      <x:c r="O407" s="9" t="str">
        <x:v>Impact is the intended measurand; no separate environmental/use exposure was tested.</x:v>
      </x:c>
      <x:c r="P407" s="9" t="str">
        <x:v>PDF pp. 2–12; Figs. 1–10; Table 1</x:v>
      </x:c>
    </x:row>
    <x:row r="408">
      <x:c r="A408" s="9" t="n">
        <x:v>51</x:v>
      </x:c>
      <x:c r="B408" s="9" t="str">
        <x:v>S064</x:v>
      </x:c>
      <x:c r="C408" s="9" t="str">
        <x:v>Tao et al. (2026)</x:v>
      </x:c>
      <x:c r="D408" s="9" t="str">
        <x:v>L7</x:v>
      </x:c>
      <x:c r="E408" s="9" t="str">
        <x:v>0</x:v>
      </x:c>
      <x:c r="F408" s="9" t="str">
        <x:v>0</x:v>
      </x:c>
      <x:c r="G408" s="9" t="str">
        <x:v>Yes</x:v>
      </x:c>
      <x:c r="H408" s="9" t="str">
        <x:v>Agree</x:v>
      </x:c>
      <x:c r="I408" s="9" t="str">
        <x:v>0</x:v>
      </x:c>
      <x:c r="J408" s="9" t="str">
        <x:v>Final agreement</x:v>
      </x:c>
      <x:c r="K408" s="9" t="str">
        <x:v>Final L7 rating from the targeted reassessment.</x:v>
      </x:c>
      <x:c r="L408" s="9" t="str">
        <x:v>Finalized reviewer-rating workbook</x:v>
      </x:c>
      <x:c r="M408" s="9" t="str">
        <x:v>Final L7 rating from the targeted reassessment.</x:v>
      </x:c>
      <x:c r="N408" s="9" t="str">
        <x:v>Finalized reviewer-rating workbook</x:v>
      </x:c>
      <x:c r="O408" s="9" t="str">
        <x:v>No qualifying interface-integrity test or repeated final monolithic wearable-assembly test with a retention/failure endpoint was located.</x:v>
      </x:c>
      <x:c r="P408" s="9" t="str">
        <x:v>PDF pp. 2–12; Figs. 1–10; Table 1</x:v>
      </x:c>
    </x:row>
    <x:row r="409">
      <x:c r="A409" s="9" t="n">
        <x:v>51</x:v>
      </x:c>
      <x:c r="B409" s="9" t="str">
        <x:v>S064</x:v>
      </x:c>
      <x:c r="C409" s="9" t="str">
        <x:v>Tao et al. (2026)</x:v>
      </x:c>
      <x:c r="D409" s="9" t="str">
        <x:v>L8</x:v>
      </x:c>
      <x:c r="E409" s="9" t="str">
        <x:v>0</x:v>
      </x:c>
      <x:c r="F409" s="9" t="str">
        <x:v>0</x:v>
      </x:c>
      <x:c r="G409" s="9" t="str">
        <x:v>Yes</x:v>
      </x:c>
      <x:c r="H409" s="9" t="str">
        <x:v>Agree</x:v>
      </x:c>
      <x:c r="I409" s="9" t="str">
        <x:v>0</x:v>
      </x:c>
      <x:c r="J409" s="9" t="str">
        <x:v>Final agreement</x:v>
      </x:c>
      <x:c r="K409" s="9" t="str">
        <x:v>Five specimens were assigned different velocities; same-condition between-device variation was not reported.</x:v>
      </x:c>
      <x:c r="L409" s="9" t="str">
        <x:v>PDF pp. 2–12; Figs. 1–10; Table 1</x:v>
      </x:c>
      <x:c r="M409" s="9" t="str">
        <x:v>Final rating supersedes the earlier rating; no revised narrative reason was supplied.</x:v>
      </x:c>
      <x:c r="N409" s="9" t="str">
        <x:v>Finalized reviewer-rating workbook</x:v>
      </x:c>
      <x:c r="O409" s="9" t="str">
        <x:v>Five specimens were assigned different velocities; same-condition between-device variation was not reported.</x:v>
      </x:c>
      <x:c r="P409" s="9" t="str">
        <x:v>PDF pp. 2–12; Figs. 1–10; Table 1</x:v>
      </x:c>
    </x:row>
    <x:row r="410">
      <x:c r="A410" s="9" t="n">
        <x:v>52</x:v>
      </x:c>
      <x:c r="B410" s="9" t="str">
        <x:v>S065</x:v>
      </x:c>
      <x:c r="C410" s="9" t="str">
        <x:v>Han et al. (2026)</x:v>
      </x:c>
      <x:c r="D410" s="9" t="str">
        <x:v>L1</x:v>
      </x:c>
      <x:c r="E410" s="9" t="str">
        <x:v>0</x:v>
      </x:c>
      <x:c r="F410" s="9" t="str">
        <x:v>0</x:v>
      </x:c>
      <x:c r="G410" s="9" t="str">
        <x:v>Yes</x:v>
      </x:c>
      <x:c r="H410" s="9" t="str">
        <x:v>Agree</x:v>
      </x:c>
      <x:c r="I410" s="9" t="str">
        <x:v>0</x:v>
      </x:c>
      <x:c r="J410" s="9" t="str">
        <x:v>Final agreement</x:v>
      </x:c>
      <x:c r="K410" s="9" t="str">
        <x:v>Direct FDM, material and nozzle are reported, but printer model, temperature, speed and layer height are absent.</x:v>
      </x:c>
      <x:c r="L410" s="9" t="str">
        <x:v>PDF pp. 2–9; Figs. 1–7</x:v>
      </x:c>
      <x:c r="M410" s="9" t="str">
        <x:v>Fabrication is described, but reconstruction-critical temperature, layer height, orientation/toolpath details are not reported.</x:v>
      </x:c>
      <x:c r="N410" s="9" t="str">
        <x:v>Article PDF p. 2</x:v>
      </x:c>
      <x:c r="O410" s="9" t="str">
        <x:v>Direct FDM, material and nozzle are reported, but printer model, temperature, speed and layer height are absent.</x:v>
      </x:c>
      <x:c r="P410" s="9" t="str">
        <x:v>PDF pp. 2–9; Figs. 1–7</x:v>
      </x:c>
    </x:row>
    <x:row r="411">
      <x:c r="A411" s="9" t="n">
        <x:v>52</x:v>
      </x:c>
      <x:c r="B411" s="9" t="str">
        <x:v>S065</x:v>
      </x:c>
      <x:c r="C411" s="9" t="str">
        <x:v>Han et al. (2026)</x:v>
      </x:c>
      <x:c r="D411" s="9" t="str">
        <x:v>L2</x:v>
      </x:c>
      <x:c r="E411" s="9" t="str">
        <x:v>1</x:v>
      </x:c>
      <x:c r="F411" s="9" t="str">
        <x:v>1</x:v>
      </x:c>
      <x:c r="G411" s="9" t="str">
        <x:v>Yes</x:v>
      </x:c>
      <x:c r="H411" s="9" t="str">
        <x:v>Agree</x:v>
      </x:c>
      <x:c r="I411" s="9" t="str">
        <x:v>1</x:v>
      </x:c>
      <x:c r="J411" s="9" t="str">
        <x:v>Final agreement</x:v>
      </x:c>
      <x:c r="K411" s="9" t="str">
        <x:v>TPE substrate, surface microstructure, PEDOT:PSS treatment and contacts are described.</x:v>
      </x:c>
      <x:c r="L411" s="9" t="str">
        <x:v>PDF pp. 2–9; Figs. 1–7</x:v>
      </x:c>
      <x:c r="M411" s="9" t="str">
        <x:v>Functional host, sensing constituent and relevant electrode/interface materials are identified.</x:v>
      </x:c>
      <x:c r="N411" s="9" t="str">
        <x:v>Article PDF p. 2</x:v>
      </x:c>
      <x:c r="O411" s="9" t="str">
        <x:v>TPE substrate, surface microstructure, PEDOT:PSS treatment and contacts are described.</x:v>
      </x:c>
      <x:c r="P411" s="9" t="str">
        <x:v>PDF pp. 2–9; Figs. 1–7</x:v>
      </x:c>
    </x:row>
    <x:row r="412">
      <x:c r="A412" s="9" t="n">
        <x:v>52</x:v>
      </x:c>
      <x:c r="B412" s="9" t="str">
        <x:v>S065</x:v>
      </x:c>
      <x:c r="C412" s="9" t="str">
        <x:v>Han et al. (2026)</x:v>
      </x:c>
      <x:c r="D412" s="9" t="str">
        <x:v>L3</x:v>
      </x:c>
      <x:c r="E412" s="9" t="str">
        <x:v>1</x:v>
      </x:c>
      <x:c r="F412" s="9" t="str">
        <x:v>1</x:v>
      </x:c>
      <x:c r="G412" s="9" t="str">
        <x:v>Yes</x:v>
      </x:c>
      <x:c r="H412" s="9" t="str">
        <x:v>Agree</x:v>
      </x:c>
      <x:c r="I412" s="9" t="str">
        <x:v>1</x:v>
      </x:c>
      <x:c r="J412" s="9" t="str">
        <x:v>Final agreement</x:v>
      </x:c>
      <x:c r="K412" s="9" t="str">
        <x:v>Controlled pressure and application protocols are reported.</x:v>
      </x:c>
      <x:c r="L412" s="9" t="str">
        <x:v>PDF pp. 2–9; Figs. 1–7</x:v>
      </x:c>
      <x:c r="M412" s="9" t="str">
        <x:v>Sensor output is related to a controlled or independently measured input with a stated procedure and range.</x:v>
      </x:c>
      <x:c r="N412" s="9" t="str">
        <x:v>Article PDF p. 5</x:v>
      </x:c>
      <x:c r="O412" s="9" t="str">
        <x:v>Controlled pressure and application protocols are reported.</x:v>
      </x:c>
      <x:c r="P412" s="9" t="str">
        <x:v>PDF pp. 2–9; Figs. 1–7</x:v>
      </x:c>
    </x:row>
    <x:row r="413">
      <x:c r="A413" s="9" t="n">
        <x:v>52</x:v>
      </x:c>
      <x:c r="B413" s="9" t="str">
        <x:v>S065</x:v>
      </x:c>
      <x:c r="C413" s="9" t="str">
        <x:v>Han et al. (2026)</x:v>
      </x:c>
      <x:c r="D413" s="9" t="str">
        <x:v>L4</x:v>
      </x:c>
      <x:c r="E413" s="9" t="str">
        <x:v>1</x:v>
      </x:c>
      <x:c r="F413" s="9" t="str">
        <x:v>1</x:v>
      </x:c>
      <x:c r="G413" s="9" t="str">
        <x:v>Yes</x:v>
      </x:c>
      <x:c r="H413" s="9" t="str">
        <x:v>Agree</x:v>
      </x:c>
      <x:c r="I413" s="9" t="str">
        <x:v>1</x:v>
      </x:c>
      <x:c r="J413" s="9" t="str">
        <x:v>Final agreement</x:v>
      </x:c>
      <x:c r="K413" s="9" t="str">
        <x:v>Sensitivity, range, response time and SNR are quantitative.</x:v>
      </x:c>
      <x:c r="L413" s="9" t="str">
        <x:v>PDF pp. 2–9; Figs. 1–7</x:v>
      </x:c>
      <x:c r="M413" s="9" t="str">
        <x:v>A modality-appropriate quantitative response, units/calculation and operating range are reported.</x:v>
      </x:c>
      <x:c r="N413" s="9" t="str">
        <x:v>Article PDF p. 2</x:v>
      </x:c>
      <x:c r="O413" s="9" t="str">
        <x:v>Sensitivity, range, response time and SNR are quantitative.</x:v>
      </x:c>
      <x:c r="P413" s="9" t="str">
        <x:v>PDF pp. 2–9; Figs. 1–7</x:v>
      </x:c>
    </x:row>
    <x:row r="414">
      <x:c r="A414" s="9" t="n">
        <x:v>52</x:v>
      </x:c>
      <x:c r="B414" s="9" t="str">
        <x:v>S065</x:v>
      </x:c>
      <x:c r="C414" s="9" t="str">
        <x:v>Han et al. (2026)</x:v>
      </x:c>
      <x:c r="D414" s="9" t="str">
        <x:v>L5</x:v>
      </x:c>
      <x:c r="E414" s="9" t="str">
        <x:v>1</x:v>
      </x:c>
      <x:c r="F414" s="9" t="str">
        <x:v>1</x:v>
      </x:c>
      <x:c r="G414" s="9" t="str">
        <x:v>Yes</x:v>
      </x:c>
      <x:c r="H414" s="9" t="str">
        <x:v>Agree</x:v>
      </x:c>
      <x:c r="I414" s="9" t="str">
        <x:v>1</x:v>
      </x:c>
      <x:c r="J414" s="9" t="str">
        <x:v>Final agreement</x:v>
      </x:c>
      <x:c r="K414" s="9" t="str">
        <x:v>Ten loading cycles report repeated response.</x:v>
      </x:c>
      <x:c r="L414" s="9" t="str">
        <x:v>PDF pp. 2–9; Figs. 1–7</x:v>
      </x:c>
      <x:c r="M414" s="9" t="str">
        <x:v>A stated repeated-test range/count is accompanied by a stability, hysteresis, retention or failure outcome.</x:v>
      </x:c>
      <x:c r="N414" s="9" t="str">
        <x:v>Article PDF p. 8</x:v>
      </x:c>
      <x:c r="O414" s="9" t="str">
        <x:v>Ten loading cycles report repeated response.</x:v>
      </x:c>
      <x:c r="P414" s="9" t="str">
        <x:v>PDF pp. 2–9; Figs. 1–7</x:v>
      </x:c>
    </x:row>
    <x:row r="415">
      <x:c r="A415" s="9" t="n">
        <x:v>52</x:v>
      </x:c>
      <x:c r="B415" s="9" t="str">
        <x:v>S065</x:v>
      </x:c>
      <x:c r="C415" s="9" t="str">
        <x:v>Han et al. (2026)</x:v>
      </x:c>
      <x:c r="D415" s="9" t="str">
        <x:v>L6</x:v>
      </x:c>
      <x:c r="E415" s="9" t="str">
        <x:v>0</x:v>
      </x:c>
      <x:c r="F415" s="9" t="str">
        <x:v>0</x:v>
      </x:c>
      <x:c r="G415" s="9" t="str">
        <x:v>Yes</x:v>
      </x:c>
      <x:c r="H415" s="9" t="str">
        <x:v>Agree</x:v>
      </x:c>
      <x:c r="I415" s="9" t="str">
        <x:v>0</x:v>
      </x:c>
      <x:c r="J415" s="9" t="str">
        <x:v>Final agreement</x:v>
      </x:c>
      <x:c r="K415" s="9" t="str">
        <x:v>No qualifying environmental or separate use-related exposure was reported.</x:v>
      </x:c>
      <x:c r="L415" s="9" t="str">
        <x:v>PDF pp. 2–9; Figs. 1–7</x:v>
      </x:c>
      <x:c r="M415" s="9" t="str">
        <x:v>No qualifying response under a declared non-measurand environmental/use exposure is reported.</x:v>
      </x:c>
      <x:c r="N415" s="9" t="str">
        <x:v>Article PDF p. 2</x:v>
      </x:c>
      <x:c r="O415" s="9" t="str">
        <x:v>No qualifying environmental or separate use-related exposure was reported.</x:v>
      </x:c>
      <x:c r="P415" s="9" t="str">
        <x:v>PDF pp. 2–9; Figs. 1–7</x:v>
      </x:c>
    </x:row>
    <x:row r="416">
      <x:c r="A416" s="9" t="n">
        <x:v>52</x:v>
      </x:c>
      <x:c r="B416" s="9" t="str">
        <x:v>S065</x:v>
      </x:c>
      <x:c r="C416" s="9" t="str">
        <x:v>Han et al. (2026)</x:v>
      </x:c>
      <x:c r="D416" s="9" t="str">
        <x:v>L7</x:v>
      </x:c>
      <x:c r="E416" s="9" t="str">
        <x:v>1</x:v>
      </x:c>
      <x:c r="F416" s="9" t="str">
        <x:v>1</x:v>
      </x:c>
      <x:c r="G416" s="9" t="str">
        <x:v>Yes</x:v>
      </x:c>
      <x:c r="H416" s="9" t="str">
        <x:v>Agree</x:v>
      </x:c>
      <x:c r="I416" s="9" t="str">
        <x:v>1</x:v>
      </x:c>
      <x:c r="J416" s="9" t="str">
        <x:v>Final agreement</x:v>
      </x:c>
      <x:c r="K416" s="9" t="str">
        <x:v>The authors explicitly evaluate durability during repeated bending and report no delamination or loss of sensitivity, with consistent cycle responses and SNR 34.12 ± 0.72.</x:v>
      </x:c>
      <x:c r="L416" s="9" t="str">
        <x:v>S065_Main.pdf, physical pp. 8-9, section 3.4/Fig. 7c-d.</x:v>
      </x:c>
      <x:c r="M416" s="9" t="str">
        <x:v>The authors explicitly evaluate durability during repeated bending and report no delamination or loss of sensitivity, with consistent cycle responses and SNR 34.12 ± 0.72.</x:v>
      </x:c>
      <x:c r="N416" s="9" t="str">
        <x:v>S065_Main.pdf, physical pp. 8-9, section 3.4/Fig. 7c-d.</x:v>
      </x:c>
      <x:c r="O416" s="9" t="str">
        <x:v>The authors explicitly evaluate durability during repeated bending and report no delamination or loss of sensitivity, with consistent cycle responses and SNR 34.12 ± 0.72.</x:v>
      </x:c>
      <x:c r="P416" s="9" t="str">
        <x:v>S065_Main.pdf, physical pp. 8-9, section 3.4/Fig. 7c-d.</x:v>
      </x:c>
    </x:row>
    <x:row r="417">
      <x:c r="A417" s="9" t="n">
        <x:v>52</x:v>
      </x:c>
      <x:c r="B417" s="9" t="str">
        <x:v>S065</x:v>
      </x:c>
      <x:c r="C417" s="9" t="str">
        <x:v>Han et al. (2026)</x:v>
      </x:c>
      <x:c r="D417" s="9" t="str">
        <x:v>L8</x:v>
      </x:c>
      <x:c r="E417" s="9" t="str">
        <x:v>1</x:v>
      </x:c>
      <x:c r="F417" s="9" t="str">
        <x:v>1</x:v>
      </x:c>
      <x:c r="G417" s="9" t="str">
        <x:v>Yes</x:v>
      </x:c>
      <x:c r="H417" s="9" t="str">
        <x:v>Agree</x:v>
      </x:c>
      <x:c r="I417" s="9" t="str">
        <x:v>1</x:v>
      </x:c>
      <x:c r="J417" s="9" t="str">
        <x:v>Final agreement</x:v>
      </x:c>
      <x:c r="K417" s="9" t="str">
        <x:v>Four separately fabricated devices were quantitatively compared with cycle statistics.</x:v>
      </x:c>
      <x:c r="L417" s="9" t="str">
        <x:v>PDF pp. 2–9; Figs. 1–7</x:v>
      </x:c>
      <x:c r="M417" s="9" t="str">
        <x:v>Final rating supersedes the earlier rating; no revised narrative reason was supplied.</x:v>
      </x:c>
      <x:c r="N417" s="9" t="str">
        <x:v>Finalized reviewer-rating workbook</x:v>
      </x:c>
      <x:c r="O417" s="9" t="str">
        <x:v>Four separately fabricated devices were quantitatively compared with cycle statistics.</x:v>
      </x:c>
      <x:c r="P417" s="9" t="str">
        <x:v>PDF pp. 2–9; Figs. 1–7</x:v>
      </x:c>
    </x:row>
    <x:row r="418">
      <x:c r="A418" s="9" t="n">
        <x:v>53</x:v>
      </x:c>
      <x:c r="B418" s="9" t="str">
        <x:v>S066</x:v>
      </x:c>
      <x:c r="C418" s="9" t="str">
        <x:v>Saroli et al. (2026)</x:v>
      </x:c>
      <x:c r="D418" s="9" t="str">
        <x:v>L1</x:v>
      </x:c>
      <x:c r="E418" s="9" t="str">
        <x:v>0</x:v>
      </x:c>
      <x:c r="F418" s="9" t="str">
        <x:v>0</x:v>
      </x:c>
      <x:c r="G418" s="9" t="str">
        <x:v>Yes</x:v>
      </x:c>
      <x:c r="H418" s="9" t="str">
        <x:v>Agree</x:v>
      </x:c>
      <x:c r="I418" s="9" t="str">
        <x:v>0</x:v>
      </x:c>
      <x:c r="J418" s="9" t="str">
        <x:v>Final agreement</x:v>
      </x:c>
      <x:c r="K418" s="9" t="str">
        <x:v>Printer, active filament and geometry are stated, but essential settings are referred to prior work rather than reported here.</x:v>
      </x:c>
      <x:c r="L418" s="9" t="str">
        <x:v>PDF pp. 2–8; Figs. 1–8; Table I</x:v>
      </x:c>
      <x:c r="M418" s="9" t="str">
        <x:v>Fabrication is described, but reconstruction-critical nozzle, temperature, layer height, infill details are not reported.</x:v>
      </x:c>
      <x:c r="N418" s="9" t="str">
        <x:v>Article PDF p. 2</x:v>
      </x:c>
      <x:c r="O418" s="9" t="str">
        <x:v>Printer, active filament and geometry are stated, but essential settings are referred to prior work rather than reported here.</x:v>
      </x:c>
      <x:c r="P418" s="9" t="str">
        <x:v>PDF pp. 2–8; Figs. 1–8; Table I</x:v>
      </x:c>
    </x:row>
    <x:row r="419">
      <x:c r="A419" s="9" t="n">
        <x:v>53</x:v>
      </x:c>
      <x:c r="B419" s="9" t="str">
        <x:v>S066</x:v>
      </x:c>
      <x:c r="C419" s="9" t="str">
        <x:v>Saroli et al. (2026)</x:v>
      </x:c>
      <x:c r="D419" s="9" t="str">
        <x:v>L2</x:v>
      </x:c>
      <x:c r="E419" s="9" t="str">
        <x:v>1</x:v>
      </x:c>
      <x:c r="F419" s="9" t="str">
        <x:v>1</x:v>
      </x:c>
      <x:c r="G419" s="9" t="str">
        <x:v>Yes</x:v>
      </x:c>
      <x:c r="H419" s="9" t="str">
        <x:v>Agree</x:v>
      </x:c>
      <x:c r="I419" s="9" t="str">
        <x:v>1</x:v>
      </x:c>
      <x:c r="J419" s="9" t="str">
        <x:v>Final agreement</x:v>
      </x:c>
      <x:c r="K419" s="9" t="str">
        <x:v>CB-TPU sensor, conditioning circuits, PCB and wearable assembly are described.</x:v>
      </x:c>
      <x:c r="L419" s="9" t="str">
        <x:v>PDF pp. 2–8; Figs. 1–8; Table I</x:v>
      </x:c>
      <x:c r="M419" s="9" t="str">
        <x:v>Functional host, sensing constituent and relevant electrode/interface materials are identified.</x:v>
      </x:c>
      <x:c r="N419" s="9" t="str">
        <x:v>Article PDF p. 2</x:v>
      </x:c>
      <x:c r="O419" s="9" t="str">
        <x:v>CB-TPU sensor, conditioning circuits, PCB and wearable assembly are described.</x:v>
      </x:c>
      <x:c r="P419" s="9" t="str">
        <x:v>PDF pp. 2–8; Figs. 1–8; Table I</x:v>
      </x:c>
    </x:row>
    <x:row r="420">
      <x:c r="A420" s="9" t="n">
        <x:v>53</x:v>
      </x:c>
      <x:c r="B420" s="9" t="str">
        <x:v>S066</x:v>
      </x:c>
      <x:c r="C420" s="9" t="str">
        <x:v>Saroli et al. (2026)</x:v>
      </x:c>
      <x:c r="D420" s="9" t="str">
        <x:v>L3</x:v>
      </x:c>
      <x:c r="E420" s="9" t="str">
        <x:v>1</x:v>
      </x:c>
      <x:c r="F420" s="9" t="str">
        <x:v>1</x:v>
      </x:c>
      <x:c r="G420" s="9" t="str">
        <x:v>Yes</x:v>
      </x:c>
      <x:c r="H420" s="9" t="str">
        <x:v>Agree</x:v>
      </x:c>
      <x:c r="I420" s="9" t="str">
        <x:v>1</x:v>
      </x:c>
      <x:c r="J420" s="9" t="str">
        <x:v>Final agreement</x:v>
      </x:c>
      <x:c r="K420" s="9" t="str">
        <x:v>Defined breathing/activity protocols and a commercial reference are reported.</x:v>
      </x:c>
      <x:c r="L420" s="9" t="str">
        <x:v>PDF pp. 2–8; Figs. 1–8; Table I</x:v>
      </x:c>
      <x:c r="M420" s="9" t="str">
        <x:v>Respiratory-rate estimates were compared with a commercial chest-worn reference under static and dynamic protocols.</x:v>
      </x:c>
      <x:c r="N420" s="9" t="str">
        <x:v>Article PDF pp. 5-7, Figures 4-6</x:v>
      </x:c>
      <x:c r="O420" s="9" t="str">
        <x:v>Defined breathing/activity protocols and a commercial reference are reported.</x:v>
      </x:c>
      <x:c r="P420" s="9" t="str">
        <x:v>PDF pp. 2–8; Figs. 1–8; Table I</x:v>
      </x:c>
    </x:row>
    <x:row r="421">
      <x:c r="A421" s="9" t="n">
        <x:v>53</x:v>
      </x:c>
      <x:c r="B421" s="9" t="str">
        <x:v>S066</x:v>
      </x:c>
      <x:c r="C421" s="9" t="str">
        <x:v>Saroli et al. (2026)</x:v>
      </x:c>
      <x:c r="D421" s="9" t="str">
        <x:v>L4</x:v>
      </x:c>
      <x:c r="E421" s="9" t="str">
        <x:v>1</x:v>
      </x:c>
      <x:c r="F421" s="9" t="str">
        <x:v>1</x:v>
      </x:c>
      <x:c r="G421" s="9" t="str">
        <x:v>Yes</x:v>
      </x:c>
      <x:c r="H421" s="9" t="str">
        <x:v>Agree</x:v>
      </x:c>
      <x:c r="I421" s="9" t="str">
        <x:v>1</x:v>
      </x:c>
      <x:c r="J421" s="9" t="str">
        <x:v>Final agreement</x:v>
      </x:c>
      <x:c r="K421" s="9" t="str">
        <x:v>MAE, mean differences and condition-specific values are quantitative.</x:v>
      </x:c>
      <x:c r="L421" s="9" t="str">
        <x:v>PDF pp. 2–8; Figs. 1–8; Table I</x:v>
      </x:c>
      <x:c r="M421" s="9" t="str">
        <x:v>Respiratory-rate error, MAPE, MAE, bias and limits of agreement are reported in breaths per minute.</x:v>
      </x:c>
      <x:c r="N421" s="9" t="str">
        <x:v>Article PDF pp. 6-8, Figures 6-7</x:v>
      </x:c>
      <x:c r="O421" s="9" t="str">
        <x:v>MAE, mean differences and condition-specific values are quantitative.</x:v>
      </x:c>
      <x:c r="P421" s="9" t="str">
        <x:v>PDF pp. 2–8; Figs. 1–8; Table I</x:v>
      </x:c>
    </x:row>
    <x:row r="422">
      <x:c r="A422" s="9" t="n">
        <x:v>53</x:v>
      </x:c>
      <x:c r="B422" s="9" t="str">
        <x:v>S066</x:v>
      </x:c>
      <x:c r="C422" s="9" t="str">
        <x:v>Saroli et al. (2026)</x:v>
      </x:c>
      <x:c r="D422" s="9" t="str">
        <x:v>L5</x:v>
      </x:c>
      <x:c r="E422" s="9" t="str">
        <x:v>1</x:v>
      </x:c>
      <x:c r="F422" s="9" t="str">
        <x:v>1</x:v>
      </x:c>
      <x:c r="G422" s="9" t="str">
        <x:v>Yes</x:v>
      </x:c>
      <x:c r="H422" s="9" t="str">
        <x:v>Agree</x:v>
      </x:c>
      <x:c r="I422" s="9" t="str">
        <x:v>1</x:v>
      </x:c>
      <x:c r="J422" s="9" t="str">
        <x:v>Final agreement</x:v>
      </x:c>
      <x:c r="K422" s="9" t="str">
        <x:v>Repeated breathing/activity traces and a 42-min use trace report stability.</x:v>
      </x:c>
      <x:c r="L422" s="9" t="str">
        <x:v>PDF pp. 2–8; Figs. 1–8; Table I</x:v>
      </x:c>
      <x:c r="M422" s="9" t="str">
        <x:v>A 42-minute body-worn acquisition showed stable amplitude with no evident drift or loss of periodicity.</x:v>
      </x:c>
      <x:c r="N422" s="9" t="str">
        <x:v>Article PDF p. 8, Figure 6</x:v>
      </x:c>
      <x:c r="O422" s="9" t="str">
        <x:v>Repeated breathing/activity traces and a 42-min use trace report stability.</x:v>
      </x:c>
      <x:c r="P422" s="9" t="str">
        <x:v>PDF pp. 2–8; Figs. 1–8; Table I</x:v>
      </x:c>
    </x:row>
    <x:row r="423">
      <x:c r="A423" s="9" t="n">
        <x:v>53</x:v>
      </x:c>
      <x:c r="B423" s="9" t="str">
        <x:v>S066</x:v>
      </x:c>
      <x:c r="C423" s="9" t="str">
        <x:v>Saroli et al. (2026)</x:v>
      </x:c>
      <x:c r="D423" s="9" t="str">
        <x:v>L6</x:v>
      </x:c>
      <x:c r="E423" s="9" t="str">
        <x:v>1</x:v>
      </x:c>
      <x:c r="F423" s="9" t="str">
        <x:v>1</x:v>
      </x:c>
      <x:c r="G423" s="9" t="str">
        <x:v>Yes</x:v>
      </x:c>
      <x:c r="H423" s="9" t="str">
        <x:v>Agree</x:v>
      </x:c>
      <x:c r="I423" s="9" t="str">
        <x:v>1</x:v>
      </x:c>
      <x:c r="J423" s="9" t="str">
        <x:v>Final agreement</x:v>
      </x:c>
      <x:c r="K423" s="9" t="str">
        <x:v>Walking, jogging and stair use provide declared use-related activity exposure with quantified response.</x:v>
      </x:c>
      <x:c r="L423" s="9" t="str">
        <x:v>PDF pp. 2–8; Figs. 1–8; Table I</x:v>
      </x:c>
      <x:c r="M423" s="9" t="str">
        <x:v>Final rating supersedes the earlier rating; no revised narrative reason was supplied.</x:v>
      </x:c>
      <x:c r="N423" s="9" t="str">
        <x:v>Finalized reviewer-rating workbook</x:v>
      </x:c>
      <x:c r="O423" s="9" t="str">
        <x:v>Walking, jogging and stair use provide declared use-related activity exposure with quantified response.</x:v>
      </x:c>
      <x:c r="P423" s="9" t="str">
        <x:v>PDF pp. 2–8; Figs. 1–8; Table I</x:v>
      </x:c>
    </x:row>
    <x:row r="424">
      <x:c r="A424" s="9" t="n">
        <x:v>53</x:v>
      </x:c>
      <x:c r="B424" s="9" t="str">
        <x:v>S066</x:v>
      </x:c>
      <x:c r="C424" s="9" t="str">
        <x:v>Saroli et al. (2026)</x:v>
      </x:c>
      <x:c r="D424" s="9" t="str">
        <x:v>L7</x:v>
      </x:c>
      <x:c r="E424" s="9" t="str">
        <x:v>1</x:v>
      </x:c>
      <x:c r="F424" s="9" t="str">
        <x:v>1</x:v>
      </x:c>
      <x:c r="G424" s="9" t="str">
        <x:v>Yes</x:v>
      </x:c>
      <x:c r="H424" s="9" t="str">
        <x:v>Agree</x:v>
      </x:c>
      <x:c r="I424" s="9" t="str">
        <x:v>1</x:v>
      </x:c>
      <x:c r="J424" s="9" t="str">
        <x:v>Final agreement</x:v>
      </x:c>
      <x:c r="K424" s="9" t="str">
        <x:v>The long-term monitoring section explicitly reports stable amplitude, no drift and no lost periodicity across the recording.</x:v>
      </x:c>
      <x:c r="L424" s="9" t="str">
        <x:v>S066_Main.pdf, physical p. 5, assembly; pp. 7-8, section V.C, Long-Term Monitoring/Fig. 6.</x:v>
      </x:c>
      <x:c r="M424" s="9" t="str">
        <x:v>The long-term monitoring section explicitly reports stable amplitude, no drift and no lost periodicity across the recording.</x:v>
      </x:c>
      <x:c r="N424" s="9" t="str">
        <x:v>S066_Main.pdf, physical p. 5, assembly; pp. 7-8, section V.C, Long-Term Monitoring/Fig. 6.</x:v>
      </x:c>
      <x:c r="O424" s="9" t="str">
        <x:v>The long-term monitoring section explicitly reports stable amplitude, no drift and no lost periodicity across the recording.</x:v>
      </x:c>
      <x:c r="P424" s="9" t="str">
        <x:v>S066_Main.pdf, physical p. 5, assembly; pp. 7-8, section V.C, Long-Term Monitoring/Fig. 6.</x:v>
      </x:c>
    </x:row>
    <x:row r="425">
      <x:c r="A425" s="9" t="n">
        <x:v>53</x:v>
      </x:c>
      <x:c r="B425" s="9" t="str">
        <x:v>S066</x:v>
      </x:c>
      <x:c r="C425" s="9" t="str">
        <x:v>Saroli et al. (2026)</x:v>
      </x:c>
      <x:c r="D425" s="9" t="str">
        <x:v>L8</x:v>
      </x:c>
      <x:c r="E425" s="9" t="str">
        <x:v>0</x:v>
      </x:c>
      <x:c r="F425" s="9" t="str">
        <x:v>0</x:v>
      </x:c>
      <x:c r="G425" s="9" t="str">
        <x:v>Yes</x:v>
      </x:c>
      <x:c r="H425" s="9" t="str">
        <x:v>Agree</x:v>
      </x:c>
      <x:c r="I425" s="9" t="str">
        <x:v>0</x:v>
      </x:c>
      <x:c r="J425" s="9" t="str">
        <x:v>Final agreement</x:v>
      </x:c>
      <x:c r="K425" s="9" t="str">
        <x:v>Participants are not independent devices; ≥3 separately fabricated systems were not compared.</x:v>
      </x:c>
      <x:c r="L425" s="9" t="str">
        <x:v>PDF pp. 2–8; Figs. 1–8; Table I</x:v>
      </x:c>
      <x:c r="M425" s="9" t="str">
        <x:v>At least three equivalent independently fabricated units with quantified between-unit variation are not reported.</x:v>
      </x:c>
      <x:c r="N425" s="9" t="str">
        <x:v>Article PDF p. 2</x:v>
      </x:c>
      <x:c r="O425" s="9" t="str">
        <x:v>Participants are not independent devices; ≥3 separately fabricated systems were not compared.</x:v>
      </x:c>
      <x:c r="P425" s="9" t="str">
        <x:v>PDF pp. 2–8; Figs. 1–8; Table I</x:v>
      </x:c>
    </x:row>
    <x:row r="426">
      <x:c r="A426" s="9" t="n">
        <x:v>54</x:v>
      </x:c>
      <x:c r="B426" s="9" t="str">
        <x:v>S067</x:v>
      </x:c>
      <x:c r="C426" s="9" t="str">
        <x:v>Yang et al. (2026)</x:v>
      </x:c>
      <x:c r="D426" s="9" t="str">
        <x:v>L1</x:v>
      </x:c>
      <x:c r="E426" s="9" t="str">
        <x:v>0</x:v>
      </x:c>
      <x:c r="F426" s="9" t="str">
        <x:v>0</x:v>
      </x:c>
      <x:c r="G426" s="9" t="str">
        <x:v>Yes</x:v>
      </x:c>
      <x:c r="H426" s="9" t="str">
        <x:v>Agree</x:v>
      </x:c>
      <x:c r="I426" s="9" t="str">
        <x:v>0</x:v>
      </x:c>
      <x:c r="J426" s="9" t="str">
        <x:v>Final agreement</x:v>
      </x:c>
      <x:c r="K426" s="9" t="str">
        <x:v>FDM, printer, material and geometry are stated, but nozzle temperature, speed and layer height were not identified.</x:v>
      </x:c>
      <x:c r="L426" s="9" t="str">
        <x:v>PDF pp. 2–9; Figs. 1–8</x:v>
      </x:c>
      <x:c r="M426" s="9" t="str">
        <x:v>Fabrication is described, but reconstruction-critical nozzle, temperature, layer height, infill details are not reported.</x:v>
      </x:c>
      <x:c r="N426" s="9" t="str">
        <x:v>Article PDF p. 4</x:v>
      </x:c>
      <x:c r="O426" s="9" t="str">
        <x:v>FDM, printer, material and geometry are stated, but nozzle temperature, speed and layer height were not identified.</x:v>
      </x:c>
      <x:c r="P426" s="9" t="str">
        <x:v>PDF pp. 2–9; Figs. 1–8</x:v>
      </x:c>
    </x:row>
    <x:row r="427">
      <x:c r="A427" s="9" t="n">
        <x:v>54</x:v>
      </x:c>
      <x:c r="B427" s="9" t="str">
        <x:v>S067</x:v>
      </x:c>
      <x:c r="C427" s="9" t="str">
        <x:v>Yang et al. (2026)</x:v>
      </x:c>
      <x:c r="D427" s="9" t="str">
        <x:v>L2</x:v>
      </x:c>
      <x:c r="E427" s="9" t="str">
        <x:v>1</x:v>
      </x:c>
      <x:c r="F427" s="9" t="str">
        <x:v>1</x:v>
      </x:c>
      <x:c r="G427" s="9" t="str">
        <x:v>Yes</x:v>
      </x:c>
      <x:c r="H427" s="9" t="str">
        <x:v>Agree</x:v>
      </x:c>
      <x:c r="I427" s="9" t="str">
        <x:v>1</x:v>
      </x:c>
      <x:c r="J427" s="9" t="str">
        <x:v>Final agreement</x:v>
      </x:c>
      <x:c r="K427" s="9" t="str">
        <x:v>TPE structures, Ecoflex, conductive fabric and device architecture are described.</x:v>
      </x:c>
      <x:c r="L427" s="9" t="str">
        <x:v>PDF pp. 2–9; Figs. 1–8</x:v>
      </x:c>
      <x:c r="M427" s="9" t="str">
        <x:v>Functional host, sensing constituent and relevant electrode/interface materials are identified.</x:v>
      </x:c>
      <x:c r="N427" s="9" t="str">
        <x:v>Article PDF p. 4</x:v>
      </x:c>
      <x:c r="O427" s="9" t="str">
        <x:v>TPE structures, Ecoflex, conductive fabric and device architecture are described.</x:v>
      </x:c>
      <x:c r="P427" s="9" t="str">
        <x:v>PDF pp. 2–9; Figs. 1–8</x:v>
      </x:c>
    </x:row>
    <x:row r="428">
      <x:c r="A428" s="9" t="n">
        <x:v>54</x:v>
      </x:c>
      <x:c r="B428" s="9" t="str">
        <x:v>S067</x:v>
      </x:c>
      <x:c r="C428" s="9" t="str">
        <x:v>Yang et al. (2026)</x:v>
      </x:c>
      <x:c r="D428" s="9" t="str">
        <x:v>L3</x:v>
      </x:c>
      <x:c r="E428" s="9" t="str">
        <x:v>1</x:v>
      </x:c>
      <x:c r="F428" s="9" t="str">
        <x:v>1</x:v>
      </x:c>
      <x:c r="G428" s="9" t="str">
        <x:v>Yes</x:v>
      </x:c>
      <x:c r="H428" s="9" t="str">
        <x:v>Agree</x:v>
      </x:c>
      <x:c r="I428" s="9" t="str">
        <x:v>1</x:v>
      </x:c>
      <x:c r="J428" s="9" t="str">
        <x:v>Final agreement</x:v>
      </x:c>
      <x:c r="K428" s="9" t="str">
        <x:v>Controlled force/frequency/exposure and activity protocols are reported.</x:v>
      </x:c>
      <x:c r="L428" s="9" t="str">
        <x:v>PDF pp. 2–9; Figs. 1–8</x:v>
      </x:c>
      <x:c r="M428" s="9" t="str">
        <x:v>Sensor output is related to a controlled or independently measured input with a stated procedure and range.</x:v>
      </x:c>
      <x:c r="N428" s="9" t="str">
        <x:v>Article PDF p. 5</x:v>
      </x:c>
      <x:c r="O428" s="9" t="str">
        <x:v>Controlled force/frequency/exposure and activity protocols are reported.</x:v>
      </x:c>
      <x:c r="P428" s="9" t="str">
        <x:v>PDF pp. 2–9; Figs. 1–8</x:v>
      </x:c>
    </x:row>
    <x:row r="429">
      <x:c r="A429" s="9" t="n">
        <x:v>54</x:v>
      </x:c>
      <x:c r="B429" s="9" t="str">
        <x:v>S067</x:v>
      </x:c>
      <x:c r="C429" s="9" t="str">
        <x:v>Yang et al. (2026)</x:v>
      </x:c>
      <x:c r="D429" s="9" t="str">
        <x:v>L4</x:v>
      </x:c>
      <x:c r="E429" s="9" t="str">
        <x:v>1</x:v>
      </x:c>
      <x:c r="F429" s="9" t="str">
        <x:v>1</x:v>
      </x:c>
      <x:c r="G429" s="9" t="str">
        <x:v>Yes</x:v>
      </x:c>
      <x:c r="H429" s="9" t="str">
        <x:v>Agree</x:v>
      </x:c>
      <x:c r="I429" s="9" t="str">
        <x:v>1</x:v>
      </x:c>
      <x:c r="J429" s="9" t="str">
        <x:v>Final agreement</x:v>
      </x:c>
      <x:c r="K429" s="9" t="str">
        <x:v>Voltage, current, cycle response and classification accuracy are quantitative.</x:v>
      </x:c>
      <x:c r="L429" s="9" t="str">
        <x:v>PDF pp. 2–9; Figs. 1–8</x:v>
      </x:c>
      <x:c r="M429" s="9" t="str">
        <x:v>A modality-appropriate quantitative response, units/calculation and operating range are reported.</x:v>
      </x:c>
      <x:c r="N429" s="9" t="str">
        <x:v>Article PDF p. 4</x:v>
      </x:c>
      <x:c r="O429" s="9" t="str">
        <x:v>Voltage, current, cycle response and classification accuracy are quantitative.</x:v>
      </x:c>
      <x:c r="P429" s="9" t="str">
        <x:v>PDF pp. 2–9; Figs. 1–8</x:v>
      </x:c>
    </x:row>
    <x:row r="430">
      <x:c r="A430" s="9" t="n">
        <x:v>54</x:v>
      </x:c>
      <x:c r="B430" s="9" t="str">
        <x:v>S067</x:v>
      </x:c>
      <x:c r="C430" s="9" t="str">
        <x:v>Yang et al. (2026)</x:v>
      </x:c>
      <x:c r="D430" s="9" t="str">
        <x:v>L5</x:v>
      </x:c>
      <x:c r="E430" s="9" t="str">
        <x:v>1</x:v>
      </x:c>
      <x:c r="F430" s="9" t="str">
        <x:v>1</x:v>
      </x:c>
      <x:c r="G430" s="9" t="str">
        <x:v>Yes</x:v>
      </x:c>
      <x:c r="H430" s="9" t="str">
        <x:v>Agree</x:v>
      </x:c>
      <x:c r="I430" s="9" t="str">
        <x:v>1</x:v>
      </x:c>
      <x:c r="J430" s="9" t="str">
        <x:v>Final agreement</x:v>
      </x:c>
      <x:c r="K430" s="9" t="str">
        <x:v>Nearly 10,000 impacts report long-duration response.</x:v>
      </x:c>
      <x:c r="L430" s="9" t="str">
        <x:v>PDF pp. 2–9; Figs. 1–8</x:v>
      </x:c>
      <x:c r="M430" s="9" t="str">
        <x:v>The complete insole retained stable output through 10,000 cycles at 50 N and 1 Hz.</x:v>
      </x:c>
      <x:c r="N430" s="9" t="str">
        <x:v>Article PDF p. 9, Supplementary Figure S5 cited</x:v>
      </x:c>
      <x:c r="O430" s="9" t="str">
        <x:v>Nearly 10,000 impacts report long-duration response.</x:v>
      </x:c>
      <x:c r="P430" s="9" t="str">
        <x:v>PDF pp. 2–9; Figs. 1–8</x:v>
      </x:c>
    </x:row>
    <x:row r="431">
      <x:c r="A431" s="9" t="n">
        <x:v>54</x:v>
      </x:c>
      <x:c r="B431" s="9" t="str">
        <x:v>S067</x:v>
      </x:c>
      <x:c r="C431" s="9" t="str">
        <x:v>Yang et al. (2026)</x:v>
      </x:c>
      <x:c r="D431" s="9" t="str">
        <x:v>L6</x:v>
      </x:c>
      <x:c r="E431" s="9" t="str">
        <x:v>1</x:v>
      </x:c>
      <x:c r="F431" s="9" t="str">
        <x:v>1</x:v>
      </x:c>
      <x:c r="G431" s="9" t="str">
        <x:v>Yes</x:v>
      </x:c>
      <x:c r="H431" s="9" t="str">
        <x:v>Agree</x:v>
      </x:c>
      <x:c r="I431" s="9" t="str">
        <x:v>1</x:v>
      </x:c>
      <x:c r="J431" s="9" t="str">
        <x:v>Final agreement</x:v>
      </x:c>
      <x:c r="K431" s="9" t="str">
        <x:v>Temperature and humidity were deliberately varied and the output was reported.</x:v>
      </x:c>
      <x:c r="L431" s="9" t="str">
        <x:v>PDF pp. 2–9; Figs. 1–8</x:v>
      </x:c>
      <x:c r="M431" s="9" t="str">
        <x:v>Sensor/system response is reported under a declared non-measurand environmental or use-related exposure.</x:v>
      </x:c>
      <x:c r="N431" s="9" t="str">
        <x:v>Article PDF p. 5</x:v>
      </x:c>
      <x:c r="O431" s="9" t="str">
        <x:v>Temperature and humidity were deliberately varied and the output was reported.</x:v>
      </x:c>
      <x:c r="P431" s="9" t="str">
        <x:v>PDF pp. 2–9; Figs. 1–8</x:v>
      </x:c>
    </x:row>
    <x:row r="432">
      <x:c r="A432" s="9" t="n">
        <x:v>54</x:v>
      </x:c>
      <x:c r="B432" s="9" t="str">
        <x:v>S067</x:v>
      </x:c>
      <x:c r="C432" s="9" t="str">
        <x:v>Yang et al. (2026)</x:v>
      </x:c>
      <x:c r="D432" s="9" t="str">
        <x:v>L7</x:v>
      </x:c>
      <x:c r="E432" s="9" t="str">
        <x:v>1</x:v>
      </x:c>
      <x:c r="F432" s="9" t="str">
        <x:v>1</x:v>
      </x:c>
      <x:c r="G432" s="9" t="str">
        <x:v>Yes</x:v>
      </x:c>
      <x:c r="H432" s="9" t="str">
        <x:v>Agree</x:v>
      </x:c>
      <x:c r="I432" s="9" t="str">
        <x:v>1</x:v>
      </x:c>
      <x:c r="J432" s="9" t="str">
        <x:v>Final agreement</x:v>
      </x:c>
      <x:c r="K432" s="9" t="str">
        <x:v>Absolute amplitudes fluctuate, but the text explicitly reports preserved periodicity, inter-peak timing and relative peak relationships across environmental conditions.</x:v>
      </x:c>
      <x:c r="L432" s="9" t="str">
        <x:v>S067_Main.pdf, physical pp. 7-9, Fig. 4e-f and environmental robustness discussion referring to Fig. S6.</x:v>
      </x:c>
      <x:c r="M432" s="9" t="str">
        <x:v>Absolute amplitudes fluctuate, but the text explicitly reports preserved periodicity, inter-peak timing and relative peak relationships across environmental conditions.</x:v>
      </x:c>
      <x:c r="N432" s="9" t="str">
        <x:v>S067_Main.pdf, physical pp. 7-9, Fig. 4e-f and environmental robustness discussion referring to Fig. S6.</x:v>
      </x:c>
      <x:c r="O432" s="9" t="str">
        <x:v>Absolute amplitudes fluctuate, but the text explicitly reports preserved periodicity, inter-peak timing and relative peak relationships across environmental conditions.</x:v>
      </x:c>
      <x:c r="P432" s="9" t="str">
        <x:v>S067_Main.pdf, physical pp. 7-9, Fig. 4e-f and environmental robustness discussion referring to Fig. S6.</x:v>
      </x:c>
    </x:row>
    <x:row r="433">
      <x:c r="A433" s="9" t="n">
        <x:v>54</x:v>
      </x:c>
      <x:c r="B433" s="9" t="str">
        <x:v>S067</x:v>
      </x:c>
      <x:c r="C433" s="9" t="str">
        <x:v>Yang et al. (2026)</x:v>
      </x:c>
      <x:c r="D433" s="9" t="str">
        <x:v>L8</x:v>
      </x:c>
      <x:c r="E433" s="9" t="str">
        <x:v>0</x:v>
      </x:c>
      <x:c r="F433" s="9" t="str">
        <x:v>0</x:v>
      </x:c>
      <x:c r="G433" s="9" t="str">
        <x:v>Yes</x:v>
      </x:c>
      <x:c r="H433" s="9" t="str">
        <x:v>Agree</x:v>
      </x:c>
      <x:c r="I433" s="9" t="str">
        <x:v>0</x:v>
      </x:c>
      <x:c r="J433" s="9" t="str">
        <x:v>Final agreement</x:v>
      </x:c>
      <x:c r="K433" s="9" t="str">
        <x:v>No ≥3 separately fabricated complete insoles were quantitatively compared.</x:v>
      </x:c>
      <x:c r="L433" s="9" t="str">
        <x:v>PDF pp. 2–9; Figs. 1–8</x:v>
      </x:c>
      <x:c r="M433" s="9" t="str">
        <x:v>At least three equivalent independently fabricated units with quantified between-unit variation are not reported.</x:v>
      </x:c>
      <x:c r="N433" s="9" t="str">
        <x:v>Article PDF p. 8</x:v>
      </x:c>
      <x:c r="O433" s="9" t="str">
        <x:v>No ≥3 separately fabricated complete insoles were quantitatively compared.</x:v>
      </x:c>
      <x:c r="P433" s="9" t="str">
        <x:v>PDF pp. 2–9; Figs. 1–8</x:v>
      </x:c>
    </x:row>
    <x:row r="434">
      <x:c r="A434" s="9" t="n">
        <x:v>55</x:v>
      </x:c>
      <x:c r="B434" s="9" t="str">
        <x:v>S068</x:v>
      </x:c>
      <x:c r="C434" s="9" t="str">
        <x:v>Sánchez et al. (2025)</x:v>
      </x:c>
      <x:c r="D434" s="9" t="str">
        <x:v>L1</x:v>
      </x:c>
      <x:c r="E434" s="9" t="str">
        <x:v>1</x:v>
      </x:c>
      <x:c r="F434" s="9" t="str">
        <x:v>1</x:v>
      </x:c>
      <x:c r="G434" s="9" t="str">
        <x:v>Yes</x:v>
      </x:c>
      <x:c r="H434" s="9" t="str">
        <x:v>Agree</x:v>
      </x:c>
      <x:c r="I434" s="9" t="str">
        <x:v>1</x:v>
      </x:c>
      <x:c r="J434" s="9" t="str">
        <x:v>Final agreement</x:v>
      </x:c>
      <x:c r="K434" s="9" t="str">
        <x:v>Printer, functional filament, nozzle, temperatures, speed, layer height, infill, orientation and DIW settings are reported.</x:v>
      </x:c>
      <x:c r="L434" s="9" t="str">
        <x:v>PDF pp. 2–10; Figs. 1–7; Table 1</x:v>
      </x:c>
      <x:c r="M434" s="9" t="str">
        <x:v>Reconstruction-relevant printer, material, temperature, layer, speed, path/geometry and post-processing details are reported.</x:v>
      </x:c>
      <x:c r="N434" s="9" t="str">
        <x:v>Article PDF p. 3</x:v>
      </x:c>
      <x:c r="O434" s="9" t="str">
        <x:v>Printer, functional filament, nozzle, temperatures, speed, layer height, infill, orientation and DIW settings are reported.</x:v>
      </x:c>
      <x:c r="P434" s="9" t="str">
        <x:v>PDF pp. 2–10; Figs. 1–7; Table 1</x:v>
      </x:c>
    </x:row>
    <x:row r="435">
      <x:c r="A435" s="9" t="n">
        <x:v>55</x:v>
      </x:c>
      <x:c r="B435" s="9" t="str">
        <x:v>S068</x:v>
      </x:c>
      <x:c r="C435" s="9" t="str">
        <x:v>Sánchez et al. (2025)</x:v>
      </x:c>
      <x:c r="D435" s="9" t="str">
        <x:v>L2</x:v>
      </x:c>
      <x:c r="E435" s="9" t="str">
        <x:v>1</x:v>
      </x:c>
      <x:c r="F435" s="9" t="str">
        <x:v>1</x:v>
      </x:c>
      <x:c r="G435" s="9" t="str">
        <x:v>Yes</x:v>
      </x:c>
      <x:c r="H435" s="9" t="str">
        <x:v>Agree</x:v>
      </x:c>
      <x:c r="I435" s="9" t="str">
        <x:v>1</x:v>
      </x:c>
      <x:c r="J435" s="9" t="str">
        <x:v>Final agreement</x:v>
      </x:c>
      <x:c r="K435" s="9" t="str">
        <x:v>TPU/CB, silver IDE, curing and contact arrangement are described.</x:v>
      </x:c>
      <x:c r="L435" s="9" t="str">
        <x:v>PDF pp. 2–10; Figs. 1–7; Table 1</x:v>
      </x:c>
      <x:c r="M435" s="9" t="str">
        <x:v>Functional host, sensing constituent and relevant electrode/interface materials are identified.</x:v>
      </x:c>
      <x:c r="N435" s="9" t="str">
        <x:v>Article PDF p. 10</x:v>
      </x:c>
      <x:c r="O435" s="9" t="str">
        <x:v>TPU/CB, silver IDE, curing and contact arrangement are described.</x:v>
      </x:c>
      <x:c r="P435" s="9" t="str">
        <x:v>PDF pp. 2–10; Figs. 1–7; Table 1</x:v>
      </x:c>
    </x:row>
    <x:row r="436">
      <x:c r="A436" s="9" t="n">
        <x:v>55</x:v>
      </x:c>
      <x:c r="B436" s="9" t="str">
        <x:v>S068</x:v>
      </x:c>
      <x:c r="C436" s="9" t="str">
        <x:v>Sánchez et al. (2025)</x:v>
      </x:c>
      <x:c r="D436" s="9" t="str">
        <x:v>L3</x:v>
      </x:c>
      <x:c r="E436" s="9" t="str">
        <x:v>1</x:v>
      </x:c>
      <x:c r="F436" s="9" t="str">
        <x:v>1</x:v>
      </x:c>
      <x:c r="G436" s="9" t="str">
        <x:v>Yes</x:v>
      </x:c>
      <x:c r="H436" s="9" t="str">
        <x:v>Agree</x:v>
      </x:c>
      <x:c r="I436" s="9" t="str">
        <x:v>1</x:v>
      </x:c>
      <x:c r="J436" s="9" t="str">
        <x:v>Final agreement</x:v>
      </x:c>
      <x:c r="K436" s="9" t="str">
        <x:v>Controlled tensile, cyclic and application protocols are reported.</x:v>
      </x:c>
      <x:c r="L436" s="9" t="str">
        <x:v>PDF pp. 2–10; Figs. 1–7; Table 1</x:v>
      </x:c>
      <x:c r="M436" s="9" t="str">
        <x:v>Sensor output is related to a controlled or independently measured input with a stated procedure and range.</x:v>
      </x:c>
      <x:c r="N436" s="9" t="str">
        <x:v>Article PDF p. 3</x:v>
      </x:c>
      <x:c r="O436" s="9" t="str">
        <x:v>Controlled tensile, cyclic and application protocols are reported.</x:v>
      </x:c>
      <x:c r="P436" s="9" t="str">
        <x:v>PDF pp. 2–10; Figs. 1–7; Table 1</x:v>
      </x:c>
    </x:row>
    <x:row r="437">
      <x:c r="A437" s="9" t="n">
        <x:v>55</x:v>
      </x:c>
      <x:c r="B437" s="9" t="str">
        <x:v>S068</x:v>
      </x:c>
      <x:c r="C437" s="9" t="str">
        <x:v>Sánchez et al. (2025)</x:v>
      </x:c>
      <x:c r="D437" s="9" t="str">
        <x:v>L4</x:v>
      </x:c>
      <x:c r="E437" s="9" t="str">
        <x:v>1</x:v>
      </x:c>
      <x:c r="F437" s="9" t="str">
        <x:v>1</x:v>
      </x:c>
      <x:c r="G437" s="9" t="str">
        <x:v>Yes</x:v>
      </x:c>
      <x:c r="H437" s="9" t="str">
        <x:v>Agree</x:v>
      </x:c>
      <x:c r="I437" s="9" t="str">
        <x:v>1</x:v>
      </x:c>
      <x:c r="J437" s="9" t="str">
        <x:v>Final agreement</x:v>
      </x:c>
      <x:c r="K437" s="9" t="str">
        <x:v>GF, drift, fitting and endurance outcomes are quantitative.</x:v>
      </x:c>
      <x:c r="L437" s="9" t="str">
        <x:v>PDF pp. 2–10; Figs. 1–7; Table 1</x:v>
      </x:c>
      <x:c r="M437" s="9" t="str">
        <x:v>A modality-appropriate quantitative response, units/calculation and operating range are reported.</x:v>
      </x:c>
      <x:c r="N437" s="9" t="str">
        <x:v>Article PDF p. 7</x:v>
      </x:c>
      <x:c r="O437" s="9" t="str">
        <x:v>GF, drift, fitting and endurance outcomes are quantitative.</x:v>
      </x:c>
      <x:c r="P437" s="9" t="str">
        <x:v>PDF pp. 2–10; Figs. 1–7; Table 1</x:v>
      </x:c>
    </x:row>
    <x:row r="438">
      <x:c r="A438" s="9" t="n">
        <x:v>55</x:v>
      </x:c>
      <x:c r="B438" s="9" t="str">
        <x:v>S068</x:v>
      </x:c>
      <x:c r="C438" s="9" t="str">
        <x:v>Sánchez et al. (2025)</x:v>
      </x:c>
      <x:c r="D438" s="9" t="str">
        <x:v>L5</x:v>
      </x:c>
      <x:c r="E438" s="9" t="str">
        <x:v>1</x:v>
      </x:c>
      <x:c r="F438" s="9" t="str">
        <x:v>1</x:v>
      </x:c>
      <x:c r="G438" s="9" t="str">
        <x:v>Yes</x:v>
      </x:c>
      <x:c r="H438" s="9" t="str">
        <x:v>Agree</x:v>
      </x:c>
      <x:c r="I438" s="9" t="str">
        <x:v>1</x:v>
      </x:c>
      <x:c r="J438" s="9" t="str">
        <x:v>Final agreement</x:v>
      </x:c>
      <x:c r="K438" s="9" t="str">
        <x:v>Twenty cycles and 500-cycle endurance tests report repeated response.</x:v>
      </x:c>
      <x:c r="L438" s="9" t="str">
        <x:v>PDF pp. 2–10; Figs. 1–7; Table 1</x:v>
      </x:c>
      <x:c r="M438" s="9" t="str">
        <x:v>A stated repeated-test range/count is accompanied by a stability, hysteresis, retention or failure outcome.</x:v>
      </x:c>
      <x:c r="N438" s="9" t="str">
        <x:v>Article PDF p. 7</x:v>
      </x:c>
      <x:c r="O438" s="9" t="str">
        <x:v>Twenty cycles and 500-cycle endurance tests report repeated response.</x:v>
      </x:c>
      <x:c r="P438" s="9" t="str">
        <x:v>PDF pp. 2–10; Figs. 1–7; Table 1</x:v>
      </x:c>
    </x:row>
    <x:row r="439">
      <x:c r="A439" s="9" t="n">
        <x:v>55</x:v>
      </x:c>
      <x:c r="B439" s="9" t="str">
        <x:v>S068</x:v>
      </x:c>
      <x:c r="C439" s="9" t="str">
        <x:v>Sánchez et al. (2025)</x:v>
      </x:c>
      <x:c r="D439" s="9" t="str">
        <x:v>L6</x:v>
      </x:c>
      <x:c r="E439" s="9" t="str">
        <x:v>0</x:v>
      </x:c>
      <x:c r="F439" s="9" t="str">
        <x:v>0</x:v>
      </x:c>
      <x:c r="G439" s="9" t="str">
        <x:v>Yes</x:v>
      </x:c>
      <x:c r="H439" s="9" t="str">
        <x:v>Agree</x:v>
      </x:c>
      <x:c r="I439" s="9" t="str">
        <x:v>0</x:v>
      </x:c>
      <x:c r="J439" s="9" t="str">
        <x:v>Final agreement</x:v>
      </x:c>
      <x:c r="K439" s="9" t="str">
        <x:v>No distinct qualifying environmental/use exposure was tested.</x:v>
      </x:c>
      <x:c r="L439" s="9" t="str">
        <x:v>PDF pp. 2–10; Figs. 1–7; Table 1</x:v>
      </x:c>
      <x:c r="M439" s="9" t="str">
        <x:v>No qualifying response under a declared non-measurand environmental/use exposure is reported.</x:v>
      </x:c>
      <x:c r="N439" s="9" t="str">
        <x:v>Article PDF p. 10</x:v>
      </x:c>
      <x:c r="O439" s="9" t="str">
        <x:v>No distinct qualifying environmental/use exposure was tested.</x:v>
      </x:c>
      <x:c r="P439" s="9" t="str">
        <x:v>PDF pp. 2–10; Figs. 1–7; Table 1</x:v>
      </x:c>
    </x:row>
    <x:row r="440">
      <x:c r="A440" s="9" t="n">
        <x:v>55</x:v>
      </x:c>
      <x:c r="B440" s="9" t="str">
        <x:v>S068</x:v>
      </x:c>
      <x:c r="C440" s="9" t="str">
        <x:v>Sánchez et al. (2025)</x:v>
      </x:c>
      <x:c r="D440" s="9" t="str">
        <x:v>L7</x:v>
      </x:c>
      <x:c r="E440" s="9" t="str">
        <x:v>1</x:v>
      </x:c>
      <x:c r="F440" s="9" t="str">
        <x:v>1</x:v>
      </x:c>
      <x:c r="G440" s="9" t="str">
        <x:v>Yes</x:v>
      </x:c>
      <x:c r="H440" s="9" t="str">
        <x:v>Agree</x:v>
      </x:c>
      <x:c r="I440" s="9" t="str">
        <x:v>1</x:v>
      </x:c>
      <x:c r="J440" s="9" t="str">
        <x:v>Final agreement</x:v>
      </x:c>
      <x:c r="K440" s="9" t="str">
        <x:v>The wrist-mounted sensor is assessed during repeated moderate-force closures; authors describe the waveform as repeatable, with consistent swallowing response in the separate throat configuration.</x:v>
      </x:c>
      <x:c r="L440" s="9" t="str">
        <x:v>S068_Main.pdf, physical pp. 8-9, section 3.8/Fig. 7c,e.</x:v>
      </x:c>
      <x:c r="M440" s="9" t="str">
        <x:v>The wrist-mounted sensor is assessed during repeated moderate-force closures; authors describe the waveform as repeatable, with consistent swallowing response in the separate throat configuration.</x:v>
      </x:c>
      <x:c r="N440" s="9" t="str">
        <x:v>S068_Main.pdf, physical pp. 8-9, section 3.8/Fig. 7c,e.</x:v>
      </x:c>
      <x:c r="O440" s="9" t="str">
        <x:v>The wrist-mounted sensor is assessed during repeated moderate-force closures; authors describe the waveform as repeatable, with consistent swallowing response in the separate throat configuration.</x:v>
      </x:c>
      <x:c r="P440" s="9" t="str">
        <x:v>S068_Main.pdf, physical pp. 8-9, section 3.8/Fig. 7c,e.</x:v>
      </x:c>
    </x:row>
    <x:row r="441">
      <x:c r="A441" s="9" t="n">
        <x:v>55</x:v>
      </x:c>
      <x:c r="B441" s="9" t="str">
        <x:v>S068</x:v>
      </x:c>
      <x:c r="C441" s="9" t="str">
        <x:v>Sánchez et al. (2025)</x:v>
      </x:c>
      <x:c r="D441" s="9" t="str">
        <x:v>L8</x:v>
      </x:c>
      <x:c r="E441" s="9" t="str">
        <x:v>0</x:v>
      </x:c>
      <x:c r="F441" s="9" t="str">
        <x:v>0</x:v>
      </x:c>
      <x:c r="G441" s="9" t="str">
        <x:v>Yes</x:v>
      </x:c>
      <x:c r="H441" s="9" t="str">
        <x:v>Agree</x:v>
      </x:c>
      <x:c r="I441" s="9" t="str">
        <x:v>0</x:v>
      </x:c>
      <x:c r="J441" s="9" t="str">
        <x:v>Final agreement</x:v>
      </x:c>
      <x:c r="K441" s="9" t="str">
        <x:v>The three GF tests were repeated on the same sample; no ≥3-device comparison was reported.</x:v>
      </x:c>
      <x:c r="L441" s="9" t="str">
        <x:v>PDF pp. 2–10; Figs. 1–7; Table 1</x:v>
      </x:c>
      <x:c r="M441" s="9" t="str">
        <x:v>Final rating supersedes the earlier rating; no revised narrative reason was supplied.</x:v>
      </x:c>
      <x:c r="N441" s="9" t="str">
        <x:v>Finalized reviewer-rating workbook</x:v>
      </x:c>
      <x:c r="O441" s="9" t="str">
        <x:v>The three GF tests were repeated on the same sample; no ≥3-device comparison was reported.</x:v>
      </x:c>
      <x:c r="P441" s="9" t="str">
        <x:v>PDF pp. 2–10; Figs. 1–7; Table 1</x:v>
      </x:c>
    </x:row>
    <x:row r="442">
      <x:c r="A442" s="9" t="n">
        <x:v>56</x:v>
      </x:c>
      <x:c r="B442" s="9" t="str">
        <x:v>S069</x:v>
      </x:c>
      <x:c r="C442" s="9" t="str">
        <x:v>Babu et al. (2025)</x:v>
      </x:c>
      <x:c r="D442" s="9" t="str">
        <x:v>L1</x:v>
      </x:c>
      <x:c r="E442" s="9" t="str">
        <x:v>1</x:v>
      </x:c>
      <x:c r="F442" s="9" t="str">
        <x:v>1</x:v>
      </x:c>
      <x:c r="G442" s="9" t="str">
        <x:v>Yes</x:v>
      </x:c>
      <x:c r="H442" s="9" t="str">
        <x:v>Agree</x:v>
      </x:c>
      <x:c r="I442" s="9" t="str">
        <x:v>1</x:v>
      </x:c>
      <x:c r="J442" s="9" t="str">
        <x:v>Final agreement</x:v>
      </x:c>
      <x:c r="K442" s="9" t="str">
        <x:v>FFF printers, PP, nozzle, temperature, layer height, geometry and Z offset are reported; speed is in cited SI but sufficient core/application settings are present.</x:v>
      </x:c>
      <x:c r="L442" s="9" t="str">
        <x:v>PDF pp. 2–12; Figs. 1–11; Table 1; cited SI</x:v>
      </x:c>
      <x:c r="M442" s="9" t="str">
        <x:v>Reconstruction-relevant printer, material, temperature, layer, speed, path/geometry and post-processing details are reported.</x:v>
      </x:c>
      <x:c r="N442" s="9" t="str">
        <x:v>Article PDF p. 2</x:v>
      </x:c>
      <x:c r="O442" s="9" t="str">
        <x:v>FFF printers, PP, nozzle, temperature, layer height, geometry and Z offset are reported; speed is in cited SI but sufficient core/application settings are present.</x:v>
      </x:c>
      <x:c r="P442" s="9" t="str">
        <x:v>PDF pp. 2–12; Figs. 1–11; Table 1; cited SI</x:v>
      </x:c>
    </x:row>
    <x:row r="443">
      <x:c r="A443" s="9" t="n">
        <x:v>56</x:v>
      </x:c>
      <x:c r="B443" s="9" t="str">
        <x:v>S069</x:v>
      </x:c>
      <x:c r="C443" s="9" t="str">
        <x:v>Babu et al. (2025)</x:v>
      </x:c>
      <x:c r="D443" s="9" t="str">
        <x:v>L2</x:v>
      </x:c>
      <x:c r="E443" s="9" t="str">
        <x:v>1</x:v>
      </x:c>
      <x:c r="F443" s="9" t="str">
        <x:v>1</x:v>
      </x:c>
      <x:c r="G443" s="9" t="str">
        <x:v>Yes</x:v>
      </x:c>
      <x:c r="H443" s="9" t="str">
        <x:v>Agree</x:v>
      </x:c>
      <x:c r="I443" s="9" t="str">
        <x:v>1</x:v>
      </x:c>
      <x:c r="J443" s="9" t="str">
        <x:v>Final agreement</x:v>
      </x:c>
      <x:c r="K443" s="9" t="str">
        <x:v>Printed PP, conductive fabric, Ecoflex counterlayer and electrical roles are described.</x:v>
      </x:c>
      <x:c r="L443" s="9" t="str">
        <x:v>PDF pp. 2–12; Figs. 1–11; Table 1; cited SI</x:v>
      </x:c>
      <x:c r="M443" s="9" t="str">
        <x:v>Functional host, sensing constituent and relevant electrode/interface materials are identified.</x:v>
      </x:c>
      <x:c r="N443" s="9" t="str">
        <x:v>Article PDF p. 14</x:v>
      </x:c>
      <x:c r="O443" s="9" t="str">
        <x:v>Printed PP, conductive fabric, Ecoflex counterlayer and electrical roles are described.</x:v>
      </x:c>
      <x:c r="P443" s="9" t="str">
        <x:v>PDF pp. 2–12; Figs. 1–11; Table 1; cited SI</x:v>
      </x:c>
    </x:row>
    <x:row r="444">
      <x:c r="A444" s="9" t="n">
        <x:v>56</x:v>
      </x:c>
      <x:c r="B444" s="9" t="str">
        <x:v>S069</x:v>
      </x:c>
      <x:c r="C444" s="9" t="str">
        <x:v>Babu et al. (2025)</x:v>
      </x:c>
      <x:c r="D444" s="9" t="str">
        <x:v>L3</x:v>
      </x:c>
      <x:c r="E444" s="9" t="str">
        <x:v>1</x:v>
      </x:c>
      <x:c r="F444" s="9" t="str">
        <x:v>1</x:v>
      </x:c>
      <x:c r="G444" s="9" t="str">
        <x:v>Yes</x:v>
      </x:c>
      <x:c r="H444" s="9" t="str">
        <x:v>Agree</x:v>
      </x:c>
      <x:c r="I444" s="9" t="str">
        <x:v>1</x:v>
      </x:c>
      <x:c r="J444" s="9" t="str">
        <x:v>Final agreement</x:v>
      </x:c>
      <x:c r="K444" s="9" t="str">
        <x:v>Controlled force/frequency/load and touch protocols are reported.</x:v>
      </x:c>
      <x:c r="L444" s="9" t="str">
        <x:v>PDF pp. 2–12; Figs. 1–11; Table 1; cited SI</x:v>
      </x:c>
      <x:c r="M444" s="9" t="str">
        <x:v>Sensor output is related to a controlled or independently measured input with a stated procedure and range.</x:v>
      </x:c>
      <x:c r="N444" s="9" t="str">
        <x:v>Article PDF p. 5</x:v>
      </x:c>
      <x:c r="O444" s="9" t="str">
        <x:v>Controlled force/frequency/load and touch protocols are reported.</x:v>
      </x:c>
      <x:c r="P444" s="9" t="str">
        <x:v>PDF pp. 2–12; Figs. 1–11; Table 1; cited SI</x:v>
      </x:c>
    </x:row>
    <x:row r="445">
      <x:c r="A445" s="9" t="n">
        <x:v>56</x:v>
      </x:c>
      <x:c r="B445" s="9" t="str">
        <x:v>S069</x:v>
      </x:c>
      <x:c r="C445" s="9" t="str">
        <x:v>Babu et al. (2025)</x:v>
      </x:c>
      <x:c r="D445" s="9" t="str">
        <x:v>L4</x:v>
      </x:c>
      <x:c r="E445" s="9" t="str">
        <x:v>1</x:v>
      </x:c>
      <x:c r="F445" s="9" t="str">
        <x:v>1</x:v>
      </x:c>
      <x:c r="G445" s="9" t="str">
        <x:v>Yes</x:v>
      </x:c>
      <x:c r="H445" s="9" t="str">
        <x:v>Agree</x:v>
      </x:c>
      <x:c r="I445" s="9" t="str">
        <x:v>1</x:v>
      </x:c>
      <x:c r="J445" s="9" t="str">
        <x:v>Final agreement</x:v>
      </x:c>
      <x:c r="K445" s="9" t="str">
        <x:v>Voltage, current, charge density, power density and tested conditions are quantitative.</x:v>
      </x:c>
      <x:c r="L445" s="9" t="str">
        <x:v>PDF pp. 2–12; Figs. 1–11; Table 1; cited SI</x:v>
      </x:c>
      <x:c r="M445" s="9" t="str">
        <x:v>A modality-appropriate quantitative response, units/calculation and operating range are reported.</x:v>
      </x:c>
      <x:c r="N445" s="9" t="str">
        <x:v>Article PDF p. 11</x:v>
      </x:c>
      <x:c r="O445" s="9" t="str">
        <x:v>Voltage, current, charge density, power density and tested conditions are quantitative.</x:v>
      </x:c>
      <x:c r="P445" s="9" t="str">
        <x:v>PDF pp. 2–12; Figs. 1–11; Table 1; cited SI</x:v>
      </x:c>
    </x:row>
    <x:row r="446">
      <x:c r="A446" s="9" t="n">
        <x:v>56</x:v>
      </x:c>
      <x:c r="B446" s="9" t="str">
        <x:v>S069</x:v>
      </x:c>
      <x:c r="C446" s="9" t="str">
        <x:v>Babu et al. (2025)</x:v>
      </x:c>
      <x:c r="D446" s="9" t="str">
        <x:v>L5</x:v>
      </x:c>
      <x:c r="E446" s="9" t="str">
        <x:v>1</x:v>
      </x:c>
      <x:c r="F446" s="9" t="str">
        <x:v>1</x:v>
      </x:c>
      <x:c r="G446" s="9" t="str">
        <x:v>Yes</x:v>
      </x:c>
      <x:c r="H446" s="9" t="str">
        <x:v>Agree</x:v>
      </x:c>
      <x:c r="I446" s="9" t="str">
        <x:v>1</x:v>
      </x:c>
      <x:c r="J446" s="9" t="str">
        <x:v>Final agreement</x:v>
      </x:c>
      <x:c r="K446" s="9" t="str">
        <x:v>A 20,000-cycle test reports retained output.</x:v>
      </x:c>
      <x:c r="L446" s="9" t="str">
        <x:v>PDF pp. 2–12; Figs. 1–11; Table 1; cited SI</x:v>
      </x:c>
      <x:c r="M446" s="9" t="str">
        <x:v>A stated repeated-test range/count is accompanied by a stability, hysteresis, retention or failure outcome.</x:v>
      </x:c>
      <x:c r="N446" s="9" t="str">
        <x:v>Article PDF p. 10</x:v>
      </x:c>
      <x:c r="O446" s="9" t="str">
        <x:v>A 20,000-cycle test reports retained output.</x:v>
      </x:c>
      <x:c r="P446" s="9" t="str">
        <x:v>PDF pp. 2–12; Figs. 1–11; Table 1; cited SI</x:v>
      </x:c>
    </x:row>
    <x:row r="447">
      <x:c r="A447" s="9" t="n">
        <x:v>56</x:v>
      </x:c>
      <x:c r="B447" s="9" t="str">
        <x:v>S069</x:v>
      </x:c>
      <x:c r="C447" s="9" t="str">
        <x:v>Babu et al. (2025)</x:v>
      </x:c>
      <x:c r="D447" s="9" t="str">
        <x:v>L6</x:v>
      </x:c>
      <x:c r="E447" s="9" t="str">
        <x:v>1</x:v>
      </x:c>
      <x:c r="F447" s="9" t="str">
        <x:v>1</x:v>
      </x:c>
      <x:c r="G447" s="9" t="str">
        <x:v>Yes</x:v>
      </x:c>
      <x:c r="H447" s="9" t="str">
        <x:v>Agree</x:v>
      </x:c>
      <x:c r="I447" s="9" t="str">
        <x:v>1</x:v>
      </x:c>
      <x:c r="J447" s="9" t="str">
        <x:v>Final agreement</x:v>
      </x:c>
      <x:c r="K447" s="9" t="str">
        <x:v>Water/detergent washing for 30 min was followed by output measurement.</x:v>
      </x:c>
      <x:c r="L447" s="9" t="str">
        <x:v>PDF pp. 2–12; Figs. 1–11; Table 1; cited SI</x:v>
      </x:c>
      <x:c r="M447" s="9" t="str">
        <x:v>Sensor/system response is reported under a declared non-measurand environmental or use-related exposure.</x:v>
      </x:c>
      <x:c r="N447" s="9" t="str">
        <x:v>Article PDF p. 11</x:v>
      </x:c>
      <x:c r="O447" s="9" t="str">
        <x:v>Water/detergent washing for 30 min was followed by output measurement.</x:v>
      </x:c>
      <x:c r="P447" s="9" t="str">
        <x:v>PDF pp. 2–12; Figs. 1–11; Table 1; cited SI</x:v>
      </x:c>
    </x:row>
    <x:row r="448">
      <x:c r="A448" s="9" t="n">
        <x:v>56</x:v>
      </x:c>
      <x:c r="B448" s="9" t="str">
        <x:v>S069</x:v>
      </x:c>
      <x:c r="C448" s="9" t="str">
        <x:v>Babu et al. (2025)</x:v>
      </x:c>
      <x:c r="D448" s="9" t="str">
        <x:v>L7</x:v>
      </x:c>
      <x:c r="E448" s="9" t="str">
        <x:v>0</x:v>
      </x:c>
      <x:c r="F448" s="9" t="str">
        <x:v>0</x:v>
      </x:c>
      <x:c r="G448" s="9" t="str">
        <x:v>Yes</x:v>
      </x:c>
      <x:c r="H448" s="9" t="str">
        <x:v>Agree</x:v>
      </x:c>
      <x:c r="I448" s="9" t="str">
        <x:v>0</x:v>
      </x:c>
      <x:c r="J448" s="9" t="str">
        <x:v>Final agreement</x:v>
      </x:c>
      <x:c r="K448" s="9" t="str">
        <x:v>20000 cycles, detergent washing and peel testing assess material/device durability off-body. Supplied video samples show chamber tests, LEDs and table-top finger contact.</x:v>
      </x:c>
      <x:c r="L448" s="9" t="str">
        <x:v>S069_Main.pdf, physical pp. 11-13, Figs. 10f-g/11; S069_Supplement_01.docx and Supplements 02-04 videos.</x:v>
      </x:c>
      <x:c r="M448" s="9" t="str">
        <x:v>20000 cycles, detergent washing and peel testing assess material/device durability off-body. Supplied video samples show chamber tests, LEDs and table-top finger contact.</x:v>
      </x:c>
      <x:c r="N448" s="9" t="str">
        <x:v>S069_Main.pdf, physical pp. 11-13, Figs. 10f-g/11; S069_Supplement_01.docx and Supplements 02-04 videos.</x:v>
      </x:c>
      <x:c r="O448" s="9" t="str">
        <x:v>20000 cycles, detergent washing and peel testing assess material/device durability off-body. Supplied video samples show chamber tests, LEDs and table-top finger contact.</x:v>
      </x:c>
      <x:c r="P448" s="9" t="str">
        <x:v>S069_Main.pdf, physical pp. 11-13, Figs. 10f-g/11; S069_Supplement_01.docx and Supplements 02-04 videos.</x:v>
      </x:c>
    </x:row>
    <x:row r="449">
      <x:c r="A449" s="9" t="n">
        <x:v>56</x:v>
      </x:c>
      <x:c r="B449" s="9" t="str">
        <x:v>S069</x:v>
      </x:c>
      <x:c r="C449" s="9" t="str">
        <x:v>Babu et al. (2025)</x:v>
      </x:c>
      <x:c r="D449" s="9" t="str">
        <x:v>L8</x:v>
      </x:c>
      <x:c r="E449" s="9" t="str">
        <x:v>0</x:v>
      </x:c>
      <x:c r="F449" s="9" t="str">
        <x:v>0</x:v>
      </x:c>
      <x:c r="G449" s="9" t="str">
        <x:v>Yes</x:v>
      </x:c>
      <x:c r="H449" s="9" t="str">
        <x:v>Agree</x:v>
      </x:c>
      <x:c r="I449" s="9" t="str">
        <x:v>0</x:v>
      </x:c>
      <x:c r="J449" s="9" t="str">
        <x:v>Final agreement</x:v>
      </x:c>
      <x:c r="K449" s="9" t="str">
        <x:v>Material/geometry variants were compared, but ≥3 separately fabricated optimized devices were not identified.</x:v>
      </x:c>
      <x:c r="L449" s="9" t="str">
        <x:v>PDF pp. 2–12; Figs. 1–11; Table 1; cited SI</x:v>
      </x:c>
      <x:c r="M449" s="9" t="str">
        <x:v>At least three equivalent independently fabricated units with quantified between-unit variation are not reported.</x:v>
      </x:c>
      <x:c r="N449" s="9" t="str">
        <x:v>Article PDF p. 13</x:v>
      </x:c>
      <x:c r="O449" s="9" t="str">
        <x:v>Material/geometry variants were compared, but ≥3 separately fabricated optimized devices were not identified.</x:v>
      </x:c>
      <x:c r="P449" s="9" t="str">
        <x:v>PDF pp. 2–12; Figs. 1–11; Table 1; cited SI</x:v>
      </x:c>
    </x:row>
    <x:row r="450">
      <x:c r="A450" s="9" t="n">
        <x:v>57</x:v>
      </x:c>
      <x:c r="B450" s="9" t="str">
        <x:v>S070</x:v>
      </x:c>
      <x:c r="C450" s="9" t="str">
        <x:v>Dimo et al. (2026)</x:v>
      </x:c>
      <x:c r="D450" s="9" t="str">
        <x:v>L1</x:v>
      </x:c>
      <x:c r="E450" s="9" t="str">
        <x:v>1</x:v>
      </x:c>
      <x:c r="F450" s="9" t="str">
        <x:v>1</x:v>
      </x:c>
      <x:c r="G450" s="9" t="str">
        <x:v>Yes</x:v>
      </x:c>
      <x:c r="H450" s="9" t="str">
        <x:v>Agree</x:v>
      </x:c>
      <x:c r="I450" s="9" t="str">
        <x:v>1</x:v>
      </x:c>
      <x:c r="J450" s="9" t="str">
        <x:v>Final agreement</x:v>
      </x:c>
      <x:c r="K450" s="9" t="str">
        <x:v>Printer, TPU grade, nozzle, temperatures, speed, layer height, infill, geometry and optical-fiber integration are reported.</x:v>
      </x:c>
      <x:c r="L450" s="9" t="str">
        <x:v>PDF pp. 3–9; Figs. 1–12; Tables I–III</x:v>
      </x:c>
      <x:c r="M450" s="9" t="str">
        <x:v>Reconstruction-relevant printer, material, temperature, layer, speed, path/geometry and post-processing details are reported.</x:v>
      </x:c>
      <x:c r="N450" s="9" t="str">
        <x:v>Article PDF p. 3</x:v>
      </x:c>
      <x:c r="O450" s="9" t="str">
        <x:v>Printer, TPU grade, nozzle, temperatures, speed, layer height, infill, geometry and optical-fiber integration are reported.</x:v>
      </x:c>
      <x:c r="P450" s="9" t="str">
        <x:v>PDF pp. 3–9; Figs. 1–12; Tables I–III</x:v>
      </x:c>
    </x:row>
    <x:row r="451">
      <x:c r="A451" s="9" t="n">
        <x:v>57</x:v>
      </x:c>
      <x:c r="B451" s="9" t="str">
        <x:v>S070</x:v>
      </x:c>
      <x:c r="C451" s="9" t="str">
        <x:v>Dimo et al. (2026)</x:v>
      </x:c>
      <x:c r="D451" s="9" t="str">
        <x:v>L2</x:v>
      </x:c>
      <x:c r="E451" s="9" t="str">
        <x:v>1</x:v>
      </x:c>
      <x:c r="F451" s="9" t="str">
        <x:v>1</x:v>
      </x:c>
      <x:c r="G451" s="9" t="str">
        <x:v>Yes</x:v>
      </x:c>
      <x:c r="H451" s="9" t="str">
        <x:v>Agree</x:v>
      </x:c>
      <x:c r="I451" s="9" t="str">
        <x:v>1</x:v>
      </x:c>
      <x:c r="J451" s="9" t="str">
        <x:v>Final agreement</x:v>
      </x:c>
      <x:c r="K451" s="9" t="str">
        <x:v>TPU grade, embedded FBG, coating and sensor geometry are described.</x:v>
      </x:c>
      <x:c r="L451" s="9" t="str">
        <x:v>PDF pp. 3–9; Figs. 1–12; Tables I–III</x:v>
      </x:c>
      <x:c r="M451" s="9" t="str">
        <x:v>Functional host, sensing constituent and relevant electrode/interface materials are identified.</x:v>
      </x:c>
      <x:c r="N451" s="9" t="str">
        <x:v>Article PDF p. 8</x:v>
      </x:c>
      <x:c r="O451" s="9" t="str">
        <x:v>TPU grade, embedded FBG, coating and sensor geometry are described.</x:v>
      </x:c>
      <x:c r="P451" s="9" t="str">
        <x:v>PDF pp. 3–9; Figs. 1–12; Tables I–III</x:v>
      </x:c>
    </x:row>
    <x:row r="452">
      <x:c r="A452" s="9" t="n">
        <x:v>57</x:v>
      </x:c>
      <x:c r="B452" s="9" t="str">
        <x:v>S070</x:v>
      </x:c>
      <x:c r="C452" s="9" t="str">
        <x:v>Dimo et al. (2026)</x:v>
      </x:c>
      <x:c r="D452" s="9" t="str">
        <x:v>L3</x:v>
      </x:c>
      <x:c r="E452" s="9" t="str">
        <x:v>1</x:v>
      </x:c>
      <x:c r="F452" s="9" t="str">
        <x:v>1</x:v>
      </x:c>
      <x:c r="G452" s="9" t="str">
        <x:v>Yes</x:v>
      </x:c>
      <x:c r="H452" s="9" t="str">
        <x:v>Agree</x:v>
      </x:c>
      <x:c r="I452" s="9" t="str">
        <x:v>1</x:v>
      </x:c>
      <x:c r="J452" s="9" t="str">
        <x:v>Final agreement</x:v>
      </x:c>
      <x:c r="K452" s="9" t="str">
        <x:v>Controlled strain, temperature, RH and body-motion inputs are linked to wavelength response.</x:v>
      </x:c>
      <x:c r="L452" s="9" t="str">
        <x:v>PDF pp. 3–9; Figs. 1–12; Tables I–III</x:v>
      </x:c>
      <x:c r="M452" s="9" t="str">
        <x:v>Sensor output is related to a controlled or independently measured input with a stated procedure and range.</x:v>
      </x:c>
      <x:c r="N452" s="9" t="str">
        <x:v>Article PDF p. 10</x:v>
      </x:c>
      <x:c r="O452" s="9" t="str">
        <x:v>Controlled strain, temperature, RH and body-motion inputs are linked to wavelength response.</x:v>
      </x:c>
      <x:c r="P452" s="9" t="str">
        <x:v>PDF pp. 3–9; Figs. 1–12; Tables I–III</x:v>
      </x:c>
    </x:row>
    <x:row r="453">
      <x:c r="A453" s="9" t="n">
        <x:v>57</x:v>
      </x:c>
      <x:c r="B453" s="9" t="str">
        <x:v>S070</x:v>
      </x:c>
      <x:c r="C453" s="9" t="str">
        <x:v>Dimo et al. (2026)</x:v>
      </x:c>
      <x:c r="D453" s="9" t="str">
        <x:v>L4</x:v>
      </x:c>
      <x:c r="E453" s="9" t="str">
        <x:v>1</x:v>
      </x:c>
      <x:c r="F453" s="9" t="str">
        <x:v>1</x:v>
      </x:c>
      <x:c r="G453" s="9" t="str">
        <x:v>Yes</x:v>
      </x:c>
      <x:c r="H453" s="9" t="str">
        <x:v>Agree</x:v>
      </x:c>
      <x:c r="I453" s="9" t="str">
        <x:v>1</x:v>
      </x:c>
      <x:c r="J453" s="9" t="str">
        <x:v>Final agreement</x:v>
      </x:c>
      <x:c r="K453" s="9" t="str">
        <x:v>Sensitivities, hysteresis and tested ranges are quantitative.</x:v>
      </x:c>
      <x:c r="L453" s="9" t="str">
        <x:v>PDF pp. 3–9; Figs. 1–12; Tables I–III</x:v>
      </x:c>
      <x:c r="M453" s="9" t="str">
        <x:v>A modality-appropriate quantitative response, units/calculation and operating range are reported.</x:v>
      </x:c>
      <x:c r="N453" s="9" t="str">
        <x:v>Article PDF p. 10</x:v>
      </x:c>
      <x:c r="O453" s="9" t="str">
        <x:v>Sensitivities, hysteresis and tested ranges are quantitative.</x:v>
      </x:c>
      <x:c r="P453" s="9" t="str">
        <x:v>PDF pp. 3–9; Figs. 1–12; Tables I–III</x:v>
      </x:c>
    </x:row>
    <x:row r="454">
      <x:c r="A454" s="9" t="n">
        <x:v>57</x:v>
      </x:c>
      <x:c r="B454" s="9" t="str">
        <x:v>S070</x:v>
      </x:c>
      <x:c r="C454" s="9" t="str">
        <x:v>Dimo et al. (2026)</x:v>
      </x:c>
      <x:c r="D454" s="9" t="str">
        <x:v>L5</x:v>
      </x:c>
      <x:c r="E454" s="9" t="str">
        <x:v>1</x:v>
      </x:c>
      <x:c r="F454" s="9" t="str">
        <x:v>1</x:v>
      </x:c>
      <x:c r="G454" s="9" t="str">
        <x:v>Yes</x:v>
      </x:c>
      <x:c r="H454" s="9" t="str">
        <x:v>Agree</x:v>
      </x:c>
      <x:c r="I454" s="9" t="str">
        <x:v>1</x:v>
      </x:c>
      <x:c r="J454" s="9" t="str">
        <x:v>Final agreement</x:v>
      </x:c>
      <x:c r="K454" s="9" t="str">
        <x:v>Ten strain repetitions and 100 loading cycles report repeated response.</x:v>
      </x:c>
      <x:c r="L454" s="9" t="str">
        <x:v>PDF pp. 3–9; Figs. 1–12; Tables I–III</x:v>
      </x:c>
      <x:c r="M454" s="9" t="str">
        <x:v>A stated repeated-test range/count is accompanied by a stability, hysteresis, retention or failure outcome.</x:v>
      </x:c>
      <x:c r="N454" s="9" t="str">
        <x:v>Article PDF p. 10</x:v>
      </x:c>
      <x:c r="O454" s="9" t="str">
        <x:v>Ten strain repetitions and 100 loading cycles report repeated response.</x:v>
      </x:c>
      <x:c r="P454" s="9" t="str">
        <x:v>PDF pp. 3–9; Figs. 1–12; Tables I–III</x:v>
      </x:c>
    </x:row>
    <x:row r="455">
      <x:c r="A455" s="9" t="n">
        <x:v>57</x:v>
      </x:c>
      <x:c r="B455" s="9" t="str">
        <x:v>S070</x:v>
      </x:c>
      <x:c r="C455" s="9" t="str">
        <x:v>Dimo et al. (2026)</x:v>
      </x:c>
      <x:c r="D455" s="9" t="str">
        <x:v>L6</x:v>
      </x:c>
      <x:c r="E455" s="9" t="str">
        <x:v>1</x:v>
      </x:c>
      <x:c r="F455" s="9" t="str">
        <x:v>1</x:v>
      </x:c>
      <x:c r="G455" s="9" t="str">
        <x:v>Yes</x:v>
      </x:c>
      <x:c r="H455" s="9" t="str">
        <x:v>Agree</x:v>
      </x:c>
      <x:c r="I455" s="9" t="str">
        <x:v>1</x:v>
      </x:c>
      <x:c r="J455" s="9" t="str">
        <x:v>Final agreement</x:v>
      </x:c>
      <x:c r="K455" s="9" t="str">
        <x:v>Temperature and RH were deliberately varied with sensor response reported.</x:v>
      </x:c>
      <x:c r="L455" s="9" t="str">
        <x:v>PDF pp. 3–9; Figs. 1–12; Tables I–III</x:v>
      </x:c>
      <x:c r="M455" s="9" t="str">
        <x:v>Sensor/system response is reported under a declared non-measurand environmental or use-related exposure.</x:v>
      </x:c>
      <x:c r="N455" s="9" t="str">
        <x:v>Article PDF p. 6</x:v>
      </x:c>
      <x:c r="O455" s="9" t="str">
        <x:v>Temperature and RH were deliberately varied with sensor response reported.</x:v>
      </x:c>
      <x:c r="P455" s="9" t="str">
        <x:v>PDF pp. 3–9; Figs. 1–12; Tables I–III</x:v>
      </x:c>
    </x:row>
    <x:row r="456">
      <x:c r="A456" s="9" t="n">
        <x:v>57</x:v>
      </x:c>
      <x:c r="B456" s="9" t="str">
        <x:v>S070</x:v>
      </x:c>
      <x:c r="C456" s="9" t="str">
        <x:v>Dimo et al. (2026)</x:v>
      </x:c>
      <x:c r="D456" s="9" t="str">
        <x:v>L7</x:v>
      </x:c>
      <x:c r="E456" s="9" t="str">
        <x:v>1</x:v>
      </x:c>
      <x:c r="F456" s="9" t="str">
        <x:v>1</x:v>
      </x:c>
      <x:c r="G456" s="9" t="str">
        <x:v>Yes</x:v>
      </x:c>
      <x:c r="H456" s="9" t="str">
        <x:v>Agree</x:v>
      </x:c>
      <x:c r="I456" s="9" t="str">
        <x:v>1</x:v>
      </x:c>
      <x:c r="J456" s="9" t="str">
        <x:v>Final agreement</x:v>
      </x:c>
      <x:c r="K456" s="9" t="str">
        <x:v>The conclusion explicitly reports stable and repeatable response during controlled wearable movement cycles; section V defines the worn protocol.</x:v>
      </x:c>
      <x:c r="L456" s="9" t="str">
        <x:v>S070_Main.pdf, physical p. 8, section V; p. 9, Fig. 9; p. 10, wearable-validation conclusion.</x:v>
      </x:c>
      <x:c r="M456" s="9" t="str">
        <x:v>The conclusion explicitly reports stable and repeatable response during controlled wearable movement cycles; section V defines the worn protocol.</x:v>
      </x:c>
      <x:c r="N456" s="9" t="str">
        <x:v>S070_Main.pdf, physical p. 8, section V; p. 9, Fig. 9; p. 10, wearable-validation conclusion.</x:v>
      </x:c>
      <x:c r="O456" s="9" t="str">
        <x:v>The conclusion explicitly reports stable and repeatable response during controlled wearable movement cycles; section V defines the worn protocol.</x:v>
      </x:c>
      <x:c r="P456" s="9" t="str">
        <x:v>S070_Main.pdf, physical p. 8, section V; p. 9, Fig. 9; p. 10, wearable-validation conclusion.</x:v>
      </x:c>
    </x:row>
    <x:row r="457">
      <x:c r="A457" s="9" t="n">
        <x:v>57</x:v>
      </x:c>
      <x:c r="B457" s="9" t="str">
        <x:v>S070</x:v>
      </x:c>
      <x:c r="C457" s="9" t="str">
        <x:v>Dimo et al. (2026)</x:v>
      </x:c>
      <x:c r="D457" s="9" t="str">
        <x:v>L8</x:v>
      </x:c>
      <x:c r="E457" s="9" t="str">
        <x:v>0</x:v>
      </x:c>
      <x:c r="F457" s="9" t="str">
        <x:v>0</x:v>
      </x:c>
      <x:c r="G457" s="9" t="str">
        <x:v>Yes</x:v>
      </x:c>
      <x:c r="H457" s="9" t="str">
        <x:v>Agree</x:v>
      </x:c>
      <x:c r="I457" s="9" t="str">
        <x:v>0</x:v>
      </x:c>
      <x:c r="J457" s="9" t="str">
        <x:v>Final agreement</x:v>
      </x:c>
      <x:c r="K457" s="9" t="str">
        <x:v>Each material/speed configuration used one sensor; no ≥3-device same-condition comparison was reported.</x:v>
      </x:c>
      <x:c r="L457" s="9" t="str">
        <x:v>PDF pp. 3–9; Figs. 1–12; Tables I–III</x:v>
      </x:c>
      <x:c r="M457" s="9" t="str">
        <x:v>At least three equivalent independently fabricated units with quantified between-unit variation are not reported.</x:v>
      </x:c>
      <x:c r="N457" s="9" t="str">
        <x:v>Article PDF p. 10</x:v>
      </x:c>
      <x:c r="O457" s="9" t="str">
        <x:v>Each material/speed configuration used one sensor; no ≥3-device same-condition comparison was reported.</x:v>
      </x:c>
      <x:c r="P457" s="9" t="str">
        <x:v>PDF pp. 3–9; Figs. 1–12; Tables I–III</x:v>
      </x:c>
    </x:row>
    <x:row r="458">
      <x:c r="A458" s="9" t="n">
        <x:v>58</x:v>
      </x:c>
      <x:c r="B458" s="9" t="str">
        <x:v>S071</x:v>
      </x:c>
      <x:c r="C458" s="9" t="str">
        <x:v>Luo et al. (2025)</x:v>
      </x:c>
      <x:c r="D458" s="9" t="str">
        <x:v>L1</x:v>
      </x:c>
      <x:c r="E458" s="9" t="str">
        <x:v>0</x:v>
      </x:c>
      <x:c r="F458" s="9" t="str">
        <x:v>0</x:v>
      </x:c>
      <x:c r="G458" s="9" t="str">
        <x:v>Yes</x:v>
      </x:c>
      <x:c r="H458" s="9" t="str">
        <x:v>Agree</x:v>
      </x:c>
      <x:c r="I458" s="9" t="str">
        <x:v>0</x:v>
      </x:c>
      <x:c r="J458" s="9" t="str">
        <x:v>Final agreement</x:v>
      </x:c>
      <x:c r="K458" s="9" t="str">
        <x:v>FDM and thermal conditions are stated, but printer model, nozzle diameter, speed and layer height were not identified.</x:v>
      </x:c>
      <x:c r="L458" s="9" t="str">
        <x:v>PDF pp. 2–10; Figs. 1–12; Tables 1–2</x:v>
      </x:c>
      <x:c r="M458" s="9" t="str">
        <x:v>Fabrication is described, but reconstruction-critical layer height, infill, speed details are not reported.</x:v>
      </x:c>
      <x:c r="N458" s="9" t="str">
        <x:v>Article PDF p. 4</x:v>
      </x:c>
      <x:c r="O458" s="9" t="str">
        <x:v>FDM and thermal conditions are stated, but printer model, nozzle diameter, speed and layer height were not identified.</x:v>
      </x:c>
      <x:c r="P458" s="9" t="str">
        <x:v>PDF pp. 2–10; Figs. 1–12; Tables 1–2</x:v>
      </x:c>
    </x:row>
    <x:row r="459">
      <x:c r="A459" s="9" t="n">
        <x:v>58</x:v>
      </x:c>
      <x:c r="B459" s="9" t="str">
        <x:v>S071</x:v>
      </x:c>
      <x:c r="C459" s="9" t="str">
        <x:v>Luo et al. (2025)</x:v>
      </x:c>
      <x:c r="D459" s="9" t="str">
        <x:v>L2</x:v>
      </x:c>
      <x:c r="E459" s="9" t="str">
        <x:v>1</x:v>
      </x:c>
      <x:c r="F459" s="9" t="str">
        <x:v>1</x:v>
      </x:c>
      <x:c r="G459" s="9" t="str">
        <x:v>Yes</x:v>
      </x:c>
      <x:c r="H459" s="9" t="str">
        <x:v>Agree</x:v>
      </x:c>
      <x:c r="I459" s="9" t="str">
        <x:v>1</x:v>
      </x:c>
      <x:c r="J459" s="9" t="str">
        <x:v>Final agreement</x:v>
      </x:c>
      <x:c r="K459" s="9" t="str">
        <x:v>TPU, graphene/PVP coating, TPMS geometry and electrical role are described.</x:v>
      </x:c>
      <x:c r="L459" s="9" t="str">
        <x:v>PDF pp. 2–10; Figs. 1–12; Tables 1–2</x:v>
      </x:c>
      <x:c r="M459" s="9" t="str">
        <x:v>Functional host, sensing constituent and relevant electrode/interface materials are identified.</x:v>
      </x:c>
      <x:c r="N459" s="9" t="str">
        <x:v>Article PDF p. 11</x:v>
      </x:c>
      <x:c r="O459" s="9" t="str">
        <x:v>TPU, graphene/PVP coating, TPMS geometry and electrical role are described.</x:v>
      </x:c>
      <x:c r="P459" s="9" t="str">
        <x:v>PDF pp. 2–10; Figs. 1–12; Tables 1–2</x:v>
      </x:c>
    </x:row>
    <x:row r="460">
      <x:c r="A460" s="9" t="n">
        <x:v>58</x:v>
      </x:c>
      <x:c r="B460" s="9" t="str">
        <x:v>S071</x:v>
      </x:c>
      <x:c r="C460" s="9" t="str">
        <x:v>Luo et al. (2025)</x:v>
      </x:c>
      <x:c r="D460" s="9" t="str">
        <x:v>L3</x:v>
      </x:c>
      <x:c r="E460" s="9" t="str">
        <x:v>1</x:v>
      </x:c>
      <x:c r="F460" s="9" t="str">
        <x:v>1</x:v>
      </x:c>
      <x:c r="G460" s="9" t="str">
        <x:v>Yes</x:v>
      </x:c>
      <x:c r="H460" s="9" t="str">
        <x:v>Agree</x:v>
      </x:c>
      <x:c r="I460" s="9" t="str">
        <x:v>1</x:v>
      </x:c>
      <x:c r="J460" s="9" t="str">
        <x:v>Final agreement</x:v>
      </x:c>
      <x:c r="K460" s="9" t="str">
        <x:v>Controlled compression and speed-defined gait protocols are reported.</x:v>
      </x:c>
      <x:c r="L460" s="9" t="str">
        <x:v>PDF pp. 2–10; Figs. 1–12; Tables 1–2</x:v>
      </x:c>
      <x:c r="M460" s="9" t="str">
        <x:v>Sensor output is related to a controlled or independently measured input with a stated procedure and range.</x:v>
      </x:c>
      <x:c r="N460" s="9" t="str">
        <x:v>Article PDF p. 10</x:v>
      </x:c>
      <x:c r="O460" s="9" t="str">
        <x:v>Controlled compression and speed-defined gait protocols are reported.</x:v>
      </x:c>
      <x:c r="P460" s="9" t="str">
        <x:v>PDF pp. 2–10; Figs. 1–12; Tables 1–2</x:v>
      </x:c>
    </x:row>
    <x:row r="461">
      <x:c r="A461" s="9" t="n">
        <x:v>58</x:v>
      </x:c>
      <x:c r="B461" s="9" t="str">
        <x:v>S071</x:v>
      </x:c>
      <x:c r="C461" s="9" t="str">
        <x:v>Luo et al. (2025)</x:v>
      </x:c>
      <x:c r="D461" s="9" t="str">
        <x:v>L4</x:v>
      </x:c>
      <x:c r="E461" s="9" t="str">
        <x:v>1</x:v>
      </x:c>
      <x:c r="F461" s="9" t="str">
        <x:v>1</x:v>
      </x:c>
      <x:c r="G461" s="9" t="str">
        <x:v>Yes</x:v>
      </x:c>
      <x:c r="H461" s="9" t="str">
        <x:v>Agree</x:v>
      </x:c>
      <x:c r="I461" s="9" t="str">
        <x:v>1</x:v>
      </x:c>
      <x:c r="J461" s="9" t="str">
        <x:v>Final agreement</x:v>
      </x:c>
      <x:c r="K461" s="9" t="str">
        <x:v>Sensitivity, range and endurance loss are quantitative.</x:v>
      </x:c>
      <x:c r="L461" s="9" t="str">
        <x:v>PDF pp. 2–10; Figs. 1–12; Tables 1–2</x:v>
      </x:c>
      <x:c r="M461" s="9" t="str">
        <x:v>A modality-appropriate quantitative response, units/calculation and operating range are reported.</x:v>
      </x:c>
      <x:c r="N461" s="9" t="str">
        <x:v>Article PDF p. 10</x:v>
      </x:c>
      <x:c r="O461" s="9" t="str">
        <x:v>Sensitivity, range and endurance loss are quantitative.</x:v>
      </x:c>
      <x:c r="P461" s="9" t="str">
        <x:v>PDF pp. 2–10; Figs. 1–12; Tables 1–2</x:v>
      </x:c>
    </x:row>
    <x:row r="462">
      <x:c r="A462" s="9" t="n">
        <x:v>58</x:v>
      </x:c>
      <x:c r="B462" s="9" t="str">
        <x:v>S071</x:v>
      </x:c>
      <x:c r="C462" s="9" t="str">
        <x:v>Luo et al. (2025)</x:v>
      </x:c>
      <x:c r="D462" s="9" t="str">
        <x:v>L5</x:v>
      </x:c>
      <x:c r="E462" s="9" t="str">
        <x:v>1</x:v>
      </x:c>
      <x:c r="F462" s="9" t="str">
        <x:v>1</x:v>
      </x:c>
      <x:c r="G462" s="9" t="str">
        <x:v>Yes</x:v>
      </x:c>
      <x:c r="H462" s="9" t="str">
        <x:v>Agree</x:v>
      </x:c>
      <x:c r="I462" s="9" t="str">
        <x:v>1</x:v>
      </x:c>
      <x:c r="J462" s="9" t="str">
        <x:v>Final agreement</x:v>
      </x:c>
      <x:c r="K462" s="9" t="str">
        <x:v>A 1000-cycle compression test reports retained response.</x:v>
      </x:c>
      <x:c r="L462" s="9" t="str">
        <x:v>PDF pp. 2–10; Figs. 1–12; Tables 1–2</x:v>
      </x:c>
      <x:c r="M462" s="9" t="str">
        <x:v>A stated repeated-test range/count is accompanied by a stability, hysteresis, retention or failure outcome.</x:v>
      </x:c>
      <x:c r="N462" s="9" t="str">
        <x:v>Article PDF p. 4</x:v>
      </x:c>
      <x:c r="O462" s="9" t="str">
        <x:v>A 1000-cycle compression test reports retained response.</x:v>
      </x:c>
      <x:c r="P462" s="9" t="str">
        <x:v>PDF pp. 2–10; Figs. 1–12; Tables 1–2</x:v>
      </x:c>
    </x:row>
    <x:row r="463">
      <x:c r="A463" s="9" t="n">
        <x:v>58</x:v>
      </x:c>
      <x:c r="B463" s="9" t="str">
        <x:v>S071</x:v>
      </x:c>
      <x:c r="C463" s="9" t="str">
        <x:v>Luo et al. (2025)</x:v>
      </x:c>
      <x:c r="D463" s="9" t="str">
        <x:v>L6</x:v>
      </x:c>
      <x:c r="E463" s="9" t="str">
        <x:v>0</x:v>
      </x:c>
      <x:c r="F463" s="9" t="str">
        <x:v>0</x:v>
      </x:c>
      <x:c r="G463" s="9" t="str">
        <x:v>Yes</x:v>
      </x:c>
      <x:c r="H463" s="9" t="str">
        <x:v>Agree</x:v>
      </x:c>
      <x:c r="I463" s="9" t="str">
        <x:v>0</x:v>
      </x:c>
      <x:c r="J463" s="9" t="str">
        <x:v>Final agreement</x:v>
      </x:c>
      <x:c r="K463" s="9" t="str">
        <x:v>The intended pressure/gait measurands were tested, but no distinct environmental/use exposure was reported.</x:v>
      </x:c>
      <x:c r="L463" s="9" t="str">
        <x:v>PDF pp. 2–10; Figs. 1–12; Tables 1–2</x:v>
      </x:c>
      <x:c r="M463" s="9" t="str">
        <x:v>Static/dynamic loading and prospective environmental relevance are discussed, but no non-measurand exposure test is reported.</x:v>
      </x:c>
      <x:c r="N463" s="9" t="str">
        <x:v>Article PDF pp. 4-10</x:v>
      </x:c>
      <x:c r="O463" s="9" t="str">
        <x:v>The intended pressure/gait measurands were tested, but no distinct environmental/use exposure was reported.</x:v>
      </x:c>
      <x:c r="P463" s="9" t="str">
        <x:v>PDF pp. 2–10; Figs. 1–12; Tables 1–2</x:v>
      </x:c>
    </x:row>
    <x:row r="464">
      <x:c r="A464" s="9" t="n">
        <x:v>58</x:v>
      </x:c>
      <x:c r="B464" s="9" t="str">
        <x:v>S071</x:v>
      </x:c>
      <x:c r="C464" s="9" t="str">
        <x:v>Luo et al. (2025)</x:v>
      </x:c>
      <x:c r="D464" s="9" t="str">
        <x:v>L7</x:v>
      </x:c>
      <x:c r="E464" s="9" t="str">
        <x:v>1</x:v>
      </x:c>
      <x:c r="F464" s="9" t="str">
        <x:v>1</x:v>
      </x:c>
      <x:c r="G464" s="9" t="str">
        <x:v>Yes</x:v>
      </x:c>
      <x:c r="H464" s="9" t="str">
        <x:v>Agree</x:v>
      </x:c>
      <x:c r="I464" s="9" t="str">
        <x:v>1</x:v>
      </x:c>
      <x:c r="J464" s="9" t="str">
        <x:v>Final agreement</x:v>
      </x:c>
      <x:c r="K464" s="9" t="str">
        <x:v>Ten gait cycles per test are analyzed at slow/fast speeds; the authors expressly evaluate stability and reproducibility of the worn sensor across these motion trials.</x:v>
      </x:c>
      <x:c r="L464" s="9" t="str">
        <x:v>S071_Main.pdf, physical pp. 9-10, section 3.3/Figs. 11-12.</x:v>
      </x:c>
      <x:c r="M464" s="9" t="str">
        <x:v>Ten gait cycles per test are analyzed at slow/fast speeds; the authors expressly evaluate stability and reproducibility of the worn sensor across these motion trials.</x:v>
      </x:c>
      <x:c r="N464" s="9" t="str">
        <x:v>S071_Main.pdf, physical pp. 9-10, section 3.3/Figs. 11-12.</x:v>
      </x:c>
      <x:c r="O464" s="9" t="str">
        <x:v>Ten gait cycles per test are analyzed at slow/fast speeds; the authors expressly evaluate stability and reproducibility of the worn sensor across these motion trials.</x:v>
      </x:c>
      <x:c r="P464" s="9" t="str">
        <x:v>S071_Main.pdf, physical pp. 9-10, section 3.3/Figs. 11-12.</x:v>
      </x:c>
    </x:row>
    <x:row r="465">
      <x:c r="A465" s="9" t="n">
        <x:v>58</x:v>
      </x:c>
      <x:c r="B465" s="9" t="str">
        <x:v>S071</x:v>
      </x:c>
      <x:c r="C465" s="9" t="str">
        <x:v>Luo et al. (2025)</x:v>
      </x:c>
      <x:c r="D465" s="9" t="str">
        <x:v>L8</x:v>
      </x:c>
      <x:c r="E465" s="9" t="str">
        <x:v>0</x:v>
      </x:c>
      <x:c r="F465" s="9" t="str">
        <x:v>0</x:v>
      </x:c>
      <x:c r="G465" s="9" t="str">
        <x:v>Yes</x:v>
      </x:c>
      <x:c r="H465" s="9" t="str">
        <x:v>Agree</x:v>
      </x:c>
      <x:c r="I465" s="9" t="str">
        <x:v>0</x:v>
      </x:c>
      <x:c r="J465" s="9" t="str">
        <x:v>Final agreement</x:v>
      </x:c>
      <x:c r="K465" s="9" t="str">
        <x:v>Configuration variants and volunteers are not replicate devices; no qualifying ≥3-device comparison was reported.</x:v>
      </x:c>
      <x:c r="L465" s="9" t="str">
        <x:v>PDF pp. 2–10; Figs. 1–12; Tables 1–2</x:v>
      </x:c>
      <x:c r="M465" s="9" t="str">
        <x:v>At least three equivalent independently fabricated units with quantified between-unit variation are not reported.</x:v>
      </x:c>
      <x:c r="N465" s="9" t="str">
        <x:v>Article PDF p. 10</x:v>
      </x:c>
      <x:c r="O465" s="9" t="str">
        <x:v>Configuration variants and volunteers are not replicate devices; no qualifying ≥3-device comparison was reported.</x:v>
      </x:c>
      <x:c r="P465" s="9" t="str">
        <x:v>PDF pp. 2–10; Figs. 1–12; Tables 1–2</x:v>
      </x:c>
    </x:row>
    <x:row r="466">
      <x:c r="A466" s="9" t="n">
        <x:v>59</x:v>
      </x:c>
      <x:c r="B466" s="9" t="str">
        <x:v>S073</x:v>
      </x:c>
      <x:c r="C466" s="9" t="str">
        <x:v>Han et al. (2025)</x:v>
      </x:c>
      <x:c r="D466" s="9" t="str">
        <x:v>L1</x:v>
      </x:c>
      <x:c r="E466" s="9" t="str">
        <x:v>0</x:v>
      </x:c>
      <x:c r="F466" s="9" t="str">
        <x:v>0</x:v>
      </x:c>
      <x:c r="G466" s="9" t="str">
        <x:v>Yes</x:v>
      </x:c>
      <x:c r="H466" s="9" t="str">
        <x:v>Agree</x:v>
      </x:c>
      <x:c r="I466" s="9" t="str">
        <x:v>0</x:v>
      </x:c>
      <x:c r="J466" s="9" t="str">
        <x:v>Final agreement</x:v>
      </x:c>
      <x:c r="K466" s="9" t="str">
        <x:v>FDM, temperatures, speed and layer height are stated, but the printer/model and nozzle diameter were not identified.</x:v>
      </x:c>
      <x:c r="L466" s="9" t="str">
        <x:v>PDF pp. 2–13; Figs. 1–10; Tables 1–2</x:v>
      </x:c>
      <x:c r="M466" s="9" t="str">
        <x:v>Final rating supersedes the earlier rating; no revised narrative reason was supplied.</x:v>
      </x:c>
      <x:c r="N466" s="9" t="str">
        <x:v>Finalized reviewer-rating workbook</x:v>
      </x:c>
      <x:c r="O466" s="9" t="str">
        <x:v>FDM, temperatures, speed and layer height are stated, but the printer/model and nozzle diameter were not identified.</x:v>
      </x:c>
      <x:c r="P466" s="9" t="str">
        <x:v>PDF pp. 2–13; Figs. 1–10; Tables 1–2</x:v>
      </x:c>
    </x:row>
    <x:row r="467">
      <x:c r="A467" s="9" t="n">
        <x:v>59</x:v>
      </x:c>
      <x:c r="B467" s="9" t="str">
        <x:v>S073</x:v>
      </x:c>
      <x:c r="C467" s="9" t="str">
        <x:v>Han et al. (2025)</x:v>
      </x:c>
      <x:c r="D467" s="9" t="str">
        <x:v>L2</x:v>
      </x:c>
      <x:c r="E467" s="9" t="str">
        <x:v>1</x:v>
      </x:c>
      <x:c r="F467" s="9" t="str">
        <x:v>1</x:v>
      </x:c>
      <x:c r="G467" s="9" t="str">
        <x:v>Yes</x:v>
      </x:c>
      <x:c r="H467" s="9" t="str">
        <x:v>Agree</x:v>
      </x:c>
      <x:c r="I467" s="9" t="str">
        <x:v>1</x:v>
      </x:c>
      <x:c r="J467" s="9" t="str">
        <x:v>Final agreement</x:v>
      </x:c>
      <x:c r="K467" s="9" t="str">
        <x:v>CCF, TPU matrix, star architecture and sensing role are described.</x:v>
      </x:c>
      <x:c r="L467" s="9" t="str">
        <x:v>PDF pp. 2–13; Figs. 1–10; Tables 1–2</x:v>
      </x:c>
      <x:c r="M467" s="9" t="str">
        <x:v>Functional host, sensing constituent and relevant electrode/interface materials are identified.</x:v>
      </x:c>
      <x:c r="N467" s="9" t="str">
        <x:v>Article PDF p. 12</x:v>
      </x:c>
      <x:c r="O467" s="9" t="str">
        <x:v>CCF, TPU matrix, star architecture and sensing role are described.</x:v>
      </x:c>
      <x:c r="P467" s="9" t="str">
        <x:v>PDF pp. 2–13; Figs. 1–10; Tables 1–2</x:v>
      </x:c>
    </x:row>
    <x:row r="468">
      <x:c r="A468" s="9" t="n">
        <x:v>59</x:v>
      </x:c>
      <x:c r="B468" s="9" t="str">
        <x:v>S073</x:v>
      </x:c>
      <x:c r="C468" s="9" t="str">
        <x:v>Han et al. (2025)</x:v>
      </x:c>
      <x:c r="D468" s="9" t="str">
        <x:v>L3</x:v>
      </x:c>
      <x:c r="E468" s="9" t="str">
        <x:v>1</x:v>
      </x:c>
      <x:c r="F468" s="9" t="str">
        <x:v>1</x:v>
      </x:c>
      <x:c r="G468" s="9" t="str">
        <x:v>Yes</x:v>
      </x:c>
      <x:c r="H468" s="9" t="str">
        <x:v>Agree</x:v>
      </x:c>
      <x:c r="I468" s="9" t="str">
        <x:v>1</x:v>
      </x:c>
      <x:c r="J468" s="9" t="str">
        <x:v>Final agreement</x:v>
      </x:c>
      <x:c r="K468" s="9" t="str">
        <x:v>Strain, stress, temperature and joint-angle inputs are linked to resistance response.</x:v>
      </x:c>
      <x:c r="L468" s="9" t="str">
        <x:v>PDF pp. 2–13; Figs. 1–10; Tables 1–2</x:v>
      </x:c>
      <x:c r="M468" s="9" t="str">
        <x:v>Sensor output is related to a controlled or independently measured input with a stated procedure and range.</x:v>
      </x:c>
      <x:c r="N468" s="9" t="str">
        <x:v>Article PDF p. 6</x:v>
      </x:c>
      <x:c r="O468" s="9" t="str">
        <x:v>Strain, stress, temperature and joint-angle inputs are linked to resistance response.</x:v>
      </x:c>
      <x:c r="P468" s="9" t="str">
        <x:v>PDF pp. 2–13; Figs. 1–10; Tables 1–2</x:v>
      </x:c>
    </x:row>
    <x:row r="469">
      <x:c r="A469" s="9" t="n">
        <x:v>59</x:v>
      </x:c>
      <x:c r="B469" s="9" t="str">
        <x:v>S073</x:v>
      </x:c>
      <x:c r="C469" s="9" t="str">
        <x:v>Han et al. (2025)</x:v>
      </x:c>
      <x:c r="D469" s="9" t="str">
        <x:v>L4</x:v>
      </x:c>
      <x:c r="E469" s="9" t="str">
        <x:v>1</x:v>
      </x:c>
      <x:c r="F469" s="9" t="str">
        <x:v>1</x:v>
      </x:c>
      <x:c r="G469" s="9" t="str">
        <x:v>Yes</x:v>
      </x:c>
      <x:c r="H469" s="9" t="str">
        <x:v>Agree</x:v>
      </x:c>
      <x:c r="I469" s="9" t="str">
        <x:v>1</x:v>
      </x:c>
      <x:c r="J469" s="9" t="str">
        <x:v>Final agreement</x:v>
      </x:c>
      <x:c r="K469" s="9" t="str">
        <x:v>Test ranges and response values/curves are quantitative.</x:v>
      </x:c>
      <x:c r="L469" s="9" t="str">
        <x:v>PDF pp. 2–13; Figs. 1–10; Tables 1–2</x:v>
      </x:c>
      <x:c r="M469" s="9" t="str">
        <x:v>A modality-appropriate quantitative response, units/calculation and operating range are reported.</x:v>
      </x:c>
      <x:c r="N469" s="9" t="str">
        <x:v>Article PDF p. 6</x:v>
      </x:c>
      <x:c r="O469" s="9" t="str">
        <x:v>Test ranges and response values/curves are quantitative.</x:v>
      </x:c>
      <x:c r="P469" s="9" t="str">
        <x:v>PDF pp. 2–13; Figs. 1–10; Tables 1–2</x:v>
      </x:c>
    </x:row>
    <x:row r="470">
      <x:c r="A470" s="9" t="n">
        <x:v>59</x:v>
      </x:c>
      <x:c r="B470" s="9" t="str">
        <x:v>S073</x:v>
      </x:c>
      <x:c r="C470" s="9" t="str">
        <x:v>Han et al. (2025)</x:v>
      </x:c>
      <x:c r="D470" s="9" t="str">
        <x:v>L5</x:v>
      </x:c>
      <x:c r="E470" s="9" t="str">
        <x:v>1</x:v>
      </x:c>
      <x:c r="F470" s="9" t="str">
        <x:v>1</x:v>
      </x:c>
      <x:c r="G470" s="9" t="str">
        <x:v>Yes</x:v>
      </x:c>
      <x:c r="H470" s="9" t="str">
        <x:v>Agree</x:v>
      </x:c>
      <x:c r="I470" s="9" t="str">
        <x:v>1</x:v>
      </x:c>
      <x:c r="J470" s="9" t="str">
        <x:v>Final agreement</x:v>
      </x:c>
      <x:c r="K470" s="9" t="str">
        <x:v>Repeated loading traces and stabilization over multiple cycles are reported.</x:v>
      </x:c>
      <x:c r="L470" s="9" t="str">
        <x:v>PDF pp. 2–13; Figs. 1–10; Tables 1–2</x:v>
      </x:c>
      <x:c r="M470" s="9" t="str">
        <x:v>A stated repeated-test range/count is accompanied by a stability, hysteresis, retention or failure outcome.</x:v>
      </x:c>
      <x:c r="N470" s="9" t="str">
        <x:v>Article PDF p. 6</x:v>
      </x:c>
      <x:c r="O470" s="9" t="str">
        <x:v>Repeated loading traces and stabilization over multiple cycles are reported.</x:v>
      </x:c>
      <x:c r="P470" s="9" t="str">
        <x:v>PDF pp. 2–13; Figs. 1–10; Tables 1–2</x:v>
      </x:c>
    </x:row>
    <x:row r="471">
      <x:c r="A471" s="9" t="n">
        <x:v>59</x:v>
      </x:c>
      <x:c r="B471" s="9" t="str">
        <x:v>S073</x:v>
      </x:c>
      <x:c r="C471" s="9" t="str">
        <x:v>Han et al. (2025)</x:v>
      </x:c>
      <x:c r="D471" s="9" t="str">
        <x:v>L6</x:v>
      </x:c>
      <x:c r="E471" s="9" t="str">
        <x:v>0</x:v>
      </x:c>
      <x:c r="F471" s="9" t="str">
        <x:v>0</x:v>
      </x:c>
      <x:c r="G471" s="9" t="str">
        <x:v>Yes</x:v>
      </x:c>
      <x:c r="H471" s="9" t="str">
        <x:v>Agree</x:v>
      </x:c>
      <x:c r="I471" s="9" t="str">
        <x:v>0</x:v>
      </x:c>
      <x:c r="J471" s="9" t="str">
        <x:v>Final agreement</x:v>
      </x:c>
      <x:c r="K471" s="9" t="str">
        <x:v>Temperature is an intended sensing modality here; no separate environmental/use exposure was reported.</x:v>
      </x:c>
      <x:c r="L471" s="9" t="str">
        <x:v>PDF pp. 2–13; Figs. 1–10; Tables 1–2</x:v>
      </x:c>
      <x:c r="M471" s="9" t="str">
        <x:v>Final rating supersedes the earlier rating; no revised narrative reason was supplied.</x:v>
      </x:c>
      <x:c r="N471" s="9" t="str">
        <x:v>Finalized reviewer-rating workbook</x:v>
      </x:c>
      <x:c r="O471" s="9" t="str">
        <x:v>Temperature is an intended sensing modality here; no separate environmental/use exposure was reported.</x:v>
      </x:c>
      <x:c r="P471" s="9" t="str">
        <x:v>PDF pp. 2–13; Figs. 1–10; Tables 1–2</x:v>
      </x:c>
    </x:row>
    <x:row r="472">
      <x:c r="A472" s="9" t="n">
        <x:v>59</x:v>
      </x:c>
      <x:c r="B472" s="9" t="str">
        <x:v>S073</x:v>
      </x:c>
      <x:c r="C472" s="9" t="str">
        <x:v>Han et al. (2025)</x:v>
      </x:c>
      <x:c r="D472" s="9" t="str">
        <x:v>L7</x:v>
      </x:c>
      <x:c r="E472" s="9" t="str">
        <x:v>1</x:v>
      </x:c>
      <x:c r="F472" s="9" t="str">
        <x:v>1</x:v>
      </x:c>
      <x:c r="G472" s="9" t="str">
        <x:v>Yes</x:v>
      </x:c>
      <x:c r="H472" s="9" t="str">
        <x:v>Agree</x:v>
      </x:c>
      <x:c r="I472" s="9" t="str">
        <x:v>1</x:v>
      </x:c>
      <x:c r="J472" s="9" t="str">
        <x:v>Final agreement</x:v>
      </x:c>
      <x:c r="K472" s="9" t="str">
        <x:v>During worn nominal-angle flexion cycles, peak/interval variability is acknowledged and its effect on the repeated signal trend is evaluated. The response is not claimed to be perfectly repeatable.</x:v>
      </x:c>
      <x:c r="L472" s="9" t="str">
        <x:v>S073_Main.pdf, physical pp. 7-8, section 3.2/Fig. 7, especially p. 8 first two paragraphs.</x:v>
      </x:c>
      <x:c r="M472" s="9" t="str">
        <x:v>During worn nominal-angle flexion cycles, peak/interval variability is acknowledged and its effect on the repeated signal trend is evaluated. The response is not claimed to be perfectly repeatable.</x:v>
      </x:c>
      <x:c r="N472" s="9" t="str">
        <x:v>S073_Main.pdf, physical pp. 7-8, section 3.2/Fig. 7, especially p. 8 first two paragraphs.</x:v>
      </x:c>
      <x:c r="O472" s="9" t="str">
        <x:v>During worn nominal-angle flexion cycles, peak/interval variability is acknowledged and its effect on the repeated signal trend is evaluated. The response is not claimed to be perfectly repeatable.</x:v>
      </x:c>
      <x:c r="P472" s="9" t="str">
        <x:v>S073_Main.pdf, physical pp. 7-8, section 3.2/Fig. 7, especially p. 8 first two paragraphs.</x:v>
      </x:c>
    </x:row>
    <x:row r="473">
      <x:c r="A473" s="9" t="n">
        <x:v>59</x:v>
      </x:c>
      <x:c r="B473" s="9" t="str">
        <x:v>S073</x:v>
      </x:c>
      <x:c r="C473" s="9" t="str">
        <x:v>Han et al. (2025)</x:v>
      </x:c>
      <x:c r="D473" s="9" t="str">
        <x:v>L8</x:v>
      </x:c>
      <x:c r="E473" s="9" t="str">
        <x:v>0</x:v>
      </x:c>
      <x:c r="F473" s="9" t="str">
        <x:v>0</x:v>
      </x:c>
      <x:c r="G473" s="9" t="str">
        <x:v>Yes</x:v>
      </x:c>
      <x:c r="H473" s="9" t="str">
        <x:v>Agree</x:v>
      </x:c>
      <x:c r="I473" s="9" t="str">
        <x:v>0</x:v>
      </x:c>
      <x:c r="J473" s="9" t="str">
        <x:v>Final agreement</x:v>
      </x:c>
      <x:c r="K473" s="9" t="str">
        <x:v>Structure/loading variants were compared, but ≥3 separately fabricated same-condition devices were not.</x:v>
      </x:c>
      <x:c r="L473" s="9" t="str">
        <x:v>PDF pp. 2–13; Figs. 1–10; Tables 1–2</x:v>
      </x:c>
      <x:c r="M473" s="9" t="str">
        <x:v>At least three equivalent independently fabricated units with quantified between-unit variation are not reported.</x:v>
      </x:c>
      <x:c r="N473" s="9" t="str">
        <x:v>Article PDF p. 6</x:v>
      </x:c>
      <x:c r="O473" s="9" t="str">
        <x:v>Structure/loading variants were compared, but ≥3 separately fabricated same-condition devices were not.</x:v>
      </x:c>
      <x:c r="P473" s="9" t="str">
        <x:v>PDF pp. 2–13; Figs. 1–10; Tables 1–2</x:v>
      </x:c>
    </x:row>
    <x:row r="474">
      <x:c r="A474" s="9" t="n">
        <x:v>60</x:v>
      </x:c>
      <x:c r="B474" s="9" t="str">
        <x:v>S074</x:v>
      </x:c>
      <x:c r="C474" s="9" t="str">
        <x:v>Lavorgna et al. (2025)</x:v>
      </x:c>
      <x:c r="D474" s="9" t="str">
        <x:v>L1</x:v>
      </x:c>
      <x:c r="E474" s="9" t="str">
        <x:v>0</x:v>
      </x:c>
      <x:c r="F474" s="9" t="str">
        <x:v>0</x:v>
      </x:c>
      <x:c r="G474" s="9" t="str">
        <x:v>Yes</x:v>
      </x:c>
      <x:c r="H474" s="9" t="str">
        <x:v>Agree</x:v>
      </x:c>
      <x:c r="I474" s="9" t="str">
        <x:v>0</x:v>
      </x:c>
      <x:c r="J474" s="9" t="str">
        <x:v>Final agreement</x:v>
      </x:c>
      <x:c r="K474" s="9" t="str">
        <x:v>Printer, materials, temperatures, speed, infill and integration sequence are stated, but nozzle diameter and layer height were not identified.</x:v>
      </x:c>
      <x:c r="L474" s="9" t="str">
        <x:v>PDF pp. 3–9; Figs. 1–13</x:v>
      </x:c>
      <x:c r="M474" s="9" t="str">
        <x:v>Fabrication is described, but reconstruction-critical layer height details are not reported.</x:v>
      </x:c>
      <x:c r="N474" s="9" t="str">
        <x:v>Article PDF p. 3</x:v>
      </x:c>
      <x:c r="O474" s="9" t="str">
        <x:v>Printer, materials, temperatures, speed, infill and integration sequence are stated, but nozzle diameter and layer height were not identified.</x:v>
      </x:c>
      <x:c r="P474" s="9" t="str">
        <x:v>PDF pp. 3–9; Figs. 1–13</x:v>
      </x:c>
    </x:row>
    <x:row r="475">
      <x:c r="A475" s="9" t="n">
        <x:v>60</x:v>
      </x:c>
      <x:c r="B475" s="9" t="str">
        <x:v>S074</x:v>
      </x:c>
      <x:c r="C475" s="9" t="str">
        <x:v>Lavorgna et al. (2025)</x:v>
      </x:c>
      <x:c r="D475" s="9" t="str">
        <x:v>L2</x:v>
      </x:c>
      <x:c r="E475" s="9" t="str">
        <x:v>1</x:v>
      </x:c>
      <x:c r="F475" s="9" t="str">
        <x:v>1</x:v>
      </x:c>
      <x:c r="G475" s="9" t="str">
        <x:v>Yes</x:v>
      </x:c>
      <x:c r="H475" s="9" t="str">
        <x:v>Agree</x:v>
      </x:c>
      <x:c r="I475" s="9" t="str">
        <x:v>1</x:v>
      </x:c>
      <x:c r="J475" s="9" t="str">
        <x:v>Final agreement</x:v>
      </x:c>
      <x:c r="K475" s="9" t="str">
        <x:v>TPU/PLA body, embedded FBG, geometry and optical/readout roles are described.</x:v>
      </x:c>
      <x:c r="L475" s="9" t="str">
        <x:v>PDF pp. 3–9; Figs. 1–13</x:v>
      </x:c>
      <x:c r="M475" s="9" t="str">
        <x:v>Functional host, sensing constituent and relevant electrode/interface materials are identified.</x:v>
      </x:c>
      <x:c r="N475" s="9" t="str">
        <x:v>Article PDF p. 10</x:v>
      </x:c>
      <x:c r="O475" s="9" t="str">
        <x:v>TPU/PLA body, embedded FBG, geometry and optical/readout roles are described.</x:v>
      </x:c>
      <x:c r="P475" s="9" t="str">
        <x:v>PDF pp. 3–9; Figs. 1–13</x:v>
      </x:c>
    </x:row>
    <x:row r="476">
      <x:c r="A476" s="9" t="n">
        <x:v>60</x:v>
      </x:c>
      <x:c r="B476" s="9" t="str">
        <x:v>S074</x:v>
      </x:c>
      <x:c r="C476" s="9" t="str">
        <x:v>Lavorgna et al. (2025)</x:v>
      </x:c>
      <x:c r="D476" s="9" t="str">
        <x:v>L3</x:v>
      </x:c>
      <x:c r="E476" s="9" t="str">
        <x:v>1</x:v>
      </x:c>
      <x:c r="F476" s="9" t="str">
        <x:v>1</x:v>
      </x:c>
      <x:c r="G476" s="9" t="str">
        <x:v>Yes</x:v>
      </x:c>
      <x:c r="H476" s="9" t="str">
        <x:v>Agree</x:v>
      </x:c>
      <x:c r="I476" s="9" t="str">
        <x:v>1</x:v>
      </x:c>
      <x:c r="J476" s="9" t="str">
        <x:v>Final agreement</x:v>
      </x:c>
      <x:c r="K476" s="9" t="str">
        <x:v>Controlled temperature/strain protocols and reference-based volunteer tests are reported.</x:v>
      </x:c>
      <x:c r="L476" s="9" t="str">
        <x:v>PDF pp. 3–9; Figs. 1–13</x:v>
      </x:c>
      <x:c r="M476" s="9" t="str">
        <x:v>Load-frame calibration and synchronized reference-system comparisons were performed over defined strain and task protocols.</x:v>
      </x:c>
      <x:c r="N476" s="9" t="str">
        <x:v>Article PDF pp. 4-7, Figures 4 and 8</x:v>
      </x:c>
      <x:c r="O476" s="9" t="str">
        <x:v>Controlled temperature/strain protocols and reference-based volunteer tests are reported.</x:v>
      </x:c>
      <x:c r="P476" s="9" t="str">
        <x:v>PDF pp. 3–9; Figs. 1–13</x:v>
      </x:c>
    </x:row>
    <x:row r="477">
      <x:c r="A477" s="9" t="n">
        <x:v>60</x:v>
      </x:c>
      <x:c r="B477" s="9" t="str">
        <x:v>S074</x:v>
      </x:c>
      <x:c r="C477" s="9" t="str">
        <x:v>Lavorgna et al. (2025)</x:v>
      </x:c>
      <x:c r="D477" s="9" t="str">
        <x:v>L4</x:v>
      </x:c>
      <x:c r="E477" s="9" t="str">
        <x:v>1</x:v>
      </x:c>
      <x:c r="F477" s="9" t="str">
        <x:v>1</x:v>
      </x:c>
      <x:c r="G477" s="9" t="str">
        <x:v>Yes</x:v>
      </x:c>
      <x:c r="H477" s="9" t="str">
        <x:v>Agree</x:v>
      </x:c>
      <x:c r="I477" s="9" t="str">
        <x:v>1</x:v>
      </x:c>
      <x:c r="J477" s="9" t="str">
        <x:v>Final agreement</x:v>
      </x:c>
      <x:c r="K477" s="9" t="str">
        <x:v>Sensitivity, hysteresis, MAE/MAPE and test ranges are quantitative.</x:v>
      </x:c>
      <x:c r="L477" s="9" t="str">
        <x:v>PDF pp. 3–9; Figs. 1–13</x:v>
      </x:c>
      <x:c r="M477" s="9" t="str">
        <x:v>Sensitivity, hysteresis, repeatability, respiratory and movement errors are reported quantitatively.</x:v>
      </x:c>
      <x:c r="N477" s="9" t="str">
        <x:v>Article PDF pp. 4-8, Figures 4-13</x:v>
      </x:c>
      <x:c r="O477" s="9" t="str">
        <x:v>Sensitivity, hysteresis, MAE/MAPE and test ranges are quantitative.</x:v>
      </x:c>
      <x:c r="P477" s="9" t="str">
        <x:v>PDF pp. 3–9; Figs. 1–13</x:v>
      </x:c>
    </x:row>
    <x:row r="478">
      <x:c r="A478" s="9" t="n">
        <x:v>60</x:v>
      </x:c>
      <x:c r="B478" s="9" t="str">
        <x:v>S074</x:v>
      </x:c>
      <x:c r="C478" s="9" t="str">
        <x:v>Lavorgna et al. (2025)</x:v>
      </x:c>
      <x:c r="D478" s="9" t="str">
        <x:v>L5</x:v>
      </x:c>
      <x:c r="E478" s="9" t="str">
        <x:v>1</x:v>
      </x:c>
      <x:c r="F478" s="9" t="str">
        <x:v>1</x:v>
      </x:c>
      <x:c r="G478" s="9" t="str">
        <x:v>Yes</x:v>
      </x:c>
      <x:c r="H478" s="9" t="str">
        <x:v>Agree</x:v>
      </x:c>
      <x:c r="I478" s="9" t="str">
        <x:v>1</x:v>
      </x:c>
      <x:c r="J478" s="9" t="str">
        <x:v>Final agreement</x:v>
      </x:c>
      <x:c r="K478" s="9" t="str">
        <x:v>Nine strain repetitions, repeated dynamic cycles and 110-cycle tests are reported.</x:v>
      </x:c>
      <x:c r="L478" s="9" t="str">
        <x:v>PDF pp. 3–9; Figs. 1–13</x:v>
      </x:c>
      <x:c r="M478" s="9" t="str">
        <x:v>A stated repeated-test range/count is accompanied by a stability, hysteresis, retention or failure outcome.</x:v>
      </x:c>
      <x:c r="N478" s="9" t="str">
        <x:v>Article PDF p. 5</x:v>
      </x:c>
      <x:c r="O478" s="9" t="str">
        <x:v>Nine strain repetitions, repeated dynamic cycles and 110-cycle tests are reported.</x:v>
      </x:c>
      <x:c r="P478" s="9" t="str">
        <x:v>PDF pp. 3–9; Figs. 1–13</x:v>
      </x:c>
    </x:row>
    <x:row r="479">
      <x:c r="A479" s="9" t="n">
        <x:v>60</x:v>
      </x:c>
      <x:c r="B479" s="9" t="str">
        <x:v>S074</x:v>
      </x:c>
      <x:c r="C479" s="9" t="str">
        <x:v>Lavorgna et al. (2025)</x:v>
      </x:c>
      <x:c r="D479" s="9" t="str">
        <x:v>L6</x:v>
      </x:c>
      <x:c r="E479" s="9" t="str">
        <x:v>1</x:v>
      </x:c>
      <x:c r="F479" s="9" t="str">
        <x:v>1</x:v>
      </x:c>
      <x:c r="G479" s="9" t="str">
        <x:v>Yes</x:v>
      </x:c>
      <x:c r="H479" s="9" t="str">
        <x:v>Agree</x:v>
      </x:c>
      <x:c r="I479" s="9" t="str">
        <x:v>1</x:v>
      </x:c>
      <x:c r="J479" s="9" t="str">
        <x:v>Final agreement</x:v>
      </x:c>
      <x:c r="K479" s="9" t="str">
        <x:v>Temperature was deliberately varied as a cross-sensitivity condition for the strain/wearable sensor.</x:v>
      </x:c>
      <x:c r="L479" s="9" t="str">
        <x:v>PDF pp. 3–9; Figs. 1–13</x:v>
      </x:c>
      <x:c r="M479" s="9" t="str">
        <x:v>Final rating supersedes the earlier rating; no revised narrative reason was supplied.</x:v>
      </x:c>
      <x:c r="N479" s="9" t="str">
        <x:v>Finalized reviewer-rating workbook</x:v>
      </x:c>
      <x:c r="O479" s="9" t="str">
        <x:v>Temperature was deliberately varied as a cross-sensitivity condition for the strain/wearable sensor.</x:v>
      </x:c>
      <x:c r="P479" s="9" t="str">
        <x:v>PDF pp. 3–9; Figs. 1–13</x:v>
      </x:c>
    </x:row>
    <x:row r="480">
      <x:c r="A480" s="9" t="n">
        <x:v>60</x:v>
      </x:c>
      <x:c r="B480" s="9" t="str">
        <x:v>S074</x:v>
      </x:c>
      <x:c r="C480" s="9" t="str">
        <x:v>Lavorgna et al. (2025)</x:v>
      </x:c>
      <x:c r="D480" s="9" t="str">
        <x:v>L7</x:v>
      </x:c>
      <x:c r="E480" s="9" t="str">
        <x:v>0</x:v>
      </x:c>
      <x:c r="F480" s="9" t="str">
        <x:v>U</x:v>
      </x:c>
      <x:c r="G480" s="9" t="str">
        <x:v>No</x:v>
      </x:c>
      <x:c r="H480" s="9" t="str">
        <x:v>Excluded</x:v>
      </x:c>
      <x:c r="I480" s="9" t="str">
        <x:v>0</x:v>
      </x:c>
      <x:c r="J480" s="9" t="str">
        <x:v>Final consensus recorded; comparison excluded</x:v>
      </x:c>
      <x:c r="K480" s="9" t="str">
        <x:v>Final L7 rating from the targeted reassessment.</x:v>
      </x:c>
      <x:c r="L480" s="9" t="str">
        <x:v>Finalized reviewer-rating workbook</x:v>
      </x:c>
      <x:c r="M480" s="9" t="str">
        <x:v>Reviewer 2 remained unresolved in the finalized L7 assessment.</x:v>
      </x:c>
      <x:c r="N480" s="9" t="str">
        <x:v>Finalized reviewer-rating workbook</x:v>
      </x:c>
      <x:c r="O480" s="9" t="str">
        <x:v>No qualifying interface-integrity test or repeated final monolithic wearable-assembly test with a retention/failure endpoint was located.</x:v>
      </x:c>
      <x:c r="P480" s="9" t="str">
        <x:v>PDF pp. 3–9; Figs. 1–13</x:v>
      </x:c>
    </x:row>
    <x:row r="481">
      <x:c r="A481" s="9" t="n">
        <x:v>60</x:v>
      </x:c>
      <x:c r="B481" s="9" t="str">
        <x:v>S074</x:v>
      </x:c>
      <x:c r="C481" s="9" t="str">
        <x:v>Lavorgna et al. (2025)</x:v>
      </x:c>
      <x:c r="D481" s="9" t="str">
        <x:v>L8</x:v>
      </x:c>
      <x:c r="E481" s="9" t="str">
        <x:v>0</x:v>
      </x:c>
      <x:c r="F481" s="9" t="str">
        <x:v>0</x:v>
      </x:c>
      <x:c r="G481" s="9" t="str">
        <x:v>Yes</x:v>
      </x:c>
      <x:c r="H481" s="9" t="str">
        <x:v>Agree</x:v>
      </x:c>
      <x:c r="I481" s="9" t="str">
        <x:v>0</x:v>
      </x:c>
      <x:c r="J481" s="9" t="str">
        <x:v>Final agreement</x:v>
      </x:c>
      <x:c r="K481" s="9" t="str">
        <x:v>Only two devices were fabricated and one was characterized; the ≥3-device criterion was not met.</x:v>
      </x:c>
      <x:c r="L481" s="9" t="str">
        <x:v>PDF pp. 3–9; Figs. 1–13</x:v>
      </x:c>
      <x:c r="M481" s="9" t="str">
        <x:v>At least three equivalent independently fabricated units with quantified between-unit variation are not reported.</x:v>
      </x:c>
      <x:c r="N481" s="9" t="str">
        <x:v>Article PDF p. 2</x:v>
      </x:c>
      <x:c r="O481" s="9" t="str">
        <x:v>Only two devices were fabricated and one was characterized; the ≥3-device criterion was not met.</x:v>
      </x:c>
      <x:c r="P481" s="9" t="str">
        <x:v>PDF pp. 3–9; Figs. 1–13</x:v>
      </x:c>
    </x:row>
    <x:row r="482">
      <x:c r="A482" s="9" t="n">
        <x:v>61</x:v>
      </x:c>
      <x:c r="B482" s="9" t="str">
        <x:v>S075</x:v>
      </x:c>
      <x:c r="C482" s="9" t="str">
        <x:v>Saroli et al. (2025)</x:v>
      </x:c>
      <x:c r="D482" s="9" t="str">
        <x:v>L1</x:v>
      </x:c>
      <x:c r="E482" s="9" t="str">
        <x:v>1</x:v>
      </x:c>
      <x:c r="F482" s="9" t="str">
        <x:v>1</x:v>
      </x:c>
      <x:c r="G482" s="9" t="str">
        <x:v>Yes</x:v>
      </x:c>
      <x:c r="H482" s="9" t="str">
        <x:v>Agree</x:v>
      </x:c>
      <x:c r="I482" s="9" t="str">
        <x:v>1</x:v>
      </x:c>
      <x:c r="J482" s="9" t="str">
        <x:v>Final agreement</x:v>
      </x:c>
      <x:c r="K482" s="9" t="str">
        <x:v>Printer, functional filament, nozzle/line width, temperatures, speed, layer height, raster, infill and geometry are reported.</x:v>
      </x:c>
      <x:c r="L482" s="9" t="str">
        <x:v>PDF pp. 2–8; Figs. 1–7</x:v>
      </x:c>
      <x:c r="M482" s="9" t="str">
        <x:v>Final rating supersedes the earlier rating; no revised narrative reason was supplied.</x:v>
      </x:c>
      <x:c r="N482" s="9" t="str">
        <x:v>Finalized reviewer-rating workbook</x:v>
      </x:c>
      <x:c r="O482" s="9" t="str">
        <x:v>Printer, functional filament, nozzle/line width, temperatures, speed, layer height, raster, infill and geometry are reported.</x:v>
      </x:c>
      <x:c r="P482" s="9" t="str">
        <x:v>PDF pp. 2–8; Figs. 1–7</x:v>
      </x:c>
    </x:row>
    <x:row r="483">
      <x:c r="A483" s="9" t="n">
        <x:v>61</x:v>
      </x:c>
      <x:c r="B483" s="9" t="str">
        <x:v>S075</x:v>
      </x:c>
      <x:c r="C483" s="9" t="str">
        <x:v>Saroli et al. (2025)</x:v>
      </x:c>
      <x:c r="D483" s="9" t="str">
        <x:v>L2</x:v>
      </x:c>
      <x:c r="E483" s="9" t="str">
        <x:v>1</x:v>
      </x:c>
      <x:c r="F483" s="9" t="str">
        <x:v>1</x:v>
      </x:c>
      <x:c r="G483" s="9" t="str">
        <x:v>Yes</x:v>
      </x:c>
      <x:c r="H483" s="9" t="str">
        <x:v>Agree</x:v>
      </x:c>
      <x:c r="I483" s="9" t="str">
        <x:v>1</x:v>
      </x:c>
      <x:c r="J483" s="9" t="str">
        <x:v>Final agreement</x:v>
      </x:c>
      <x:c r="K483" s="9" t="str">
        <x:v>CB-TPU, contacts, tape/silicone integration and dimensions are described.</x:v>
      </x:c>
      <x:c r="L483" s="9" t="str">
        <x:v>PDF pp. 2–8; Figs. 1–7</x:v>
      </x:c>
      <x:c r="M483" s="9" t="str">
        <x:v>Functional host, sensing constituent and relevant electrode/interface materials are identified.</x:v>
      </x:c>
      <x:c r="N483" s="9" t="str">
        <x:v>Article PDF p. 10</x:v>
      </x:c>
      <x:c r="O483" s="9" t="str">
        <x:v>CB-TPU, contacts, tape/silicone integration and dimensions are described.</x:v>
      </x:c>
      <x:c r="P483" s="9" t="str">
        <x:v>PDF pp. 2–8; Figs. 1–7</x:v>
      </x:c>
    </x:row>
    <x:row r="484">
      <x:c r="A484" s="9" t="n">
        <x:v>61</x:v>
      </x:c>
      <x:c r="B484" s="9" t="str">
        <x:v>S075</x:v>
      </x:c>
      <x:c r="C484" s="9" t="str">
        <x:v>Saroli et al. (2025)</x:v>
      </x:c>
      <x:c r="D484" s="9" t="str">
        <x:v>L3</x:v>
      </x:c>
      <x:c r="E484" s="9" t="str">
        <x:v>1</x:v>
      </x:c>
      <x:c r="F484" s="9" t="str">
        <x:v>1</x:v>
      </x:c>
      <x:c r="G484" s="9" t="str">
        <x:v>Yes</x:v>
      </x:c>
      <x:c r="H484" s="9" t="str">
        <x:v>Agree</x:v>
      </x:c>
      <x:c r="I484" s="9" t="str">
        <x:v>1</x:v>
      </x:c>
      <x:c r="J484" s="9" t="str">
        <x:v>Final agreement</x:v>
      </x:c>
      <x:c r="K484" s="9" t="str">
        <x:v>Controlled strain, climate-chamber and body-motion protocols are reported.</x:v>
      </x:c>
      <x:c r="L484" s="9" t="str">
        <x:v>PDF pp. 2–8; Figs. 1–7</x:v>
      </x:c>
      <x:c r="M484" s="9" t="str">
        <x:v>Sensor output is related to a controlled or independently measured input with a stated procedure and range.</x:v>
      </x:c>
      <x:c r="N484" s="9" t="str">
        <x:v>Article PDF p. 9</x:v>
      </x:c>
      <x:c r="O484" s="9" t="str">
        <x:v>Controlled strain, climate-chamber and body-motion protocols are reported.</x:v>
      </x:c>
      <x:c r="P484" s="9" t="str">
        <x:v>PDF pp. 2–8; Figs. 1–7</x:v>
      </x:c>
    </x:row>
    <x:row r="485">
      <x:c r="A485" s="9" t="n">
        <x:v>61</x:v>
      </x:c>
      <x:c r="B485" s="9" t="str">
        <x:v>S075</x:v>
      </x:c>
      <x:c r="C485" s="9" t="str">
        <x:v>Saroli et al. (2025)</x:v>
      </x:c>
      <x:c r="D485" s="9" t="str">
        <x:v>L4</x:v>
      </x:c>
      <x:c r="E485" s="9" t="str">
        <x:v>1</x:v>
      </x:c>
      <x:c r="F485" s="9" t="str">
        <x:v>1</x:v>
      </x:c>
      <x:c r="G485" s="9" t="str">
        <x:v>Yes</x:v>
      </x:c>
      <x:c r="H485" s="9" t="str">
        <x:v>Agree</x:v>
      </x:c>
      <x:c r="I485" s="9" t="str">
        <x:v>1</x:v>
      </x:c>
      <x:c r="J485" s="9" t="str">
        <x:v>Final agreement</x:v>
      </x:c>
      <x:c r="K485" s="9" t="str">
        <x:v>GF, hysteresis, response time and environmental response are quantitative.</x:v>
      </x:c>
      <x:c r="L485" s="9" t="str">
        <x:v>PDF pp. 2–8; Figs. 1–7</x:v>
      </x:c>
      <x:c r="M485" s="9" t="str">
        <x:v>A modality-appropriate quantitative response, units/calculation and operating range are reported.</x:v>
      </x:c>
      <x:c r="N485" s="9" t="str">
        <x:v>Article PDF p. 9</x:v>
      </x:c>
      <x:c r="O485" s="9" t="str">
        <x:v>GF, hysteresis, response time and environmental response are quantitative.</x:v>
      </x:c>
      <x:c r="P485" s="9" t="str">
        <x:v>PDF pp. 2–8; Figs. 1–7</x:v>
      </x:c>
    </x:row>
    <x:row r="486">
      <x:c r="A486" s="9" t="n">
        <x:v>61</x:v>
      </x:c>
      <x:c r="B486" s="9" t="str">
        <x:v>S075</x:v>
      </x:c>
      <x:c r="C486" s="9" t="str">
        <x:v>Saroli et al. (2025)</x:v>
      </x:c>
      <x:c r="D486" s="9" t="str">
        <x:v>L5</x:v>
      </x:c>
      <x:c r="E486" s="9" t="str">
        <x:v>1</x:v>
      </x:c>
      <x:c r="F486" s="9" t="str">
        <x:v>1</x:v>
      </x:c>
      <x:c r="G486" s="9" t="str">
        <x:v>Yes</x:v>
      </x:c>
      <x:c r="H486" s="9" t="str">
        <x:v>Agree</x:v>
      </x:c>
      <x:c r="I486" s="9" t="str">
        <x:v>1</x:v>
      </x:c>
      <x:c r="J486" s="9" t="str">
        <x:v>Final agreement</x:v>
      </x:c>
      <x:c r="K486" s="9" t="str">
        <x:v>Five-cycle, 20-cycle/rate and 1000-cycle tests report repeated response.</x:v>
      </x:c>
      <x:c r="L486" s="9" t="str">
        <x:v>PDF pp. 2–8; Figs. 1–7</x:v>
      </x:c>
      <x:c r="M486" s="9" t="str">
        <x:v>A stated repeated-test range/count is accompanied by a stability, hysteresis, retention or failure outcome.</x:v>
      </x:c>
      <x:c r="N486" s="9" t="str">
        <x:v>Article PDF p. 4</x:v>
      </x:c>
      <x:c r="O486" s="9" t="str">
        <x:v>Five-cycle, 20-cycle/rate and 1000-cycle tests report repeated response.</x:v>
      </x:c>
      <x:c r="P486" s="9" t="str">
        <x:v>PDF pp. 2–8; Figs. 1–7</x:v>
      </x:c>
    </x:row>
    <x:row r="487">
      <x:c r="A487" s="9" t="n">
        <x:v>61</x:v>
      </x:c>
      <x:c r="B487" s="9" t="str">
        <x:v>S075</x:v>
      </x:c>
      <x:c r="C487" s="9" t="str">
        <x:v>Saroli et al. (2025)</x:v>
      </x:c>
      <x:c r="D487" s="9" t="str">
        <x:v>L6</x:v>
      </x:c>
      <x:c r="E487" s="9" t="str">
        <x:v>1</x:v>
      </x:c>
      <x:c r="F487" s="9" t="str">
        <x:v>1</x:v>
      </x:c>
      <x:c r="G487" s="9" t="str">
        <x:v>Yes</x:v>
      </x:c>
      <x:c r="H487" s="9" t="str">
        <x:v>Agree</x:v>
      </x:c>
      <x:c r="I487" s="9" t="str">
        <x:v>1</x:v>
      </x:c>
      <x:c r="J487" s="9" t="str">
        <x:v>Final agreement</x:v>
      </x:c>
      <x:c r="K487" s="9" t="str">
        <x:v>Controlled temperature and RH cycles report response for all three configurations.</x:v>
      </x:c>
      <x:c r="L487" s="9" t="str">
        <x:v>PDF pp. 2–8; Figs. 1–7</x:v>
      </x:c>
      <x:c r="M487" s="9" t="str">
        <x:v>Sensor/system response is reported under a declared non-measurand environmental or use-related exposure.</x:v>
      </x:c>
      <x:c r="N487" s="9" t="str">
        <x:v>Article PDF p. 2</x:v>
      </x:c>
      <x:c r="O487" s="9" t="str">
        <x:v>Controlled temperature and RH cycles report response for all three configurations.</x:v>
      </x:c>
      <x:c r="P487" s="9" t="str">
        <x:v>PDF pp. 2–8; Figs. 1–7</x:v>
      </x:c>
    </x:row>
    <x:row r="488">
      <x:c r="A488" s="9" t="n">
        <x:v>61</x:v>
      </x:c>
      <x:c r="B488" s="9" t="str">
        <x:v>S075</x:v>
      </x:c>
      <x:c r="C488" s="9" t="str">
        <x:v>Saroli et al. (2025)</x:v>
      </x:c>
      <x:c r="D488" s="9" t="str">
        <x:v>L7</x:v>
      </x:c>
      <x:c r="E488" s="9" t="str">
        <x:v>1</x:v>
      </x:c>
      <x:c r="F488" s="9" t="str">
        <x:v>1</x:v>
      </x:c>
      <x:c r="G488" s="9" t="str">
        <x:v>Yes</x:v>
      </x:c>
      <x:c r="H488" s="9" t="str">
        <x:v>Agree</x:v>
      </x:c>
      <x:c r="I488" s="9" t="str">
        <x:v>1</x:v>
      </x:c>
      <x:c r="J488" s="9" t="str">
        <x:v>Final agreement</x:v>
      </x:c>
      <x:c r="K488" s="9" t="str">
        <x:v>The text explicitly reports the same output for a given angle across all three controlled repetitions, contrasting this with variable returns during unguided movement.</x:v>
      </x:c>
      <x:c r="L488" s="9" t="str">
        <x:v>S075_Main.pdf, physical pp. 7-8, section V; p. 8, Fig. 7c and final controlled-movement paragraph.</x:v>
      </x:c>
      <x:c r="M488" s="9" t="str">
        <x:v>The text explicitly reports the same output for a given angle across all three controlled repetitions, contrasting this with variable returns during unguided movement.</x:v>
      </x:c>
      <x:c r="N488" s="9" t="str">
        <x:v>S075_Main.pdf, physical pp. 7-8, section V; p. 8, Fig. 7c and final controlled-movement paragraph.</x:v>
      </x:c>
      <x:c r="O488" s="9" t="str">
        <x:v>The text explicitly reports the same output for a given angle across all three controlled repetitions, contrasting this with variable returns during unguided movement.</x:v>
      </x:c>
      <x:c r="P488" s="9" t="str">
        <x:v>S075_Main.pdf, physical pp. 7-8, section V; p. 8, Fig. 7c and final controlled-movement paragraph.</x:v>
      </x:c>
    </x:row>
    <x:row r="489">
      <x:c r="A489" s="9" t="n">
        <x:v>61</x:v>
      </x:c>
      <x:c r="B489" s="9" t="str">
        <x:v>S075</x:v>
      </x:c>
      <x:c r="C489" s="9" t="str">
        <x:v>Saroli et al. (2025)</x:v>
      </x:c>
      <x:c r="D489" s="9" t="str">
        <x:v>L8</x:v>
      </x:c>
      <x:c r="E489" s="9" t="str">
        <x:v>0</x:v>
      </x:c>
      <x:c r="F489" s="9" t="str">
        <x:v>0</x:v>
      </x:c>
      <x:c r="G489" s="9" t="str">
        <x:v>Yes</x:v>
      </x:c>
      <x:c r="H489" s="9" t="str">
        <x:v>Agree</x:v>
      </x:c>
      <x:c r="I489" s="9" t="str">
        <x:v>0</x:v>
      </x:c>
      <x:c r="J489" s="9" t="str">
        <x:v>Final agreement</x:v>
      </x:c>
      <x:c r="K489" s="9" t="str">
        <x:v>Three printed sensors were assigned to different integration conditions; same-condition between-device variation was not reported.</x:v>
      </x:c>
      <x:c r="L489" s="9" t="str">
        <x:v>PDF pp. 2–8; Figs. 1–7</x:v>
      </x:c>
      <x:c r="M489" s="9" t="str">
        <x:v>At least three equivalent independently fabricated units with quantified between-unit variation are not reported.</x:v>
      </x:c>
      <x:c r="N489" s="9" t="str">
        <x:v>Article PDF p. 9</x:v>
      </x:c>
      <x:c r="O489" s="9" t="str">
        <x:v>Three printed sensors were assigned to different integration conditions; same-condition between-device variation was not reported.</x:v>
      </x:c>
      <x:c r="P489" s="9" t="str">
        <x:v>PDF pp. 2–8; Figs. 1–7</x:v>
      </x:c>
    </x:row>
    <x:row r="490">
      <x:c r="A490" s="9" t="n">
        <x:v>62</x:v>
      </x:c>
      <x:c r="B490" s="9" t="str">
        <x:v>S076</x:v>
      </x:c>
      <x:c r="C490" s="9" t="str">
        <x:v>Meena et al. (2025)</x:v>
      </x:c>
      <x:c r="D490" s="9" t="str">
        <x:v>L1</x:v>
      </x:c>
      <x:c r="E490" s="9" t="str">
        <x:v>1</x:v>
      </x:c>
      <x:c r="F490" s="9" t="str">
        <x:v>1</x:v>
      </x:c>
      <x:c r="G490" s="9" t="str">
        <x:v>Yes</x:v>
      </x:c>
      <x:c r="H490" s="9" t="str">
        <x:v>Agree</x:v>
      </x:c>
      <x:c r="I490" s="9" t="str">
        <x:v>1</x:v>
      </x:c>
      <x:c r="J490" s="9" t="str">
        <x:v>Final agreement</x:v>
      </x:c>
      <x:c r="K490" s="9" t="str">
        <x:v>Printer platforms, PVDF, nozzle, temperatures, speed, layer height and film geometry are reported, although printer naming is internally inconsistent.</x:v>
      </x:c>
      <x:c r="L490" s="9" t="str">
        <x:v>PDF pp. 3–8; Figs. 1–6; cited Supplementary Figs. S1–S10</x:v>
      </x:c>
      <x:c r="M490" s="9" t="str">
        <x:v>Reconstruction-relevant printer, material, temperature, layer, speed, path/geometry and post-processing details are reported.</x:v>
      </x:c>
      <x:c r="N490" s="9" t="str">
        <x:v>Article PDF p. 3</x:v>
      </x:c>
      <x:c r="O490" s="9" t="str">
        <x:v>Printer platforms, PVDF, nozzle, temperatures, speed, layer height and film geometry are reported, although printer naming is internally inconsistent.</x:v>
      </x:c>
      <x:c r="P490" s="9" t="str">
        <x:v>PDF pp. 3–8; Figs. 1–6; cited Supplementary Figs. S1–S10</x:v>
      </x:c>
    </x:row>
    <x:row r="491">
      <x:c r="A491" s="9" t="n">
        <x:v>62</x:v>
      </x:c>
      <x:c r="B491" s="9" t="str">
        <x:v>S076</x:v>
      </x:c>
      <x:c r="C491" s="9" t="str">
        <x:v>Meena et al. (2025)</x:v>
      </x:c>
      <x:c r="D491" s="9" t="str">
        <x:v>L2</x:v>
      </x:c>
      <x:c r="E491" s="9" t="str">
        <x:v>1</x:v>
      </x:c>
      <x:c r="F491" s="9" t="str">
        <x:v>1</x:v>
      </x:c>
      <x:c r="G491" s="9" t="str">
        <x:v>Yes</x:v>
      </x:c>
      <x:c r="H491" s="9" t="str">
        <x:v>Agree</x:v>
      </x:c>
      <x:c r="I491" s="9" t="str">
        <x:v>1</x:v>
      </x:c>
      <x:c r="J491" s="9" t="str">
        <x:v>Final agreement</x:v>
      </x:c>
      <x:c r="K491" s="9" t="str">
        <x:v>PVDF preparation, film thickness, electrode assembly and electrical role are described.</x:v>
      </x:c>
      <x:c r="L491" s="9" t="str">
        <x:v>PDF pp. 3–8; Figs. 1–6; cited Supplementary Figs. S1–S10</x:v>
      </x:c>
      <x:c r="M491" s="9" t="str">
        <x:v>Functional host, sensing constituent and relevant electrode/interface materials are identified.</x:v>
      </x:c>
      <x:c r="N491" s="9" t="str">
        <x:v>Article PDF p. 4</x:v>
      </x:c>
      <x:c r="O491" s="9" t="str">
        <x:v>PVDF preparation, film thickness, electrode assembly and electrical role are described.</x:v>
      </x:c>
      <x:c r="P491" s="9" t="str">
        <x:v>PDF pp. 3–8; Figs. 1–6; cited Supplementary Figs. S1–S10</x:v>
      </x:c>
    </x:row>
    <x:row r="492">
      <x:c r="A492" s="9" t="n">
        <x:v>62</x:v>
      </x:c>
      <x:c r="B492" s="9" t="str">
        <x:v>S076</x:v>
      </x:c>
      <x:c r="C492" s="9" t="str">
        <x:v>Meena et al. (2025)</x:v>
      </x:c>
      <x:c r="D492" s="9" t="str">
        <x:v>L3</x:v>
      </x:c>
      <x:c r="E492" s="9" t="str">
        <x:v>1</x:v>
      </x:c>
      <x:c r="F492" s="9" t="str">
        <x:v>1</x:v>
      </x:c>
      <x:c r="G492" s="9" t="str">
        <x:v>Yes</x:v>
      </x:c>
      <x:c r="H492" s="9" t="str">
        <x:v>Agree</x:v>
      </x:c>
      <x:c r="I492" s="9" t="str">
        <x:v>1</x:v>
      </x:c>
      <x:c r="J492" s="9" t="str">
        <x:v>Final agreement</x:v>
      </x:c>
      <x:c r="K492" s="9" t="str">
        <x:v>Applied force/frequency and tactile/body-motion inputs are linked to voltage/current output.</x:v>
      </x:c>
      <x:c r="L492" s="9" t="str">
        <x:v>PDF pp. 3–8; Figs. 1–6; cited Supplementary Figs. S1–S10</x:v>
      </x:c>
      <x:c r="M492" s="9" t="str">
        <x:v>Sensor output is related to a controlled or independently measured input with a stated procedure and range.</x:v>
      </x:c>
      <x:c r="N492" s="9" t="str">
        <x:v>Article PDF p. 5</x:v>
      </x:c>
      <x:c r="O492" s="9" t="str">
        <x:v>Applied force/frequency and tactile/body-motion inputs are linked to voltage/current output.</x:v>
      </x:c>
      <x:c r="P492" s="9" t="str">
        <x:v>PDF pp. 3–8; Figs. 1–6; cited Supplementary Figs. S1–S10</x:v>
      </x:c>
    </x:row>
    <x:row r="493">
      <x:c r="A493" s="9" t="n">
        <x:v>62</x:v>
      </x:c>
      <x:c r="B493" s="9" t="str">
        <x:v>S076</x:v>
      </x:c>
      <x:c r="C493" s="9" t="str">
        <x:v>Meena et al. (2025)</x:v>
      </x:c>
      <x:c r="D493" s="9" t="str">
        <x:v>L4</x:v>
      </x:c>
      <x:c r="E493" s="9" t="str">
        <x:v>1</x:v>
      </x:c>
      <x:c r="F493" s="9" t="str">
        <x:v>1</x:v>
      </x:c>
      <x:c r="G493" s="9" t="str">
        <x:v>Yes</x:v>
      </x:c>
      <x:c r="H493" s="9" t="str">
        <x:v>Agree</x:v>
      </x:c>
      <x:c r="I493" s="9" t="str">
        <x:v>1</x:v>
      </x:c>
      <x:c r="J493" s="9" t="str">
        <x:v>Final agreement</x:v>
      </x:c>
      <x:c r="K493" s="9" t="str">
        <x:v>Voltage, current, power, force/frequency and cycle-retention values are quantitative.</x:v>
      </x:c>
      <x:c r="L493" s="9" t="str">
        <x:v>PDF pp. 3–8; Figs. 1–6; cited Supplementary Figs. S1–S10</x:v>
      </x:c>
      <x:c r="M493" s="9" t="str">
        <x:v>A modality-appropriate quantitative response, units/calculation and operating range are reported.</x:v>
      </x:c>
      <x:c r="N493" s="9" t="str">
        <x:v>Article PDF p. 2</x:v>
      </x:c>
      <x:c r="O493" s="9" t="str">
        <x:v>Voltage, current, power, force/frequency and cycle-retention values are quantitative.</x:v>
      </x:c>
      <x:c r="P493" s="9" t="str">
        <x:v>PDF pp. 3–8; Figs. 1–6; cited Supplementary Figs. S1–S10</x:v>
      </x:c>
    </x:row>
    <x:row r="494">
      <x:c r="A494" s="9" t="n">
        <x:v>62</x:v>
      </x:c>
      <x:c r="B494" s="9" t="str">
        <x:v>S076</x:v>
      </x:c>
      <x:c r="C494" s="9" t="str">
        <x:v>Meena et al. (2025)</x:v>
      </x:c>
      <x:c r="D494" s="9" t="str">
        <x:v>L5</x:v>
      </x:c>
      <x:c r="E494" s="9" t="str">
        <x:v>1</x:v>
      </x:c>
      <x:c r="F494" s="9" t="str">
        <x:v>1</x:v>
      </x:c>
      <x:c r="G494" s="9" t="str">
        <x:v>Yes</x:v>
      </x:c>
      <x:c r="H494" s="9" t="str">
        <x:v>Agree</x:v>
      </x:c>
      <x:c r="I494" s="9" t="str">
        <x:v>1</x:v>
      </x:c>
      <x:c r="J494" s="9" t="str">
        <x:v>Final agreement</x:v>
      </x:c>
      <x:c r="K494" s="9" t="str">
        <x:v>A 1000-cycle test and a cited approximately 5000-cycle test report retained output.</x:v>
      </x:c>
      <x:c r="L494" s="9" t="str">
        <x:v>PDF pp. 3–8; Figs. 1–6; cited Supplementary Figs. S1–S10</x:v>
      </x:c>
      <x:c r="M494" s="9" t="str">
        <x:v>A stated repeated-test range/count is accompanied by a stability, hysteresis, retention or failure outcome.</x:v>
      </x:c>
      <x:c r="N494" s="9" t="str">
        <x:v>Article PDF p. 6</x:v>
      </x:c>
      <x:c r="O494" s="9" t="str">
        <x:v>A 1000-cycle test and a cited approximately 5000-cycle test report retained output.</x:v>
      </x:c>
      <x:c r="P494" s="9" t="str">
        <x:v>PDF pp. 3–8; Figs. 1–6; cited Supplementary Figs. S1–S10</x:v>
      </x:c>
    </x:row>
    <x:row r="495">
      <x:c r="A495" s="9" t="n">
        <x:v>62</x:v>
      </x:c>
      <x:c r="B495" s="9" t="str">
        <x:v>S076</x:v>
      </x:c>
      <x:c r="C495" s="9" t="str">
        <x:v>Meena et al. (2025)</x:v>
      </x:c>
      <x:c r="D495" s="9" t="str">
        <x:v>L6</x:v>
      </x:c>
      <x:c r="E495" s="9" t="str">
        <x:v>0</x:v>
      </x:c>
      <x:c r="F495" s="9" t="str">
        <x:v>0</x:v>
      </x:c>
      <x:c r="G495" s="9" t="str">
        <x:v>Yes</x:v>
      </x:c>
      <x:c r="H495" s="9" t="str">
        <x:v>Agree</x:v>
      </x:c>
      <x:c r="I495" s="9" t="str">
        <x:v>0</x:v>
      </x:c>
      <x:c r="J495" s="9" t="str">
        <x:v>Final agreement</x:v>
      </x:c>
      <x:c r="K495" s="9" t="str">
        <x:v>No distinct temperature, humidity, wash, abrasion or other declared use exposure was tested.</x:v>
      </x:c>
      <x:c r="L495" s="9" t="str">
        <x:v>PDF pp. 3–8; Figs. 1–6; cited Supplementary Figs. S1–S10</x:v>
      </x:c>
      <x:c r="M495" s="9" t="str">
        <x:v>No qualifying response under a declared non-measurand environmental/use exposure is reported.</x:v>
      </x:c>
      <x:c r="N495" s="9" t="str">
        <x:v>Article PDF p. 8</x:v>
      </x:c>
      <x:c r="O495" s="9" t="str">
        <x:v>No distinct temperature, humidity, wash, abrasion or other declared use exposure was tested.</x:v>
      </x:c>
      <x:c r="P495" s="9" t="str">
        <x:v>PDF pp. 3–8; Figs. 1–6; cited Supplementary Figs. S1–S10</x:v>
      </x:c>
    </x:row>
    <x:row r="496">
      <x:c r="A496" s="9" t="n">
        <x:v>62</x:v>
      </x:c>
      <x:c r="B496" s="9" t="str">
        <x:v>S076</x:v>
      </x:c>
      <x:c r="C496" s="9" t="str">
        <x:v>Meena et al. (2025)</x:v>
      </x:c>
      <x:c r="D496" s="9" t="str">
        <x:v>L7</x:v>
      </x:c>
      <x:c r="E496" s="9" t="str">
        <x:v>0</x:v>
      </x:c>
      <x:c r="F496" s="9" t="str">
        <x:v>0</x:v>
      </x:c>
      <x:c r="G496" s="9" t="str">
        <x:v>Yes</x:v>
      </x:c>
      <x:c r="H496" s="9" t="str">
        <x:v>Agree</x:v>
      </x:c>
      <x:c r="I496" s="9" t="str">
        <x:v>0</x:v>
      </x:c>
      <x:c r="J496" s="9" t="str">
        <x:v>Final agreement</x:v>
      </x:c>
      <x:c r="K496" s="9" t="str">
        <x:v>Final L7 rating from the targeted reassessment.</x:v>
      </x:c>
      <x:c r="L496" s="9" t="str">
        <x:v>Finalized reviewer-rating workbook</x:v>
      </x:c>
      <x:c r="M496" s="9" t="str">
        <x:v>Final L7 rating from the targeted reassessment.</x:v>
      </x:c>
      <x:c r="N496" s="9" t="str">
        <x:v>Finalized reviewer-rating workbook</x:v>
      </x:c>
      <x:c r="O496" s="9" t="str">
        <x:v>No qualifying interface-integrity test or repeated final monolithic wearable-assembly test with a retention/failure endpoint was located.</x:v>
      </x:c>
      <x:c r="P496" s="9" t="str">
        <x:v>PDF pp. 3–8; Figs. 1–6; cited Supplementary Figs. S1–S10</x:v>
      </x:c>
    </x:row>
    <x:row r="497">
      <x:c r="A497" s="9" t="n">
        <x:v>62</x:v>
      </x:c>
      <x:c r="B497" s="9" t="str">
        <x:v>S076</x:v>
      </x:c>
      <x:c r="C497" s="9" t="str">
        <x:v>Meena et al. (2025)</x:v>
      </x:c>
      <x:c r="D497" s="9" t="str">
        <x:v>L8</x:v>
      </x:c>
      <x:c r="E497" s="9" t="str">
        <x:v>0</x:v>
      </x:c>
      <x:c r="F497" s="9" t="str">
        <x:v>0</x:v>
      </x:c>
      <x:c r="G497" s="9" t="str">
        <x:v>Yes</x:v>
      </x:c>
      <x:c r="H497" s="9" t="str">
        <x:v>Agree</x:v>
      </x:c>
      <x:c r="I497" s="9" t="str">
        <x:v>0</x:v>
      </x:c>
      <x:c r="J497" s="9" t="str">
        <x:v>Final agreement</x:v>
      </x:c>
      <x:c r="K497" s="9" t="str">
        <x:v>Three poled films were averaged only for d33 characterization; ≥3 complete nanogenerators were not quantitatively compared.</x:v>
      </x:c>
      <x:c r="L497" s="9" t="str">
        <x:v>PDF pp. 3–8; Figs. 1–6; cited Supplementary Figs. S1–S10</x:v>
      </x:c>
      <x:c r="M497" s="9" t="str">
        <x:v>At least three equivalent independently fabricated units with quantified between-unit variation are not reported.</x:v>
      </x:c>
      <x:c r="N497" s="9" t="str">
        <x:v>Article PDF p. 4</x:v>
      </x:c>
      <x:c r="O497" s="9" t="str">
        <x:v>Three poled films were averaged only for d33 characterization; ≥3 complete nanogenerators were not quantitatively compared.</x:v>
      </x:c>
      <x:c r="P497" s="9" t="str">
        <x:v>PDF pp. 3–8; Figs. 1–6; cited Supplementary Figs. S1–S10</x:v>
      </x:c>
    </x:row>
    <x:row r="498">
      <x:c r="A498" s="9" t="n">
        <x:v>63</x:v>
      </x:c>
      <x:c r="B498" s="9" t="str">
        <x:v>S077</x:v>
      </x:c>
      <x:c r="C498" s="9" t="str">
        <x:v>Farid et al. (2025)</x:v>
      </x:c>
      <x:c r="D498" s="9" t="str">
        <x:v>L1</x:v>
      </x:c>
      <x:c r="E498" s="9" t="str">
        <x:v>0</x:v>
      </x:c>
      <x:c r="F498" s="9" t="str">
        <x:v>0</x:v>
      </x:c>
      <x:c r="G498" s="9" t="str">
        <x:v>Yes</x:v>
      </x:c>
      <x:c r="H498" s="9" t="str">
        <x:v>Agree</x:v>
      </x:c>
      <x:c r="I498" s="9" t="str">
        <x:v>0</x:v>
      </x:c>
      <x:c r="J498" s="9" t="str">
        <x:v>Final agreement</x:v>
      </x:c>
      <x:c r="K498" s="9" t="str">
        <x:v>FDM, functional material, nozzle, temperature, speed, layer height, infill, geometry and coating sequence are reported, but the printer model or an equivalent platform identifier is absent.</x:v>
      </x:c>
      <x:c r="L498" s="9" t="str">
        <x:v>PDF pp. 3–15; Figs. 1–7; Table 1</x:v>
      </x:c>
      <x:c r="M498" s="9" t="str">
        <x:v>Final rating supersedes the earlier rating; no revised narrative reason was supplied.</x:v>
      </x:c>
      <x:c r="N498" s="9" t="str">
        <x:v>Finalized reviewer-rating workbook</x:v>
      </x:c>
      <x:c r="O498" s="9" t="str">
        <x:v>FDM, functional material, nozzle, temperature, speed, layer height, infill, geometry and coating sequence are reported, but the printer model or an equivalent platform identifier is absent.</x:v>
      </x:c>
      <x:c r="P498" s="9" t="str">
        <x:v>PDF pp. 3–15; Figs. 1–7; Table 1</x:v>
      </x:c>
    </x:row>
    <x:row r="499">
      <x:c r="A499" s="9" t="n">
        <x:v>63</x:v>
      </x:c>
      <x:c r="B499" s="9" t="str">
        <x:v>S077</x:v>
      </x:c>
      <x:c r="C499" s="9" t="str">
        <x:v>Farid et al. (2025)</x:v>
      </x:c>
      <x:c r="D499" s="9" t="str">
        <x:v>L2</x:v>
      </x:c>
      <x:c r="E499" s="9" t="str">
        <x:v>1</x:v>
      </x:c>
      <x:c r="F499" s="9" t="str">
        <x:v>1</x:v>
      </x:c>
      <x:c r="G499" s="9" t="str">
        <x:v>Yes</x:v>
      </x:c>
      <x:c r="H499" s="9" t="str">
        <x:v>Agree</x:v>
      </x:c>
      <x:c r="I499" s="9" t="str">
        <x:v>1</x:v>
      </x:c>
      <x:c r="J499" s="9" t="str">
        <x:v>Final agreement</x:v>
      </x:c>
      <x:c r="K499" s="9" t="str">
        <x:v>TPU, graphene, PEDOT:PSS, electrodes and multilayer roles are described.</x:v>
      </x:c>
      <x:c r="L499" s="9" t="str">
        <x:v>PDF pp. 3–15; Figs. 1–7; Table 1</x:v>
      </x:c>
      <x:c r="M499" s="9" t="str">
        <x:v>Functional host, sensing constituent and relevant electrode/interface materials are identified.</x:v>
      </x:c>
      <x:c r="N499" s="9" t="str">
        <x:v>Article PDF p. 3</x:v>
      </x:c>
      <x:c r="O499" s="9" t="str">
        <x:v>TPU, graphene, PEDOT:PSS, electrodes and multilayer roles are described.</x:v>
      </x:c>
      <x:c r="P499" s="9" t="str">
        <x:v>PDF pp. 3–15; Figs. 1–7; Table 1</x:v>
      </x:c>
    </x:row>
    <x:row r="500">
      <x:c r="A500" s="9" t="n">
        <x:v>63</x:v>
      </x:c>
      <x:c r="B500" s="9" t="str">
        <x:v>S077</x:v>
      </x:c>
      <x:c r="C500" s="9" t="str">
        <x:v>Farid et al. (2025)</x:v>
      </x:c>
      <x:c r="D500" s="9" t="str">
        <x:v>L3</x:v>
      </x:c>
      <x:c r="E500" s="9" t="str">
        <x:v>1</x:v>
      </x:c>
      <x:c r="F500" s="9" t="str">
        <x:v>1</x:v>
      </x:c>
      <x:c r="G500" s="9" t="str">
        <x:v>Yes</x:v>
      </x:c>
      <x:c r="H500" s="9" t="str">
        <x:v>Agree</x:v>
      </x:c>
      <x:c r="I500" s="9" t="str">
        <x:v>1</x:v>
      </x:c>
      <x:c r="J500" s="9" t="str">
        <x:v>Final agreement</x:v>
      </x:c>
      <x:c r="K500" s="9" t="str">
        <x:v>Controlled tensile, pressure and temperature protocols and body-motion demonstrations are reported.</x:v>
      </x:c>
      <x:c r="L500" s="9" t="str">
        <x:v>PDF pp. 3–15; Figs. 1–7; Table 1</x:v>
      </x:c>
      <x:c r="M500" s="9" t="str">
        <x:v>Sensor output is related to a controlled or independently measured input with a stated procedure and range.</x:v>
      </x:c>
      <x:c r="N500" s="9" t="str">
        <x:v>Article PDF p. 11</x:v>
      </x:c>
      <x:c r="O500" s="9" t="str">
        <x:v>Controlled tensile, pressure and temperature protocols and body-motion demonstrations are reported.</x:v>
      </x:c>
      <x:c r="P500" s="9" t="str">
        <x:v>PDF pp. 3–15; Figs. 1–7; Table 1</x:v>
      </x:c>
    </x:row>
    <x:row r="501">
      <x:c r="A501" s="9" t="n">
        <x:v>63</x:v>
      </x:c>
      <x:c r="B501" s="9" t="str">
        <x:v>S077</x:v>
      </x:c>
      <x:c r="C501" s="9" t="str">
        <x:v>Farid et al. (2025)</x:v>
      </x:c>
      <x:c r="D501" s="9" t="str">
        <x:v>L4</x:v>
      </x:c>
      <x:c r="E501" s="9" t="str">
        <x:v>1</x:v>
      </x:c>
      <x:c r="F501" s="9" t="str">
        <x:v>1</x:v>
      </x:c>
      <x:c r="G501" s="9" t="str">
        <x:v>Yes</x:v>
      </x:c>
      <x:c r="H501" s="9" t="str">
        <x:v>Agree</x:v>
      </x:c>
      <x:c r="I501" s="9" t="str">
        <x:v>1</x:v>
      </x:c>
      <x:c r="J501" s="9" t="str">
        <x:v>Final agreement</x:v>
      </x:c>
      <x:c r="K501" s="9" t="str">
        <x:v>GF, pressure range, response time and durability are quantitative.</x:v>
      </x:c>
      <x:c r="L501" s="9" t="str">
        <x:v>PDF pp. 3–15; Figs. 1–7; Table 1</x:v>
      </x:c>
      <x:c r="M501" s="9" t="str">
        <x:v>A modality-appropriate quantitative response, units/calculation and operating range are reported.</x:v>
      </x:c>
      <x:c r="N501" s="9" t="str">
        <x:v>Article PDF p. 11</x:v>
      </x:c>
      <x:c r="O501" s="9" t="str">
        <x:v>GF, pressure range, response time and durability are quantitative.</x:v>
      </x:c>
      <x:c r="P501" s="9" t="str">
        <x:v>PDF pp. 3–15; Figs. 1–7; Table 1</x:v>
      </x:c>
    </x:row>
    <x:row r="502">
      <x:c r="A502" s="9" t="n">
        <x:v>63</x:v>
      </x:c>
      <x:c r="B502" s="9" t="str">
        <x:v>S077</x:v>
      </x:c>
      <x:c r="C502" s="9" t="str">
        <x:v>Farid et al. (2025)</x:v>
      </x:c>
      <x:c r="D502" s="9" t="str">
        <x:v>L5</x:v>
      </x:c>
      <x:c r="E502" s="9" t="str">
        <x:v>1</x:v>
      </x:c>
      <x:c r="F502" s="9" t="str">
        <x:v>1</x:v>
      </x:c>
      <x:c r="G502" s="9" t="str">
        <x:v>Yes</x:v>
      </x:c>
      <x:c r="H502" s="9" t="str">
        <x:v>Agree</x:v>
      </x:c>
      <x:c r="I502" s="9" t="str">
        <x:v>1</x:v>
      </x:c>
      <x:c r="J502" s="9" t="str">
        <x:v>Final agreement</x:v>
      </x:c>
      <x:c r="K502" s="9" t="str">
        <x:v>Dynamic loading and a 6000-cycle endurance result are reported.</x:v>
      </x:c>
      <x:c r="L502" s="9" t="str">
        <x:v>PDF pp. 3–15; Figs. 1–7; Table 1</x:v>
      </x:c>
      <x:c r="M502" s="9" t="str">
        <x:v>A stated repeated-test range/count is accompanied by a stability, hysteresis, retention or failure outcome.</x:v>
      </x:c>
      <x:c r="N502" s="9" t="str">
        <x:v>Article PDF p. 15</x:v>
      </x:c>
      <x:c r="O502" s="9" t="str">
        <x:v>Dynamic loading and a 6000-cycle endurance result are reported.</x:v>
      </x:c>
      <x:c r="P502" s="9" t="str">
        <x:v>PDF pp. 3–15; Figs. 1–7; Table 1</x:v>
      </x:c>
    </x:row>
    <x:row r="503">
      <x:c r="A503" s="9" t="n">
        <x:v>63</x:v>
      </x:c>
      <x:c r="B503" s="9" t="str">
        <x:v>S077</x:v>
      </x:c>
      <x:c r="C503" s="9" t="str">
        <x:v>Farid et al. (2025)</x:v>
      </x:c>
      <x:c r="D503" s="9" t="str">
        <x:v>L6</x:v>
      </x:c>
      <x:c r="E503" s="9" t="str">
        <x:v>0</x:v>
      </x:c>
      <x:c r="F503" s="9" t="str">
        <x:v>0</x:v>
      </x:c>
      <x:c r="G503" s="9" t="str">
        <x:v>Yes</x:v>
      </x:c>
      <x:c r="H503" s="9" t="str">
        <x:v>Agree</x:v>
      </x:c>
      <x:c r="I503" s="9" t="str">
        <x:v>0</x:v>
      </x:c>
      <x:c r="J503" s="9" t="str">
        <x:v>Final agreement</x:v>
      </x:c>
      <x:c r="K503" s="9" t="str">
        <x:v>Temperature is an intended sensing modality, not a separate environmental challenge; no other qualifying exposure was identified.</x:v>
      </x:c>
      <x:c r="L503" s="9" t="str">
        <x:v>PDF pp. 3–15; Figs. 1–7; Table 1</x:v>
      </x:c>
      <x:c r="M503" s="9" t="str">
        <x:v>Final rating supersedes the earlier rating; no revised narrative reason was supplied.</x:v>
      </x:c>
      <x:c r="N503" s="9" t="str">
        <x:v>Finalized reviewer-rating workbook</x:v>
      </x:c>
      <x:c r="O503" s="9" t="str">
        <x:v>Temperature is an intended sensing modality, not a separate environmental challenge; no other qualifying exposure was identified.</x:v>
      </x:c>
      <x:c r="P503" s="9" t="str">
        <x:v>PDF pp. 3–15; Figs. 1–7; Table 1</x:v>
      </x:c>
    </x:row>
    <x:row r="504">
      <x:c r="A504" s="9" t="n">
        <x:v>63</x:v>
      </x:c>
      <x:c r="B504" s="9" t="str">
        <x:v>S077</x:v>
      </x:c>
      <x:c r="C504" s="9" t="str">
        <x:v>Farid et al. (2025)</x:v>
      </x:c>
      <x:c r="D504" s="9" t="str">
        <x:v>L7</x:v>
      </x:c>
      <x:c r="E504" s="9" t="str">
        <x:v>1</x:v>
      </x:c>
      <x:c r="F504" s="9" t="str">
        <x:v>1</x:v>
      </x:c>
      <x:c r="G504" s="9" t="str">
        <x:v>Yes</x:v>
      </x:c>
      <x:c r="H504" s="9" t="str">
        <x:v>Agree</x:v>
      </x:c>
      <x:c r="I504" s="9" t="str">
        <x:v>1</x:v>
      </x:c>
      <x:c r="J504" s="9" t="str">
        <x:v>Final agreement</x:v>
      </x:c>
      <x:c r="K504" s="9" t="str">
        <x:v>Section 3.4 explicitly describes consistent response during cyclic pronunciation and subsequent tests, and constant patterns across two extensive chewing cycles.</x:v>
      </x:c>
      <x:c r="L504" s="9" t="str">
        <x:v>S077_Main.pdf, physical p. 4, section 2.4 attachment; pp. 11-12, section 3.4/Fig. 6, especially chewing comparison.</x:v>
      </x:c>
      <x:c r="M504" s="9" t="str">
        <x:v>Section 3.4 explicitly describes consistent response during cyclic pronunciation and subsequent tests, and constant patterns across two extensive chewing cycles.</x:v>
      </x:c>
      <x:c r="N504" s="9" t="str">
        <x:v>S077_Main.pdf, physical p. 4, section 2.4 attachment; pp. 11-12, section 3.4/Fig. 6, especially chewing comparison.</x:v>
      </x:c>
      <x:c r="O504" s="9" t="str">
        <x:v>Section 3.4 explicitly describes consistent response during cyclic pronunciation and subsequent tests, and constant patterns across two extensive chewing cycles.</x:v>
      </x:c>
      <x:c r="P504" s="9" t="str">
        <x:v>S077_Main.pdf, physical p. 4, section 2.4 attachment; pp. 11-12, section 3.4/Fig. 6, especially chewing comparison.</x:v>
      </x:c>
    </x:row>
    <x:row r="505">
      <x:c r="A505" s="9" t="n">
        <x:v>63</x:v>
      </x:c>
      <x:c r="B505" s="9" t="str">
        <x:v>S077</x:v>
      </x:c>
      <x:c r="C505" s="9" t="str">
        <x:v>Farid et al. (2025)</x:v>
      </x:c>
      <x:c r="D505" s="9" t="str">
        <x:v>L8</x:v>
      </x:c>
      <x:c r="E505" s="9" t="str">
        <x:v>0</x:v>
      </x:c>
      <x:c r="F505" s="9" t="str">
        <x:v>0</x:v>
      </x:c>
      <x:c r="G505" s="9" t="str">
        <x:v>Yes</x:v>
      </x:c>
      <x:c r="H505" s="9" t="str">
        <x:v>Agree</x:v>
      </x:c>
      <x:c r="I505" s="9" t="str">
        <x:v>0</x:v>
      </x:c>
      <x:c r="J505" s="9" t="str">
        <x:v>Final agreement</x:v>
      </x:c>
      <x:c r="K505" s="9" t="str">
        <x:v>Measurements were repeated three times, but separate fabrication and device-level results/dispersion are not stated.</x:v>
      </x:c>
      <x:c r="L505" s="9" t="str">
        <x:v>PDF pp. 3–15; Figs. 1–7; Table 1</x:v>
      </x:c>
      <x:c r="M505" s="9" t="str">
        <x:v>At least three equivalent independently fabricated units with quantified between-unit variation are not reported.</x:v>
      </x:c>
      <x:c r="N505" s="9" t="str">
        <x:v>Article PDF p. 11</x:v>
      </x:c>
      <x:c r="O505" s="9" t="str">
        <x:v>Measurements were repeated three times, but separate fabrication and device-level results/dispersion are not stated.</x:v>
      </x:c>
      <x:c r="P505" s="9" t="str">
        <x:v>PDF pp. 3–15; Figs. 1–7; Table 1</x:v>
      </x:c>
    </x:row>
    <x:row r="506">
      <x:c r="A506" s="9" t="n">
        <x:v>64</x:v>
      </x:c>
      <x:c r="B506" s="9" t="str">
        <x:v>S078</x:v>
      </x:c>
      <x:c r="C506" s="9" t="str">
        <x:v>Hu et al. (2024)</x:v>
      </x:c>
      <x:c r="D506" s="9" t="str">
        <x:v>L1</x:v>
      </x:c>
      <x:c r="E506" s="9" t="str">
        <x:v>1</x:v>
      </x:c>
      <x:c r="F506" s="9" t="str">
        <x:v>1</x:v>
      </x:c>
      <x:c r="G506" s="9" t="str">
        <x:v>Yes</x:v>
      </x:c>
      <x:c r="H506" s="9" t="str">
        <x:v>Agree</x:v>
      </x:c>
      <x:c r="I506" s="9" t="str">
        <x:v>1</x:v>
      </x:c>
      <x:c r="J506" s="9" t="str">
        <x:v>Final agreement</x:v>
      </x:c>
      <x:c r="K506" s="9" t="str">
        <x:v>The Mori M3145K process, geometry, raster/infill and post-treatment are reported with a 0.6 mm nozzle, 200 °C nozzle, 50 °C bed, 0.4 mm layer height, 50% infill and 10 mm s^-1 speed.</x:v>
      </x:c>
      <x:c r="L506" s="9" t="str">
        <x:v>Main article Experimental section; Supplementary Table S1</x:v>
      </x:c>
      <x:c r="M506" s="9" t="str">
        <x:v>Final rating supersedes the earlier rating; no revised narrative reason was supplied.</x:v>
      </x:c>
      <x:c r="N506" s="9" t="str">
        <x:v>Finalized reviewer-rating workbook</x:v>
      </x:c>
      <x:c r="O506" s="9" t="str">
        <x:v>The Mori M3145K process, geometry, raster/infill and post-treatment are reported with a 0.6 mm nozzle, 200 °C nozzle, 50 °C bed, 0.4 mm layer height, 50% infill and 10 mm s^-1 speed.</x:v>
      </x:c>
      <x:c r="P506" s="9" t="str">
        <x:v>Main article Experimental section; Supplementary Table S1</x:v>
      </x:c>
    </x:row>
    <x:row r="507">
      <x:c r="A507" s="9" t="n">
        <x:v>64</x:v>
      </x:c>
      <x:c r="B507" s="9" t="str">
        <x:v>S078</x:v>
      </x:c>
      <x:c r="C507" s="9" t="str">
        <x:v>Hu et al. (2024)</x:v>
      </x:c>
      <x:c r="D507" s="9" t="str">
        <x:v>L2</x:v>
      </x:c>
      <x:c r="E507" s="9" t="str">
        <x:v>1</x:v>
      </x:c>
      <x:c r="F507" s="9" t="str">
        <x:v>1</x:v>
      </x:c>
      <x:c r="G507" s="9" t="str">
        <x:v>Yes</x:v>
      </x:c>
      <x:c r="H507" s="9" t="str">
        <x:v>Agree</x:v>
      </x:c>
      <x:c r="I507" s="9" t="str">
        <x:v>1</x:v>
      </x:c>
      <x:c r="J507" s="9" t="str">
        <x:v>Final agreement</x:v>
      </x:c>
      <x:c r="K507" s="9" t="str">
        <x:v>TPU, CNT/PVP coating, microwave embedding, geometry and contacts are described.</x:v>
      </x:c>
      <x:c r="L507" s="9" t="str">
        <x:v>PDF pp. 3–8; Figs. 1–6; Supporting Table S1 cited</x:v>
      </x:c>
      <x:c r="M507" s="9" t="str">
        <x:v>Functional host, sensing constituent and relevant electrode/interface materials are identified.</x:v>
      </x:c>
      <x:c r="N507" s="9" t="str">
        <x:v>Article PDF p. 8</x:v>
      </x:c>
      <x:c r="O507" s="9" t="str">
        <x:v>TPU, CNT/PVP coating, microwave embedding, geometry and contacts are described.</x:v>
      </x:c>
      <x:c r="P507" s="9" t="str">
        <x:v>PDF pp. 3–8; Figs. 1–6; Supporting Table S1 cited</x:v>
      </x:c>
    </x:row>
    <x:row r="508">
      <x:c r="A508" s="9" t="n">
        <x:v>64</x:v>
      </x:c>
      <x:c r="B508" s="9" t="str">
        <x:v>S078</x:v>
      </x:c>
      <x:c r="C508" s="9" t="str">
        <x:v>Hu et al. (2024)</x:v>
      </x:c>
      <x:c r="D508" s="9" t="str">
        <x:v>L3</x:v>
      </x:c>
      <x:c r="E508" s="9" t="str">
        <x:v>1</x:v>
      </x:c>
      <x:c r="F508" s="9" t="str">
        <x:v>1</x:v>
      </x:c>
      <x:c r="G508" s="9" t="str">
        <x:v>Yes</x:v>
      </x:c>
      <x:c r="H508" s="9" t="str">
        <x:v>Agree</x:v>
      </x:c>
      <x:c r="I508" s="9" t="str">
        <x:v>1</x:v>
      </x:c>
      <x:c r="J508" s="9" t="str">
        <x:v>Final agreement</x:v>
      </x:c>
      <x:c r="K508" s="9" t="str">
        <x:v>Controlled pressure, tensile/compression strain and wearable motions are linked to resistance response.</x:v>
      </x:c>
      <x:c r="L508" s="9" t="str">
        <x:v>PDF pp. 3–8; Figs. 1–6; Supporting Table S1 cited</x:v>
      </x:c>
      <x:c r="M508" s="9" t="str">
        <x:v>Sensor output is related to a controlled or independently measured input with a stated procedure and range.</x:v>
      </x:c>
      <x:c r="N508" s="9" t="str">
        <x:v>Article PDF p. 8</x:v>
      </x:c>
      <x:c r="O508" s="9" t="str">
        <x:v>Controlled pressure, tensile/compression strain and wearable motions are linked to resistance response.</x:v>
      </x:c>
      <x:c r="P508" s="9" t="str">
        <x:v>PDF pp. 3–8; Figs. 1–6; Supporting Table S1 cited</x:v>
      </x:c>
    </x:row>
    <x:row r="509">
      <x:c r="A509" s="9" t="n">
        <x:v>64</x:v>
      </x:c>
      <x:c r="B509" s="9" t="str">
        <x:v>S078</x:v>
      </x:c>
      <x:c r="C509" s="9" t="str">
        <x:v>Hu et al. (2024)</x:v>
      </x:c>
      <x:c r="D509" s="9" t="str">
        <x:v>L4</x:v>
      </x:c>
      <x:c r="E509" s="9" t="str">
        <x:v>1</x:v>
      </x:c>
      <x:c r="F509" s="9" t="str">
        <x:v>1</x:v>
      </x:c>
      <x:c r="G509" s="9" t="str">
        <x:v>Yes</x:v>
      </x:c>
      <x:c r="H509" s="9" t="str">
        <x:v>Agree</x:v>
      </x:c>
      <x:c r="I509" s="9" t="str">
        <x:v>1</x:v>
      </x:c>
      <x:c r="J509" s="9" t="str">
        <x:v>Final agreement</x:v>
      </x:c>
      <x:c r="K509" s="9" t="str">
        <x:v>Sensitivity, GF, strain/rate and wearable-response values are quantitative.</x:v>
      </x:c>
      <x:c r="L509" s="9" t="str">
        <x:v>PDF pp. 3–8; Figs. 1–6; Supporting Table S1 cited</x:v>
      </x:c>
      <x:c r="M509" s="9" t="str">
        <x:v>A modality-appropriate quantitative response, units/calculation and operating range are reported.</x:v>
      </x:c>
      <x:c r="N509" s="9" t="str">
        <x:v>Article PDF p. 8</x:v>
      </x:c>
      <x:c r="O509" s="9" t="str">
        <x:v>Sensitivity, GF, strain/rate and wearable-response values are quantitative.</x:v>
      </x:c>
      <x:c r="P509" s="9" t="str">
        <x:v>PDF pp. 3–8; Figs. 1–6; Supporting Table S1 cited</x:v>
      </x:c>
    </x:row>
    <x:row r="510">
      <x:c r="A510" s="9" t="n">
        <x:v>64</x:v>
      </x:c>
      <x:c r="B510" s="9" t="str">
        <x:v>S078</x:v>
      </x:c>
      <x:c r="C510" s="9" t="str">
        <x:v>Hu et al. (2024)</x:v>
      </x:c>
      <x:c r="D510" s="9" t="str">
        <x:v>L5</x:v>
      </x:c>
      <x:c r="E510" s="9" t="str">
        <x:v>1</x:v>
      </x:c>
      <x:c r="F510" s="9" t="str">
        <x:v>1</x:v>
      </x:c>
      <x:c r="G510" s="9" t="str">
        <x:v>Yes</x:v>
      </x:c>
      <x:c r="H510" s="9" t="str">
        <x:v>Agree</x:v>
      </x:c>
      <x:c r="I510" s="9" t="str">
        <x:v>1</x:v>
      </x:c>
      <x:c r="J510" s="9" t="str">
        <x:v>Final agreement</x:v>
      </x:c>
      <x:c r="K510" s="9" t="str">
        <x:v>Five-cycle protocols and a 200-cycle tensile test report repeated response.</x:v>
      </x:c>
      <x:c r="L510" s="9" t="str">
        <x:v>PDF pp. 3–8; Figs. 1–6; Supporting Table S1 cited</x:v>
      </x:c>
      <x:c r="M510" s="9" t="str">
        <x:v>The printed conductive parts retained pressure/strain response over 200 cyclic tensile tests.</x:v>
      </x:c>
      <x:c r="N510" s="9" t="str">
        <x:v>Article PDF p. 7, Figure 6</x:v>
      </x:c>
      <x:c r="O510" s="9" t="str">
        <x:v>Five-cycle protocols and a 200-cycle tensile test report repeated response.</x:v>
      </x:c>
      <x:c r="P510" s="9" t="str">
        <x:v>PDF pp. 3–8; Figs. 1–6; Supporting Table S1 cited</x:v>
      </x:c>
    </x:row>
    <x:row r="511">
      <x:c r="A511" s="9" t="n">
        <x:v>64</x:v>
      </x:c>
      <x:c r="B511" s="9" t="str">
        <x:v>S078</x:v>
      </x:c>
      <x:c r="C511" s="9" t="str">
        <x:v>Hu et al. (2024)</x:v>
      </x:c>
      <x:c r="D511" s="9" t="str">
        <x:v>L6</x:v>
      </x:c>
      <x:c r="E511" s="9" t="str">
        <x:v>0</x:v>
      </x:c>
      <x:c r="F511" s="9" t="str">
        <x:v>0</x:v>
      </x:c>
      <x:c r="G511" s="9" t="str">
        <x:v>Yes</x:v>
      </x:c>
      <x:c r="H511" s="9" t="str">
        <x:v>Agree</x:v>
      </x:c>
      <x:c r="I511" s="9" t="str">
        <x:v>0</x:v>
      </x:c>
      <x:c r="J511" s="9" t="str">
        <x:v>Final agreement</x:v>
      </x:c>
      <x:c r="K511" s="9" t="str">
        <x:v>No distinct qualifying environmental or use-related exposure was reported.</x:v>
      </x:c>
      <x:c r="L511" s="9" t="str">
        <x:v>PDF pp. 3–8; Figs. 1–6; Supporting Table S1 cited</x:v>
      </x:c>
      <x:c r="M511" s="9" t="str">
        <x:v>No qualifying response under a declared non-measurand environmental/use exposure is reported.</x:v>
      </x:c>
      <x:c r="N511" s="9" t="str">
        <x:v>Article PDF p. 8</x:v>
      </x:c>
      <x:c r="O511" s="9" t="str">
        <x:v>No distinct qualifying environmental or use-related exposure was reported.</x:v>
      </x:c>
      <x:c r="P511" s="9" t="str">
        <x:v>PDF pp. 3–8; Figs. 1–6; Supporting Table S1 cited</x:v>
      </x:c>
    </x:row>
    <x:row r="512">
      <x:c r="A512" s="9" t="n">
        <x:v>64</x:v>
      </x:c>
      <x:c r="B512" s="9" t="str">
        <x:v>S078</x:v>
      </x:c>
      <x:c r="C512" s="9" t="str">
        <x:v>Hu et al. (2024)</x:v>
      </x:c>
      <x:c r="D512" s="9" t="str">
        <x:v>L7</x:v>
      </x:c>
      <x:c r="E512" s="9" t="str">
        <x:v>1</x:v>
      </x:c>
      <x:c r="F512" s="9" t="str">
        <x:v>1</x:v>
      </x:c>
      <x:c r="G512" s="9" t="str">
        <x:v>Yes</x:v>
      </x:c>
      <x:c r="H512" s="9" t="str">
        <x:v>Agree</x:v>
      </x:c>
      <x:c r="I512" s="9" t="str">
        <x:v>1</x:v>
      </x:c>
      <x:c r="J512" s="9" t="str">
        <x:v>Final agreement</x:v>
      </x:c>
      <x:c r="K512" s="9" t="str">
        <x:v>Section 2.3 explicitly compares peak values and sizes and describes them as relatively uniform across the finger repetitions.</x:v>
      </x:c>
      <x:c r="L512" s="9" t="str">
        <x:v>S078_Main.pdf, physical p. 7, section 2.3/Fig. 6a-b; S078_Supplement_01.docx.</x:v>
      </x:c>
      <x:c r="M512" s="9" t="str">
        <x:v>Section 2.3 explicitly compares peak values and sizes and describes them as relatively uniform across the finger repetitions.</x:v>
      </x:c>
      <x:c r="N512" s="9" t="str">
        <x:v>S078_Main.pdf, physical p. 7, section 2.3/Fig. 6a-b; S078_Supplement_01.docx.</x:v>
      </x:c>
      <x:c r="O512" s="9" t="str">
        <x:v>Section 2.3 explicitly compares peak values and sizes and describes them as relatively uniform across the finger repetitions.</x:v>
      </x:c>
      <x:c r="P512" s="9" t="str">
        <x:v>S078_Main.pdf, physical p. 7, section 2.3/Fig. 6a-b; S078_Supplement_01.docx.</x:v>
      </x:c>
    </x:row>
    <x:row r="513">
      <x:c r="A513" s="9" t="n">
        <x:v>64</x:v>
      </x:c>
      <x:c r="B513" s="9" t="str">
        <x:v>S078</x:v>
      </x:c>
      <x:c r="C513" s="9" t="str">
        <x:v>Hu et al. (2024)</x:v>
      </x:c>
      <x:c r="D513" s="9" t="str">
        <x:v>L8</x:v>
      </x:c>
      <x:c r="E513" s="9" t="str">
        <x:v>0</x:v>
      </x:c>
      <x:c r="F513" s="9" t="str">
        <x:v>0</x:v>
      </x:c>
      <x:c r="G513" s="9" t="str">
        <x:v>Yes</x:v>
      </x:c>
      <x:c r="H513" s="9" t="str">
        <x:v>Agree</x:v>
      </x:c>
      <x:c r="I513" s="9" t="str">
        <x:v>0</x:v>
      </x:c>
      <x:c r="J513" s="9" t="str">
        <x:v>Final agreement</x:v>
      </x:c>
      <x:c r="K513" s="9" t="str">
        <x:v>Material/process variants were tested, but ≥3 separately fabricated complete sensors were not quantitatively compared.</x:v>
      </x:c>
      <x:c r="L513" s="9" t="str">
        <x:v>PDF pp. 3–8; Figs. 1–6; Supporting Table S1 cited</x:v>
      </x:c>
      <x:c r="M513" s="9" t="str">
        <x:v>At least three equivalent independently fabricated units with quantified between-unit variation are not reported.</x:v>
      </x:c>
      <x:c r="N513" s="9" t="str">
        <x:v>Article PDF p. 8</x:v>
      </x:c>
      <x:c r="O513" s="9" t="str">
        <x:v>Material/process variants were tested, but ≥3 separately fabricated complete sensors were not quantitatively compared.</x:v>
      </x:c>
      <x:c r="P513" s="9" t="str">
        <x:v>PDF pp. 3–8; Figs. 1–6; Supporting Table S1 cited</x:v>
      </x:c>
    </x:row>
    <x:row r="514">
      <x:c r="A514" s="9" t="n">
        <x:v>65</x:v>
      </x:c>
      <x:c r="B514" s="9" t="str">
        <x:v>S079</x:v>
      </x:c>
      <x:c r="C514" s="9" t="str">
        <x:v>Han et al. (2024)</x:v>
      </x:c>
      <x:c r="D514" s="9" t="str">
        <x:v>L1</x:v>
      </x:c>
      <x:c r="E514" s="9" t="str">
        <x:v>0</x:v>
      </x:c>
      <x:c r="F514" s="9" t="str">
        <x:v>0</x:v>
      </x:c>
      <x:c r="G514" s="9" t="str">
        <x:v>Yes</x:v>
      </x:c>
      <x:c r="H514" s="9" t="str">
        <x:v>Agree</x:v>
      </x:c>
      <x:c r="I514" s="9" t="str">
        <x:v>0</x:v>
      </x:c>
      <x:c r="J514" s="9" t="str">
        <x:v>Final agreement</x:v>
      </x:c>
      <x:c r="K514" s="9" t="str">
        <x:v>FDM, active composite, nozzle temperature, layer height, infill and geometry are reported, but printer model, nozzle diameter and print speed were not identified.</x:v>
      </x:c>
      <x:c r="L514" s="9" t="str">
        <x:v>PDF pp. 2–12; Figs. 1–8; Supplementary Figs. S1–S15 cited</x:v>
      </x:c>
      <x:c r="M514" s="9" t="str">
        <x:v>Fabrication is described, but reconstruction-critical temperature, speed, orientation/toolpath details are not reported.</x:v>
      </x:c>
      <x:c r="N514" s="9" t="str">
        <x:v>Article PDF p. 2</x:v>
      </x:c>
      <x:c r="O514" s="9" t="str">
        <x:v>FDM, active composite, nozzle temperature, layer height, infill and geometry are reported, but printer model, nozzle diameter and print speed were not identified.</x:v>
      </x:c>
      <x:c r="P514" s="9" t="str">
        <x:v>PDF pp. 2–12; Figs. 1–8; Supplementary Figs. S1–S15 cited</x:v>
      </x:c>
    </x:row>
    <x:row r="515">
      <x:c r="A515" s="9" t="n">
        <x:v>65</x:v>
      </x:c>
      <x:c r="B515" s="9" t="str">
        <x:v>S079</x:v>
      </x:c>
      <x:c r="C515" s="9" t="str">
        <x:v>Han et al. (2024)</x:v>
      </x:c>
      <x:c r="D515" s="9" t="str">
        <x:v>L2</x:v>
      </x:c>
      <x:c r="E515" s="9" t="str">
        <x:v>1</x:v>
      </x:c>
      <x:c r="F515" s="9" t="str">
        <x:v>1</x:v>
      </x:c>
      <x:c r="G515" s="9" t="str">
        <x:v>Yes</x:v>
      </x:c>
      <x:c r="H515" s="9" t="str">
        <x:v>Agree</x:v>
      </x:c>
      <x:c r="I515" s="9" t="str">
        <x:v>1</x:v>
      </x:c>
      <x:c r="J515" s="9" t="str">
        <x:v>Final agreement</x:v>
      </x:c>
      <x:c r="K515" s="9" t="str">
        <x:v>TPU/MXene-SA/MWCNT composition, TPMS geometry, electrodes and array integration are described.</x:v>
      </x:c>
      <x:c r="L515" s="9" t="str">
        <x:v>PDF pp. 2–12; Figs. 1–8; Supplementary Figs. S1–S15 cited</x:v>
      </x:c>
      <x:c r="M515" s="9" t="str">
        <x:v>Functional host, sensing constituent and relevant electrode/interface materials are identified.</x:v>
      </x:c>
      <x:c r="N515" s="9" t="str">
        <x:v>Article PDF p. 2</x:v>
      </x:c>
      <x:c r="O515" s="9" t="str">
        <x:v>TPU/MXene-SA/MWCNT composition, TPMS geometry, electrodes and array integration are described.</x:v>
      </x:c>
      <x:c r="P515" s="9" t="str">
        <x:v>PDF pp. 2–12; Figs. 1–8; Supplementary Figs. S1–S15 cited</x:v>
      </x:c>
    </x:row>
    <x:row r="516">
      <x:c r="A516" s="9" t="n">
        <x:v>65</x:v>
      </x:c>
      <x:c r="B516" s="9" t="str">
        <x:v>S079</x:v>
      </x:c>
      <x:c r="C516" s="9" t="str">
        <x:v>Han et al. (2024)</x:v>
      </x:c>
      <x:c r="D516" s="9" t="str">
        <x:v>L3</x:v>
      </x:c>
      <x:c r="E516" s="9" t="str">
        <x:v>1</x:v>
      </x:c>
      <x:c r="F516" s="9" t="str">
        <x:v>1</x:v>
      </x:c>
      <x:c r="G516" s="9" t="str">
        <x:v>Yes</x:v>
      </x:c>
      <x:c r="H516" s="9" t="str">
        <x:v>Agree</x:v>
      </x:c>
      <x:c r="I516" s="9" t="str">
        <x:v>1</x:v>
      </x:c>
      <x:c r="J516" s="9" t="str">
        <x:v>Final agreement</x:v>
      </x:c>
      <x:c r="K516" s="9" t="str">
        <x:v>Controlled compression, environmental and wearable protocols are reported.</x:v>
      </x:c>
      <x:c r="L516" s="9" t="str">
        <x:v>PDF pp. 2–12; Figs. 1–8; Supplementary Figs. S1–S15 cited</x:v>
      </x:c>
      <x:c r="M516" s="9" t="str">
        <x:v>Sensor output is related to a controlled or independently measured input with a stated procedure and range.</x:v>
      </x:c>
      <x:c r="N516" s="9" t="str">
        <x:v>Article PDF p. 12</x:v>
      </x:c>
      <x:c r="O516" s="9" t="str">
        <x:v>Controlled compression, environmental and wearable protocols are reported.</x:v>
      </x:c>
      <x:c r="P516" s="9" t="str">
        <x:v>PDF pp. 2–12; Figs. 1–8; Supplementary Figs. S1–S15 cited</x:v>
      </x:c>
    </x:row>
    <x:row r="517">
      <x:c r="A517" s="9" t="n">
        <x:v>65</x:v>
      </x:c>
      <x:c r="B517" s="9" t="str">
        <x:v>S079</x:v>
      </x:c>
      <x:c r="C517" s="9" t="str">
        <x:v>Han et al. (2024)</x:v>
      </x:c>
      <x:c r="D517" s="9" t="str">
        <x:v>L4</x:v>
      </x:c>
      <x:c r="E517" s="9" t="str">
        <x:v>1</x:v>
      </x:c>
      <x:c r="F517" s="9" t="str">
        <x:v>1</x:v>
      </x:c>
      <x:c r="G517" s="9" t="str">
        <x:v>Yes</x:v>
      </x:c>
      <x:c r="H517" s="9" t="str">
        <x:v>Agree</x:v>
      </x:c>
      <x:c r="I517" s="9" t="str">
        <x:v>1</x:v>
      </x:c>
      <x:c r="J517" s="9" t="str">
        <x:v>Final agreement</x:v>
      </x:c>
      <x:c r="K517" s="9" t="str">
        <x:v>Sensitivity, range, response/recovery, endurance and exposure-retention values are quantitative.</x:v>
      </x:c>
      <x:c r="L517" s="9" t="str">
        <x:v>PDF pp. 2–12; Figs. 1–8; Supplementary Figs. S1–S15 cited</x:v>
      </x:c>
      <x:c r="M517" s="9" t="str">
        <x:v>A modality-appropriate quantitative response, units/calculation and operating range are reported.</x:v>
      </x:c>
      <x:c r="N517" s="9" t="str">
        <x:v>Article PDF p. 13</x:v>
      </x:c>
      <x:c r="O517" s="9" t="str">
        <x:v>Sensitivity, range, response/recovery, endurance and exposure-retention values are quantitative.</x:v>
      </x:c>
      <x:c r="P517" s="9" t="str">
        <x:v>PDF pp. 2–12; Figs. 1–8; Supplementary Figs. S1–S15 cited</x:v>
      </x:c>
    </x:row>
    <x:row r="518">
      <x:c r="A518" s="9" t="n">
        <x:v>65</x:v>
      </x:c>
      <x:c r="B518" s="9" t="str">
        <x:v>S079</x:v>
      </x:c>
      <x:c r="C518" s="9" t="str">
        <x:v>Han et al. (2024)</x:v>
      </x:c>
      <x:c r="D518" s="9" t="str">
        <x:v>L5</x:v>
      </x:c>
      <x:c r="E518" s="9" t="str">
        <x:v>1</x:v>
      </x:c>
      <x:c r="F518" s="9" t="str">
        <x:v>1</x:v>
      </x:c>
      <x:c r="G518" s="9" t="str">
        <x:v>Yes</x:v>
      </x:c>
      <x:c r="H518" s="9" t="str">
        <x:v>Agree</x:v>
      </x:c>
      <x:c r="I518" s="9" t="str">
        <x:v>1</x:v>
      </x:c>
      <x:c r="J518" s="9" t="str">
        <x:v>Final agreement</x:v>
      </x:c>
      <x:c r="K518" s="9" t="str">
        <x:v>Five rapid cycles and repeated loading for 10,000 s report response and baseline change.</x:v>
      </x:c>
      <x:c r="L518" s="9" t="str">
        <x:v>PDF pp. 2–12; Figs. 1–8; Supplementary Figs. S1–S15 cited</x:v>
      </x:c>
      <x:c r="M518" s="9" t="str">
        <x:v>A stated repeated-test range/count is accompanied by a stability, hysteresis, retention or failure outcome.</x:v>
      </x:c>
      <x:c r="N518" s="9" t="str">
        <x:v>Article PDF p. 13</x:v>
      </x:c>
      <x:c r="O518" s="9" t="str">
        <x:v>Five rapid cycles and repeated loading for 10,000 s report response and baseline change.</x:v>
      </x:c>
      <x:c r="P518" s="9" t="str">
        <x:v>PDF pp. 2–12; Figs. 1–8; Supplementary Figs. S1–S15 cited</x:v>
      </x:c>
    </x:row>
    <x:row r="519">
      <x:c r="A519" s="9" t="n">
        <x:v>65</x:v>
      </x:c>
      <x:c r="B519" s="9" t="str">
        <x:v>S079</x:v>
      </x:c>
      <x:c r="C519" s="9" t="str">
        <x:v>Han et al. (2024)</x:v>
      </x:c>
      <x:c r="D519" s="9" t="str">
        <x:v>L6</x:v>
      </x:c>
      <x:c r="E519" s="9" t="str">
        <x:v>1</x:v>
      </x:c>
      <x:c r="F519" s="9" t="str">
        <x:v>1</x:v>
      </x:c>
      <x:c r="G519" s="9" t="str">
        <x:v>Yes</x:v>
      </x:c>
      <x:c r="H519" s="9" t="str">
        <x:v>Agree</x:v>
      </x:c>
      <x:c r="I519" s="9" t="str">
        <x:v>1</x:v>
      </x:c>
      <x:c r="J519" s="9" t="str">
        <x:v>Final agreement</x:v>
      </x:c>
      <x:c r="K519" s="9" t="str">
        <x:v>Performance was measured after 40 °C, −35 °C and 24-h water immersion/rubbing exposures.</x:v>
      </x:c>
      <x:c r="L519" s="9" t="str">
        <x:v>PDF pp. 2–12; Figs. 1–8; Supplementary Figs. S1–S15 cited</x:v>
      </x:c>
      <x:c r="M519" s="9" t="str">
        <x:v>Sensor/system response is reported under a declared non-measurand environmental or use-related exposure.</x:v>
      </x:c>
      <x:c r="N519" s="9" t="str">
        <x:v>Article PDF p. 11</x:v>
      </x:c>
      <x:c r="O519" s="9" t="str">
        <x:v>Performance was measured after 40 °C, −35 °C and 24-h water immersion/rubbing exposures.</x:v>
      </x:c>
      <x:c r="P519" s="9" t="str">
        <x:v>PDF pp. 2–12; Figs. 1–8; Supplementary Figs. S1–S15 cited</x:v>
      </x:c>
    </x:row>
    <x:row r="520">
      <x:c r="A520" s="9" t="n">
        <x:v>65</x:v>
      </x:c>
      <x:c r="B520" s="9" t="str">
        <x:v>S079</x:v>
      </x:c>
      <x:c r="C520" s="9" t="str">
        <x:v>Han et al. (2024)</x:v>
      </x:c>
      <x:c r="D520" s="9" t="str">
        <x:v>L7</x:v>
      </x:c>
      <x:c r="E520" s="9" t="str">
        <x:v>1</x:v>
      </x:c>
      <x:c r="F520" s="9" t="str">
        <x:v>1</x:v>
      </x:c>
      <x:c r="G520" s="9" t="str">
        <x:v>Yes</x:v>
      </x:c>
      <x:c r="H520" s="9" t="str">
        <x:v>Agree</x:v>
      </x:c>
      <x:c r="I520" s="9" t="str">
        <x:v>1</x:v>
      </x:c>
      <x:c r="J520" s="9" t="str">
        <x:v>Final agreement</x:v>
      </x:c>
      <x:c r="K520" s="9" t="str">
        <x:v>The main text reports about 70% ± 5% resistance change at baseline and minimal change in response to the same bending motions after conditioning.</x:v>
      </x:c>
      <x:c r="L520" s="9" t="str">
        <x:v>S079_Main.pdf, physical p. 10, Fig. 7b; p. 11, section 3.4, paragraph referring to Fig. S15.</x:v>
      </x:c>
      <x:c r="M520" s="9" t="str">
        <x:v>The main text reports about 70% ± 5% resistance change at baseline and minimal change in response to the same bending motions after conditioning.</x:v>
      </x:c>
      <x:c r="N520" s="9" t="str">
        <x:v>S079_Main.pdf, physical p. 10, Fig. 7b; p. 11, section 3.4, paragraph referring to Fig. S15.</x:v>
      </x:c>
      <x:c r="O520" s="9" t="str">
        <x:v>The main text reports about 70% ± 5% resistance change at baseline and minimal change in response to the same bending motions after conditioning.</x:v>
      </x:c>
      <x:c r="P520" s="9" t="str">
        <x:v>S079_Main.pdf, physical p. 10, Fig. 7b; p. 11, section 3.4, paragraph referring to Fig. S15.</x:v>
      </x:c>
    </x:row>
    <x:row r="521">
      <x:c r="A521" s="9" t="n">
        <x:v>65</x:v>
      </x:c>
      <x:c r="B521" s="9" t="str">
        <x:v>S079</x:v>
      </x:c>
      <x:c r="C521" s="9" t="str">
        <x:v>Han et al. (2024)</x:v>
      </x:c>
      <x:c r="D521" s="9" t="str">
        <x:v>L8</x:v>
      </x:c>
      <x:c r="E521" s="9" t="str">
        <x:v>0</x:v>
      </x:c>
      <x:c r="F521" s="9" t="str">
        <x:v>0</x:v>
      </x:c>
      <x:c r="G521" s="9" t="str">
        <x:v>Yes</x:v>
      </x:c>
      <x:c r="H521" s="9" t="str">
        <x:v>Agree</x:v>
      </x:c>
      <x:c r="I521" s="9" t="str">
        <x:v>0</x:v>
      </x:c>
      <x:c r="J521" s="9" t="str">
        <x:v>Final agreement</x:v>
      </x:c>
      <x:c r="K521" s="9" t="str">
        <x:v>Repeated samples are mentioned, but individual results or between-device dispersion for ≥3 complete sensors are not shown.</x:v>
      </x:c>
      <x:c r="L521" s="9" t="str">
        <x:v>PDF pp. 2–12; Figs. 1–8; Supplementary Figs. S1–S15 cited</x:v>
      </x:c>
      <x:c r="M521" s="9" t="str">
        <x:v>At least three equivalent independently fabricated units with quantified between-unit variation are not reported.</x:v>
      </x:c>
      <x:c r="N521" s="9" t="str">
        <x:v>Article PDF p. 9</x:v>
      </x:c>
      <x:c r="O521" s="9" t="str">
        <x:v>Repeated samples are mentioned, but individual results or between-device dispersion for ≥3 complete sensors are not shown.</x:v>
      </x:c>
      <x:c r="P521" s="9" t="str">
        <x:v>PDF pp. 2–12; Figs. 1–8; Supplementary Figs. S1–S15 cited</x:v>
      </x:c>
    </x:row>
    <x:row r="522">
      <x:c r="A522" s="9" t="n">
        <x:v>66</x:v>
      </x:c>
      <x:c r="B522" s="9" t="str">
        <x:v>S080</x:v>
      </x:c>
      <x:c r="C522" s="9" t="str">
        <x:v>Imanian et al. (2023)</x:v>
      </x:c>
      <x:c r="D522" s="9" t="str">
        <x:v>L1</x:v>
      </x:c>
      <x:c r="E522" s="9" t="str">
        <x:v>0</x:v>
      </x:c>
      <x:c r="F522" s="9" t="str">
        <x:v>0</x:v>
      </x:c>
      <x:c r="G522" s="9" t="str">
        <x:v>Yes</x:v>
      </x:c>
      <x:c r="H522" s="9" t="str">
        <x:v>Agree</x:v>
      </x:c>
      <x:c r="I522" s="9" t="str">
        <x:v>0</x:v>
      </x:c>
      <x:c r="J522" s="9" t="str">
        <x:v>Final agreement</x:v>
      </x:c>
      <x:c r="K522" s="9" t="str">
        <x:v>Functional filament, nozzle, temperature, speed, infill and geometry are stated, but printer/model and layer height are not reported.</x:v>
      </x:c>
      <x:c r="L522" s="9" t="str">
        <x:v>PDF pp. 2, 4–12; Figs. 1–8</x:v>
      </x:c>
      <x:c r="M522" s="9" t="str">
        <x:v>Fabrication is described, but reconstruction-critical temperature, layer height, speed details are not reported.</x:v>
      </x:c>
      <x:c r="N522" s="9" t="str">
        <x:v>Article PDF p. 4</x:v>
      </x:c>
      <x:c r="O522" s="9" t="str">
        <x:v>Functional filament, nozzle, temperature, speed, infill and geometry are stated, but printer/model and layer height are not reported.</x:v>
      </x:c>
      <x:c r="P522" s="9" t="str">
        <x:v>PDF pp. 2, 4–12; Figs. 1–8</x:v>
      </x:c>
    </x:row>
    <x:row r="523">
      <x:c r="A523" s="9" t="n">
        <x:v>66</x:v>
      </x:c>
      <x:c r="B523" s="9" t="str">
        <x:v>S080</x:v>
      </x:c>
      <x:c r="C523" s="9" t="str">
        <x:v>Imanian et al. (2023)</x:v>
      </x:c>
      <x:c r="D523" s="9" t="str">
        <x:v>L2</x:v>
      </x:c>
      <x:c r="E523" s="9" t="str">
        <x:v>1</x:v>
      </x:c>
      <x:c r="F523" s="9" t="str">
        <x:v>1</x:v>
      </x:c>
      <x:c r="G523" s="9" t="str">
        <x:v>Yes</x:v>
      </x:c>
      <x:c r="H523" s="9" t="str">
        <x:v>Agree</x:v>
      </x:c>
      <x:c r="I523" s="9" t="str">
        <x:v>1</x:v>
      </x:c>
      <x:c r="J523" s="9" t="str">
        <x:v>Final agreement</x:v>
      </x:c>
      <x:c r="K523" s="9" t="str">
        <x:v>TPU, graphene coating/binder, TPMS geometry and electrical readout are described.</x:v>
      </x:c>
      <x:c r="L523" s="9" t="str">
        <x:v>PDF pp. 2, 4–12; Figs. 1–8</x:v>
      </x:c>
      <x:c r="M523" s="9" t="str">
        <x:v>Functional host, sensing constituent and relevant electrode/interface materials are identified.</x:v>
      </x:c>
      <x:c r="N523" s="9" t="str">
        <x:v>Article PDF p. 4</x:v>
      </x:c>
      <x:c r="O523" s="9" t="str">
        <x:v>TPU, graphene coating/binder, TPMS geometry and electrical readout are described.</x:v>
      </x:c>
      <x:c r="P523" s="9" t="str">
        <x:v>PDF pp. 2, 4–12; Figs. 1–8</x:v>
      </x:c>
    </x:row>
    <x:row r="524">
      <x:c r="A524" s="9" t="n">
        <x:v>66</x:v>
      </x:c>
      <x:c r="B524" s="9" t="str">
        <x:v>S080</x:v>
      </x:c>
      <x:c r="C524" s="9" t="str">
        <x:v>Imanian et al. (2023)</x:v>
      </x:c>
      <x:c r="D524" s="9" t="str">
        <x:v>L3</x:v>
      </x:c>
      <x:c r="E524" s="9" t="str">
        <x:v>1</x:v>
      </x:c>
      <x:c r="F524" s="9" t="str">
        <x:v>1</x:v>
      </x:c>
      <x:c r="G524" s="9" t="str">
        <x:v>Yes</x:v>
      </x:c>
      <x:c r="H524" s="9" t="str">
        <x:v>Agree</x:v>
      </x:c>
      <x:c r="I524" s="9" t="str">
        <x:v>1</x:v>
      </x:c>
      <x:c r="J524" s="9" t="str">
        <x:v>Final agreement</x:v>
      </x:c>
      <x:c r="K524" s="9" t="str">
        <x:v>Controlled compressive strains and direct body-motion inputs are linked to resistance response.</x:v>
      </x:c>
      <x:c r="L524" s="9" t="str">
        <x:v>PDF pp. 2, 4–12; Figs. 1–8</x:v>
      </x:c>
      <x:c r="M524" s="9" t="str">
        <x:v>A universal testing machine applied controlled compression while resistance was measured over defined loads.</x:v>
      </x:c>
      <x:c r="N524" s="9" t="str">
        <x:v>Article PDF pp. 4-7, Figures 3-6</x:v>
      </x:c>
      <x:c r="O524" s="9" t="str">
        <x:v>Controlled compressive strains and direct body-motion inputs are linked to resistance response.</x:v>
      </x:c>
      <x:c r="P524" s="9" t="str">
        <x:v>PDF pp. 2, 4–12; Figs. 1–8</x:v>
      </x:c>
    </x:row>
    <x:row r="525">
      <x:c r="A525" s="9" t="n">
        <x:v>66</x:v>
      </x:c>
      <x:c r="B525" s="9" t="str">
        <x:v>S080</x:v>
      </x:c>
      <x:c r="C525" s="9" t="str">
        <x:v>Imanian et al. (2023)</x:v>
      </x:c>
      <x:c r="D525" s="9" t="str">
        <x:v>L4</x:v>
      </x:c>
      <x:c r="E525" s="9" t="str">
        <x:v>1</x:v>
      </x:c>
      <x:c r="F525" s="9" t="str">
        <x:v>1</x:v>
      </x:c>
      <x:c r="G525" s="9" t="str">
        <x:v>Yes</x:v>
      </x:c>
      <x:c r="H525" s="9" t="str">
        <x:v>Agree</x:v>
      </x:c>
      <x:c r="I525" s="9" t="str">
        <x:v>1</x:v>
      </x:c>
      <x:c r="J525" s="9" t="str">
        <x:v>Final agreement</x:v>
      </x:c>
      <x:c r="K525" s="9" t="str">
        <x:v>GF/detection-limit and application traces are reported with stated conditions.</x:v>
      </x:c>
      <x:c r="L525" s="9" t="str">
        <x:v>PDF pp. 2, 4–12; Figs. 1–8</x:v>
      </x:c>
      <x:c r="M525" s="9" t="str">
        <x:v>Pressure sensitivity and relative-resistance response are reported across the tested compression range.</x:v>
      </x:c>
      <x:c r="N525" s="9" t="str">
        <x:v>Article PDF pp. 6-8, Figures 6-8</x:v>
      </x:c>
      <x:c r="O525" s="9" t="str">
        <x:v>GF/detection-limit and application traces are reported with stated conditions.</x:v>
      </x:c>
      <x:c r="P525" s="9" t="str">
        <x:v>PDF pp. 2, 4–12; Figs. 1–8</x:v>
      </x:c>
    </x:row>
    <x:row r="526">
      <x:c r="A526" s="9" t="n">
        <x:v>66</x:v>
      </x:c>
      <x:c r="B526" s="9" t="str">
        <x:v>S080</x:v>
      </x:c>
      <x:c r="C526" s="9" t="str">
        <x:v>Imanian et al. (2023)</x:v>
      </x:c>
      <x:c r="D526" s="9" t="str">
        <x:v>L5</x:v>
      </x:c>
      <x:c r="E526" s="9" t="str">
        <x:v>1</x:v>
      </x:c>
      <x:c r="F526" s="9" t="str">
        <x:v>1</x:v>
      </x:c>
      <x:c r="G526" s="9" t="str">
        <x:v>Yes</x:v>
      </x:c>
      <x:c r="H526" s="9" t="str">
        <x:v>Agree</x:v>
      </x:c>
      <x:c r="I526" s="9" t="str">
        <x:v>1</x:v>
      </x:c>
      <x:c r="J526" s="9" t="str">
        <x:v>Final agreement</x:v>
      </x:c>
      <x:c r="K526" s="9" t="str">
        <x:v>Response is shown across 300 controlled compression cycles.</x:v>
      </x:c>
      <x:c r="L526" s="9" t="str">
        <x:v>PDF pp. 2, 4–12; Figs. 1–8</x:v>
      </x:c>
      <x:c r="M526" s="9" t="str">
        <x:v>A stated repeated-test range/count is accompanied by a stability, hysteresis, retention or failure outcome.</x:v>
      </x:c>
      <x:c r="N526" s="9" t="str">
        <x:v>Article PDF p. 13</x:v>
      </x:c>
      <x:c r="O526" s="9" t="str">
        <x:v>Response is shown across 300 controlled compression cycles.</x:v>
      </x:c>
      <x:c r="P526" s="9" t="str">
        <x:v>PDF pp. 2, 4–12; Figs. 1–8</x:v>
      </x:c>
    </x:row>
    <x:row r="527">
      <x:c r="A527" s="9" t="n">
        <x:v>66</x:v>
      </x:c>
      <x:c r="B527" s="9" t="str">
        <x:v>S080</x:v>
      </x:c>
      <x:c r="C527" s="9" t="str">
        <x:v>Imanian et al. (2023)</x:v>
      </x:c>
      <x:c r="D527" s="9" t="str">
        <x:v>L6</x:v>
      </x:c>
      <x:c r="E527" s="9" t="str">
        <x:v>0</x:v>
      </x:c>
      <x:c r="F527" s="9" t="str">
        <x:v>0</x:v>
      </x:c>
      <x:c r="G527" s="9" t="str">
        <x:v>Yes</x:v>
      </x:c>
      <x:c r="H527" s="9" t="str">
        <x:v>Agree</x:v>
      </x:c>
      <x:c r="I527" s="9" t="str">
        <x:v>0</x:v>
      </x:c>
      <x:c r="J527" s="9" t="str">
        <x:v>Final agreement</x:v>
      </x:c>
      <x:c r="K527" s="9" t="str">
        <x:v>No distinct declared temperature, humidity, perspiration, water, washing, abrasion, mounting-pressure or comparable use exposure was tested.</x:v>
      </x:c>
      <x:c r="L527" s="9" t="str">
        <x:v>PDF pp. 2, 4–12; Figs. 1–8</x:v>
      </x:c>
      <x:c r="M527" s="9" t="str">
        <x:v>No qualifying response under a declared non-measurand environmental/use exposure is reported.</x:v>
      </x:c>
      <x:c r="N527" s="9" t="str">
        <x:v>Article PDF p. 3</x:v>
      </x:c>
      <x:c r="O527" s="9" t="str">
        <x:v>No distinct declared temperature, humidity, perspiration, water, washing, abrasion, mounting-pressure or comparable use exposure was tested.</x:v>
      </x:c>
      <x:c r="P527" s="9" t="str">
        <x:v>PDF pp. 2, 4–12; Figs. 1–8</x:v>
      </x:c>
    </x:row>
    <x:row r="528">
      <x:c r="A528" s="9" t="n">
        <x:v>66</x:v>
      </x:c>
      <x:c r="B528" s="9" t="str">
        <x:v>S080</x:v>
      </x:c>
      <x:c r="C528" s="9" t="str">
        <x:v>Imanian et al. (2023)</x:v>
      </x:c>
      <x:c r="D528" s="9" t="str">
        <x:v>L7</x:v>
      </x:c>
      <x:c r="E528" s="9" t="str">
        <x:v>0</x:v>
      </x:c>
      <x:c r="F528" s="9" t="str">
        <x:v>0</x:v>
      </x:c>
      <x:c r="G528" s="9" t="str">
        <x:v>Yes</x:v>
      </x:c>
      <x:c r="H528" s="9" t="str">
        <x:v>Agree</x:v>
      </x:c>
      <x:c r="I528" s="9" t="str">
        <x:v>0</x:v>
      </x:c>
      <x:c r="J528" s="9" t="str">
        <x:v>Final agreement</x:v>
      </x:c>
      <x:c r="K528" s="9" t="str">
        <x:v>Final L7 rating from the targeted reassessment.</x:v>
      </x:c>
      <x:c r="L528" s="9" t="str">
        <x:v>Finalized reviewer-rating workbook</x:v>
      </x:c>
      <x:c r="M528" s="9" t="str">
        <x:v>Final L7 rating from the targeted reassessment.</x:v>
      </x:c>
      <x:c r="N528" s="9" t="str">
        <x:v>Finalized reviewer-rating workbook</x:v>
      </x:c>
      <x:c r="O528" s="9" t="str">
        <x:v>No qualifying interface-integrity test or repeated final monolithic wearable-assembly test with a retention/failure endpoint was located.</x:v>
      </x:c>
      <x:c r="P528" s="9" t="str">
        <x:v>PDF pp. 2, 4–12; Figs. 1–8</x:v>
      </x:c>
    </x:row>
    <x:row r="529">
      <x:c r="A529" s="9" t="n">
        <x:v>66</x:v>
      </x:c>
      <x:c r="B529" s="9" t="str">
        <x:v>S080</x:v>
      </x:c>
      <x:c r="C529" s="9" t="str">
        <x:v>Imanian et al. (2023)</x:v>
      </x:c>
      <x:c r="D529" s="9" t="str">
        <x:v>L8</x:v>
      </x:c>
      <x:c r="E529" s="9" t="str">
        <x:v>0</x:v>
      </x:c>
      <x:c r="F529" s="9" t="str">
        <x:v>0</x:v>
      </x:c>
      <x:c r="G529" s="9" t="str">
        <x:v>Yes</x:v>
      </x:c>
      <x:c r="H529" s="9" t="str">
        <x:v>Agree</x:v>
      </x:c>
      <x:c r="I529" s="9" t="str">
        <x:v>0</x:v>
      </x:c>
      <x:c r="J529" s="9" t="str">
        <x:v>Final agreement</x:v>
      </x:c>
      <x:c r="K529" s="9" t="str">
        <x:v>Topology variants and repeated cycles were reported, but no ≥3 separately fabricated same-condition complete-device comparison was identified.</x:v>
      </x:c>
      <x:c r="L529" s="9" t="str">
        <x:v>PDF pp. 2, 4–12; Figs. 1–8</x:v>
      </x:c>
      <x:c r="M529" s="9" t="str">
        <x:v>At least three equivalent independently fabricated units with quantified between-unit variation are not reported.</x:v>
      </x:c>
      <x:c r="N529" s="9" t="str">
        <x:v>Article PDF p. 4</x:v>
      </x:c>
      <x:c r="O529" s="9" t="str">
        <x:v>Topology variants and repeated cycles were reported, but no ≥3 separately fabricated same-condition complete-device comparison was identified.</x:v>
      </x:c>
      <x:c r="P529" s="9" t="str">
        <x:v>PDF pp. 2, 4–12; Figs. 1–8</x:v>
      </x:c>
    </x:row>
    <x:row r="530">
      <x:c r="A530" s="9" t="n">
        <x:v>67</x:v>
      </x:c>
      <x:c r="B530" s="9" t="str">
        <x:v>S081</x:v>
      </x:c>
      <x:c r="C530" s="9" t="str">
        <x:v>De Tommasi et al. (2023)</x:v>
      </x:c>
      <x:c r="D530" s="9" t="str">
        <x:v>L1</x:v>
      </x:c>
      <x:c r="E530" s="9" t="str">
        <x:v>0</x:v>
      </x:c>
      <x:c r="F530" s="9" t="str">
        <x:v>0</x:v>
      </x:c>
      <x:c r="G530" s="9" t="str">
        <x:v>Yes</x:v>
      </x:c>
      <x:c r="H530" s="9" t="str">
        <x:v>Agree</x:v>
      </x:c>
      <x:c r="I530" s="9" t="str">
        <x:v>0</x:v>
      </x:c>
      <x:c r="J530" s="9" t="str">
        <x:v>Final agreement</x:v>
      </x:c>
      <x:c r="K530" s="9" t="str">
        <x:v>Printer, FDM term, TPU identity, temperature, infill, pattern and geometry are reported, but nozzle diameter and layer height are absent; speed is given only as a 15% printer setting.</x:v>
      </x:c>
      <x:c r="L530" s="9" t="str">
        <x:v>PDF pp. 3–7; Figs. 1–8; Table I</x:v>
      </x:c>
      <x:c r="M530" s="9" t="str">
        <x:v>Fabrication is described, but reconstruction-critical nozzle, temperature, layer height, speed details are not reported.</x:v>
      </x:c>
      <x:c r="N530" s="9" t="str">
        <x:v>Article PDF p. 7</x:v>
      </x:c>
      <x:c r="O530" s="9" t="str">
        <x:v>Printer, FDM term, TPU identity, temperature, infill, pattern and geometry are reported, but nozzle diameter and layer height are absent; speed is given only as a 15% printer setting.</x:v>
      </x:c>
      <x:c r="P530" s="9" t="str">
        <x:v>PDF pp. 3–7; Figs. 1–8; Table I</x:v>
      </x:c>
    </x:row>
    <x:row r="531">
      <x:c r="A531" s="9" t="n">
        <x:v>67</x:v>
      </x:c>
      <x:c r="B531" s="9" t="str">
        <x:v>S081</x:v>
      </x:c>
      <x:c r="C531" s="9" t="str">
        <x:v>De Tommasi et al. (2023)</x:v>
      </x:c>
      <x:c r="D531" s="9" t="str">
        <x:v>L2</x:v>
      </x:c>
      <x:c r="E531" s="9" t="str">
        <x:v>1</x:v>
      </x:c>
      <x:c r="F531" s="9" t="str">
        <x:v>1</x:v>
      </x:c>
      <x:c r="G531" s="9" t="str">
        <x:v>Yes</x:v>
      </x:c>
      <x:c r="H531" s="9" t="str">
        <x:v>Agree</x:v>
      </x:c>
      <x:c r="I531" s="9" t="str">
        <x:v>1</x:v>
      </x:c>
      <x:c r="J531" s="9" t="str">
        <x:v>Final agreement</x:v>
      </x:c>
      <x:c r="K531" s="9" t="str">
        <x:v>TPU body, FBG, channels, protective tube, band and optical readout are described.</x:v>
      </x:c>
      <x:c r="L531" s="9" t="str">
        <x:v>PDF pp. 3–7; Figs. 1–8; Table I</x:v>
      </x:c>
      <x:c r="M531" s="9" t="str">
        <x:v>Functional host, sensing constituent and relevant electrode/interface materials are identified.</x:v>
      </x:c>
      <x:c r="N531" s="9" t="str">
        <x:v>Article PDF p. 7</x:v>
      </x:c>
      <x:c r="O531" s="9" t="str">
        <x:v>TPU body, FBG, channels, protective tube, band and optical readout are described.</x:v>
      </x:c>
      <x:c r="P531" s="9" t="str">
        <x:v>PDF pp. 3–7; Figs. 1–8; Table I</x:v>
      </x:c>
    </x:row>
    <x:row r="532">
      <x:c r="A532" s="9" t="n">
        <x:v>67</x:v>
      </x:c>
      <x:c r="B532" s="9" t="str">
        <x:v>S081</x:v>
      </x:c>
      <x:c r="C532" s="9" t="str">
        <x:v>De Tommasi et al. (2023)</x:v>
      </x:c>
      <x:c r="D532" s="9" t="str">
        <x:v>L3</x:v>
      </x:c>
      <x:c r="E532" s="9" t="str">
        <x:v>1</x:v>
      </x:c>
      <x:c r="F532" s="9" t="str">
        <x:v>1</x:v>
      </x:c>
      <x:c r="G532" s="9" t="str">
        <x:v>Yes</x:v>
      </x:c>
      <x:c r="H532" s="9" t="str">
        <x:v>Agree</x:v>
      </x:c>
      <x:c r="I532" s="9" t="str">
        <x:v>1</x:v>
      </x:c>
      <x:c r="J532" s="9" t="str">
        <x:v>Final agreement</x:v>
      </x:c>
      <x:c r="K532" s="9" t="str">
        <x:v>Applied force and clinical loss-of-resistance events are linked to FBG wavelength response and reference signals.</x:v>
      </x:c>
      <x:c r="L532" s="9" t="str">
        <x:v>PDF pp. 3–7; Figs. 1–8; Table I</x:v>
      </x:c>
      <x:c r="M532" s="9" t="str">
        <x:v>Sensor output is related to a controlled or independently measured input with a stated procedure and range.</x:v>
      </x:c>
      <x:c r="N532" s="9" t="str">
        <x:v>Article PDF p. 7</x:v>
      </x:c>
      <x:c r="O532" s="9" t="str">
        <x:v>Applied force and clinical loss-of-resistance events are linked to FBG wavelength response and reference signals.</x:v>
      </x:c>
      <x:c r="P532" s="9" t="str">
        <x:v>PDF pp. 3–7; Figs. 1–8; Table I</x:v>
      </x:c>
    </x:row>
    <x:row r="533">
      <x:c r="A533" s="9" t="n">
        <x:v>67</x:v>
      </x:c>
      <x:c r="B533" s="9" t="str">
        <x:v>S081</x:v>
      </x:c>
      <x:c r="C533" s="9" t="str">
        <x:v>De Tommasi et al. (2023)</x:v>
      </x:c>
      <x:c r="D533" s="9" t="str">
        <x:v>L4</x:v>
      </x:c>
      <x:c r="E533" s="9" t="str">
        <x:v>1</x:v>
      </x:c>
      <x:c r="F533" s="9" t="str">
        <x:v>1</x:v>
      </x:c>
      <x:c r="G533" s="9" t="str">
        <x:v>Yes</x:v>
      </x:c>
      <x:c r="H533" s="9" t="str">
        <x:v>Agree</x:v>
      </x:c>
      <x:c r="I533" s="9" t="str">
        <x:v>1</x:v>
      </x:c>
      <x:c r="J533" s="9" t="str">
        <x:v>Final agreement</x:v>
      </x:c>
      <x:c r="K533" s="9" t="str">
        <x:v>Sensitivity, uncertainty method, force range and clinical timing are quantitative.</x:v>
      </x:c>
      <x:c r="L533" s="9" t="str">
        <x:v>PDF pp. 3–7; Figs. 1–8; Table I</x:v>
      </x:c>
      <x:c r="M533" s="9" t="str">
        <x:v>A modality-appropriate quantitative response, units/calculation and operating range are reported.</x:v>
      </x:c>
      <x:c r="N533" s="9" t="str">
        <x:v>Article PDF p. 7</x:v>
      </x:c>
      <x:c r="O533" s="9" t="str">
        <x:v>Sensitivity, uncertainty method, force range and clinical timing are quantitative.</x:v>
      </x:c>
      <x:c r="P533" s="9" t="str">
        <x:v>PDF pp. 3–7; Figs. 1–8; Table I</x:v>
      </x:c>
    </x:row>
    <x:row r="534">
      <x:c r="A534" s="9" t="n">
        <x:v>67</x:v>
      </x:c>
      <x:c r="B534" s="9" t="str">
        <x:v>S081</x:v>
      </x:c>
      <x:c r="C534" s="9" t="str">
        <x:v>De Tommasi et al. (2023)</x:v>
      </x:c>
      <x:c r="D534" s="9" t="str">
        <x:v>L5</x:v>
      </x:c>
      <x:c r="E534" s="9" t="str">
        <x:v>1</x:v>
      </x:c>
      <x:c r="F534" s="9" t="str">
        <x:v>1</x:v>
      </x:c>
      <x:c r="G534" s="9" t="str">
        <x:v>Yes</x:v>
      </x:c>
      <x:c r="H534" s="9" t="str">
        <x:v>Agree</x:v>
      </x:c>
      <x:c r="I534" s="9" t="str">
        <x:v>1</x:v>
      </x:c>
      <x:c r="J534" s="9" t="str">
        <x:v>Final agreement</x:v>
      </x:c>
      <x:c r="K534" s="9" t="str">
        <x:v>Seven compression tests provide repeated same-device evidence.</x:v>
      </x:c>
      <x:c r="L534" s="9" t="str">
        <x:v>PDF pp. 3–7; Figs. 1–8; Table I</x:v>
      </x:c>
      <x:c r="M534" s="9" t="str">
        <x:v>Final rating supersedes the earlier rating; no revised narrative reason was supplied.</x:v>
      </x:c>
      <x:c r="N534" s="9" t="str">
        <x:v>Finalized reviewer-rating workbook</x:v>
      </x:c>
      <x:c r="O534" s="9" t="str">
        <x:v>Seven compression tests provide repeated same-device evidence.</x:v>
      </x:c>
      <x:c r="P534" s="9" t="str">
        <x:v>PDF pp. 3–7; Figs. 1–8; Table I</x:v>
      </x:c>
    </x:row>
    <x:row r="535">
      <x:c r="A535" s="9" t="n">
        <x:v>67</x:v>
      </x:c>
      <x:c r="B535" s="9" t="str">
        <x:v>S081</x:v>
      </x:c>
      <x:c r="C535" s="9" t="str">
        <x:v>De Tommasi et al. (2023)</x:v>
      </x:c>
      <x:c r="D535" s="9" t="str">
        <x:v>L6</x:v>
      </x:c>
      <x:c r="E535" s="9" t="str">
        <x:v>0</x:v>
      </x:c>
      <x:c r="F535" s="9" t="str">
        <x:v>0</x:v>
      </x:c>
      <x:c r="G535" s="9" t="str">
        <x:v>Yes</x:v>
      </x:c>
      <x:c r="H535" s="9" t="str">
        <x:v>Agree</x:v>
      </x:c>
      <x:c r="I535" s="9" t="str">
        <x:v>0</x:v>
      </x:c>
      <x:c r="J535" s="9" t="str">
        <x:v>Final agreement</x:v>
      </x:c>
      <x:c r="K535" s="9" t="str">
        <x:v>Use under a glove is demonstrated, but no declared environmental/use exposure distinct from the intended procedure is tested.</x:v>
      </x:c>
      <x:c r="L535" s="9" t="str">
        <x:v>PDF pp. 3–7; Figs. 1–8; Table I</x:v>
      </x:c>
      <x:c r="M535" s="9" t="str">
        <x:v>No qualifying response under a declared non-measurand environmental/use exposure is reported.</x:v>
      </x:c>
      <x:c r="N535" s="9" t="str">
        <x:v>Article PDF p. 7</x:v>
      </x:c>
      <x:c r="O535" s="9" t="str">
        <x:v>Use under a glove is demonstrated, but no declared environmental/use exposure distinct from the intended procedure is tested.</x:v>
      </x:c>
      <x:c r="P535" s="9" t="str">
        <x:v>PDF pp. 3–7; Figs. 1–8; Table I</x:v>
      </x:c>
    </x:row>
    <x:row r="536">
      <x:c r="A536" s="9" t="n">
        <x:v>67</x:v>
      </x:c>
      <x:c r="B536" s="9" t="str">
        <x:v>S081</x:v>
      </x:c>
      <x:c r="C536" s="9" t="str">
        <x:v>De Tommasi et al. (2023)</x:v>
      </x:c>
      <x:c r="D536" s="9" t="str">
        <x:v>L7</x:v>
      </x:c>
      <x:c r="E536" s="9" t="str">
        <x:v>0</x:v>
      </x:c>
      <x:c r="F536" s="9" t="str">
        <x:v>0</x:v>
      </x:c>
      <x:c r="G536" s="9" t="str">
        <x:v>Yes</x:v>
      </x:c>
      <x:c r="H536" s="9" t="str">
        <x:v>Agree</x:v>
      </x:c>
      <x:c r="I536" s="9" t="str">
        <x:v>0</x:v>
      </x:c>
      <x:c r="J536" s="9" t="str">
        <x:v>Final agreement</x:v>
      </x:c>
      <x:c r="K536" s="9" t="str">
        <x:v>The measured endpoint is timing between sensor response and the clinician's perception in each procedure. Seven compression tests separately characterize sensitivity.</x:v>
      </x:c>
      <x:c r="L536" s="9" t="str">
        <x:v>S081_Main.pdf, physical pp. 4-5, calibration; pp. 5-7, section IV/Figs. 7-8 and Conclusions.</x:v>
      </x:c>
      <x:c r="M536" s="9" t="str">
        <x:v>The measured endpoint is timing between sensor response and the clinician's perception in each procedure. Seven compression tests separately characterize sensitivity.</x:v>
      </x:c>
      <x:c r="N536" s="9" t="str">
        <x:v>S081_Main.pdf, physical pp. 4-5, calibration; pp. 5-7, section IV/Figs. 7-8 and Conclusions.</x:v>
      </x:c>
      <x:c r="O536" s="9" t="str">
        <x:v>The measured endpoint is timing between sensor response and the clinician's perception in each procedure. Seven compression tests separately characterize sensitivity.</x:v>
      </x:c>
      <x:c r="P536" s="9" t="str">
        <x:v>S081_Main.pdf, physical pp. 4-5, calibration; pp. 5-7, section IV/Figs. 7-8 and Conclusions.</x:v>
      </x:c>
    </x:row>
    <x:row r="537">
      <x:c r="A537" s="9" t="n">
        <x:v>67</x:v>
      </x:c>
      <x:c r="B537" s="9" t="str">
        <x:v>S081</x:v>
      </x:c>
      <x:c r="C537" s="9" t="str">
        <x:v>De Tommasi et al. (2023)</x:v>
      </x:c>
      <x:c r="D537" s="9" t="str">
        <x:v>L8</x:v>
      </x:c>
      <x:c r="E537" s="9" t="str">
        <x:v>0</x:v>
      </x:c>
      <x:c r="F537" s="9" t="str">
        <x:v>0</x:v>
      </x:c>
      <x:c r="G537" s="9" t="str">
        <x:v>Yes</x:v>
      </x:c>
      <x:c r="H537" s="9" t="str">
        <x:v>Agree</x:v>
      </x:c>
      <x:c r="I537" s="9" t="str">
        <x:v>0</x:v>
      </x:c>
      <x:c r="J537" s="9" t="str">
        <x:v>Final agreement</x:v>
      </x:c>
      <x:c r="K537" s="9" t="str">
        <x:v>Seven tests and two patients are not separately fabricated devices; a ≥3-device comparison was not reported.</x:v>
      </x:c>
      <x:c r="L537" s="9" t="str">
        <x:v>PDF pp. 3–7; Figs. 1–8; Table I</x:v>
      </x:c>
      <x:c r="M537" s="9" t="str">
        <x:v>At least three equivalent independently fabricated units with quantified between-unit variation are not reported.</x:v>
      </x:c>
      <x:c r="N537" s="9" t="str">
        <x:v>Article PDF p. 2</x:v>
      </x:c>
      <x:c r="O537" s="9" t="str">
        <x:v>Seven tests and two patients are not separately fabricated devices; a ≥3-device comparison was not reported.</x:v>
      </x:c>
      <x:c r="P537" s="9" t="str">
        <x:v>PDF pp. 3–7; Figs. 1–8; Table I</x:v>
      </x:c>
    </x:row>
    <x:row r="538">
      <x:c r="A538" s="9" t="n">
        <x:v>68</x:v>
      </x:c>
      <x:c r="B538" s="9" t="str">
        <x:v>S082</x:v>
      </x:c>
      <x:c r="C538" s="9" t="str">
        <x:v>Xiang et al. (2023)</x:v>
      </x:c>
      <x:c r="D538" s="9" t="str">
        <x:v>L1</x:v>
      </x:c>
      <x:c r="E538" s="9" t="str">
        <x:v>0</x:v>
      </x:c>
      <x:c r="F538" s="9" t="str">
        <x:v>0</x:v>
      </x:c>
      <x:c r="G538" s="9" t="str">
        <x:v>Yes</x:v>
      </x:c>
      <x:c r="H538" s="9" t="str">
        <x:v>Agree</x:v>
      </x:c>
      <x:c r="I538" s="9" t="str">
        <x:v>0</x:v>
      </x:c>
      <x:c r="J538" s="9" t="str">
        <x:v>Final agreement</x:v>
      </x:c>
      <x:c r="K538" s="9" t="str">
        <x:v>FFF, printer, functional filament, processing temperature and fibre/sensor geometry are stated, but nozzle diameter and layer height are not reported.</x:v>
      </x:c>
      <x:c r="L538" s="9" t="str">
        <x:v>PDF pp. 4–12; Figs. 1–7; Supplementary Figs. S1–S5 cited</x:v>
      </x:c>
      <x:c r="M538" s="9" t="str">
        <x:v>Fabrication is described, but reconstruction-critical nozzle, layer height, infill, speed details are not reported.</x:v>
      </x:c>
      <x:c r="N538" s="9" t="str">
        <x:v>Article PDF p. 4</x:v>
      </x:c>
      <x:c r="O538" s="9" t="str">
        <x:v>FFF, printer, functional filament, processing temperature and fibre/sensor geometry are stated, but nozzle diameter and layer height are not reported.</x:v>
      </x:c>
      <x:c r="P538" s="9" t="str">
        <x:v>PDF pp. 4–12; Figs. 1–7; Supplementary Figs. S1–S5 cited</x:v>
      </x:c>
    </x:row>
    <x:row r="539">
      <x:c r="A539" s="9" t="n">
        <x:v>68</x:v>
      </x:c>
      <x:c r="B539" s="9" t="str">
        <x:v>S082</x:v>
      </x:c>
      <x:c r="C539" s="9" t="str">
        <x:v>Xiang et al. (2023)</x:v>
      </x:c>
      <x:c r="D539" s="9" t="str">
        <x:v>L2</x:v>
      </x:c>
      <x:c r="E539" s="9" t="str">
        <x:v>1</x:v>
      </x:c>
      <x:c r="F539" s="9" t="str">
        <x:v>1</x:v>
      </x:c>
      <x:c r="G539" s="9" t="str">
        <x:v>Yes</x:v>
      </x:c>
      <x:c r="H539" s="9" t="str">
        <x:v>Agree</x:v>
      </x:c>
      <x:c r="I539" s="9" t="str">
        <x:v>1</x:v>
      </x:c>
      <x:c r="J539" s="9" t="str">
        <x:v>Final agreement</x:v>
      </x:c>
      <x:c r="K539" s="9" t="str">
        <x:v>CNT/SBS/TPU composition, conductive/insulating roles, electrodes and fibre dimensions are described.</x:v>
      </x:c>
      <x:c r="L539" s="9" t="str">
        <x:v>PDF pp. 4–12; Figs. 1–7; Supplementary Figs. S1–S5 cited</x:v>
      </x:c>
      <x:c r="M539" s="9" t="str">
        <x:v>Functional host, sensing constituent and relevant electrode/interface materials are identified.</x:v>
      </x:c>
      <x:c r="N539" s="9" t="str">
        <x:v>Article PDF p. 3</x:v>
      </x:c>
      <x:c r="O539" s="9" t="str">
        <x:v>CNT/SBS/TPU composition, conductive/insulating roles, electrodes and fibre dimensions are described.</x:v>
      </x:c>
      <x:c r="P539" s="9" t="str">
        <x:v>PDF pp. 4–12; Figs. 1–7; Supplementary Figs. S1–S5 cited</x:v>
      </x:c>
    </x:row>
    <x:row r="540">
      <x:c r="A540" s="9" t="n">
        <x:v>68</x:v>
      </x:c>
      <x:c r="B540" s="9" t="str">
        <x:v>S082</x:v>
      </x:c>
      <x:c r="C540" s="9" t="str">
        <x:v>Xiang et al. (2023)</x:v>
      </x:c>
      <x:c r="D540" s="9" t="str">
        <x:v>L3</x:v>
      </x:c>
      <x:c r="E540" s="9" t="str">
        <x:v>1</x:v>
      </x:c>
      <x:c r="F540" s="9" t="str">
        <x:v>1</x:v>
      </x:c>
      <x:c r="G540" s="9" t="str">
        <x:v>Yes</x:v>
      </x:c>
      <x:c r="H540" s="9" t="str">
        <x:v>Agree</x:v>
      </x:c>
      <x:c r="I540" s="9" t="str">
        <x:v>1</x:v>
      </x:c>
      <x:c r="J540" s="9" t="str">
        <x:v>Final agreement</x:v>
      </x:c>
      <x:c r="K540" s="9" t="str">
        <x:v>Controlled strain/frequency and body/tactile inputs are linked to relative resistance.</x:v>
      </x:c>
      <x:c r="L540" s="9" t="str">
        <x:v>PDF pp. 4–12; Figs. 1–7; Supplementary Figs. S1–S5 cited</x:v>
      </x:c>
      <x:c r="M540" s="9" t="str">
        <x:v>Sensor output is related to a controlled or independently measured input with a stated procedure and range.</x:v>
      </x:c>
      <x:c r="N540" s="9" t="str">
        <x:v>Article PDF p. 10</x:v>
      </x:c>
      <x:c r="O540" s="9" t="str">
        <x:v>Controlled strain/frequency and body/tactile inputs are linked to relative resistance.</x:v>
      </x:c>
      <x:c r="P540" s="9" t="str">
        <x:v>PDF pp. 4–12; Figs. 1–7; Supplementary Figs. S1–S5 cited</x:v>
      </x:c>
    </x:row>
    <x:row r="541">
      <x:c r="A541" s="9" t="n">
        <x:v>68</x:v>
      </x:c>
      <x:c r="B541" s="9" t="str">
        <x:v>S082</x:v>
      </x:c>
      <x:c r="C541" s="9" t="str">
        <x:v>Xiang et al. (2023)</x:v>
      </x:c>
      <x:c r="D541" s="9" t="str">
        <x:v>L4</x:v>
      </x:c>
      <x:c r="E541" s="9" t="str">
        <x:v>1</x:v>
      </x:c>
      <x:c r="F541" s="9" t="str">
        <x:v>1</x:v>
      </x:c>
      <x:c r="G541" s="9" t="str">
        <x:v>Yes</x:v>
      </x:c>
      <x:c r="H541" s="9" t="str">
        <x:v>Agree</x:v>
      </x:c>
      <x:c r="I541" s="9" t="str">
        <x:v>1</x:v>
      </x:c>
      <x:c r="J541" s="9" t="str">
        <x:v>Final agreement</x:v>
      </x:c>
      <x:c r="K541" s="9" t="str">
        <x:v>GF, linearity, range, response time, detection limit and cycling conditions are quantitative.</x:v>
      </x:c>
      <x:c r="L541" s="9" t="str">
        <x:v>PDF pp. 4–12; Figs. 1–7; Supplementary Figs. S1–S5 cited</x:v>
      </x:c>
      <x:c r="M541" s="9" t="str">
        <x:v>A modality-appropriate quantitative response, units/calculation and operating range are reported.</x:v>
      </x:c>
      <x:c r="N541" s="9" t="str">
        <x:v>Article PDF p. 9</x:v>
      </x:c>
      <x:c r="O541" s="9" t="str">
        <x:v>GF, linearity, range, response time, detection limit and cycling conditions are quantitative.</x:v>
      </x:c>
      <x:c r="P541" s="9" t="str">
        <x:v>PDF pp. 4–12; Figs. 1–7; Supplementary Figs. S1–S5 cited</x:v>
      </x:c>
    </x:row>
    <x:row r="542">
      <x:c r="A542" s="9" t="n">
        <x:v>68</x:v>
      </x:c>
      <x:c r="B542" s="9" t="str">
        <x:v>S082</x:v>
      </x:c>
      <x:c r="C542" s="9" t="str">
        <x:v>Xiang et al. (2023)</x:v>
      </x:c>
      <x:c r="D542" s="9" t="str">
        <x:v>L5</x:v>
      </x:c>
      <x:c r="E542" s="9" t="str">
        <x:v>1</x:v>
      </x:c>
      <x:c r="F542" s="9" t="str">
        <x:v>1</x:v>
      </x:c>
      <x:c r="G542" s="9" t="str">
        <x:v>Yes</x:v>
      </x:c>
      <x:c r="H542" s="9" t="str">
        <x:v>Agree</x:v>
      </x:c>
      <x:c r="I542" s="9" t="str">
        <x:v>1</x:v>
      </x:c>
      <x:c r="J542" s="9" t="str">
        <x:v>Final agreement</x:v>
      </x:c>
      <x:c r="K542" s="9" t="str">
        <x:v>A 2000-cycle test and repeated frequency/strain protocols are reported.</x:v>
      </x:c>
      <x:c r="L542" s="9" t="str">
        <x:v>PDF pp. 4–12; Figs. 1–7; Supplementary Figs. S1–S5 cited</x:v>
      </x:c>
      <x:c r="M542" s="9" t="str">
        <x:v>A stated repeated-test range/count is accompanied by a stability, hysteresis, retention or failure outcome.</x:v>
      </x:c>
      <x:c r="N542" s="9" t="str">
        <x:v>Article PDF p. 1</x:v>
      </x:c>
      <x:c r="O542" s="9" t="str">
        <x:v>A 2000-cycle test and repeated frequency/strain protocols are reported.</x:v>
      </x:c>
      <x:c r="P542" s="9" t="str">
        <x:v>PDF pp. 4–12; Figs. 1–7; Supplementary Figs. S1–S5 cited</x:v>
      </x:c>
    </x:row>
    <x:row r="543">
      <x:c r="A543" s="9" t="n">
        <x:v>68</x:v>
      </x:c>
      <x:c r="B543" s="9" t="str">
        <x:v>S082</x:v>
      </x:c>
      <x:c r="C543" s="9" t="str">
        <x:v>Xiang et al. (2023)</x:v>
      </x:c>
      <x:c r="D543" s="9" t="str">
        <x:v>L6</x:v>
      </x:c>
      <x:c r="E543" s="9" t="str">
        <x:v>0</x:v>
      </x:c>
      <x:c r="F543" s="9" t="str">
        <x:v>0</x:v>
      </x:c>
      <x:c r="G543" s="9" t="str">
        <x:v>Yes</x:v>
      </x:c>
      <x:c r="H543" s="9" t="str">
        <x:v>Agree</x:v>
      </x:c>
      <x:c r="I543" s="9" t="str">
        <x:v>0</x:v>
      </x:c>
      <x:c r="J543" s="9" t="str">
        <x:v>Final agreement</x:v>
      </x:c>
      <x:c r="K543" s="9" t="str">
        <x:v>No distinct qualifying environmental or use-related exposure was identified.</x:v>
      </x:c>
      <x:c r="L543" s="9" t="str">
        <x:v>PDF pp. 4–12; Figs. 1–7; Supplementary Figs. S1–S5 cited</x:v>
      </x:c>
      <x:c r="M543" s="9" t="str">
        <x:v>No qualifying response under a declared non-measurand environmental/use exposure is reported.</x:v>
      </x:c>
      <x:c r="N543" s="9" t="str">
        <x:v>Article PDF p. 1</x:v>
      </x:c>
      <x:c r="O543" s="9" t="str">
        <x:v>No distinct qualifying environmental or use-related exposure was identified.</x:v>
      </x:c>
      <x:c r="P543" s="9" t="str">
        <x:v>PDF pp. 4–12; Figs. 1–7; Supplementary Figs. S1–S5 cited</x:v>
      </x:c>
    </x:row>
    <x:row r="544">
      <x:c r="A544" s="9" t="n">
        <x:v>68</x:v>
      </x:c>
      <x:c r="B544" s="9" t="str">
        <x:v>S082</x:v>
      </x:c>
      <x:c r="C544" s="9" t="str">
        <x:v>Xiang et al. (2023)</x:v>
      </x:c>
      <x:c r="D544" s="9" t="str">
        <x:v>L7</x:v>
      </x:c>
      <x:c r="E544" s="9" t="str">
        <x:v>0</x:v>
      </x:c>
      <x:c r="F544" s="9" t="str">
        <x:v>0</x:v>
      </x:c>
      <x:c r="G544" s="9" t="str">
        <x:v>Yes</x:v>
      </x:c>
      <x:c r="H544" s="9" t="str">
        <x:v>Agree</x:v>
      </x:c>
      <x:c r="I544" s="9" t="str">
        <x:v>0</x:v>
      </x:c>
      <x:c r="J544" s="9" t="str">
        <x:v>Final agreement</x:v>
      </x:c>
      <x:c r="K544" s="9" t="str">
        <x:v>Final L7 rating from the targeted reassessment.</x:v>
      </x:c>
      <x:c r="L544" s="9" t="str">
        <x:v>Finalized reviewer-rating workbook</x:v>
      </x:c>
      <x:c r="M544" s="9" t="str">
        <x:v>Final L7 rating from the targeted reassessment.</x:v>
      </x:c>
      <x:c r="N544" s="9" t="str">
        <x:v>Finalized reviewer-rating workbook</x:v>
      </x:c>
      <x:c r="O544" s="9" t="str">
        <x:v>No qualifying interface-integrity test or repeated final monolithic wearable-assembly test with a retention/failure endpoint was located.</x:v>
      </x:c>
      <x:c r="P544" s="9" t="str">
        <x:v>PDF pp. 4–12; Figs. 1–7; Supplementary Figs. S1–S5 cited</x:v>
      </x:c>
    </x:row>
    <x:row r="545">
      <x:c r="A545" s="9" t="n">
        <x:v>68</x:v>
      </x:c>
      <x:c r="B545" s="9" t="str">
        <x:v>S082</x:v>
      </x:c>
      <x:c r="C545" s="9" t="str">
        <x:v>Xiang et al. (2023)</x:v>
      </x:c>
      <x:c r="D545" s="9" t="str">
        <x:v>L8</x:v>
      </x:c>
      <x:c r="E545" s="9" t="str">
        <x:v>0</x:v>
      </x:c>
      <x:c r="F545" s="9" t="str">
        <x:v>0</x:v>
      </x:c>
      <x:c r="G545" s="9" t="str">
        <x:v>Yes</x:v>
      </x:c>
      <x:c r="H545" s="9" t="str">
        <x:v>Agree</x:v>
      </x:c>
      <x:c r="I545" s="9" t="str">
        <x:v>0</x:v>
      </x:c>
      <x:c r="J545" s="9" t="str">
        <x:v>Final agreement</x:v>
      </x:c>
      <x:c r="K545" s="9" t="str">
        <x:v>Composition variants and repeated cycles were reported, but no ≥3 separately fabricated same-condition complete-device comparison was identified.</x:v>
      </x:c>
      <x:c r="L545" s="9" t="str">
        <x:v>PDF pp. 4–12; Figs. 1–7; Supplementary Figs. S1–S5 cited</x:v>
      </x:c>
      <x:c r="M545" s="9" t="str">
        <x:v>At least three equivalent independently fabricated units with quantified between-unit variation are not reported.</x:v>
      </x:c>
      <x:c r="N545" s="9" t="str">
        <x:v>Article PDF p. 1</x:v>
      </x:c>
      <x:c r="O545" s="9" t="str">
        <x:v>Composition variants and repeated cycles were reported, but no ≥3 separately fabricated same-condition complete-device comparison was identified.</x:v>
      </x:c>
      <x:c r="P545" s="9" t="str">
        <x:v>PDF pp. 4–12; Figs. 1–7; Supplementary Figs. S1–S5 cited</x:v>
      </x:c>
    </x:row>
    <x:row r="546">
      <x:c r="A546" s="9" t="n">
        <x:v>69</x:v>
      </x:c>
      <x:c r="B546" s="9" t="str">
        <x:v>S084</x:v>
      </x:c>
      <x:c r="C546" s="9" t="str">
        <x:v>Liu et al. (2023)</x:v>
      </x:c>
      <x:c r="D546" s="9" t="str">
        <x:v>L1</x:v>
      </x:c>
      <x:c r="E546" s="9" t="str">
        <x:v>0</x:v>
      </x:c>
      <x:c r="F546" s="9" t="str">
        <x:v>0</x:v>
      </x:c>
      <x:c r="G546" s="9" t="str">
        <x:v>Yes</x:v>
      </x:c>
      <x:c r="H546" s="9" t="str">
        <x:v>Agree</x:v>
      </x:c>
      <x:c r="I546" s="9" t="str">
        <x:v>0</x:v>
      </x:c>
      <x:c r="J546" s="9" t="str">
        <x:v>Final agreement</x:v>
      </x:c>
      <x:c r="K546" s="9" t="str">
        <x:v>FFF, printer, functional filament, temperature, feed speed and fibre geometry are reported, but nozzle diameter and layer height are absent.</x:v>
      </x:c>
      <x:c r="L546" s="9" t="str">
        <x:v>PDF pp. 4–11; Figs. 1–8; Supplementary Figs. S1–S5 cited</x:v>
      </x:c>
      <x:c r="M546" s="9" t="str">
        <x:v>Fabrication is described, but reconstruction-critical nozzle, temperature, layer height, infill details are not reported.</x:v>
      </x:c>
      <x:c r="N546" s="9" t="str">
        <x:v>Article PDF p. 4</x:v>
      </x:c>
      <x:c r="O546" s="9" t="str">
        <x:v>FFF, printer, functional filament, temperature, feed speed and fibre geometry are reported, but nozzle diameter and layer height are absent.</x:v>
      </x:c>
      <x:c r="P546" s="9" t="str">
        <x:v>PDF pp. 4–11; Figs. 1–8; Supplementary Figs. S1–S5 cited</x:v>
      </x:c>
    </x:row>
    <x:row r="547">
      <x:c r="A547" s="9" t="n">
        <x:v>69</x:v>
      </x:c>
      <x:c r="B547" s="9" t="str">
        <x:v>S084</x:v>
      </x:c>
      <x:c r="C547" s="9" t="str">
        <x:v>Liu et al. (2023)</x:v>
      </x:c>
      <x:c r="D547" s="9" t="str">
        <x:v>L2</x:v>
      </x:c>
      <x:c r="E547" s="9" t="str">
        <x:v>1</x:v>
      </x:c>
      <x:c r="F547" s="9" t="str">
        <x:v>1</x:v>
      </x:c>
      <x:c r="G547" s="9" t="str">
        <x:v>Yes</x:v>
      </x:c>
      <x:c r="H547" s="9" t="str">
        <x:v>Agree</x:v>
      </x:c>
      <x:c r="I547" s="9" t="str">
        <x:v>1</x:v>
      </x:c>
      <x:c r="J547" s="9" t="str">
        <x:v>Final agreement</x:v>
      </x:c>
      <x:c r="K547" s="9" t="str">
        <x:v>CNT/SBS/TPU composition, controls, electrodes and fibre geometry are described.</x:v>
      </x:c>
      <x:c r="L547" s="9" t="str">
        <x:v>PDF pp. 4–11; Figs. 1–8; Supplementary Figs. S1–S5 cited</x:v>
      </x:c>
      <x:c r="M547" s="9" t="str">
        <x:v>Functional host, sensing constituent and relevant electrode/interface materials are identified.</x:v>
      </x:c>
      <x:c r="N547" s="9" t="str">
        <x:v>Article PDF p. 3</x:v>
      </x:c>
      <x:c r="O547" s="9" t="str">
        <x:v>CNT/SBS/TPU composition, controls, electrodes and fibre geometry are described.</x:v>
      </x:c>
      <x:c r="P547" s="9" t="str">
        <x:v>PDF pp. 4–11; Figs. 1–8; Supplementary Figs. S1–S5 cited</x:v>
      </x:c>
    </x:row>
    <x:row r="548">
      <x:c r="A548" s="9" t="n">
        <x:v>69</x:v>
      </x:c>
      <x:c r="B548" s="9" t="str">
        <x:v>S084</x:v>
      </x:c>
      <x:c r="C548" s="9" t="str">
        <x:v>Liu et al. (2023)</x:v>
      </x:c>
      <x:c r="D548" s="9" t="str">
        <x:v>L3</x:v>
      </x:c>
      <x:c r="E548" s="9" t="str">
        <x:v>1</x:v>
      </x:c>
      <x:c r="F548" s="9" t="str">
        <x:v>1</x:v>
      </x:c>
      <x:c r="G548" s="9" t="str">
        <x:v>Yes</x:v>
      </x:c>
      <x:c r="H548" s="9" t="str">
        <x:v>Agree</x:v>
      </x:c>
      <x:c r="I548" s="9" t="str">
        <x:v>1</x:v>
      </x:c>
      <x:c r="J548" s="9" t="str">
        <x:v>Final agreement</x:v>
      </x:c>
      <x:c r="K548" s="9" t="str">
        <x:v>Controlled strain/frequency and human/tactile inputs are linked to relative resistance.</x:v>
      </x:c>
      <x:c r="L548" s="9" t="str">
        <x:v>PDF pp. 4–11; Figs. 1–8; Supplementary Figs. S1–S5 cited</x:v>
      </x:c>
      <x:c r="M548" s="9" t="str">
        <x:v>Sensor output is related to a controlled or independently measured input with a stated procedure and range.</x:v>
      </x:c>
      <x:c r="N548" s="9" t="str">
        <x:v>Article PDF p. 8</x:v>
      </x:c>
      <x:c r="O548" s="9" t="str">
        <x:v>Controlled strain/frequency and human/tactile inputs are linked to relative resistance.</x:v>
      </x:c>
      <x:c r="P548" s="9" t="str">
        <x:v>PDF pp. 4–11; Figs. 1–8; Supplementary Figs. S1–S5 cited</x:v>
      </x:c>
    </x:row>
    <x:row r="549">
      <x:c r="A549" s="9" t="n">
        <x:v>69</x:v>
      </x:c>
      <x:c r="B549" s="9" t="str">
        <x:v>S084</x:v>
      </x:c>
      <x:c r="C549" s="9" t="str">
        <x:v>Liu et al. (2023)</x:v>
      </x:c>
      <x:c r="D549" s="9" t="str">
        <x:v>L4</x:v>
      </x:c>
      <x:c r="E549" s="9" t="str">
        <x:v>1</x:v>
      </x:c>
      <x:c r="F549" s="9" t="str">
        <x:v>1</x:v>
      </x:c>
      <x:c r="G549" s="9" t="str">
        <x:v>Yes</x:v>
      </x:c>
      <x:c r="H549" s="9" t="str">
        <x:v>Agree</x:v>
      </x:c>
      <x:c r="I549" s="9" t="str">
        <x:v>1</x:v>
      </x:c>
      <x:c r="J549" s="9" t="str">
        <x:v>Final agreement</x:v>
      </x:c>
      <x:c r="K549" s="9" t="str">
        <x:v>GF, linearity, range, response time, detection limit and cycle conditions are quantitative.</x:v>
      </x:c>
      <x:c r="L549" s="9" t="str">
        <x:v>PDF pp. 4–11; Figs. 1–8; Supplementary Figs. S1–S5 cited</x:v>
      </x:c>
      <x:c r="M549" s="9" t="str">
        <x:v>A modality-appropriate quantitative response, units/calculation and operating range are reported.</x:v>
      </x:c>
      <x:c r="N549" s="9" t="str">
        <x:v>Article PDF p. 7</x:v>
      </x:c>
      <x:c r="O549" s="9" t="str">
        <x:v>GF, linearity, range, response time, detection limit and cycle conditions are quantitative.</x:v>
      </x:c>
      <x:c r="P549" s="9" t="str">
        <x:v>PDF pp. 4–11; Figs. 1–8; Supplementary Figs. S1–S5 cited</x:v>
      </x:c>
    </x:row>
    <x:row r="550">
      <x:c r="A550" s="9" t="n">
        <x:v>69</x:v>
      </x:c>
      <x:c r="B550" s="9" t="str">
        <x:v>S084</x:v>
      </x:c>
      <x:c r="C550" s="9" t="str">
        <x:v>Liu et al. (2023)</x:v>
      </x:c>
      <x:c r="D550" s="9" t="str">
        <x:v>L5</x:v>
      </x:c>
      <x:c r="E550" s="9" t="str">
        <x:v>1</x:v>
      </x:c>
      <x:c r="F550" s="9" t="str">
        <x:v>1</x:v>
      </x:c>
      <x:c r="G550" s="9" t="str">
        <x:v>Yes</x:v>
      </x:c>
      <x:c r="H550" s="9" t="str">
        <x:v>Agree</x:v>
      </x:c>
      <x:c r="I550" s="9" t="str">
        <x:v>1</x:v>
      </x:c>
      <x:c r="J550" s="9" t="str">
        <x:v>Final agreement</x:v>
      </x:c>
      <x:c r="K550" s="9" t="str">
        <x:v>A 2000-cycle endurance test and repeated frequency/strain protocols are reported.</x:v>
      </x:c>
      <x:c r="L550" s="9" t="str">
        <x:v>PDF pp. 4–11; Figs. 1–8; Supplementary Figs. S1–S5 cited</x:v>
      </x:c>
      <x:c r="M550" s="9" t="str">
        <x:v>A stated repeated-test range/count is accompanied by a stability, hysteresis, retention or failure outcome.</x:v>
      </x:c>
      <x:c r="N550" s="9" t="str">
        <x:v>Article PDF p. 1</x:v>
      </x:c>
      <x:c r="O550" s="9" t="str">
        <x:v>A 2000-cycle endurance test and repeated frequency/strain protocols are reported.</x:v>
      </x:c>
      <x:c r="P550" s="9" t="str">
        <x:v>PDF pp. 4–11; Figs. 1–8; Supplementary Figs. S1–S5 cited</x:v>
      </x:c>
    </x:row>
    <x:row r="551">
      <x:c r="A551" s="9" t="n">
        <x:v>69</x:v>
      </x:c>
      <x:c r="B551" s="9" t="str">
        <x:v>S084</x:v>
      </x:c>
      <x:c r="C551" s="9" t="str">
        <x:v>Liu et al. (2023)</x:v>
      </x:c>
      <x:c r="D551" s="9" t="str">
        <x:v>L6</x:v>
      </x:c>
      <x:c r="E551" s="9" t="str">
        <x:v>0</x:v>
      </x:c>
      <x:c r="F551" s="9" t="str">
        <x:v>0</x:v>
      </x:c>
      <x:c r="G551" s="9" t="str">
        <x:v>Yes</x:v>
      </x:c>
      <x:c r="H551" s="9" t="str">
        <x:v>Agree</x:v>
      </x:c>
      <x:c r="I551" s="9" t="str">
        <x:v>0</x:v>
      </x:c>
      <x:c r="J551" s="9" t="str">
        <x:v>Final agreement</x:v>
      </x:c>
      <x:c r="K551" s="9" t="str">
        <x:v>No distinct qualifying environmental or use-related exposure was identified.</x:v>
      </x:c>
      <x:c r="L551" s="9" t="str">
        <x:v>PDF pp. 4–11; Figs. 1–8; Supplementary Figs. S1–S5 cited</x:v>
      </x:c>
      <x:c r="M551" s="9" t="str">
        <x:v>No qualifying response under a declared non-measurand environmental/use exposure is reported.</x:v>
      </x:c>
      <x:c r="N551" s="9" t="str">
        <x:v>Article PDF p. 2</x:v>
      </x:c>
      <x:c r="O551" s="9" t="str">
        <x:v>No distinct qualifying environmental or use-related exposure was identified.</x:v>
      </x:c>
      <x:c r="P551" s="9" t="str">
        <x:v>PDF pp. 4–11; Figs. 1–8; Supplementary Figs. S1–S5 cited</x:v>
      </x:c>
    </x:row>
    <x:row r="552">
      <x:c r="A552" s="9" t="n">
        <x:v>69</x:v>
      </x:c>
      <x:c r="B552" s="9" t="str">
        <x:v>S084</x:v>
      </x:c>
      <x:c r="C552" s="9" t="str">
        <x:v>Liu et al. (2023)</x:v>
      </x:c>
      <x:c r="D552" s="9" t="str">
        <x:v>L7</x:v>
      </x:c>
      <x:c r="E552" s="9" t="str">
        <x:v>0</x:v>
      </x:c>
      <x:c r="F552" s="9" t="str">
        <x:v>0</x:v>
      </x:c>
      <x:c r="G552" s="9" t="str">
        <x:v>Yes</x:v>
      </x:c>
      <x:c r="H552" s="9" t="str">
        <x:v>Agree</x:v>
      </x:c>
      <x:c r="I552" s="9" t="str">
        <x:v>0</x:v>
      </x:c>
      <x:c r="J552" s="9" t="str">
        <x:v>Final agreement</x:v>
      </x:c>
      <x:c r="K552" s="9" t="str">
        <x:v>Final L7 rating from the targeted reassessment.</x:v>
      </x:c>
      <x:c r="L552" s="9" t="str">
        <x:v>Finalized reviewer-rating workbook</x:v>
      </x:c>
      <x:c r="M552" s="9" t="str">
        <x:v>Final L7 rating from the targeted reassessment.</x:v>
      </x:c>
      <x:c r="N552" s="9" t="str">
        <x:v>Finalized reviewer-rating workbook</x:v>
      </x:c>
      <x:c r="O552" s="9" t="str">
        <x:v>No qualifying interface-integrity test or repeated final monolithic wearable-assembly test with a retention/failure endpoint was located.</x:v>
      </x:c>
      <x:c r="P552" s="9" t="str">
        <x:v>PDF pp. 4–11; Figs. 1–8; Supplementary Figs. S1–S5 cited</x:v>
      </x:c>
    </x:row>
    <x:row r="553">
      <x:c r="A553" s="9" t="n">
        <x:v>69</x:v>
      </x:c>
      <x:c r="B553" s="9" t="str">
        <x:v>S084</x:v>
      </x:c>
      <x:c r="C553" s="9" t="str">
        <x:v>Liu et al. (2023)</x:v>
      </x:c>
      <x:c r="D553" s="9" t="str">
        <x:v>L8</x:v>
      </x:c>
      <x:c r="E553" s="9" t="str">
        <x:v>0</x:v>
      </x:c>
      <x:c r="F553" s="9" t="str">
        <x:v>0</x:v>
      </x:c>
      <x:c r="G553" s="9" t="str">
        <x:v>Yes</x:v>
      </x:c>
      <x:c r="H553" s="9" t="str">
        <x:v>Agree</x:v>
      </x:c>
      <x:c r="I553" s="9" t="str">
        <x:v>0</x:v>
      </x:c>
      <x:c r="J553" s="9" t="str">
        <x:v>Final agreement</x:v>
      </x:c>
      <x:c r="K553" s="9" t="str">
        <x:v>Material variants and repeated cycles were reported, but no ≥3 separately fabricated same-condition complete-device comparison was identified.</x:v>
      </x:c>
      <x:c r="L553" s="9" t="str">
        <x:v>PDF pp. 4–11; Figs. 1–8; Supplementary Figs. S1–S5 cited</x:v>
      </x:c>
      <x:c r="M553" s="9" t="str">
        <x:v>At least three equivalent independently fabricated units with quantified between-unit variation are not reported.</x:v>
      </x:c>
      <x:c r="N553" s="9" t="str">
        <x:v>Article PDF p. 1</x:v>
      </x:c>
      <x:c r="O553" s="9" t="str">
        <x:v>Material variants and repeated cycles were reported, but no ≥3 separately fabricated same-condition complete-device comparison was identified.</x:v>
      </x:c>
      <x:c r="P553" s="9" t="str">
        <x:v>PDF pp. 4–11; Figs. 1–8; Supplementary Figs. S1–S5 cited</x:v>
      </x:c>
    </x:row>
    <x:row r="554">
      <x:c r="A554" s="9" t="n">
        <x:v>70</x:v>
      </x:c>
      <x:c r="B554" s="9" t="str">
        <x:v>S085</x:v>
      </x:c>
      <x:c r="C554" s="9" t="str">
        <x:v>Li et al. (2022)</x:v>
      </x:c>
      <x:c r="D554" s="9" t="str">
        <x:v>L1</x:v>
      </x:c>
      <x:c r="E554" s="9" t="str">
        <x:v>1</x:v>
      </x:c>
      <x:c r="F554" s="9" t="str">
        <x:v>1</x:v>
      </x:c>
      <x:c r="G554" s="9" t="str">
        <x:v>Yes</x:v>
      </x:c>
      <x:c r="H554" s="9" t="str">
        <x:v>Agree</x:v>
      </x:c>
      <x:c r="I554" s="9" t="str">
        <x:v>1</x:v>
      </x:c>
      <x:c r="J554" s="9" t="str">
        <x:v>Final agreement</x:v>
      </x:c>
      <x:c r="K554" s="9" t="str">
        <x:v>A customized FDM platform, functional filament, nozzle, extrusion temperature, speed, layer height, line interval, deposited layers, geometry and substrate procedure are stated.</x:v>
      </x:c>
      <x:c r="L554" s="9" t="str">
        <x:v>PDF pp. 2–4, 8–12; Figs. 1–18; Tables 1–2</x:v>
      </x:c>
      <x:c r="M554" s="9" t="str">
        <x:v>Final rating supersedes the earlier rating; no revised narrative reason was supplied.</x:v>
      </x:c>
      <x:c r="N554" s="9" t="str">
        <x:v>Finalized reviewer-rating workbook</x:v>
      </x:c>
      <x:c r="O554" s="9" t="str">
        <x:v>A customized FDM platform, functional filament, nozzle, extrusion temperature, speed, layer height, line interval, deposited layers, geometry and substrate procedure are stated.</x:v>
      </x:c>
      <x:c r="P554" s="9" t="str">
        <x:v>PDF pp. 2–4, 8–12; Figs. 1–18; Tables 1–2</x:v>
      </x:c>
    </x:row>
    <x:row r="555">
      <x:c r="A555" s="9" t="n">
        <x:v>70</x:v>
      </x:c>
      <x:c r="B555" s="9" t="str">
        <x:v>S085</x:v>
      </x:c>
      <x:c r="C555" s="9" t="str">
        <x:v>Li et al. (2022)</x:v>
      </x:c>
      <x:c r="D555" s="9" t="str">
        <x:v>L2</x:v>
      </x:c>
      <x:c r="E555" s="9" t="str">
        <x:v>1</x:v>
      </x:c>
      <x:c r="F555" s="9" t="str">
        <x:v>1</x:v>
      </x:c>
      <x:c r="G555" s="9" t="str">
        <x:v>Yes</x:v>
      </x:c>
      <x:c r="H555" s="9" t="str">
        <x:v>Agree</x:v>
      </x:c>
      <x:c r="I555" s="9" t="str">
        <x:v>1</x:v>
      </x:c>
      <x:c r="J555" s="9" t="str">
        <x:v>Final agreement</x:v>
      </x:c>
      <x:c r="K555" s="9" t="str">
        <x:v>CB/TPU composition, TPU substrate, conductive path geometry and test contacts are described.</x:v>
      </x:c>
      <x:c r="L555" s="9" t="str">
        <x:v>PDF pp. 2–4, 8–12; Figs. 1–18; Tables 1–2</x:v>
      </x:c>
      <x:c r="M555" s="9" t="str">
        <x:v>Functional host, sensing constituent and relevant electrode/interface materials are identified.</x:v>
      </x:c>
      <x:c r="N555" s="9" t="str">
        <x:v>Article PDF p. 2</x:v>
      </x:c>
      <x:c r="O555" s="9" t="str">
        <x:v>CB/TPU composition, TPU substrate, conductive path geometry and test contacts are described.</x:v>
      </x:c>
      <x:c r="P555" s="9" t="str">
        <x:v>PDF pp. 2–4, 8–12; Figs. 1–18; Tables 1–2</x:v>
      </x:c>
    </x:row>
    <x:row r="556">
      <x:c r="A556" s="9" t="n">
        <x:v>70</x:v>
      </x:c>
      <x:c r="B556" s="9" t="str">
        <x:v>S085</x:v>
      </x:c>
      <x:c r="C556" s="9" t="str">
        <x:v>Li et al. (2022)</x:v>
      </x:c>
      <x:c r="D556" s="9" t="str">
        <x:v>L3</x:v>
      </x:c>
      <x:c r="E556" s="9" t="str">
        <x:v>1</x:v>
      </x:c>
      <x:c r="F556" s="9" t="str">
        <x:v>1</x:v>
      </x:c>
      <x:c r="G556" s="9" t="str">
        <x:v>Yes</x:v>
      </x:c>
      <x:c r="H556" s="9" t="str">
        <x:v>Agree</x:v>
      </x:c>
      <x:c r="I556" s="9" t="str">
        <x:v>1</x:v>
      </x:c>
      <x:c r="J556" s="9" t="str">
        <x:v>Final agreement</x:v>
      </x:c>
      <x:c r="K556" s="9" t="str">
        <x:v>Controlled strain/hold/rate protocols and lumbar motion are linked to resistance response.</x:v>
      </x:c>
      <x:c r="L556" s="9" t="str">
        <x:v>PDF pp. 2–4, 8–12; Figs. 1–18; Tables 1–2</x:v>
      </x:c>
      <x:c r="M556" s="9" t="str">
        <x:v>A mechanical test system applied controlled tensile strain while resistance was recorded over the sensing range.</x:v>
      </x:c>
      <x:c r="N556" s="9" t="str">
        <x:v>Article PDF pp. 3-8, Section on strain sensing</x:v>
      </x:c>
      <x:c r="O556" s="9" t="str">
        <x:v>Controlled strain/hold/rate protocols and lumbar motion are linked to resistance response.</x:v>
      </x:c>
      <x:c r="P556" s="9" t="str">
        <x:v>PDF pp. 2–4, 8–12; Figs. 1–18; Tables 1–2</x:v>
      </x:c>
    </x:row>
    <x:row r="557">
      <x:c r="A557" s="9" t="n">
        <x:v>70</x:v>
      </x:c>
      <x:c r="B557" s="9" t="str">
        <x:v>S085</x:v>
      </x:c>
      <x:c r="C557" s="9" t="str">
        <x:v>Li et al. (2022)</x:v>
      </x:c>
      <x:c r="D557" s="9" t="str">
        <x:v>L4</x:v>
      </x:c>
      <x:c r="E557" s="9" t="str">
        <x:v>1</x:v>
      </x:c>
      <x:c r="F557" s="9" t="str">
        <x:v>1</x:v>
      </x:c>
      <x:c r="G557" s="9" t="str">
        <x:v>Yes</x:v>
      </x:c>
      <x:c r="H557" s="9" t="str">
        <x:v>Agree</x:v>
      </x:c>
      <x:c r="I557" s="9" t="str">
        <x:v>1</x:v>
      </x:c>
      <x:c r="J557" s="9" t="str">
        <x:v>Final agreement</x:v>
      </x:c>
      <x:c r="K557" s="9" t="str">
        <x:v>Configuration-specific GF, hysteresis, response/recovery, detection and endurance values are quantitative.</x:v>
      </x:c>
      <x:c r="L557" s="9" t="str">
        <x:v>PDF pp. 2–4, 8–12; Figs. 1–18; Tables 1–2</x:v>
      </x:c>
      <x:c r="M557" s="9" t="str">
        <x:v>A modality-appropriate quantitative response, units/calculation and operating range are reported.</x:v>
      </x:c>
      <x:c r="N557" s="9" t="str">
        <x:v>Article PDF p. 13</x:v>
      </x:c>
      <x:c r="O557" s="9" t="str">
        <x:v>Configuration-specific GF, hysteresis, response/recovery, detection and endurance values are quantitative.</x:v>
      </x:c>
      <x:c r="P557" s="9" t="str">
        <x:v>PDF pp. 2–4, 8–12; Figs. 1–18; Tables 1–2</x:v>
      </x:c>
    </x:row>
    <x:row r="558">
      <x:c r="A558" s="9" t="n">
        <x:v>70</x:v>
      </x:c>
      <x:c r="B558" s="9" t="str">
        <x:v>S085</x:v>
      </x:c>
      <x:c r="C558" s="9" t="str">
        <x:v>Li et al. (2022)</x:v>
      </x:c>
      <x:c r="D558" s="9" t="str">
        <x:v>L5</x:v>
      </x:c>
      <x:c r="E558" s="9" t="str">
        <x:v>1</x:v>
      </x:c>
      <x:c r="F558" s="9" t="str">
        <x:v>1</x:v>
      </x:c>
      <x:c r="G558" s="9" t="str">
        <x:v>Yes</x:v>
      </x:c>
      <x:c r="H558" s="9" t="str">
        <x:v>Agree</x:v>
      </x:c>
      <x:c r="I558" s="9" t="str">
        <x:v>1</x:v>
      </x:c>
      <x:c r="J558" s="9" t="str">
        <x:v>Final agreement</x:v>
      </x:c>
      <x:c r="K558" s="9" t="str">
        <x:v>Repeated dynamic tests and a 3000-cycle endurance test are reported.</x:v>
      </x:c>
      <x:c r="L558" s="9" t="str">
        <x:v>PDF pp. 2–4, 8–12; Figs. 1–18; Tables 1–2</x:v>
      </x:c>
      <x:c r="M558" s="9" t="str">
        <x:v>A stated repeated-test range/count is accompanied by a stability, hysteresis, retention or failure outcome.</x:v>
      </x:c>
      <x:c r="N558" s="9" t="str">
        <x:v>Article PDF p. 13</x:v>
      </x:c>
      <x:c r="O558" s="9" t="str">
        <x:v>Repeated dynamic tests and a 3000-cycle endurance test are reported.</x:v>
      </x:c>
      <x:c r="P558" s="9" t="str">
        <x:v>PDF pp. 2–4, 8–12; Figs. 1–18; Tables 1–2</x:v>
      </x:c>
    </x:row>
    <x:row r="559">
      <x:c r="A559" s="9" t="n">
        <x:v>70</x:v>
      </x:c>
      <x:c r="B559" s="9" t="str">
        <x:v>S085</x:v>
      </x:c>
      <x:c r="C559" s="9" t="str">
        <x:v>Li et al. (2022)</x:v>
      </x:c>
      <x:c r="D559" s="9" t="str">
        <x:v>L6</x:v>
      </x:c>
      <x:c r="E559" s="9" t="str">
        <x:v>0</x:v>
      </x:c>
      <x:c r="F559" s="9" t="str">
        <x:v>0</x:v>
      </x:c>
      <x:c r="G559" s="9" t="str">
        <x:v>Yes</x:v>
      </x:c>
      <x:c r="H559" s="9" t="str">
        <x:v>Agree</x:v>
      </x:c>
      <x:c r="I559" s="9" t="str">
        <x:v>0</x:v>
      </x:c>
      <x:c r="J559" s="9" t="str">
        <x:v>Final agreement</x:v>
      </x:c>
      <x:c r="K559" s="9" t="str">
        <x:v>Rate and static-hold tests characterize the intended mechanical input; no distinct qualifying environmental/use exposure was reported.</x:v>
      </x:c>
      <x:c r="L559" s="9" t="str">
        <x:v>PDF pp. 2–4, 8–12; Figs. 1–18; Tables 1–2</x:v>
      </x:c>
      <x:c r="M559" s="9" t="str">
        <x:v>No qualifying response under a declared non-measurand environmental/use exposure is reported.</x:v>
      </x:c>
      <x:c r="N559" s="9" t="str">
        <x:v>Article PDF p. 13</x:v>
      </x:c>
      <x:c r="O559" s="9" t="str">
        <x:v>Rate and static-hold tests characterize the intended mechanical input; no distinct qualifying environmental/use exposure was reported.</x:v>
      </x:c>
      <x:c r="P559" s="9" t="str">
        <x:v>PDF pp. 2–4, 8–12; Figs. 1–18; Tables 1–2</x:v>
      </x:c>
    </x:row>
    <x:row r="560">
      <x:c r="A560" s="9" t="n">
        <x:v>70</x:v>
      </x:c>
      <x:c r="B560" s="9" t="str">
        <x:v>S085</x:v>
      </x:c>
      <x:c r="C560" s="9" t="str">
        <x:v>Li et al. (2022)</x:v>
      </x:c>
      <x:c r="D560" s="9" t="str">
        <x:v>L7</x:v>
      </x:c>
      <x:c r="E560" s="9" t="str">
        <x:v>0</x:v>
      </x:c>
      <x:c r="F560" s="9" t="str">
        <x:v>0</x:v>
      </x:c>
      <x:c r="G560" s="9" t="str">
        <x:v>Yes</x:v>
      </x:c>
      <x:c r="H560" s="9" t="str">
        <x:v>Agree</x:v>
      </x:c>
      <x:c r="I560" s="9" t="str">
        <x:v>0</x:v>
      </x:c>
      <x:c r="J560" s="9" t="str">
        <x:v>Final agreement</x:v>
      </x:c>
      <x:c r="K560" s="9" t="str">
        <x:v>The sensor remains intact against its film substrate after laboratory cycling. Fig. 18 sketches a lumbar use case without a corresponding repeated-wear retention dataset.</x:v>
      </x:c>
      <x:c r="L560" s="9" t="str">
        <x:v>S085_Main.pdf, physical pp. 3-4, setup/Fig. 4; pp. 9-10, Fig. 15; p. 12, Fig. 18/application discussion.</x:v>
      </x:c>
      <x:c r="M560" s="9" t="str">
        <x:v>The sensor remains intact against its film substrate after laboratory cycling. Fig. 18 sketches a lumbar use case without a corresponding repeated-wear retention dataset.</x:v>
      </x:c>
      <x:c r="N560" s="9" t="str">
        <x:v>S085_Main.pdf, physical pp. 3-4, setup/Fig. 4; pp. 9-10, Fig. 15; p. 12, Fig. 18/application discussion.</x:v>
      </x:c>
      <x:c r="O560" s="9" t="str">
        <x:v>The sensor remains intact against its film substrate after laboratory cycling. Fig. 18 sketches a lumbar use case without a corresponding repeated-wear retention dataset.</x:v>
      </x:c>
      <x:c r="P560" s="9" t="str">
        <x:v>S085_Main.pdf, physical pp. 3-4, setup/Fig. 4; pp. 9-10, Fig. 15; p. 12, Fig. 18/application discussion.</x:v>
      </x:c>
    </x:row>
    <x:row r="561">
      <x:c r="A561" s="9" t="n">
        <x:v>70</x:v>
      </x:c>
      <x:c r="B561" s="9" t="str">
        <x:v>S085</x:v>
      </x:c>
      <x:c r="C561" s="9" t="str">
        <x:v>Li et al. (2022)</x:v>
      </x:c>
      <x:c r="D561" s="9" t="str">
        <x:v>L8</x:v>
      </x:c>
      <x:c r="E561" s="9" t="str">
        <x:v>0</x:v>
      </x:c>
      <x:c r="F561" s="9" t="str">
        <x:v>0</x:v>
      </x:c>
      <x:c r="G561" s="9" t="str">
        <x:v>Yes</x:v>
      </x:c>
      <x:c r="H561" s="9" t="str">
        <x:v>Agree</x:v>
      </x:c>
      <x:c r="I561" s="9" t="str">
        <x:v>0</x:v>
      </x:c>
      <x:c r="J561" s="9" t="str">
        <x:v>Final agreement</x:v>
      </x:c>
      <x:c r="K561" s="9" t="str">
        <x:v>Geometry variants and same-device cycling were reported, but no ≥3 separately fabricated same-condition complete-device comparison was identified.</x:v>
      </x:c>
      <x:c r="L561" s="9" t="str">
        <x:v>PDF pp. 2–4, 8–12; Figs. 1–18; Tables 1–2</x:v>
      </x:c>
      <x:c r="M561" s="9" t="str">
        <x:v>At least three equivalent independently fabricated units with quantified between-unit variation are not reported.</x:v>
      </x:c>
      <x:c r="N561" s="9" t="str">
        <x:v>Article PDF p. 5</x:v>
      </x:c>
      <x:c r="O561" s="9" t="str">
        <x:v>Geometry variants and same-device cycling were reported, but no ≥3 separately fabricated same-condition complete-device comparison was identified.</x:v>
      </x:c>
      <x:c r="P561" s="9" t="str">
        <x:v>PDF pp. 2–4, 8–12; Figs. 1–18; Tables 1–2</x:v>
      </x:c>
    </x:row>
    <x:row r="562">
      <x:c r="A562" s="9" t="n">
        <x:v>71</x:v>
      </x:c>
      <x:c r="B562" s="9" t="str">
        <x:v>S086</x:v>
      </x:c>
      <x:c r="C562" s="9" t="str">
        <x:v>Li et al. (2022)</x:v>
      </x:c>
      <x:c r="D562" s="9" t="str">
        <x:v>L1</x:v>
      </x:c>
      <x:c r="E562" s="9" t="str">
        <x:v>0</x:v>
      </x:c>
      <x:c r="F562" s="9" t="str">
        <x:v>0</x:v>
      </x:c>
      <x:c r="G562" s="9" t="str">
        <x:v>Yes</x:v>
      </x:c>
      <x:c r="H562" s="9" t="str">
        <x:v>Agree</x:v>
      </x:c>
      <x:c r="I562" s="9" t="str">
        <x:v>0</x:v>
      </x:c>
      <x:c r="J562" s="9" t="str">
        <x:v>Final agreement</x:v>
      </x:c>
      <x:c r="K562" s="9" t="str">
        <x:v>Printer, process, TPU filament, nozzle temperature, speed and nominal printed thickness are stated, but nozzle diameter and infill/toolpath are not reported.</x:v>
      </x:c>
      <x:c r="L562" s="9" t="str">
        <x:v>PDF pp. 2–9; Figs. 1–6; Supporting Figs. S1–S3 and Table S1 cited</x:v>
      </x:c>
      <x:c r="M562" s="9" t="str">
        <x:v>Fabrication is described, but reconstruction-critical layer height, infill, speed details are not reported.</x:v>
      </x:c>
      <x:c r="N562" s="9" t="str">
        <x:v>Article PDF p. 2</x:v>
      </x:c>
      <x:c r="O562" s="9" t="str">
        <x:v>Printer, process, TPU filament, nozzle temperature, speed and nominal printed thickness are stated, but nozzle diameter and infill/toolpath are not reported.</x:v>
      </x:c>
      <x:c r="P562" s="9" t="str">
        <x:v>PDF pp. 2–9; Figs. 1–6; Supporting Figs. S1–S3 and Table S1 cited</x:v>
      </x:c>
    </x:row>
    <x:row r="563">
      <x:c r="A563" s="9" t="n">
        <x:v>71</x:v>
      </x:c>
      <x:c r="B563" s="9" t="str">
        <x:v>S086</x:v>
      </x:c>
      <x:c r="C563" s="9" t="str">
        <x:v>Li et al. (2022)</x:v>
      </x:c>
      <x:c r="D563" s="9" t="str">
        <x:v>L2</x:v>
      </x:c>
      <x:c r="E563" s="9" t="str">
        <x:v>1</x:v>
      </x:c>
      <x:c r="F563" s="9" t="str">
        <x:v>1</x:v>
      </x:c>
      <x:c r="G563" s="9" t="str">
        <x:v>Yes</x:v>
      </x:c>
      <x:c r="H563" s="9" t="str">
        <x:v>Agree</x:v>
      </x:c>
      <x:c r="I563" s="9" t="str">
        <x:v>1</x:v>
      </x:c>
      <x:c r="J563" s="9" t="str">
        <x:v>Final agreement</x:v>
      </x:c>
      <x:c r="K563" s="9" t="str">
        <x:v>TPU, silver paste, interlaminar deposition, microwave treatment and electrical role are described.</x:v>
      </x:c>
      <x:c r="L563" s="9" t="str">
        <x:v>PDF pp. 2–9; Figs. 1–6; Supporting Figs. S1–S3 and Table S1 cited</x:v>
      </x:c>
      <x:c r="M563" s="9" t="str">
        <x:v>Functional host, sensing constituent and relevant electrode/interface materials are identified.</x:v>
      </x:c>
      <x:c r="N563" s="9" t="str">
        <x:v>Article PDF p. 2</x:v>
      </x:c>
      <x:c r="O563" s="9" t="str">
        <x:v>TPU, silver paste, interlaminar deposition, microwave treatment and electrical role are described.</x:v>
      </x:c>
      <x:c r="P563" s="9" t="str">
        <x:v>PDF pp. 2–9; Figs. 1–6; Supporting Figs. S1–S3 and Table S1 cited</x:v>
      </x:c>
    </x:row>
    <x:row r="564">
      <x:c r="A564" s="9" t="n">
        <x:v>71</x:v>
      </x:c>
      <x:c r="B564" s="9" t="str">
        <x:v>S086</x:v>
      </x:c>
      <x:c r="C564" s="9" t="str">
        <x:v>Li et al. (2022)</x:v>
      </x:c>
      <x:c r="D564" s="9" t="str">
        <x:v>L3</x:v>
      </x:c>
      <x:c r="E564" s="9" t="str">
        <x:v>1</x:v>
      </x:c>
      <x:c r="F564" s="9" t="str">
        <x:v>1</x:v>
      </x:c>
      <x:c r="G564" s="9" t="str">
        <x:v>Yes</x:v>
      </x:c>
      <x:c r="H564" s="9" t="str">
        <x:v>Agree</x:v>
      </x:c>
      <x:c r="I564" s="9" t="str">
        <x:v>1</x:v>
      </x:c>
      <x:c r="J564" s="9" t="str">
        <x:v>Final agreement</x:v>
      </x:c>
      <x:c r="K564" s="9" t="str">
        <x:v>Controlled strain/rate and human motions are linked to resistance response.</x:v>
      </x:c>
      <x:c r="L564" s="9" t="str">
        <x:v>PDF pp. 2–9; Figs. 1–6; Supporting Figs. S1–S3 and Table S1 cited</x:v>
      </x:c>
      <x:c r="M564" s="9" t="str">
        <x:v>Sensor output is related to a controlled or independently measured input with a stated procedure and range.</x:v>
      </x:c>
      <x:c r="N564" s="9" t="str">
        <x:v>Article PDF p. 2</x:v>
      </x:c>
      <x:c r="O564" s="9" t="str">
        <x:v>Controlled strain/rate and human motions are linked to resistance response.</x:v>
      </x:c>
      <x:c r="P564" s="9" t="str">
        <x:v>PDF pp. 2–9; Figs. 1–6; Supporting Figs. S1–S3 and Table S1 cited</x:v>
      </x:c>
    </x:row>
    <x:row r="565">
      <x:c r="A565" s="9" t="n">
        <x:v>71</x:v>
      </x:c>
      <x:c r="B565" s="9" t="str">
        <x:v>S086</x:v>
      </x:c>
      <x:c r="C565" s="9" t="str">
        <x:v>Li et al. (2022)</x:v>
      </x:c>
      <x:c r="D565" s="9" t="str">
        <x:v>L4</x:v>
      </x:c>
      <x:c r="E565" s="9" t="str">
        <x:v>1</x:v>
      </x:c>
      <x:c r="F565" s="9" t="str">
        <x:v>1</x:v>
      </x:c>
      <x:c r="G565" s="9" t="str">
        <x:v>Yes</x:v>
      </x:c>
      <x:c r="H565" s="9" t="str">
        <x:v>Agree</x:v>
      </x:c>
      <x:c r="I565" s="9" t="str">
        <x:v>1</x:v>
      </x:c>
      <x:c r="J565" s="9" t="str">
        <x:v>Final agreement</x:v>
      </x:c>
      <x:c r="K565" s="9" t="str">
        <x:v>GF, strain ranges, response/recovery and cycling duration are quantitative.</x:v>
      </x:c>
      <x:c r="L565" s="9" t="str">
        <x:v>PDF pp. 2–9; Figs. 1–6; Supporting Figs. S1–S3 and Table S1 cited</x:v>
      </x:c>
      <x:c r="M565" s="9" t="str">
        <x:v>A modality-appropriate quantitative response, units/calculation and operating range are reported.</x:v>
      </x:c>
      <x:c r="N565" s="9" t="str">
        <x:v>Article PDF p. 7</x:v>
      </x:c>
      <x:c r="O565" s="9" t="str">
        <x:v>GF, strain ranges, response/recovery and cycling duration are quantitative.</x:v>
      </x:c>
      <x:c r="P565" s="9" t="str">
        <x:v>PDF pp. 2–9; Figs. 1–6; Supporting Figs. S1–S3 and Table S1 cited</x:v>
      </x:c>
    </x:row>
    <x:row r="566">
      <x:c r="A566" s="9" t="n">
        <x:v>71</x:v>
      </x:c>
      <x:c r="B566" s="9" t="str">
        <x:v>S086</x:v>
      </x:c>
      <x:c r="C566" s="9" t="str">
        <x:v>Li et al. (2022)</x:v>
      </x:c>
      <x:c r="D566" s="9" t="str">
        <x:v>L5</x:v>
      </x:c>
      <x:c r="E566" s="9" t="str">
        <x:v>1</x:v>
      </x:c>
      <x:c r="F566" s="9" t="str">
        <x:v>1</x:v>
      </x:c>
      <x:c r="G566" s="9" t="str">
        <x:v>Yes</x:v>
      </x:c>
      <x:c r="H566" s="9" t="str">
        <x:v>Agree</x:v>
      </x:c>
      <x:c r="I566" s="9" t="str">
        <x:v>1</x:v>
      </x:c>
      <x:c r="J566" s="9" t="str">
        <x:v>Final agreement</x:v>
      </x:c>
      <x:c r="K566" s="9" t="str">
        <x:v>Repeated cyclic traces at three strain amplitudes extend for 2000 s each.</x:v>
      </x:c>
      <x:c r="L566" s="9" t="str">
        <x:v>PDF pp. 2–9; Figs. 1–6; Supporting Figs. S1–S3 and Table S1 cited</x:v>
      </x:c>
      <x:c r="M566" s="9" t="str">
        <x:v>Three successive 2000-second cyclic tensile tests report stable response and durability.</x:v>
      </x:c>
      <x:c r="N566" s="9" t="str">
        <x:v>Article PDF p. 7, Figure 6</x:v>
      </x:c>
      <x:c r="O566" s="9" t="str">
        <x:v>Repeated cyclic traces at three strain amplitudes extend for 2000 s each.</x:v>
      </x:c>
      <x:c r="P566" s="9" t="str">
        <x:v>PDF pp. 2–9; Figs. 1–6; Supporting Figs. S1–S3 and Table S1 cited</x:v>
      </x:c>
    </x:row>
    <x:row r="567">
      <x:c r="A567" s="9" t="n">
        <x:v>71</x:v>
      </x:c>
      <x:c r="B567" s="9" t="str">
        <x:v>S086</x:v>
      </x:c>
      <x:c r="C567" s="9" t="str">
        <x:v>Li et al. (2022)</x:v>
      </x:c>
      <x:c r="D567" s="9" t="str">
        <x:v>L6</x:v>
      </x:c>
      <x:c r="E567" s="9" t="str">
        <x:v>0</x:v>
      </x:c>
      <x:c r="F567" s="9" t="str">
        <x:v>0</x:v>
      </x:c>
      <x:c r="G567" s="9" t="str">
        <x:v>Yes</x:v>
      </x:c>
      <x:c r="H567" s="9" t="str">
        <x:v>Agree</x:v>
      </x:c>
      <x:c r="I567" s="9" t="str">
        <x:v>0</x:v>
      </x:c>
      <x:c r="J567" s="9" t="str">
        <x:v>Final agreement</x:v>
      </x:c>
      <x:c r="K567" s="9" t="str">
        <x:v>Microwave sintering is a fabrication treatment and rate is an intended loading variable; no distinct qualifying use exposure was tested.</x:v>
      </x:c>
      <x:c r="L567" s="9" t="str">
        <x:v>PDF pp. 2–9; Figs. 1–6; Supporting Figs. S1–S3 and Table S1 cited</x:v>
      </x:c>
      <x:c r="M567" s="9" t="str">
        <x:v>No qualifying response under a declared non-measurand environmental/use exposure is reported.</x:v>
      </x:c>
      <x:c r="N567" s="9" t="str">
        <x:v>Article PDF p. 2</x:v>
      </x:c>
      <x:c r="O567" s="9" t="str">
        <x:v>Microwave sintering is a fabrication treatment and rate is an intended loading variable; no distinct qualifying use exposure was tested.</x:v>
      </x:c>
      <x:c r="P567" s="9" t="str">
        <x:v>PDF pp. 2–9; Figs. 1–6; Supporting Figs. S1–S3 and Table S1 cited</x:v>
      </x:c>
    </x:row>
    <x:row r="568">
      <x:c r="A568" s="9" t="n">
        <x:v>71</x:v>
      </x:c>
      <x:c r="B568" s="9" t="str">
        <x:v>S086</x:v>
      </x:c>
      <x:c r="C568" s="9" t="str">
        <x:v>Li et al. (2022)</x:v>
      </x:c>
      <x:c r="D568" s="9" t="str">
        <x:v>L7</x:v>
      </x:c>
      <x:c r="E568" s="9" t="str">
        <x:v>0</x:v>
      </x:c>
      <x:c r="F568" s="9" t="str">
        <x:v>0</x:v>
      </x:c>
      <x:c r="G568" s="9" t="str">
        <x:v>Yes</x:v>
      </x:c>
      <x:c r="H568" s="9" t="str">
        <x:v>Agree</x:v>
      </x:c>
      <x:c r="I568" s="9" t="str">
        <x:v>0</x:v>
      </x:c>
      <x:c r="J568" s="9" t="str">
        <x:v>Final agreement</x:v>
      </x:c>
      <x:c r="K568" s="9" t="str">
        <x:v>Final L7 rating from the targeted reassessment.</x:v>
      </x:c>
      <x:c r="L568" s="9" t="str">
        <x:v>Finalized reviewer-rating workbook</x:v>
      </x:c>
      <x:c r="M568" s="9" t="str">
        <x:v>Final L7 rating from the targeted reassessment.</x:v>
      </x:c>
      <x:c r="N568" s="9" t="str">
        <x:v>Finalized reviewer-rating workbook</x:v>
      </x:c>
      <x:c r="O568" s="9" t="str">
        <x:v>No qualifying interface-integrity test or repeated final monolithic wearable-assembly test with a retention/failure endpoint was located.</x:v>
      </x:c>
      <x:c r="P568" s="9" t="str">
        <x:v>PDF pp. 2–9; Figs. 1–6; Supporting Figs. S1–S3 and Table S1 cited</x:v>
      </x:c>
    </x:row>
    <x:row r="569">
      <x:c r="A569" s="9" t="n">
        <x:v>71</x:v>
      </x:c>
      <x:c r="B569" s="9" t="str">
        <x:v>S086</x:v>
      </x:c>
      <x:c r="C569" s="9" t="str">
        <x:v>Li et al. (2022)</x:v>
      </x:c>
      <x:c r="D569" s="9" t="str">
        <x:v>L8</x:v>
      </x:c>
      <x:c r="E569" s="9" t="str">
        <x:v>0</x:v>
      </x:c>
      <x:c r="F569" s="9" t="str">
        <x:v>0</x:v>
      </x:c>
      <x:c r="G569" s="9" t="str">
        <x:v>Yes</x:v>
      </x:c>
      <x:c r="H569" s="9" t="str">
        <x:v>Agree</x:v>
      </x:c>
      <x:c r="I569" s="9" t="str">
        <x:v>0</x:v>
      </x:c>
      <x:c r="J569" s="9" t="str">
        <x:v>Final agreement</x:v>
      </x:c>
      <x:c r="K569" s="9" t="str">
        <x:v>Five trials quantify silver content, not complete-device response; ≥3 separately fabricated sensing units were not compared.</x:v>
      </x:c>
      <x:c r="L569" s="9" t="str">
        <x:v>PDF pp. 2–9; Figs. 1–6; Supporting Figs. S1–S3 and Table S1 cited</x:v>
      </x:c>
      <x:c r="M569" s="9" t="str">
        <x:v>At least three equivalent independently fabricated units with quantified between-unit variation are not reported.</x:v>
      </x:c>
      <x:c r="N569" s="9" t="str">
        <x:v>Article PDF p. 7</x:v>
      </x:c>
      <x:c r="O569" s="9" t="str">
        <x:v>Five trials quantify silver content, not complete-device response; ≥3 separately fabricated sensing units were not compared.</x:v>
      </x:c>
      <x:c r="P569" s="9" t="str">
        <x:v>PDF pp. 2–9; Figs. 1–6; Supporting Figs. S1–S3 and Table S1 cited</x:v>
      </x:c>
    </x:row>
    <x:row r="570">
      <x:c r="A570" s="9" t="n">
        <x:v>72</x:v>
      </x:c>
      <x:c r="B570" s="9" t="str">
        <x:v>S087</x:v>
      </x:c>
      <x:c r="C570" s="9" t="str">
        <x:v>Ma et al. (2021)</x:v>
      </x:c>
      <x:c r="D570" s="9" t="str">
        <x:v>L1</x:v>
      </x:c>
      <x:c r="E570" s="9" t="str">
        <x:v>0</x:v>
      </x:c>
      <x:c r="F570" s="9" t="str">
        <x:v>0</x:v>
      </x:c>
      <x:c r="G570" s="9" t="str">
        <x:v>Yes</x:v>
      </x:c>
      <x:c r="H570" s="9" t="str">
        <x:v>Agree</x:v>
      </x:c>
      <x:c r="I570" s="9" t="str">
        <x:v>0</x:v>
      </x:c>
      <x:c r="J570" s="9" t="str">
        <x:v>Final agreement</x:v>
      </x:c>
      <x:c r="K570" s="9" t="str">
        <x:v>FDM platform supplier, material, nozzle diameters, axis speeds, layers and geometry are reported, but extrusion temperature and layer height are absent.</x:v>
      </x:c>
      <x:c r="L570" s="9" t="str">
        <x:v>PDF pp. 2–7; Figs. 1–5; Supplementary Figs. S1–S7 cited</x:v>
      </x:c>
      <x:c r="M570" s="9" t="str">
        <x:v>Fabrication is described, but reconstruction-critical nozzle, temperature, layer height, infill details are not reported.</x:v>
      </x:c>
      <x:c r="N570" s="9" t="str">
        <x:v>Article PDF p. 1</x:v>
      </x:c>
      <x:c r="O570" s="9" t="str">
        <x:v>FDM platform supplier, material, nozzle diameters, axis speeds, layers and geometry are reported, but extrusion temperature and layer height are absent.</x:v>
      </x:c>
      <x:c r="P570" s="9" t="str">
        <x:v>PDF pp. 2–7; Figs. 1–5; Supplementary Figs. S1–S7 cited</x:v>
      </x:c>
    </x:row>
    <x:row r="571">
      <x:c r="A571" s="9" t="n">
        <x:v>72</x:v>
      </x:c>
      <x:c r="B571" s="9" t="str">
        <x:v>S087</x:v>
      </x:c>
      <x:c r="C571" s="9" t="str">
        <x:v>Ma et al. (2021)</x:v>
      </x:c>
      <x:c r="D571" s="9" t="str">
        <x:v>L2</x:v>
      </x:c>
      <x:c r="E571" s="9" t="str">
        <x:v>1</x:v>
      </x:c>
      <x:c r="F571" s="9" t="str">
        <x:v>1</x:v>
      </x:c>
      <x:c r="G571" s="9" t="str">
        <x:v>Yes</x:v>
      </x:c>
      <x:c r="H571" s="9" t="str">
        <x:v>Agree</x:v>
      </x:c>
      <x:c r="I571" s="9" t="str">
        <x:v>1</x:v>
      </x:c>
      <x:c r="J571" s="9" t="str">
        <x:v>Final agreement</x:v>
      </x:c>
      <x:c r="K571" s="9" t="str">
        <x:v>SEBS, graphene suspension/concentration, surface-filling treatment, geometry and copper electrodes are described.</x:v>
      </x:c>
      <x:c r="L571" s="9" t="str">
        <x:v>PDF pp. 2–7; Figs. 1–5; Supplementary Figs. S1–S7 cited</x:v>
      </x:c>
      <x:c r="M571" s="9" t="str">
        <x:v>Functional host, sensing constituent and relevant electrode/interface materials are identified.</x:v>
      </x:c>
      <x:c r="N571" s="9" t="str">
        <x:v>Article PDF p. 7</x:v>
      </x:c>
      <x:c r="O571" s="9" t="str">
        <x:v>SEBS, graphene suspension/concentration, surface-filling treatment, geometry and copper electrodes are described.</x:v>
      </x:c>
      <x:c r="P571" s="9" t="str">
        <x:v>PDF pp. 2–7; Figs. 1–5; Supplementary Figs. S1–S7 cited</x:v>
      </x:c>
    </x:row>
    <x:row r="572">
      <x:c r="A572" s="9" t="n">
        <x:v>72</x:v>
      </x:c>
      <x:c r="B572" s="9" t="str">
        <x:v>S087</x:v>
      </x:c>
      <x:c r="C572" s="9" t="str">
        <x:v>Ma et al. (2021)</x:v>
      </x:c>
      <x:c r="D572" s="9" t="str">
        <x:v>L3</x:v>
      </x:c>
      <x:c r="E572" s="9" t="str">
        <x:v>1</x:v>
      </x:c>
      <x:c r="F572" s="9" t="str">
        <x:v>1</x:v>
      </x:c>
      <x:c r="G572" s="9" t="str">
        <x:v>Yes</x:v>
      </x:c>
      <x:c r="H572" s="9" t="str">
        <x:v>Agree</x:v>
      </x:c>
      <x:c r="I572" s="9" t="str">
        <x:v>1</x:v>
      </x:c>
      <x:c r="J572" s="9" t="str">
        <x:v>Final agreement</x:v>
      </x:c>
      <x:c r="K572" s="9" t="str">
        <x:v>Controlled tensile/pressure inputs and body motions are linked to resistance response.</x:v>
      </x:c>
      <x:c r="L572" s="9" t="str">
        <x:v>PDF pp. 2–7; Figs. 1–5; Supplementary Figs. S1–S7 cited</x:v>
      </x:c>
      <x:c r="M572" s="9" t="str">
        <x:v>A universal testing machine applied controlled peel, tensile and compression inputs while resistance was recorded.</x:v>
      </x:c>
      <x:c r="N572" s="9" t="str">
        <x:v>Article PDF p. 3, Section on piezoresistive characterization</x:v>
      </x:c>
      <x:c r="O572" s="9" t="str">
        <x:v>Controlled tensile/pressure inputs and body motions are linked to resistance response.</x:v>
      </x:c>
      <x:c r="P572" s="9" t="str">
        <x:v>PDF pp. 2–7; Figs. 1–5; Supplementary Figs. S1–S7 cited</x:v>
      </x:c>
    </x:row>
    <x:row r="573">
      <x:c r="A573" s="9" t="n">
        <x:v>72</x:v>
      </x:c>
      <x:c r="B573" s="9" t="str">
        <x:v>S087</x:v>
      </x:c>
      <x:c r="C573" s="9" t="str">
        <x:v>Ma et al. (2021)</x:v>
      </x:c>
      <x:c r="D573" s="9" t="str">
        <x:v>L4</x:v>
      </x:c>
      <x:c r="E573" s="9" t="str">
        <x:v>1</x:v>
      </x:c>
      <x:c r="F573" s="9" t="str">
        <x:v>1</x:v>
      </x:c>
      <x:c r="G573" s="9" t="str">
        <x:v>Yes</x:v>
      </x:c>
      <x:c r="H573" s="9" t="str">
        <x:v>Agree</x:v>
      </x:c>
      <x:c r="I573" s="9" t="str">
        <x:v>1</x:v>
      </x:c>
      <x:c r="J573" s="9" t="str">
        <x:v>Final agreement</x:v>
      </x:c>
      <x:c r="K573" s="9" t="str">
        <x:v>GF, pressure sensitivity, response/recovery and endurance values are quantitative.</x:v>
      </x:c>
      <x:c r="L573" s="9" t="str">
        <x:v>PDF pp. 2–7; Figs. 1–5; Supplementary Figs. S1–S7 cited</x:v>
      </x:c>
      <x:c r="M573" s="9" t="str">
        <x:v>A modality-appropriate quantitative response, units/calculation and operating range are reported.</x:v>
      </x:c>
      <x:c r="N573" s="9" t="str">
        <x:v>Article PDF p. 7</x:v>
      </x:c>
      <x:c r="O573" s="9" t="str">
        <x:v>GF, pressure sensitivity, response/recovery and endurance values are quantitative.</x:v>
      </x:c>
      <x:c r="P573" s="9" t="str">
        <x:v>PDF pp. 2–7; Figs. 1–5; Supplementary Figs. S1–S7 cited</x:v>
      </x:c>
    </x:row>
    <x:row r="574">
      <x:c r="A574" s="9" t="n">
        <x:v>72</x:v>
      </x:c>
      <x:c r="B574" s="9" t="str">
        <x:v>S087</x:v>
      </x:c>
      <x:c r="C574" s="9" t="str">
        <x:v>Ma et al. (2021)</x:v>
      </x:c>
      <x:c r="D574" s="9" t="str">
        <x:v>L5</x:v>
      </x:c>
      <x:c r="E574" s="9" t="str">
        <x:v>1</x:v>
      </x:c>
      <x:c r="F574" s="9" t="str">
        <x:v>1</x:v>
      </x:c>
      <x:c r="G574" s="9" t="str">
        <x:v>Yes</x:v>
      </x:c>
      <x:c r="H574" s="9" t="str">
        <x:v>Agree</x:v>
      </x:c>
      <x:c r="I574" s="9" t="str">
        <x:v>1</x:v>
      </x:c>
      <x:c r="J574" s="9" t="str">
        <x:v>Final agreement</x:v>
      </x:c>
      <x:c r="K574" s="9" t="str">
        <x:v>Ten compression cycles and a 2000-cycle endurance test are reported.</x:v>
      </x:c>
      <x:c r="L574" s="9" t="str">
        <x:v>PDF pp. 2–7; Figs. 1–5; Supplementary Figs. S1–S7 cited</x:v>
      </x:c>
      <x:c r="M574" s="9" t="str">
        <x:v>Repeated stability and reversibility tests report retained sensor response over stated cycling.</x:v>
      </x:c>
      <x:c r="N574" s="9" t="str">
        <x:v>Article PDF pp. 5-7, Figures 5-7</x:v>
      </x:c>
      <x:c r="O574" s="9" t="str">
        <x:v>Ten compression cycles and a 2000-cycle endurance test are reported.</x:v>
      </x:c>
      <x:c r="P574" s="9" t="str">
        <x:v>PDF pp. 2–7; Figs. 1–5; Supplementary Figs. S1–S7 cited</x:v>
      </x:c>
    </x:row>
    <x:row r="575">
      <x:c r="A575" s="9" t="n">
        <x:v>72</x:v>
      </x:c>
      <x:c r="B575" s="9" t="str">
        <x:v>S087</x:v>
      </x:c>
      <x:c r="C575" s="9" t="str">
        <x:v>Ma et al. (2021)</x:v>
      </x:c>
      <x:c r="D575" s="9" t="str">
        <x:v>L6</x:v>
      </x:c>
      <x:c r="E575" s="9" t="str">
        <x:v>0</x:v>
      </x:c>
      <x:c r="F575" s="9" t="str">
        <x:v>0</x:v>
      </x:c>
      <x:c r="G575" s="9" t="str">
        <x:v>Yes</x:v>
      </x:c>
      <x:c r="H575" s="9" t="str">
        <x:v>Agree</x:v>
      </x:c>
      <x:c r="I575" s="9" t="str">
        <x:v>0</x:v>
      </x:c>
      <x:c r="J575" s="9" t="str">
        <x:v>Final agreement</x:v>
      </x:c>
      <x:c r="K575" s="9" t="str">
        <x:v>Peel testing assesses graphene adhesion, but sensor response after a declared abrasion/wash/environmental exposure was not reported.</x:v>
      </x:c>
      <x:c r="L575" s="9" t="str">
        <x:v>PDF pp. 2–7; Figs. 1–5; Supplementary Figs. S1–S7 cited</x:v>
      </x:c>
      <x:c r="M575" s="9" t="str">
        <x:v>No qualifying response under a declared non-measurand environmental/use exposure is reported.</x:v>
      </x:c>
      <x:c r="N575" s="9" t="str">
        <x:v>Article PDF p. 1</x:v>
      </x:c>
      <x:c r="O575" s="9" t="str">
        <x:v>Peel testing assesses graphene adhesion, but sensor response after a declared abrasion/wash/environmental exposure was not reported.</x:v>
      </x:c>
      <x:c r="P575" s="9" t="str">
        <x:v>PDF pp. 2–7; Figs. 1–5; Supplementary Figs. S1–S7 cited</x:v>
      </x:c>
    </x:row>
    <x:row r="576">
      <x:c r="A576" s="9" t="n">
        <x:v>72</x:v>
      </x:c>
      <x:c r="B576" s="9" t="str">
        <x:v>S087</x:v>
      </x:c>
      <x:c r="C576" s="9" t="str">
        <x:v>Ma et al. (2021)</x:v>
      </x:c>
      <x:c r="D576" s="9" t="str">
        <x:v>L7</x:v>
      </x:c>
      <x:c r="E576" s="9" t="str">
        <x:v>0</x:v>
      </x:c>
      <x:c r="F576" s="9" t="str">
        <x:v>0</x:v>
      </x:c>
      <x:c r="G576" s="9" t="str">
        <x:v>Yes</x:v>
      </x:c>
      <x:c r="H576" s="9" t="str">
        <x:v>Agree</x:v>
      </x:c>
      <x:c r="I576" s="9" t="str">
        <x:v>0</x:v>
      </x:c>
      <x:c r="J576" s="9" t="str">
        <x:v>Final agreement</x:v>
      </x:c>
      <x:c r="K576" s="9" t="str">
        <x:v>Final L7 rating from the targeted reassessment.</x:v>
      </x:c>
      <x:c r="L576" s="9" t="str">
        <x:v>Finalized reviewer-rating workbook</x:v>
      </x:c>
      <x:c r="M576" s="9" t="str">
        <x:v>Final L7 rating from the targeted reassessment.</x:v>
      </x:c>
      <x:c r="N576" s="9" t="str">
        <x:v>Finalized reviewer-rating workbook</x:v>
      </x:c>
      <x:c r="O576" s="9" t="str">
        <x:v>No qualifying interface-integrity test or repeated final monolithic wearable-assembly test with a retention/failure endpoint was located.</x:v>
      </x:c>
      <x:c r="P576" s="9" t="str">
        <x:v>PDF pp. 2–7; Figs. 1–5; Supplementary Figs. S1–S7 cited</x:v>
      </x:c>
    </x:row>
    <x:row r="577">
      <x:c r="A577" s="9" t="n">
        <x:v>72</x:v>
      </x:c>
      <x:c r="B577" s="9" t="str">
        <x:v>S087</x:v>
      </x:c>
      <x:c r="C577" s="9" t="str">
        <x:v>Ma et al. (2021)</x:v>
      </x:c>
      <x:c r="D577" s="9" t="str">
        <x:v>L8</x:v>
      </x:c>
      <x:c r="E577" s="9" t="str">
        <x:v>0</x:v>
      </x:c>
      <x:c r="F577" s="9" t="str">
        <x:v>0</x:v>
      </x:c>
      <x:c r="G577" s="9" t="str">
        <x:v>Yes</x:v>
      </x:c>
      <x:c r="H577" s="9" t="str">
        <x:v>Agree</x:v>
      </x:c>
      <x:c r="I577" s="9" t="str">
        <x:v>0</x:v>
      </x:c>
      <x:c r="J577" s="9" t="str">
        <x:v>Final agreement</x:v>
      </x:c>
      <x:c r="K577" s="9" t="str">
        <x:v>Process/geometry/material variants and repeated cycles were reported, but no ≥3 separately fabricated same-condition complete-device comparison was identified.</x:v>
      </x:c>
      <x:c r="L577" s="9" t="str">
        <x:v>PDF pp. 2–7; Figs. 1–5; Supplementary Figs. S1–S7 cited</x:v>
      </x:c>
      <x:c r="M577" s="9" t="str">
        <x:v>At least three equivalent independently fabricated units with quantified between-unit variation are not reported.</x:v>
      </x:c>
      <x:c r="N577" s="9" t="str">
        <x:v>Article PDF p. 1</x:v>
      </x:c>
      <x:c r="O577" s="9" t="str">
        <x:v>Process/geometry/material variants and repeated cycles were reported, but no ≥3 separately fabricated same-condition complete-device comparison was identified.</x:v>
      </x:c>
      <x:c r="P577" s="9" t="str">
        <x:v>PDF pp. 2–7; Figs. 1–5; Supplementary Figs. S1–S7 cited</x:v>
      </x:c>
    </x:row>
    <x:row r="578">
      <x:c r="A578" s="9" t="n">
        <x:v>73</x:v>
      </x:c>
      <x:c r="B578" s="9" t="str">
        <x:v>S088</x:v>
      </x:c>
      <x:c r="C578" s="9" t="str">
        <x:v>Cheng-Yu et al. (2021)</x:v>
      </x:c>
      <x:c r="D578" s="9" t="str">
        <x:v>L1</x:v>
      </x:c>
      <x:c r="E578" s="9" t="str">
        <x:v>0</x:v>
      </x:c>
      <x:c r="F578" s="9" t="str">
        <x:v>0</x:v>
      </x:c>
      <x:c r="G578" s="9" t="str">
        <x:v>Yes</x:v>
      </x:c>
      <x:c r="H578" s="9" t="str">
        <x:v>Agree</x:v>
      </x:c>
      <x:c r="I578" s="9" t="str">
        <x:v>0</x:v>
      </x:c>
      <x:c r="J578" s="9" t="str">
        <x:v>Final agreement</x:v>
      </x:c>
      <x:c r="K578" s="9" t="str">
        <x:v>FDM, flexible PLA, temperature, speed, infill, pattern, geometry and embedding sequence are reported, but printer/model, nozzle diameter and layer height are absent.</x:v>
      </x:c>
      <x:c r="L578" s="9" t="str">
        <x:v>PDF pp. 4–12; Figs. 1–10; Table 1</x:v>
      </x:c>
      <x:c r="M578" s="9" t="str">
        <x:v>Fabrication is described, but reconstruction-critical layer height, infill, orientation/toolpath details are not reported.</x:v>
      </x:c>
      <x:c r="N578" s="9" t="str">
        <x:v>Article PDF p. 5</x:v>
      </x:c>
      <x:c r="O578" s="9" t="str">
        <x:v>FDM, flexible PLA, temperature, speed, infill, pattern, geometry and embedding sequence are reported, but printer/model, nozzle diameter and layer height are absent.</x:v>
      </x:c>
      <x:c r="P578" s="9" t="str">
        <x:v>PDF pp. 4–12; Figs. 1–10; Table 1</x:v>
      </x:c>
    </x:row>
    <x:row r="579">
      <x:c r="A579" s="9" t="n">
        <x:v>73</x:v>
      </x:c>
      <x:c r="B579" s="9" t="str">
        <x:v>S088</x:v>
      </x:c>
      <x:c r="C579" s="9" t="str">
        <x:v>Cheng-Yu et al. (2021)</x:v>
      </x:c>
      <x:c r="D579" s="9" t="str">
        <x:v>L2</x:v>
      </x:c>
      <x:c r="E579" s="9" t="str">
        <x:v>1</x:v>
      </x:c>
      <x:c r="F579" s="9" t="str">
        <x:v>1</x:v>
      </x:c>
      <x:c r="G579" s="9" t="str">
        <x:v>Yes</x:v>
      </x:c>
      <x:c r="H579" s="9" t="str">
        <x:v>Agree</x:v>
      </x:c>
      <x:c r="I579" s="9" t="str">
        <x:v>1</x:v>
      </x:c>
      <x:c r="J579" s="9" t="str">
        <x:v>Final agreement</x:v>
      </x:c>
      <x:c r="K579" s="9" t="str">
        <x:v>PLA ring, FBG, embedding geometry, attachment and optical readout are described.</x:v>
      </x:c>
      <x:c r="L579" s="9" t="str">
        <x:v>PDF pp. 4–12; Figs. 1–10; Table 1</x:v>
      </x:c>
      <x:c r="M579" s="9" t="str">
        <x:v>Functional host, sensing constituent and relevant electrode/interface materials are identified.</x:v>
      </x:c>
      <x:c r="N579" s="9" t="str">
        <x:v>Article PDF p. 4</x:v>
      </x:c>
      <x:c r="O579" s="9" t="str">
        <x:v>PLA ring, FBG, embedding geometry, attachment and optical readout are described.</x:v>
      </x:c>
      <x:c r="P579" s="9" t="str">
        <x:v>PDF pp. 4–12; Figs. 1–10; Table 1</x:v>
      </x:c>
    </x:row>
    <x:row r="580">
      <x:c r="A580" s="9" t="n">
        <x:v>73</x:v>
      </x:c>
      <x:c r="B580" s="9" t="str">
        <x:v>S088</x:v>
      </x:c>
      <x:c r="C580" s="9" t="str">
        <x:v>Cheng-Yu et al. (2021)</x:v>
      </x:c>
      <x:c r="D580" s="9" t="str">
        <x:v>L3</x:v>
      </x:c>
      <x:c r="E580" s="9" t="str">
        <x:v>1</x:v>
      </x:c>
      <x:c r="F580" s="9" t="str">
        <x:v>1</x:v>
      </x:c>
      <x:c r="G580" s="9" t="str">
        <x:v>Yes</x:v>
      </x:c>
      <x:c r="H580" s="9" t="str">
        <x:v>Agree</x:v>
      </x:c>
      <x:c r="I580" s="9" t="str">
        <x:v>1</x:v>
      </x:c>
      <x:c r="J580" s="9" t="str">
        <x:v>Final agreement</x:v>
      </x:c>
      <x:c r="K580" s="9" t="str">
        <x:v>Defined elbow/knee angles and walking speeds are linked to FBG wavelength response.</x:v>
      </x:c>
      <x:c r="L580" s="9" t="str">
        <x:v>PDF pp. 4–12; Figs. 1–10; Table 1</x:v>
      </x:c>
      <x:c r="M580" s="9" t="str">
        <x:v>The ring wavelength response was calibrated against known elbow and knee joint angles after thermal equilibration.</x:v>
      </x:c>
      <x:c r="N580" s="9" t="str">
        <x:v>Article PDF pp. 6-8, Figures 5-7</x:v>
      </x:c>
      <x:c r="O580" s="9" t="str">
        <x:v>Defined elbow/knee angles and walking speeds are linked to FBG wavelength response.</x:v>
      </x:c>
      <x:c r="P580" s="9" t="str">
        <x:v>PDF pp. 4–12; Figs. 1–10; Table 1</x:v>
      </x:c>
    </x:row>
    <x:row r="581">
      <x:c r="A581" s="9" t="n">
        <x:v>73</x:v>
      </x:c>
      <x:c r="B581" s="9" t="str">
        <x:v>S088</x:v>
      </x:c>
      <x:c r="C581" s="9" t="str">
        <x:v>Cheng-Yu et al. (2021)</x:v>
      </x:c>
      <x:c r="D581" s="9" t="str">
        <x:v>L4</x:v>
      </x:c>
      <x:c r="E581" s="9" t="str">
        <x:v>1</x:v>
      </x:c>
      <x:c r="F581" s="9" t="str">
        <x:v>1</x:v>
      </x:c>
      <x:c r="G581" s="9" t="str">
        <x:v>Yes</x:v>
      </x:c>
      <x:c r="H581" s="9" t="str">
        <x:v>Agree</x:v>
      </x:c>
      <x:c r="I581" s="9" t="str">
        <x:v>1</x:v>
      </x:c>
      <x:c r="J581" s="9" t="str">
        <x:v>Final agreement</x:v>
      </x:c>
      <x:c r="K581" s="9" t="str">
        <x:v>Sensitivities, resolutions, angle ranges and maximum error are quantitative.</x:v>
      </x:c>
      <x:c r="L581" s="9" t="str">
        <x:v>PDF pp. 4–12; Figs. 1–10; Table 1</x:v>
      </x:c>
      <x:c r="M581" s="9" t="str">
        <x:v>Wavelength-angle relations and measurement ranges are reported quantitatively in nanometres and degrees.</x:v>
      </x:c>
      <x:c r="N581" s="9" t="str">
        <x:v>Article PDF pp. 6-9</x:v>
      </x:c>
      <x:c r="O581" s="9" t="str">
        <x:v>Sensitivities, resolutions, angle ranges and maximum error are quantitative.</x:v>
      </x:c>
      <x:c r="P581" s="9" t="str">
        <x:v>PDF pp. 4–12; Figs. 1–10; Table 1</x:v>
      </x:c>
    </x:row>
    <x:row r="582">
      <x:c r="A582" s="9" t="n">
        <x:v>73</x:v>
      </x:c>
      <x:c r="B582" s="9" t="str">
        <x:v>S088</x:v>
      </x:c>
      <x:c r="C582" s="9" t="str">
        <x:v>Cheng-Yu et al. (2021)</x:v>
      </x:c>
      <x:c r="D582" s="9" t="str">
        <x:v>L5</x:v>
      </x:c>
      <x:c r="E582" s="9" t="str">
        <x:v>1</x:v>
      </x:c>
      <x:c r="F582" s="9" t="str">
        <x:v>1</x:v>
      </x:c>
      <x:c r="G582" s="9" t="str">
        <x:v>Yes</x:v>
      </x:c>
      <x:c r="H582" s="9" t="str">
        <x:v>Agree</x:v>
      </x:c>
      <x:c r="I582" s="9" t="str">
        <x:v>1</x:v>
      </x:c>
      <x:c r="J582" s="9" t="str">
        <x:v>Final agreement</x:v>
      </x:c>
      <x:c r="K582" s="9" t="str">
        <x:v>Three repeat calibration tests and cyclic joint measurements are reported.</x:v>
      </x:c>
      <x:c r="L582" s="9" t="str">
        <x:v>PDF pp. 4–12; Figs. 1–10; Table 1</x:v>
      </x:c>
      <x:c r="M582" s="9" t="str">
        <x:v>Final rating supersedes the earlier rating; no revised narrative reason was supplied.</x:v>
      </x:c>
      <x:c r="N582" s="9" t="str">
        <x:v>Finalized reviewer-rating workbook</x:v>
      </x:c>
      <x:c r="O582" s="9" t="str">
        <x:v>Three repeat calibration tests and cyclic joint measurements are reported.</x:v>
      </x:c>
      <x:c r="P582" s="9" t="str">
        <x:v>PDF pp. 4–12; Figs. 1–10; Table 1</x:v>
      </x:c>
    </x:row>
    <x:row r="583">
      <x:c r="A583" s="9" t="n">
        <x:v>73</x:v>
      </x:c>
      <x:c r="B583" s="9" t="str">
        <x:v>S088</x:v>
      </x:c>
      <x:c r="C583" s="9" t="str">
        <x:v>Cheng-Yu et al. (2021)</x:v>
      </x:c>
      <x:c r="D583" s="9" t="str">
        <x:v>L6</x:v>
      </x:c>
      <x:c r="E583" s="9" t="str">
        <x:v>0</x:v>
      </x:c>
      <x:c r="F583" s="9" t="str">
        <x:v>0</x:v>
      </x:c>
      <x:c r="G583" s="9" t="str">
        <x:v>Yes</x:v>
      </x:c>
      <x:c r="H583" s="9" t="str">
        <x:v>Agree</x:v>
      </x:c>
      <x:c r="I583" s="9" t="str">
        <x:v>0</x:v>
      </x:c>
      <x:c r="J583" s="9" t="str">
        <x:v>Final agreement</x:v>
      </x:c>
      <x:c r="K583" s="9" t="str">
        <x:v>A 10-min equilibration was used to reduce body-temperature influence, but sensor response under a declared environmental/use exposure was not reported.</x:v>
      </x:c>
      <x:c r="L583" s="9" t="str">
        <x:v>PDF pp. 4–12; Figs. 1–10; Table 1</x:v>
      </x:c>
      <x:c r="M583" s="9" t="str">
        <x:v>No qualifying response under a declared non-measurand environmental/use exposure is reported.</x:v>
      </x:c>
      <x:c r="N583" s="9" t="str">
        <x:v>Article PDF p. 2</x:v>
      </x:c>
      <x:c r="O583" s="9" t="str">
        <x:v>A 10-min equilibration was used to reduce body-temperature influence, but sensor response under a declared environmental/use exposure was not reported.</x:v>
      </x:c>
      <x:c r="P583" s="9" t="str">
        <x:v>PDF pp. 4–12; Figs. 1–10; Table 1</x:v>
      </x:c>
    </x:row>
    <x:row r="584">
      <x:c r="A584" s="9" t="n">
        <x:v>73</x:v>
      </x:c>
      <x:c r="B584" s="9" t="str">
        <x:v>S088</x:v>
      </x:c>
      <x:c r="C584" s="9" t="str">
        <x:v>Cheng-Yu et al. (2021)</x:v>
      </x:c>
      <x:c r="D584" s="9" t="str">
        <x:v>L7</x:v>
      </x:c>
      <x:c r="E584" s="9" t="str">
        <x:v>1</x:v>
      </x:c>
      <x:c r="F584" s="9" t="str">
        <x:v>1</x:v>
      </x:c>
      <x:c r="G584" s="9" t="str">
        <x:v>Yes</x:v>
      </x:c>
      <x:c r="H584" s="9" t="str">
        <x:v>Agree</x:v>
      </x:c>
      <x:c r="I584" s="9" t="str">
        <x:v>1</x:v>
      </x:c>
      <x:c r="J584" s="9" t="str">
        <x:v>Final agreement</x:v>
      </x:c>
      <x:c r="K584" s="9" t="str">
        <x:v>An additional cyclic test explicitly examines measurement performance; six bends show relatively stable wavelength changes. Repeated calibration tests are also reported.</x:v>
      </x:c>
      <x:c r="L584" s="9" t="str">
        <x:v>S088_Main.pdf, physical p. 7, cyclic-elbow paragraph; p. 10, Fig. 8 (the paragraph mislabels its figure reference as Fig. 7).</x:v>
      </x:c>
      <x:c r="M584" s="9" t="str">
        <x:v>An additional cyclic test explicitly examines measurement performance; six bends show relatively stable wavelength changes. Repeated calibration tests are also reported.</x:v>
      </x:c>
      <x:c r="N584" s="9" t="str">
        <x:v>S088_Main.pdf, physical p. 7, cyclic-elbow paragraph; p. 10, Fig. 8 (the paragraph mislabels its figure reference as Fig. 7).</x:v>
      </x:c>
      <x:c r="O584" s="9" t="str">
        <x:v>An additional cyclic test explicitly examines measurement performance; six bends show relatively stable wavelength changes. Repeated calibration tests are also reported.</x:v>
      </x:c>
      <x:c r="P584" s="9" t="str">
        <x:v>S088_Main.pdf, physical p. 7, cyclic-elbow paragraph; p. 10, Fig. 8 (the paragraph mislabels its figure reference as Fig. 7).</x:v>
      </x:c>
    </x:row>
    <x:row r="585">
      <x:c r="A585" s="9" t="n">
        <x:v>73</x:v>
      </x:c>
      <x:c r="B585" s="9" t="str">
        <x:v>S088</x:v>
      </x:c>
      <x:c r="C585" s="9" t="str">
        <x:v>Cheng-Yu et al. (2021)</x:v>
      </x:c>
      <x:c r="D585" s="9" t="str">
        <x:v>L8</x:v>
      </x:c>
      <x:c r="E585" s="9" t="str">
        <x:v>0</x:v>
      </x:c>
      <x:c r="F585" s="9" t="str">
        <x:v>0</x:v>
      </x:c>
      <x:c r="G585" s="9" t="str">
        <x:v>Yes</x:v>
      </x:c>
      <x:c r="H585" s="9" t="str">
        <x:v>Agree</x:v>
      </x:c>
      <x:c r="I585" s="9" t="str">
        <x:v>0</x:v>
      </x:c>
      <x:c r="J585" s="9" t="str">
        <x:v>Final agreement</x:v>
      </x:c>
      <x:c r="K585" s="9" t="str">
        <x:v>Two rings were fabricated for different joint applications; the ≥3 same-condition device criterion was not met.</x:v>
      </x:c>
      <x:c r="L585" s="9" t="str">
        <x:v>PDF pp. 4–12; Figs. 1–10; Table 1</x:v>
      </x:c>
      <x:c r="M585" s="9" t="str">
        <x:v>At least three equivalent independently fabricated units with quantified between-unit variation are not reported.</x:v>
      </x:c>
      <x:c r="N585" s="9" t="str">
        <x:v>Article PDF p. 7</x:v>
      </x:c>
      <x:c r="O585" s="9" t="str">
        <x:v>Two rings were fabricated for different joint applications; the ≥3 same-condition device criterion was not met.</x:v>
      </x:c>
      <x:c r="P585" s="9" t="str">
        <x:v>PDF pp. 4–12; Figs. 1–10; Table 1</x:v>
      </x:c>
    </x:row>
    <x:row r="586">
      <x:c r="A586" s="9" t="n">
        <x:v>74</x:v>
      </x:c>
      <x:c r="B586" s="9" t="str">
        <x:v>S089</x:v>
      </x:c>
      <x:c r="C586" s="9" t="str">
        <x:v>Xiang et al. (2020)</x:v>
      </x:c>
      <x:c r="D586" s="9" t="str">
        <x:v>L1</x:v>
      </x:c>
      <x:c r="E586" s="9" t="str">
        <x:v>1</x:v>
      </x:c>
      <x:c r="F586" s="9" t="str">
        <x:v>1</x:v>
      </x:c>
      <x:c r="G586" s="9" t="str">
        <x:v>Yes</x:v>
      </x:c>
      <x:c r="H586" s="9" t="str">
        <x:v>Agree</x:v>
      </x:c>
      <x:c r="I586" s="9" t="str">
        <x:v>1</x:v>
      </x:c>
      <x:c r="J586" s="9" t="str">
        <x:v>Final agreement</x:v>
      </x:c>
      <x:c r="K586" s="9" t="str">
        <x:v>Printer, process, functional composite, nozzle, temperatures, speed, layer height, orientation, infill and specimen geometry are reported.</x:v>
      </x:c>
      <x:c r="L586" s="9" t="str">
        <x:v>PDF pp. 10–35 of available accepted manuscript; Figs. 1–10; Tables 1–2; Supplementary Tables S1–S2 cited</x:v>
      </x:c>
      <x:c r="M586" s="9" t="str">
        <x:v>Reconstruction-relevant printer, material, temperature, layer, speed, path/geometry and post-processing details are reported.</x:v>
      </x:c>
      <x:c r="N586" s="9" t="str">
        <x:v>Article PDF p. 12</x:v>
      </x:c>
      <x:c r="O586" s="9" t="str">
        <x:v>Printer, process, functional composite, nozzle, temperatures, speed, layer height, orientation, infill and specimen geometry are reported.</x:v>
      </x:c>
      <x:c r="P586" s="9" t="str">
        <x:v>PDF pp. 10–35 of available accepted manuscript; Figs. 1–10; Tables 1–2; Supplementary Tables S1–S2 cited</x:v>
      </x:c>
    </x:row>
    <x:row r="587">
      <x:c r="A587" s="9" t="n">
        <x:v>74</x:v>
      </x:c>
      <x:c r="B587" s="9" t="str">
        <x:v>S089</x:v>
      </x:c>
      <x:c r="C587" s="9" t="str">
        <x:v>Xiang et al. (2020)</x:v>
      </x:c>
      <x:c r="D587" s="9" t="str">
        <x:v>L2</x:v>
      </x:c>
      <x:c r="E587" s="9" t="str">
        <x:v>1</x:v>
      </x:c>
      <x:c r="F587" s="9" t="str">
        <x:v>1</x:v>
      </x:c>
      <x:c r="G587" s="9" t="str">
        <x:v>Yes</x:v>
      </x:c>
      <x:c r="H587" s="9" t="str">
        <x:v>Agree</x:v>
      </x:c>
      <x:c r="I587" s="9" t="str">
        <x:v>1</x:v>
      </x:c>
      <x:c r="J587" s="9" t="str">
        <x:v>Final agreement</x:v>
      </x:c>
      <x:c r="K587" s="9" t="str">
        <x:v>TPU, CNT/GNP compositions, printed geometry, electrodes and electrical roles are described.</x:v>
      </x:c>
      <x:c r="L587" s="9" t="str">
        <x:v>PDF pp. 10–35 of available accepted manuscript; Figs. 1–10; Tables 1–2; Supplementary Tables S1–S2 cited</x:v>
      </x:c>
      <x:c r="M587" s="9" t="str">
        <x:v>Functional host, sensing constituent and relevant electrode/interface materials are identified.</x:v>
      </x:c>
      <x:c r="N587" s="9" t="str">
        <x:v>Article PDF p. 2</x:v>
      </x:c>
      <x:c r="O587" s="9" t="str">
        <x:v>TPU, CNT/GNP compositions, printed geometry, electrodes and electrical roles are described.</x:v>
      </x:c>
      <x:c r="P587" s="9" t="str">
        <x:v>PDF pp. 10–35 of available accepted manuscript; Figs. 1–10; Tables 1–2; Supplementary Tables S1–S2 cited</x:v>
      </x:c>
    </x:row>
    <x:row r="588">
      <x:c r="A588" s="9" t="n">
        <x:v>74</x:v>
      </x:c>
      <x:c r="B588" s="9" t="str">
        <x:v>S089</x:v>
      </x:c>
      <x:c r="C588" s="9" t="str">
        <x:v>Xiang et al. (2020)</x:v>
      </x:c>
      <x:c r="D588" s="9" t="str">
        <x:v>L3</x:v>
      </x:c>
      <x:c r="E588" s="9" t="str">
        <x:v>1</x:v>
      </x:c>
      <x:c r="F588" s="9" t="str">
        <x:v>1</x:v>
      </x:c>
      <x:c r="G588" s="9" t="str">
        <x:v>Yes</x:v>
      </x:c>
      <x:c r="H588" s="9" t="str">
        <x:v>Agree</x:v>
      </x:c>
      <x:c r="I588" s="9" t="str">
        <x:v>1</x:v>
      </x:c>
      <x:c r="J588" s="9" t="str">
        <x:v>Final agreement</x:v>
      </x:c>
      <x:c r="K588" s="9" t="str">
        <x:v>Controlled strain/frequency/temperature and body-motion inputs are linked to electrical response.</x:v>
      </x:c>
      <x:c r="L588" s="9" t="str">
        <x:v>PDF pp. 10–35 of available accepted manuscript; Figs. 1–10; Tables 1–2; Supplementary Tables S1–S2 cited</x:v>
      </x:c>
      <x:c r="M588" s="9" t="str">
        <x:v>Printed sensors were subjected to controlled tensile strain while resistance was recorded across the working range.</x:v>
      </x:c>
      <x:c r="N588" s="9" t="str">
        <x:v>Article PDF pp. 25-33, Figures 6-11</x:v>
      </x:c>
      <x:c r="O588" s="9" t="str">
        <x:v>Controlled strain/frequency/temperature and body-motion inputs are linked to electrical response.</x:v>
      </x:c>
      <x:c r="P588" s="9" t="str">
        <x:v>PDF pp. 10–35 of available accepted manuscript; Figs. 1–10; Tables 1–2; Supplementary Tables S1–S2 cited</x:v>
      </x:c>
    </x:row>
    <x:row r="589">
      <x:c r="A589" s="9" t="n">
        <x:v>74</x:v>
      </x:c>
      <x:c r="B589" s="9" t="str">
        <x:v>S089</x:v>
      </x:c>
      <x:c r="C589" s="9" t="str">
        <x:v>Xiang et al. (2020)</x:v>
      </x:c>
      <x:c r="D589" s="9" t="str">
        <x:v>L4</x:v>
      </x:c>
      <x:c r="E589" s="9" t="str">
        <x:v>1</x:v>
      </x:c>
      <x:c r="F589" s="9" t="str">
        <x:v>1</x:v>
      </x:c>
      <x:c r="G589" s="9" t="str">
        <x:v>Yes</x:v>
      </x:c>
      <x:c r="H589" s="9" t="str">
        <x:v>Agree</x:v>
      </x:c>
      <x:c r="I589" s="9" t="str">
        <x:v>1</x:v>
      </x:c>
      <x:c r="J589" s="9" t="str">
        <x:v>Final agreement</x:v>
      </x:c>
      <x:c r="K589" s="9" t="str">
        <x:v>GF, linearity, strain range, conductivity and endurance conditions are quantitative.</x:v>
      </x:c>
      <x:c r="L589" s="9" t="str">
        <x:v>PDF pp. 10–35 of available accepted manuscript; Figs. 1–10; Tables 1–2; Supplementary Tables S1–S2 cited</x:v>
      </x:c>
      <x:c r="M589" s="9" t="str">
        <x:v>A modality-appropriate quantitative response, units/calculation and operating range are reported.</x:v>
      </x:c>
      <x:c r="N589" s="9" t="str">
        <x:v>Article PDF p. 2</x:v>
      </x:c>
      <x:c r="O589" s="9" t="str">
        <x:v>GF, linearity, strain range, conductivity and endurance conditions are quantitative.</x:v>
      </x:c>
      <x:c r="P589" s="9" t="str">
        <x:v>PDF pp. 10–35 of available accepted manuscript; Figs. 1–10; Tables 1–2; Supplementary Tables S1–S2 cited</x:v>
      </x:c>
    </x:row>
    <x:row r="590">
      <x:c r="A590" s="9" t="n">
        <x:v>74</x:v>
      </x:c>
      <x:c r="B590" s="9" t="str">
        <x:v>S089</x:v>
      </x:c>
      <x:c r="C590" s="9" t="str">
        <x:v>Xiang et al. (2020)</x:v>
      </x:c>
      <x:c r="D590" s="9" t="str">
        <x:v>L5</x:v>
      </x:c>
      <x:c r="E590" s="9" t="str">
        <x:v>1</x:v>
      </x:c>
      <x:c r="F590" s="9" t="str">
        <x:v>1</x:v>
      </x:c>
      <x:c r="G590" s="9" t="str">
        <x:v>Yes</x:v>
      </x:c>
      <x:c r="H590" s="9" t="str">
        <x:v>Agree</x:v>
      </x:c>
      <x:c r="I590" s="9" t="str">
        <x:v>1</x:v>
      </x:c>
      <x:c r="J590" s="9" t="str">
        <x:v>Final agreement</x:v>
      </x:c>
      <x:c r="K590" s="9" t="str">
        <x:v>Cyclic protocols include 3000 cycles at 5% and 100% strain.</x:v>
      </x:c>
      <x:c r="L590" s="9" t="str">
        <x:v>PDF pp. 10–35 of available accepted manuscript; Figs. 1–10; Tables 1–2; Supplementary Tables S1–S2 cited</x:v>
      </x:c>
      <x:c r="M590" s="9" t="str">
        <x:v>A stated repeated-test range/count is accompanied by a stability, hysteresis, retention or failure outcome.</x:v>
      </x:c>
      <x:c r="N590" s="9" t="str">
        <x:v>Article PDF p. 2</x:v>
      </x:c>
      <x:c r="O590" s="9" t="str">
        <x:v>Cyclic protocols include 3000 cycles at 5% and 100% strain.</x:v>
      </x:c>
      <x:c r="P590" s="9" t="str">
        <x:v>PDF pp. 10–35 of available accepted manuscript; Figs. 1–10; Tables 1–2; Supplementary Tables S1–S2 cited</x:v>
      </x:c>
    </x:row>
    <x:row r="591">
      <x:c r="A591" s="9" t="n">
        <x:v>74</x:v>
      </x:c>
      <x:c r="B591" s="9" t="str">
        <x:v>S089</x:v>
      </x:c>
      <x:c r="C591" s="9" t="str">
        <x:v>Xiang et al. (2020)</x:v>
      </x:c>
      <x:c r="D591" s="9" t="str">
        <x:v>L6</x:v>
      </x:c>
      <x:c r="E591" s="9" t="str">
        <x:v>1</x:v>
      </x:c>
      <x:c r="F591" s="9" t="str">
        <x:v>1</x:v>
      </x:c>
      <x:c r="G591" s="9" t="str">
        <x:v>Yes</x:v>
      </x:c>
      <x:c r="H591" s="9" t="str">
        <x:v>Agree</x:v>
      </x:c>
      <x:c r="I591" s="9" t="str">
        <x:v>1</x:v>
      </x:c>
      <x:c r="J591" s="9" t="str">
        <x:v>Final agreement</x:v>
      </x:c>
      <x:c r="K591" s="9" t="str">
        <x:v>Conductivity was measured and reported across a stated 20–80 °C exposure.</x:v>
      </x:c>
      <x:c r="L591" s="9" t="str">
        <x:v>PDF pp. 10–35 of available accepted manuscript; Figs. 1–10; Tables 1–2; Supplementary Tables S1–S2 cited</x:v>
      </x:c>
      <x:c r="M591" s="9" t="str">
        <x:v>Final rating supersedes the earlier rating; no revised narrative reason was supplied.</x:v>
      </x:c>
      <x:c r="N591" s="9" t="str">
        <x:v>Finalized reviewer-rating workbook</x:v>
      </x:c>
      <x:c r="O591" s="9" t="str">
        <x:v>Conductivity was measured and reported across a stated 20–80 °C exposure.</x:v>
      </x:c>
      <x:c r="P591" s="9" t="str">
        <x:v>PDF pp. 10–35 of available accepted manuscript; Figs. 1–10; Tables 1–2; Supplementary Tables S1–S2 cited</x:v>
      </x:c>
    </x:row>
    <x:row r="592">
      <x:c r="A592" s="9" t="n">
        <x:v>74</x:v>
      </x:c>
      <x:c r="B592" s="9" t="str">
        <x:v>S089</x:v>
      </x:c>
      <x:c r="C592" s="9" t="str">
        <x:v>Xiang et al. (2020)</x:v>
      </x:c>
      <x:c r="D592" s="9" t="str">
        <x:v>L7</x:v>
      </x:c>
      <x:c r="E592" s="9" t="str">
        <x:v>0</x:v>
      </x:c>
      <x:c r="F592" s="9" t="str">
        <x:v>0</x:v>
      </x:c>
      <x:c r="G592" s="9" t="str">
        <x:v>Yes</x:v>
      </x:c>
      <x:c r="H592" s="9" t="str">
        <x:v>Agree</x:v>
      </x:c>
      <x:c r="I592" s="9" t="str">
        <x:v>0</x:v>
      </x:c>
      <x:c r="J592" s="9" t="str">
        <x:v>Final agreement</x:v>
      </x:c>
      <x:c r="K592" s="9" t="str">
        <x:v>Final L7 rating from the targeted reassessment.</x:v>
      </x:c>
      <x:c r="L592" s="9" t="str">
        <x:v>Finalized reviewer-rating workbook</x:v>
      </x:c>
      <x:c r="M592" s="9" t="str">
        <x:v>Final L7 rating from the targeted reassessment.</x:v>
      </x:c>
      <x:c r="N592" s="9" t="str">
        <x:v>Finalized reviewer-rating workbook</x:v>
      </x:c>
      <x:c r="O592" s="9" t="str">
        <x:v>No qualifying interface-integrity test or repeated final monolithic wearable-assembly test with a retention/failure endpoint was located.</x:v>
      </x:c>
      <x:c r="P592" s="9" t="str">
        <x:v>PDF pp. 10–35 of available accepted manuscript; Figs. 1–10; Tables 1–2; Supplementary Tables S1–S2 cited</x:v>
      </x:c>
    </x:row>
    <x:row r="593">
      <x:c r="A593" s="9" t="n">
        <x:v>74</x:v>
      </x:c>
      <x:c r="B593" s="9" t="str">
        <x:v>S089</x:v>
      </x:c>
      <x:c r="C593" s="9" t="str">
        <x:v>Xiang et al. (2020)</x:v>
      </x:c>
      <x:c r="D593" s="9" t="str">
        <x:v>L8</x:v>
      </x:c>
      <x:c r="E593" s="9" t="str">
        <x:v>0</x:v>
      </x:c>
      <x:c r="F593" s="9" t="str">
        <x:v>0</x:v>
      </x:c>
      <x:c r="G593" s="9" t="str">
        <x:v>Yes</x:v>
      </x:c>
      <x:c r="H593" s="9" t="str">
        <x:v>Agree</x:v>
      </x:c>
      <x:c r="I593" s="9" t="str">
        <x:v>0</x:v>
      </x:c>
      <x:c r="J593" s="9" t="str">
        <x:v>Final agreement</x:v>
      </x:c>
      <x:c r="K593" s="9" t="str">
        <x:v>Material variants and repeated cycles were reported, but no ≥3 separately fabricated same-condition complete-device comparison was identified.</x:v>
      </x:c>
      <x:c r="L593" s="9" t="str">
        <x:v>PDF pp. 10–35 of available accepted manuscript; Figs. 1–10; Tables 1–2; Supplementary Tables S1–S2 cited</x:v>
      </x:c>
      <x:c r="M593" s="9" t="str">
        <x:v>At least three equivalent independently fabricated units with quantified between-unit variation are not reported.</x:v>
      </x:c>
      <x:c r="N593" s="9" t="str">
        <x:v>Article PDF p. 13</x:v>
      </x:c>
      <x:c r="O593" s="9" t="str">
        <x:v>Material variants and repeated cycles were reported, but no ≥3 separately fabricated same-condition complete-device comparison was identified.</x:v>
      </x:c>
      <x:c r="P593" s="9" t="str">
        <x:v>PDF pp. 10–35 of available accepted manuscript; Figs. 1–10; Tables 1–2; Supplementary Tables S1–S2 cited</x:v>
      </x:c>
    </x:row>
    <x:row r="594">
      <x:c r="A594" s="9" t="n">
        <x:v>75</x:v>
      </x:c>
      <x:c r="B594" s="9" t="str">
        <x:v>S090</x:v>
      </x:c>
      <x:c r="C594" s="9" t="str">
        <x:v>Fan et al. (2019)</x:v>
      </x:c>
      <x:c r="D594" s="9" t="str">
        <x:v>L1</x:v>
      </x:c>
      <x:c r="E594" s="9" t="str">
        <x:v>0</x:v>
      </x:c>
      <x:c r="F594" s="9" t="str">
        <x:v>0</x:v>
      </x:c>
      <x:c r="G594" s="9" t="str">
        <x:v>Yes</x:v>
      </x:c>
      <x:c r="H594" s="9" t="str">
        <x:v>Agree</x:v>
      </x:c>
      <x:c r="I594" s="9" t="str">
        <x:v>0</x:v>
      </x:c>
      <x:c r="J594" s="9" t="str">
        <x:v>Final agreement</x:v>
      </x:c>
      <x:c r="K594" s="9" t="str">
        <x:v>The FDM system, soft-PLA filament and role of the mask are stated, but FDM nozzle diameter, extrusion temperature, layer height, speed and infill are not reported.</x:v>
      </x:c>
      <x:c r="L594" s="9" t="str">
        <x:v>PDF pp. 2–7; Figs. 1, 3–4; Tables 1–2</x:v>
      </x:c>
      <x:c r="M594" s="9" t="str">
        <x:v>Fabrication is described, but reconstruction-critical temperature, layer height, infill, speed details are not reported.</x:v>
      </x:c>
      <x:c r="N594" s="9" t="str">
        <x:v>Article PDF p. 2</x:v>
      </x:c>
      <x:c r="O594" s="9" t="str">
        <x:v>The FDM system, soft-PLA filament and role of the mask are stated, but FDM nozzle diameter, extrusion temperature, layer height, speed and infill are not reported.</x:v>
      </x:c>
      <x:c r="P594" s="9" t="str">
        <x:v>PDF pp. 2–7; Figs. 1, 3–4; Tables 1–2</x:v>
      </x:c>
    </x:row>
    <x:row r="595">
      <x:c r="A595" s="9" t="n">
        <x:v>75</x:v>
      </x:c>
      <x:c r="B595" s="9" t="str">
        <x:v>S090</x:v>
      </x:c>
      <x:c r="C595" s="9" t="str">
        <x:v>Fan et al. (2019)</x:v>
      </x:c>
      <x:c r="D595" s="9" t="str">
        <x:v>L2</x:v>
      </x:c>
      <x:c r="E595" s="9" t="str">
        <x:v>1</x:v>
      </x:c>
      <x:c r="F595" s="9" t="str">
        <x:v>1</x:v>
      </x:c>
      <x:c r="G595" s="9" t="str">
        <x:v>Yes</x:v>
      </x:c>
      <x:c r="H595" s="9" t="str">
        <x:v>Agree</x:v>
      </x:c>
      <x:c r="I595" s="9" t="str">
        <x:v>1</x:v>
      </x:c>
      <x:c r="J595" s="9" t="str">
        <x:v>Final agreement</x:v>
      </x:c>
      <x:c r="K595" s="9" t="str">
        <x:v>Soft PLA, PEDOT:PSS, silver contacts, substrates, electrolyte and the structural role of the insulating mask are described.</x:v>
      </x:c>
      <x:c r="L595" s="9" t="str">
        <x:v>PDF pp. 2–7; Figs. 1, 3–4; Tables 1–2</x:v>
      </x:c>
      <x:c r="M595" s="9" t="str">
        <x:v>Functional host, sensing constituent and relevant electrode/interface materials are identified.</x:v>
      </x:c>
      <x:c r="N595" s="9" t="str">
        <x:v>Article PDF p. 7</x:v>
      </x:c>
      <x:c r="O595" s="9" t="str">
        <x:v>Soft PLA, PEDOT:PSS, silver contacts, substrates, electrolyte and the structural role of the insulating mask are described.</x:v>
      </x:c>
      <x:c r="P595" s="9" t="str">
        <x:v>PDF pp. 2–7; Figs. 1, 3–4; Tables 1–2</x:v>
      </x:c>
    </x:row>
    <x:row r="596">
      <x:c r="A596" s="9" t="n">
        <x:v>75</x:v>
      </x:c>
      <x:c r="B596" s="9" t="str">
        <x:v>S090</x:v>
      </x:c>
      <x:c r="C596" s="9" t="str">
        <x:v>Fan et al. (2019)</x:v>
      </x:c>
      <x:c r="D596" s="9" t="str">
        <x:v>L3</x:v>
      </x:c>
      <x:c r="E596" s="9" t="str">
        <x:v>1</x:v>
      </x:c>
      <x:c r="F596" s="9" t="str">
        <x:v>1</x:v>
      </x:c>
      <x:c r="G596" s="9" t="str">
        <x:v>Yes</x:v>
      </x:c>
      <x:c r="H596" s="9" t="str">
        <x:v>Agree</x:v>
      </x:c>
      <x:c r="I596" s="9" t="str">
        <x:v>1</x:v>
      </x:c>
      <x:c r="J596" s="9" t="str">
        <x:v>Final agreement</x:v>
      </x:c>
      <x:c r="K596" s="9" t="str">
        <x:v>Electrical gate/drain inputs and ion/pH inputs are linked to OECT current, voltage shift and transconductance outputs.</x:v>
      </x:c>
      <x:c r="L596" s="9" t="str">
        <x:v>PDF pp. 2–7; Figs. 1, 3–4; Tables 1–2</x:v>
      </x:c>
      <x:c r="M596" s="9" t="str">
        <x:v>Devices were challenged with prepared potassium concentrations and pH solutions using defined electrical measurement procedures.</x:v>
      </x:c>
      <x:c r="N596" s="9" t="str">
        <x:v>Article PDF pp. 3-6, Figures 3-5</x:v>
      </x:c>
      <x:c r="O596" s="9" t="str">
        <x:v>Electrical gate/drain inputs and ion/pH inputs are linked to OECT current, voltage shift and transconductance outputs.</x:v>
      </x:c>
      <x:c r="P596" s="9" t="str">
        <x:v>PDF pp. 2–7; Figs. 1, 3–4; Tables 1–2</x:v>
      </x:c>
    </x:row>
    <x:row r="597">
      <x:c r="A597" s="9" t="n">
        <x:v>75</x:v>
      </x:c>
      <x:c r="B597" s="9" t="str">
        <x:v>S090</x:v>
      </x:c>
      <x:c r="C597" s="9" t="str">
        <x:v>Fan et al. (2019)</x:v>
      </x:c>
      <x:c r="D597" s="9" t="str">
        <x:v>L4</x:v>
      </x:c>
      <x:c r="E597" s="9" t="str">
        <x:v>1</x:v>
      </x:c>
      <x:c r="F597" s="9" t="str">
        <x:v>1</x:v>
      </x:c>
      <x:c r="G597" s="9" t="str">
        <x:v>Yes</x:v>
      </x:c>
      <x:c r="H597" s="9" t="str">
        <x:v>Agree</x:v>
      </x:c>
      <x:c r="I597" s="9" t="str">
        <x:v>1</x:v>
      </x:c>
      <x:c r="J597" s="9" t="str">
        <x:v>Final agreement</x:v>
      </x:c>
      <x:c r="K597" s="9" t="str">
        <x:v>Transconductance, threshold voltage, ON/OFF ratio and ion/pH sensitivities are quantitative with stated ranges or conditions.</x:v>
      </x:c>
      <x:c r="L597" s="9" t="str">
        <x:v>PDF pp. 2–7; Figs. 1, 3–4; Tables 1–2</x:v>
      </x:c>
      <x:c r="M597" s="9" t="str">
        <x:v>Transconductance and millivolt-per-decade/pH sensitivities are reported over defined concentration ranges.</x:v>
      </x:c>
      <x:c r="N597" s="9" t="str">
        <x:v>Article PDF pp. 5-7, Table 1</x:v>
      </x:c>
      <x:c r="O597" s="9" t="str">
        <x:v>Transconductance, threshold voltage, ON/OFF ratio and ion/pH sensitivities are quantitative with stated ranges or conditions.</x:v>
      </x:c>
      <x:c r="P597" s="9" t="str">
        <x:v>PDF pp. 2–7; Figs. 1, 3–4; Tables 1–2</x:v>
      </x:c>
    </x:row>
    <x:row r="598">
      <x:c r="A598" s="9" t="n">
        <x:v>75</x:v>
      </x:c>
      <x:c r="B598" s="9" t="str">
        <x:v>S090</x:v>
      </x:c>
      <x:c r="C598" s="9" t="str">
        <x:v>Fan et al. (2019)</x:v>
      </x:c>
      <x:c r="D598" s="9" t="str">
        <x:v>L5</x:v>
      </x:c>
      <x:c r="E598" s="9" t="str">
        <x:v>0</x:v>
      </x:c>
      <x:c r="F598" s="9" t="str">
        <x:v>0</x:v>
      </x:c>
      <x:c r="G598" s="9" t="str">
        <x:v>Yes</x:v>
      </x:c>
      <x:c r="H598" s="9" t="str">
        <x:v>Agree</x:v>
      </x:c>
      <x:c r="I598" s="9" t="str">
        <x:v>0</x:v>
      </x:c>
      <x:c r="J598" s="9" t="str">
        <x:v>Final agreement</x:v>
      </x:c>
      <x:c r="K598" s="9" t="str">
        <x:v>The paper mentions measurement cycles and repeatability but does not report at least three complete same-device repetitions of a defined intended stimulus.</x:v>
      </x:c>
      <x:c r="L598" s="9" t="str">
        <x:v>PDF pp. 2–7; Figs. 1, 3–4; Tables 1–2</x:v>
      </x:c>
      <x:c r="M598" s="9" t="str">
        <x:v>Repeated testing lacks either a clear count/range or a qualifying stability/retention/failure outcome.</x:v>
      </x:c>
      <x:c r="N598" s="9" t="str">
        <x:v>Article PDF p. 2</x:v>
      </x:c>
      <x:c r="O598" s="9" t="str">
        <x:v>The paper mentions measurement cycles and repeatability but does not report at least three complete same-device repetitions of a defined intended stimulus.</x:v>
      </x:c>
      <x:c r="P598" s="9" t="str">
        <x:v>PDF pp. 2–7; Figs. 1, 3–4; Tables 1–2</x:v>
      </x:c>
    </x:row>
    <x:row r="599">
      <x:c r="A599" s="9" t="n">
        <x:v>75</x:v>
      </x:c>
      <x:c r="B599" s="9" t="str">
        <x:v>S090</x:v>
      </x:c>
      <x:c r="C599" s="9" t="str">
        <x:v>Fan et al. (2019)</x:v>
      </x:c>
      <x:c r="D599" s="9" t="str">
        <x:v>L6</x:v>
      </x:c>
      <x:c r="E599" s="9" t="str">
        <x:v>0</x:v>
      </x:c>
      <x:c r="F599" s="9" t="str">
        <x:v>0</x:v>
      </x:c>
      <x:c r="G599" s="9" t="str">
        <x:v>Yes</x:v>
      </x:c>
      <x:c r="H599" s="9" t="str">
        <x:v>Agree</x:v>
      </x:c>
      <x:c r="I599" s="9" t="str">
        <x:v>0</x:v>
      </x:c>
      <x:c r="J599" s="9" t="str">
        <x:v>Final agreement</x:v>
      </x:c>
      <x:c r="K599" s="9" t="str">
        <x:v>The aqueous electrolyte is the operating medium and ion/pH solutions are intended measurands; no distinct qualifying environmental or use-related exposure was tested.</x:v>
      </x:c>
      <x:c r="L599" s="9" t="str">
        <x:v>PDF pp. 2–7; Figs. 1, 3–4; Tables 1–2</x:v>
      </x:c>
      <x:c r="M599" s="9" t="str">
        <x:v>DI-water washing occurred between measurements, but retained sensor performance after a non-measurand exposure was not evaluated.</x:v>
      </x:c>
      <x:c r="N599" s="9" t="str">
        <x:v>Article PDF p. 2, Methods</x:v>
      </x:c>
      <x:c r="O599" s="9" t="str">
        <x:v>The aqueous electrolyte is the operating medium and ion/pH solutions are intended measurands; no distinct qualifying environmental or use-related exposure was tested.</x:v>
      </x:c>
      <x:c r="P599" s="9" t="str">
        <x:v>PDF pp. 2–7; Figs. 1, 3–4; Tables 1–2</x:v>
      </x:c>
    </x:row>
    <x:row r="600">
      <x:c r="A600" s="9" t="n">
        <x:v>75</x:v>
      </x:c>
      <x:c r="B600" s="9" t="str">
        <x:v>S090</x:v>
      </x:c>
      <x:c r="C600" s="9" t="str">
        <x:v>Fan et al. (2019)</x:v>
      </x:c>
      <x:c r="D600" s="9" t="str">
        <x:v>L7</x:v>
      </x:c>
      <x:c r="E600" s="9" t="str">
        <x:v>0</x:v>
      </x:c>
      <x:c r="F600" s="9" t="str">
        <x:v>0</x:v>
      </x:c>
      <x:c r="G600" s="9" t="str">
        <x:v>Yes</x:v>
      </x:c>
      <x:c r="H600" s="9" t="str">
        <x:v>Agree</x:v>
      </x:c>
      <x:c r="I600" s="9" t="str">
        <x:v>0</x:v>
      </x:c>
      <x:c r="J600" s="9" t="str">
        <x:v>Final agreement</x:v>
      </x:c>
      <x:c r="K600" s="9" t="str">
        <x:v>Final L7 rating from the targeted reassessment.</x:v>
      </x:c>
      <x:c r="L600" s="9" t="str">
        <x:v>Finalized reviewer-rating workbook</x:v>
      </x:c>
      <x:c r="M600" s="9" t="str">
        <x:v>Final L7 rating from the targeted reassessment.</x:v>
      </x:c>
      <x:c r="N600" s="9" t="str">
        <x:v>Finalized reviewer-rating workbook</x:v>
      </x:c>
      <x:c r="O600" s="9" t="str">
        <x:v>No qualifying interface-integrity test or repeated final monolithic wearable-assembly test with a retention/failure endpoint was located.</x:v>
      </x:c>
      <x:c r="P600" s="9" t="str">
        <x:v>PDF pp. 2–7; Figs. 1, 3–4; Tables 1–2</x:v>
      </x:c>
    </x:row>
    <x:row r="601">
      <x:c r="A601" s="9" t="n">
        <x:v>75</x:v>
      </x:c>
      <x:c r="B601" s="9" t="str">
        <x:v>S090</x:v>
      </x:c>
      <x:c r="C601" s="9" t="str">
        <x:v>Fan et al. (2019)</x:v>
      </x:c>
      <x:c r="D601" s="9" t="str">
        <x:v>L8</x:v>
      </x:c>
      <x:c r="E601" s="9" t="str">
        <x:v>1</x:v>
      </x:c>
      <x:c r="F601" s="9" t="str">
        <x:v>1</x:v>
      </x:c>
      <x:c r="G601" s="9" t="str">
        <x:v>Yes</x:v>
      </x:c>
      <x:c r="H601" s="9" t="str">
        <x:v>Agree</x:v>
      </x:c>
      <x:c r="I601" s="9" t="str">
        <x:v>1</x:v>
      </x:c>
      <x:c r="J601" s="9" t="str">
        <x:v>Final agreement</x:v>
      </x:c>
      <x:c r="K601" s="9" t="str">
        <x:v>Soft-PLA and PET device parameters are reported across n=4 or n=8 devices with dispersion, satisfying the locked between-device rule.</x:v>
      </x:c>
      <x:c r="L601" s="9" t="str">
        <x:v>PDF pp. 2–7; Figs. 1, 3–4; Tables 1–2</x:v>
      </x:c>
      <x:c r="M601" s="9" t="str">
        <x:v>Four or more devices per substrate were compared, with threshold voltage and channel thickness reported as mean plus/minus dispersion.</x:v>
      </x:c>
      <x:c r="N601" s="9" t="str">
        <x:v>Article PDF pp. 2 and 5, Figures 2 and 4</x:v>
      </x:c>
      <x:c r="O601" s="9" t="str">
        <x:v>Soft-PLA and PET device parameters are reported across n=4 or n=8 devices with dispersion, satisfying the locked between-device rule.</x:v>
      </x:c>
      <x:c r="P601" s="9" t="str">
        <x:v>PDF pp. 2–7; Figs. 1, 3–4; Tables 1–2</x:v>
      </x:c>
    </x:row>
    <x:row r="602">
      <x:c r="A602" s="9" t="n">
        <x:v>76</x:v>
      </x:c>
      <x:c r="B602" s="9" t="str">
        <x:v>S091</x:v>
      </x:c>
      <x:c r="C602" s="9" t="str">
        <x:v>Kennedy et al. (2017)</x:v>
      </x:c>
      <x:c r="D602" s="9" t="str">
        <x:v>L1</x:v>
      </x:c>
      <x:c r="E602" s="9" t="str">
        <x:v>1</x:v>
      </x:c>
      <x:c r="F602" s="9" t="str">
        <x:v>1</x:v>
      </x:c>
      <x:c r="G602" s="9" t="str">
        <x:v>Yes</x:v>
      </x:c>
      <x:c r="H602" s="9" t="str">
        <x:v>Agree</x:v>
      </x:c>
      <x:c r="I602" s="9" t="str">
        <x:v>1</x:v>
      </x:c>
      <x:c r="J602" s="9" t="str">
        <x:v>Final agreement</x:v>
      </x:c>
      <x:c r="K602" s="9" t="str">
        <x:v>FDM, printer/model, functional filament, nozzle, print and bed temperatures, speed, layer height, raster direction and specimen geometry are reported.</x:v>
      </x:c>
      <x:c r="L602" s="9" t="str">
        <x:v>PDF pp. 1–8; Figs. 2, 6–11; Table 1; ESI Table S1 and Fig. S5 cited</x:v>
      </x:c>
      <x:c r="M602" s="9" t="str">
        <x:v>Final rating supersedes the earlier rating; no revised narrative reason was supplied.</x:v>
      </x:c>
      <x:c r="N602" s="9" t="str">
        <x:v>Finalized reviewer-rating workbook</x:v>
      </x:c>
      <x:c r="O602" s="9" t="str">
        <x:v>FDM, printer/model, functional filament, nozzle, print and bed temperatures, speed, layer height, raster direction and specimen geometry are reported.</x:v>
      </x:c>
      <x:c r="P602" s="9" t="str">
        <x:v>PDF pp. 1–8; Figs. 2, 6–11; Table 1; ESI Table S1 and Fig. S5 cited</x:v>
      </x:c>
    </x:row>
    <x:row r="603">
      <x:c r="A603" s="9" t="n">
        <x:v>76</x:v>
      </x:c>
      <x:c r="B603" s="9" t="str">
        <x:v>S091</x:v>
      </x:c>
      <x:c r="C603" s="9" t="str">
        <x:v>Kennedy et al. (2017)</x:v>
      </x:c>
      <x:c r="D603" s="9" t="str">
        <x:v>L2</x:v>
      </x:c>
      <x:c r="E603" s="9" t="str">
        <x:v>1</x:v>
      </x:c>
      <x:c r="F603" s="9" t="str">
        <x:v>1</x:v>
      </x:c>
      <x:c r="G603" s="9" t="str">
        <x:v>Yes</x:v>
      </x:c>
      <x:c r="H603" s="9" t="str">
        <x:v>Agree</x:v>
      </x:c>
      <x:c r="I603" s="9" t="str">
        <x:v>1</x:v>
      </x:c>
      <x:c r="J603" s="9" t="str">
        <x:v>Final agreement</x:v>
      </x:c>
      <x:c r="K603" s="9" t="str">
        <x:v>PVDF grade, MWCNT dimensions/loading, composite preparation, printed geometry, contacts and electrical readout are described.</x:v>
      </x:c>
      <x:c r="L603" s="9" t="str">
        <x:v>PDF pp. 1–8; Figs. 2, 6–11; Table 1; ESI Table S1 and Fig. S5 cited</x:v>
      </x:c>
      <x:c r="M603" s="9" t="str">
        <x:v>Functional host, sensing constituent and relevant electrode/interface materials are identified.</x:v>
      </x:c>
      <x:c r="N603" s="9" t="str">
        <x:v>Article PDF p. 2</x:v>
      </x:c>
      <x:c r="O603" s="9" t="str">
        <x:v>PVDF grade, MWCNT dimensions/loading, composite preparation, printed geometry, contacts and electrical readout are described.</x:v>
      </x:c>
      <x:c r="P603" s="9" t="str">
        <x:v>PDF pp. 1–8; Figs. 2, 6–11; Table 1; ESI Table S1 and Fig. S5 cited</x:v>
      </x:c>
    </x:row>
    <x:row r="604">
      <x:c r="A604" s="9" t="n">
        <x:v>76</x:v>
      </x:c>
      <x:c r="B604" s="9" t="str">
        <x:v>S091</x:v>
      </x:c>
      <x:c r="C604" s="9" t="str">
        <x:v>Kennedy et al. (2017)</x:v>
      </x:c>
      <x:c r="D604" s="9" t="str">
        <x:v>L3</x:v>
      </x:c>
      <x:c r="E604" s="9" t="str">
        <x:v>1</x:v>
      </x:c>
      <x:c r="F604" s="9" t="str">
        <x:v>1</x:v>
      </x:c>
      <x:c r="G604" s="9" t="str">
        <x:v>Yes</x:v>
      </x:c>
      <x:c r="H604" s="9" t="str">
        <x:v>Agree</x:v>
      </x:c>
      <x:c r="I604" s="9" t="str">
        <x:v>1</x:v>
      </x:c>
      <x:c r="J604" s="9" t="str">
        <x:v>Final agreement</x:v>
      </x:c>
      <x:c r="K604" s="9" t="str">
        <x:v>Controlled VOC exposure and vacuum recovery are linked to real-time relative resistance.</x:v>
      </x:c>
      <x:c r="L604" s="9" t="str">
        <x:v>PDF pp. 1–8; Figs. 2, 6–11; Table 1; ESI Table S1 and Fig. S5 cited</x:v>
      </x:c>
      <x:c r="M604" s="9" t="str">
        <x:v>Final rating supersedes the earlier rating; no revised narrative reason was supplied.</x:v>
      </x:c>
      <x:c r="N604" s="9" t="str">
        <x:v>Finalized reviewer-rating workbook</x:v>
      </x:c>
      <x:c r="O604" s="9" t="str">
        <x:v>Controlled VOC exposure and vacuum recovery are linked to real-time relative resistance.</x:v>
      </x:c>
      <x:c r="P604" s="9" t="str">
        <x:v>PDF pp. 1–8; Figs. 2, 6–11; Table 1; ESI Table S1 and Fig. S5 cited</x:v>
      </x:c>
    </x:row>
    <x:row r="605">
      <x:c r="A605" s="9" t="n">
        <x:v>76</x:v>
      </x:c>
      <x:c r="B605" s="9" t="str">
        <x:v>S091</x:v>
      </x:c>
      <x:c r="C605" s="9" t="str">
        <x:v>Kennedy et al. (2017)</x:v>
      </x:c>
      <x:c r="D605" s="9" t="str">
        <x:v>L4</x:v>
      </x:c>
      <x:c r="E605" s="9" t="str">
        <x:v>1</x:v>
      </x:c>
      <x:c r="F605" s="9" t="str">
        <x:v>1</x:v>
      </x:c>
      <x:c r="G605" s="9" t="str">
        <x:v>Yes</x:v>
      </x:c>
      <x:c r="H605" s="9" t="str">
        <x:v>Agree</x:v>
      </x:c>
      <x:c r="I605" s="9" t="str">
        <x:v>1</x:v>
      </x:c>
      <x:c r="J605" s="9" t="str">
        <x:v>Final agreement</x:v>
      </x:c>
      <x:c r="K605" s="9" t="str">
        <x:v>Resistance change, response time, baseline resistance, loading, geometry and cycle conditions are quantitatively reported.</x:v>
      </x:c>
      <x:c r="L605" s="9" t="str">
        <x:v>PDF pp. 1–8; Figs. 2, 6–11; Table 1; ESI Table S1 and Fig. S5 cited</x:v>
      </x:c>
      <x:c r="M605" s="9" t="str">
        <x:v>A modality-appropriate quantitative response, units/calculation and operating range are reported.</x:v>
      </x:c>
      <x:c r="N605" s="9" t="str">
        <x:v>Article PDF p. 3</x:v>
      </x:c>
      <x:c r="O605" s="9" t="str">
        <x:v>Resistance change, response time, baseline resistance, loading, geometry and cycle conditions are quantitatively reported.</x:v>
      </x:c>
      <x:c r="P605" s="9" t="str">
        <x:v>PDF pp. 1–8; Figs. 2, 6–11; Table 1; ESI Table S1 and Fig. S5 cited</x:v>
      </x:c>
    </x:row>
    <x:row r="606">
      <x:c r="A606" s="9" t="n">
        <x:v>76</x:v>
      </x:c>
      <x:c r="B606" s="9" t="str">
        <x:v>S091</x:v>
      </x:c>
      <x:c r="C606" s="9" t="str">
        <x:v>Kennedy et al. (2017)</x:v>
      </x:c>
      <x:c r="D606" s="9" t="str">
        <x:v>L5</x:v>
      </x:c>
      <x:c r="E606" s="9" t="str">
        <x:v>1</x:v>
      </x:c>
      <x:c r="F606" s="9" t="str">
        <x:v>1</x:v>
      </x:c>
      <x:c r="G606" s="9" t="str">
        <x:v>Yes</x:v>
      </x:c>
      <x:c r="H606" s="9" t="str">
        <x:v>Agree</x:v>
      </x:c>
      <x:c r="I606" s="9" t="str">
        <x:v>1</x:v>
      </x:c>
      <x:c r="J606" s="9" t="str">
        <x:v>Final agreement</x:v>
      </x:c>
      <x:c r="K606" s="9" t="str">
        <x:v>Four-cycle VOC tests and a 25-cycle acetone–vacuum endurance test provide defined same-device repetition evidence.</x:v>
      </x:c>
      <x:c r="L606" s="9" t="str">
        <x:v>PDF pp. 1–8; Figs. 2, 6–11; Table 1; ESI Table S1 and Fig. S5 cited</x:v>
      </x:c>
      <x:c r="M606" s="9" t="str">
        <x:v>A stated repeated-test range/count is accompanied by a stability, hysteresis, retention or failure outcome.</x:v>
      </x:c>
      <x:c r="N606" s="9" t="str">
        <x:v>Article PDF p. 6</x:v>
      </x:c>
      <x:c r="O606" s="9" t="str">
        <x:v>Four-cycle VOC tests and a 25-cycle acetone–vacuum endurance test provide defined same-device repetition evidence.</x:v>
      </x:c>
      <x:c r="P606" s="9" t="str">
        <x:v>PDF pp. 1–8; Figs. 2, 6–11; Table 1; ESI Table S1 and Fig. S5 cited</x:v>
      </x:c>
    </x:row>
    <x:row r="607">
      <x:c r="A607" s="9" t="n">
        <x:v>76</x:v>
      </x:c>
      <x:c r="B607" s="9" t="str">
        <x:v>S091</x:v>
      </x:c>
      <x:c r="C607" s="9" t="str">
        <x:v>Kennedy et al. (2017)</x:v>
      </x:c>
      <x:c r="D607" s="9" t="str">
        <x:v>L6</x:v>
      </x:c>
      <x:c r="E607" s="9" t="str">
        <x:v>0</x:v>
      </x:c>
      <x:c r="F607" s="9" t="str">
        <x:v>0</x:v>
      </x:c>
      <x:c r="G607" s="9" t="str">
        <x:v>Yes</x:v>
      </x:c>
      <x:c r="H607" s="9" t="str">
        <x:v>Agree</x:v>
      </x:c>
      <x:c r="I607" s="9" t="str">
        <x:v>0</x:v>
      </x:c>
      <x:c r="J607" s="9" t="str">
        <x:v>Final agreement</x:v>
      </x:c>
      <x:c r="K607" s="9" t="str">
        <x:v>VOC exposure is the intended measurand rather than a distinct environmental or use-related stress; no separate qualifying exposure was tested.</x:v>
      </x:c>
      <x:c r="L607" s="9" t="str">
        <x:v>PDF pp. 1–8; Figs. 2, 6–11; Table 1; ESI Table S1 and Fig. S5 cited</x:v>
      </x:c>
      <x:c r="M607" s="9" t="str">
        <x:v>Acetone vapour is the intended chemical measurand rather than a non-measurand environmental exposure.</x:v>
      </x:c>
      <x:c r="N607" s="9" t="str">
        <x:v>Article PDF p. 6, Figure 5</x:v>
      </x:c>
      <x:c r="O607" s="9" t="str">
        <x:v>VOC exposure is the intended measurand rather than a distinct environmental or use-related stress; no separate qualifying exposure was tested.</x:v>
      </x:c>
      <x:c r="P607" s="9" t="str">
        <x:v>PDF pp. 1–8; Figs. 2, 6–11; Table 1; ESI Table S1 and Fig. S5 cited</x:v>
      </x:c>
    </x:row>
    <x:row r="608">
      <x:c r="A608" s="9" t="n">
        <x:v>76</x:v>
      </x:c>
      <x:c r="B608" s="9" t="str">
        <x:v>S091</x:v>
      </x:c>
      <x:c r="C608" s="9" t="str">
        <x:v>Kennedy et al. (2017)</x:v>
      </x:c>
      <x:c r="D608" s="9" t="str">
        <x:v>L7</x:v>
      </x:c>
      <x:c r="E608" s="9" t="str">
        <x:v>0</x:v>
      </x:c>
      <x:c r="F608" s="9" t="str">
        <x:v>0</x:v>
      </x:c>
      <x:c r="G608" s="9" t="str">
        <x:v>Yes</x:v>
      </x:c>
      <x:c r="H608" s="9" t="str">
        <x:v>Agree</x:v>
      </x:c>
      <x:c r="I608" s="9" t="str">
        <x:v>0</x:v>
      </x:c>
      <x:c r="J608" s="9" t="str">
        <x:v>Final agreement</x:v>
      </x:c>
      <x:c r="K608" s="9" t="str">
        <x:v>Final L7 rating from the targeted reassessment.</x:v>
      </x:c>
      <x:c r="L608" s="9" t="str">
        <x:v>Finalized reviewer-rating workbook</x:v>
      </x:c>
      <x:c r="M608" s="9" t="str">
        <x:v>Final L7 rating from the targeted reassessment.</x:v>
      </x:c>
      <x:c r="N608" s="9" t="str">
        <x:v>Finalized reviewer-rating workbook</x:v>
      </x:c>
      <x:c r="O608" s="9" t="str">
        <x:v>No qualifying interface-integrity test or repeated final monolithic wearable-assembly test with a retention/failure endpoint was located.</x:v>
      </x:c>
      <x:c r="P608" s="9" t="str">
        <x:v>PDF pp. 1–8; Figs. 2, 6–11; Table 1; ESI Table S1 and Fig. S5 cited</x:v>
      </x:c>
    </x:row>
    <x:row r="609">
      <x:c r="A609" s="10" t="n">
        <x:v>76</x:v>
      </x:c>
      <x:c r="B609" s="10" t="str">
        <x:v>S091</x:v>
      </x:c>
      <x:c r="C609" s="10" t="str">
        <x:v>Kennedy et al. (2017)</x:v>
      </x:c>
      <x:c r="D609" s="10" t="str">
        <x:v>L8</x:v>
      </x:c>
      <x:c r="E609" s="10" t="str">
        <x:v>1</x:v>
      </x:c>
      <x:c r="F609" s="10" t="str">
        <x:v>1</x:v>
      </x:c>
      <x:c r="G609" s="10" t="str">
        <x:v>Yes</x:v>
      </x:c>
      <x:c r="H609" s="10" t="str">
        <x:v>Agree</x:v>
      </x:c>
      <x:c r="I609" s="10" t="str">
        <x:v>1</x:v>
      </x:c>
      <x:c r="J609" s="10" t="str">
        <x:v>Final agreement</x:v>
      </x:c>
      <x:c r="K609" s="10" t="str">
        <x:v>Baseline resistance was measured on three separately printed one-layer sensors per MWCNT ratio and reported with dispersion.</x:v>
      </x:c>
      <x:c r="L609" s="10" t="str">
        <x:v>PDF pp. 1–8; Figs. 2, 6–11; Table 1; ESI Table S1 and Fig. S5 cited</x:v>
      </x:c>
      <x:c r="M609" s="10" t="str">
        <x:v>Final rating supersedes the earlier rating; no revised narrative reason was supplied.</x:v>
      </x:c>
      <x:c r="N609" s="10" t="str">
        <x:v>Finalized reviewer-rating workbook</x:v>
      </x:c>
      <x:c r="O609" s="10" t="str">
        <x:v>Baseline resistance was measured on three separately printed one-layer sensors per MWCNT ratio and reported with dispersion.</x:v>
      </x:c>
      <x:c r="P609" s="10" t="str">
        <x:v>PDF pp. 1–8; Figs. 2, 6–11; Table 1; ESI Table S1 and Fig. S5 cited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1" hidden="0" customWidth="1"/>
    <x:col min="3" max="3" width="22" hidden="0" customWidth="1"/>
    <x:col min="4" max="4" width="55" hidden="0" customWidth="1"/>
    <x:col min="5" max="5" width="7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10" hidden="0" customWidth="1"/>
    <x:col min="14" max="14" width="14" hidden="0" customWidth="1"/>
    <x:col min="15" max="15" width="16" hidden="0" customWidth="1"/>
  </x:cols>
  <x:sheetData>
    <x:row r="1" ht="34" customHeight="1">
      <x:c r="A1" s="7" t="str">
        <x:v>Synthesis ID</x:v>
      </x:c>
      <x:c r="B1" s="7" t="str">
        <x:v>Study ID</x:v>
      </x:c>
      <x:c r="C1" s="7" t="str">
        <x:v>Citation</x:v>
      </x:c>
      <x:c r="D1" s="7" t="str">
        <x:v>Article title</x:v>
      </x:c>
      <x:c r="E1" s="7" t="str">
        <x:v>L1</x:v>
      </x:c>
      <x:c r="F1" s="7" t="str">
        <x:v>L2</x:v>
      </x:c>
      <x:c r="G1" s="7" t="str">
        <x:v>L3</x:v>
      </x:c>
      <x:c r="H1" s="7" t="str">
        <x:v>L4</x:v>
      </x:c>
      <x:c r="I1" s="7" t="str">
        <x:v>L5</x:v>
      </x:c>
      <x:c r="J1" s="7" t="str">
        <x:v>L6</x:v>
      </x:c>
      <x:c r="K1" s="7" t="str">
        <x:v>L7</x:v>
      </x:c>
      <x:c r="L1" s="7" t="str">
        <x:v>L8</x:v>
      </x:c>
      <x:c r="M1" s="7" t="str">
        <x:v>R</x:v>
      </x:c>
      <x:c r="N1" s="7" t="str">
        <x:v>L5-L8 count</x:v>
      </x:c>
      <x:c r="O1" s="7" t="str">
        <x:v>L5-L8 pattern</x:v>
      </x:c>
    </x:row>
    <x:row r="2">
      <x:c r="A2" s="8" t="n">
        <x:v>1</x:v>
      </x:c>
      <x:c r="B2" s="8" t="str">
        <x:v>S001</x:v>
      </x:c>
      <x:c r="C2" s="8" t="str">
        <x:v>Leal-Junior et al. (2025)</x:v>
      </x:c>
      <x:c r="D2" s="8" t="str">
        <x:v>Fiber Bragg Grating Embedded 3D-Printed Insole with Commercial and Portable Reader for Stance Phase Determination</x:v>
      </x:c>
      <x:c r="E2" s="8" t="n">
        <x:v>0</x:v>
      </x:c>
      <x:c r="F2" s="8" t="n">
        <x:v>1</x:v>
      </x:c>
      <x:c r="G2" s="8" t="n">
        <x:v>1</x:v>
      </x:c>
      <x:c r="H2" s="8" t="n">
        <x:v>1</x:v>
      </x:c>
      <x:c r="I2" s="8" t="n">
        <x:v>1</x:v>
      </x:c>
      <x:c r="J2" s="8" t="n">
        <x:v>0</x:v>
      </x:c>
      <x:c r="K2" s="8" t="n">
        <x:v>0</x:v>
      </x:c>
      <x:c r="L2" s="8" t="n">
        <x:v>0</x:v>
      </x:c>
      <x:c r="M2" s="14" t="n">
        <x:v>0.5</x:v>
      </x:c>
      <x:c r="N2" s="8" t="n">
        <x:v>1</x:v>
      </x:c>
      <x:c r="O2" s="8" t="str">
        <x:v>1-0-0-0</x:v>
      </x:c>
    </x:row>
    <x:row r="3">
      <x:c r="A3" s="9" t="n">
        <x:v>2</x:v>
      </x:c>
      <x:c r="B3" s="9" t="str">
        <x:v>S002</x:v>
      </x:c>
      <x:c r="C3" s="9" t="str">
        <x:v>Koukouviti et al. (2022)</x:v>
      </x:c>
      <x:c r="D3" s="9" t="str">
        <x:v>3D Printed Voltammetric Sensor Modified with an Fe(III)-Cluster for the Enzyme-Free Determination of Glucose in Sweat</x:v>
      </x:c>
      <x:c r="E3" s="9" t="n">
        <x:v>0</x:v>
      </x:c>
      <x:c r="F3" s="9" t="n">
        <x:v>1</x:v>
      </x:c>
      <x:c r="G3" s="9" t="n">
        <x:v>1</x:v>
      </x:c>
      <x:c r="H3" s="9" t="n">
        <x:v>1</x:v>
      </x:c>
      <x:c r="I3" s="9" t="n">
        <x:v>1</x:v>
      </x:c>
      <x:c r="J3" s="9" t="n">
        <x:v>1</x:v>
      </x:c>
      <x:c r="K3" s="9" t="n">
        <x:v>0</x:v>
      </x:c>
      <x:c r="L3" s="9" t="n">
        <x:v>1</x:v>
      </x:c>
      <x:c r="M3" s="15" t="n">
        <x:v>0.75</x:v>
      </x:c>
      <x:c r="N3" s="9" t="n">
        <x:v>3</x:v>
      </x:c>
      <x:c r="O3" s="9" t="str">
        <x:v>1-1-0-1</x:v>
      </x:c>
    </x:row>
    <x:row r="4">
      <x:c r="A4" s="9" t="n">
        <x:v>3</x:v>
      </x:c>
      <x:c r="B4" s="9" t="str">
        <x:v>S004</x:v>
      </x:c>
      <x:c r="C4" s="9" t="str">
        <x:v>Farid et al. (2025)</x:v>
      </x:c>
      <x:c r="D4" s="9" t="str">
        <x:v>High-Performance 3D Printed Thermoplastic Polyurethane Composite Resistive Flexible Strain Sensor</x:v>
      </x:c>
      <x:c r="E4" s="9" t="n">
        <x:v>1</x:v>
      </x:c>
      <x:c r="F4" s="9" t="n">
        <x:v>1</x:v>
      </x:c>
      <x:c r="G4" s="9" t="n">
        <x:v>1</x:v>
      </x:c>
      <x:c r="H4" s="9" t="n">
        <x:v>1</x:v>
      </x:c>
      <x:c r="I4" s="9" t="n">
        <x:v>1</x:v>
      </x:c>
      <x:c r="J4" s="9" t="n">
        <x:v>0</x:v>
      </x:c>
      <x:c r="K4" s="9" t="n">
        <x:v>0</x:v>
      </x:c>
      <x:c r="L4" s="9" t="n">
        <x:v>0</x:v>
      </x:c>
      <x:c r="M4" s="15" t="n">
        <x:v>0.625</x:v>
      </x:c>
      <x:c r="N4" s="9" t="n">
        <x:v>1</x:v>
      </x:c>
      <x:c r="O4" s="9" t="str">
        <x:v>1-0-0-0</x:v>
      </x:c>
    </x:row>
    <x:row r="5">
      <x:c r="A5" s="9" t="n">
        <x:v>4</x:v>
      </x:c>
      <x:c r="B5" s="9" t="str">
        <x:v>S005</x:v>
      </x:c>
      <x:c r="C5" s="9" t="str">
        <x:v>Tavares et al. (2022)</x:v>
      </x:c>
      <x:c r="D5" s="9" t="str">
        <x:v>Respiratory and heart rate monitoring using an FBG 3D-printed wearable system</x:v>
      </x:c>
      <x:c r="E5" s="9" t="n">
        <x:v>0</x:v>
      </x:c>
      <x:c r="F5" s="9" t="n">
        <x:v>1</x:v>
      </x:c>
      <x:c r="G5" s="9" t="n">
        <x:v>1</x:v>
      </x:c>
      <x:c r="H5" s="9" t="n">
        <x:v>1</x:v>
      </x:c>
      <x:c r="I5" s="9" t="n">
        <x:v>0</x:v>
      </x:c>
      <x:c r="J5" s="9" t="n">
        <x:v>0</x:v>
      </x:c>
      <x:c r="K5" s="9" t="n">
        <x:v>0</x:v>
      </x:c>
      <x:c r="L5" s="9" t="n">
        <x:v>0</x:v>
      </x:c>
      <x:c r="M5" s="15" t="n">
        <x:v>0.375</x:v>
      </x:c>
      <x:c r="N5" s="9" t="n">
        <x:v>0</x:v>
      </x:c>
      <x:c r="O5" s="9" t="str">
        <x:v>0-0-0-0</x:v>
      </x:c>
    </x:row>
    <x:row r="6">
      <x:c r="A6" s="9" t="n">
        <x:v>5</x:v>
      </x:c>
      <x:c r="B6" s="9" t="str">
        <x:v>S007</x:v>
      </x:c>
      <x:c r="C6" s="9" t="str">
        <x:v>Velcescu et al. (2019)</x:v>
      </x:c>
      <x:c r="D6" s="9" t="str">
        <x:v>Flexible 3D-Printed EEG Electrodes</x:v>
      </x:c>
      <x:c r="E6" s="9" t="n">
        <x:v>1</x:v>
      </x:c>
      <x:c r="F6" s="9" t="n">
        <x:v>1</x:v>
      </x:c>
      <x:c r="G6" s="9" t="n">
        <x:v>1</x:v>
      </x:c>
      <x:c r="H6" s="9" t="n">
        <x:v>1</x:v>
      </x:c>
      <x:c r="I6" s="9" t="n">
        <x:v>0</x:v>
      </x:c>
      <x:c r="J6" s="9" t="n">
        <x:v>1</x:v>
      </x:c>
      <x:c r="K6" s="9" t="n">
        <x:v>0</x:v>
      </x:c>
      <x:c r="L6" s="9" t="n">
        <x:v>0</x:v>
      </x:c>
      <x:c r="M6" s="15" t="n">
        <x:v>0.625</x:v>
      </x:c>
      <x:c r="N6" s="9" t="n">
        <x:v>1</x:v>
      </x:c>
      <x:c r="O6" s="9" t="str">
        <x:v>0-1-0-0</x:v>
      </x:c>
    </x:row>
    <x:row r="7">
      <x:c r="A7" s="9" t="n">
        <x:v>6</x:v>
      </x:c>
      <x:c r="B7" s="9" t="str">
        <x:v>S008</x:v>
      </x:c>
      <x:c r="C7" s="9" t="str">
        <x:v>Kim et al. (2022)</x:v>
      </x:c>
      <x:c r="D7" s="9" t="str">
        <x:v>3D designed battery-free wireless origami pressure sensor</x:v>
      </x:c>
      <x:c r="E7" s="9" t="n">
        <x:v>1</x:v>
      </x:c>
      <x:c r="F7" s="9" t="n">
        <x:v>1</x:v>
      </x:c>
      <x:c r="G7" s="9" t="n">
        <x:v>1</x:v>
      </x:c>
      <x:c r="H7" s="9" t="n">
        <x:v>1</x:v>
      </x:c>
      <x:c r="I7" s="9" t="n">
        <x:v>0</x:v>
      </x:c>
      <x:c r="J7" s="9" t="n">
        <x:v>0</x:v>
      </x:c>
      <x:c r="K7" s="9" t="n">
        <x:v>0</x:v>
      </x:c>
      <x:c r="L7" s="9" t="n">
        <x:v>0</x:v>
      </x:c>
      <x:c r="M7" s="15" t="n">
        <x:v>0.5</x:v>
      </x:c>
      <x:c r="N7" s="9" t="n">
        <x:v>0</x:v>
      </x:c>
      <x:c r="O7" s="9" t="str">
        <x:v>0-0-0-0</x:v>
      </x:c>
    </x:row>
    <x:row r="8">
      <x:c r="A8" s="9" t="n">
        <x:v>7</x:v>
      </x:c>
      <x:c r="B8" s="9" t="str">
        <x:v>S010</x:v>
      </x:c>
      <x:c r="C8" s="9" t="str">
        <x:v>Mutlu et al. (2023)</x:v>
      </x:c>
      <x:c r="D8" s="9" t="str">
        <x:v>A 3D-Printed Soft Haptic Device with Built-in Force Sensing Delivering Bio-Mimicked Feedback</x:v>
      </x:c>
      <x:c r="E8" s="9" t="n">
        <x:v>1</x:v>
      </x:c>
      <x:c r="F8" s="9" t="n">
        <x:v>1</x:v>
      </x:c>
      <x:c r="G8" s="9" t="n">
        <x:v>1</x:v>
      </x:c>
      <x:c r="H8" s="9" t="n">
        <x:v>1</x:v>
      </x:c>
      <x:c r="I8" s="9" t="n">
        <x:v>1</x:v>
      </x:c>
      <x:c r="J8" s="9" t="n">
        <x:v>0</x:v>
      </x:c>
      <x:c r="K8" s="9" t="n">
        <x:v>0</x:v>
      </x:c>
      <x:c r="L8" s="9" t="n">
        <x:v>0</x:v>
      </x:c>
      <x:c r="M8" s="15" t="n">
        <x:v>0.625</x:v>
      </x:c>
      <x:c r="N8" s="9" t="n">
        <x:v>1</x:v>
      </x:c>
      <x:c r="O8" s="9" t="str">
        <x:v>1-0-0-0</x:v>
      </x:c>
    </x:row>
    <x:row r="9">
      <x:c r="A9" s="9" t="n">
        <x:v>8</x:v>
      </x:c>
      <x:c r="B9" s="9" t="str">
        <x:v>S011</x:v>
      </x:c>
      <x:c r="C9" s="9" t="str">
        <x:v>Samarentsis et al. (2022)</x:v>
      </x:c>
      <x:c r="D9" s="9" t="str">
        <x:v>A 3D-Printed Capacitive Smart Insole for Plantar Pressure Monitoring</x:v>
      </x:c>
      <x:c r="E9" s="9" t="n">
        <x:v>1</x:v>
      </x:c>
      <x:c r="F9" s="9" t="n">
        <x:v>1</x:v>
      </x:c>
      <x:c r="G9" s="9" t="n">
        <x:v>1</x:v>
      </x:c>
      <x:c r="H9" s="9" t="n">
        <x:v>1</x:v>
      </x:c>
      <x:c r="I9" s="9" t="n">
        <x:v>1</x:v>
      </x:c>
      <x:c r="J9" s="9" t="n">
        <x:v>0</x:v>
      </x:c>
      <x:c r="K9" s="9" t="n">
        <x:v>0</x:v>
      </x:c>
      <x:c r="L9" s="9" t="n">
        <x:v>1</x:v>
      </x:c>
      <x:c r="M9" s="15" t="n">
        <x:v>0.75</x:v>
      </x:c>
      <x:c r="N9" s="9" t="n">
        <x:v>2</x:v>
      </x:c>
      <x:c r="O9" s="9" t="str">
        <x:v>1-0-0-1</x:v>
      </x:c>
    </x:row>
    <x:row r="10">
      <x:c r="A10" s="9" t="n">
        <x:v>9</x:v>
      </x:c>
      <x:c r="B10" s="9" t="str">
        <x:v>S012</x:v>
      </x:c>
      <x:c r="C10" s="9" t="str">
        <x:v>Wolterink et al. (2020)</x:v>
      </x:c>
      <x:c r="D10" s="9" t="str">
        <x:v>Development of Soft sEMG Sensing Structures Using 3D-Printing Technologies</x:v>
      </x:c>
      <x:c r="E10" s="9" t="n">
        <x:v>0</x:v>
      </x:c>
      <x:c r="F10" s="9" t="n">
        <x:v>1</x:v>
      </x:c>
      <x:c r="G10" s="9" t="n">
        <x:v>1</x:v>
      </x:c>
      <x:c r="H10" s="9" t="n">
        <x:v>1</x:v>
      </x:c>
      <x:c r="I10" s="9" t="n">
        <x:v>1</x:v>
      </x:c>
      <x:c r="J10" s="9" t="n">
        <x:v>1</x:v>
      </x:c>
      <x:c r="K10" s="9" t="n">
        <x:v>0</x:v>
      </x:c>
      <x:c r="L10" s="9" t="n">
        <x:v>0</x:v>
      </x:c>
      <x:c r="M10" s="15" t="n">
        <x:v>0.625</x:v>
      </x:c>
      <x:c r="N10" s="9" t="n">
        <x:v>2</x:v>
      </x:c>
      <x:c r="O10" s="9" t="str">
        <x:v>1-1-0-0</x:v>
      </x:c>
    </x:row>
    <x:row r="11">
      <x:c r="A11" s="9" t="n">
        <x:v>10</x:v>
      </x:c>
      <x:c r="B11" s="9" t="str">
        <x:v>S013</x:v>
      </x:c>
      <x:c r="C11" s="9" t="str">
        <x:v>Poulladofonou et al. (2022)</x:v>
      </x:c>
      <x:c r="D11" s="9" t="str">
        <x:v>Wearable Electronic Finger for Date Rape Drugs Screening: From Do-It-Yourself Fabrication to Self-Testing</x:v>
      </x:c>
      <x:c r="E11" s="9" t="n">
        <x:v>0</x:v>
      </x:c>
      <x:c r="F11" s="9" t="n">
        <x:v>1</x:v>
      </x:c>
      <x:c r="G11" s="9" t="n">
        <x:v>1</x:v>
      </x:c>
      <x:c r="H11" s="9" t="n">
        <x:v>1</x:v>
      </x:c>
      <x:c r="I11" s="9" t="n">
        <x:v>1</x:v>
      </x:c>
      <x:c r="J11" s="9" t="n">
        <x:v>1</x:v>
      </x:c>
      <x:c r="K11" s="9" t="n">
        <x:v>0</x:v>
      </x:c>
      <x:c r="L11" s="9" t="n">
        <x:v>1</x:v>
      </x:c>
      <x:c r="M11" s="15" t="n">
        <x:v>0.75</x:v>
      </x:c>
      <x:c r="N11" s="9" t="n">
        <x:v>3</x:v>
      </x:c>
      <x:c r="O11" s="9" t="str">
        <x:v>1-1-0-1</x:v>
      </x:c>
    </x:row>
    <x:row r="12">
      <x:c r="A12" s="9" t="n">
        <x:v>11</x:v>
      </x:c>
      <x:c r="B12" s="9" t="str">
        <x:v>S014</x:v>
      </x:c>
      <x:c r="C12" s="9" t="str">
        <x:v>Dimo et al. (2025)</x:v>
      </x:c>
      <x:c r="D12" s="9" t="str">
        <x:v>3D-Printed Wearable Sensors for the Identification of Shoulder Movement Planes</x:v>
      </x:c>
      <x:c r="E12" s="9" t="n">
        <x:v>0</x:v>
      </x:c>
      <x:c r="F12" s="9" t="n">
        <x:v>1</x:v>
      </x:c>
      <x:c r="G12" s="9" t="n">
        <x:v>1</x:v>
      </x:c>
      <x:c r="H12" s="9" t="n">
        <x:v>1</x:v>
      </x:c>
      <x:c r="I12" s="9" t="n">
        <x:v>1</x:v>
      </x:c>
      <x:c r="J12" s="9" t="n">
        <x:v>1</x:v>
      </x:c>
      <x:c r="K12" s="9" t="n">
        <x:v>1</x:v>
      </x:c>
      <x:c r="L12" s="9" t="n">
        <x:v>0</x:v>
      </x:c>
      <x:c r="M12" s="15" t="n">
        <x:v>0.75</x:v>
      </x:c>
      <x:c r="N12" s="9" t="n">
        <x:v>3</x:v>
      </x:c>
      <x:c r="O12" s="9" t="str">
        <x:v>1-1-1-0</x:v>
      </x:c>
    </x:row>
    <x:row r="13">
      <x:c r="A13" s="9" t="n">
        <x:v>12</x:v>
      </x:c>
      <x:c r="B13" s="9" t="str">
        <x:v>S015</x:v>
      </x:c>
      <x:c r="C13" s="9" t="str">
        <x:v>Farook et al. (2023)</x:v>
      </x:c>
      <x:c r="D13" s="9" t="str">
        <x:v>A 3D printed electronic wearable device to generate vertical, horizontal and phono-articulatory jaw movement parameters</x:v>
      </x:c>
      <x:c r="E13" s="9" t="n">
        <x:v>0</x:v>
      </x:c>
      <x:c r="F13" s="9" t="n">
        <x:v>1</x:v>
      </x:c>
      <x:c r="G13" s="9" t="n">
        <x:v>1</x:v>
      </x:c>
      <x:c r="H13" s="9" t="n">
        <x:v>1</x:v>
      </x:c>
      <x:c r="I13" s="9" t="n">
        <x:v>0</x:v>
      </x:c>
      <x:c r="J13" s="9" t="n">
        <x:v>0</x:v>
      </x:c>
      <x:c r="K13" s="9" t="n">
        <x:v>0</x:v>
      </x:c>
      <x:c r="L13" s="9" t="n">
        <x:v>0</x:v>
      </x:c>
      <x:c r="M13" s="15" t="n">
        <x:v>0.375</x:v>
      </x:c>
      <x:c r="N13" s="9" t="n">
        <x:v>0</x:v>
      </x:c>
      <x:c r="O13" s="9" t="str">
        <x:v>0-0-0-0</x:v>
      </x:c>
    </x:row>
    <x:row r="14">
      <x:c r="A14" s="9" t="n">
        <x:v>13</x:v>
      </x:c>
      <x:c r="B14" s="9" t="str">
        <x:v>S017</x:v>
      </x:c>
      <x:c r="C14" s="9" t="str">
        <x:v>Zhang and Ma (2025)</x:v>
      </x:c>
      <x:c r="D14" s="9" t="str">
        <x:v>A Triboelectric Nanogenerator Based on TPU/PLA for Basketball Motion Monitoring</x:v>
      </x:c>
      <x:c r="E14" s="9" t="n">
        <x:v>0</x:v>
      </x:c>
      <x:c r="F14" s="9" t="n">
        <x:v>0</x:v>
      </x:c>
      <x:c r="G14" s="9" t="n">
        <x:v>1</x:v>
      </x:c>
      <x:c r="H14" s="9" t="n">
        <x:v>1</x:v>
      </x:c>
      <x:c r="I14" s="9" t="n">
        <x:v>1</x:v>
      </x:c>
      <x:c r="J14" s="9" t="n">
        <x:v>1</x:v>
      </x:c>
      <x:c r="K14" s="9" t="n">
        <x:v>0</x:v>
      </x:c>
      <x:c r="L14" s="9" t="n">
        <x:v>0</x:v>
      </x:c>
      <x:c r="M14" s="15" t="n">
        <x:v>0.5</x:v>
      </x:c>
      <x:c r="N14" s="9" t="n">
        <x:v>2</x:v>
      </x:c>
      <x:c r="O14" s="9" t="str">
        <x:v>1-1-0-0</x:v>
      </x:c>
    </x:row>
    <x:row r="15">
      <x:c r="A15" s="9" t="n">
        <x:v>14</x:v>
      </x:c>
      <x:c r="B15" s="9" t="str">
        <x:v>S018</x:v>
      </x:c>
      <x:c r="C15" s="9" t="str">
        <x:v>Vu et al. (2025)</x:v>
      </x:c>
      <x:c r="D15" s="9" t="str">
        <x:v>3D-Printed Insole for Measuring Ground Reaction Force and Center of Pressure During Walking</x:v>
      </x:c>
      <x:c r="E15" s="9" t="n">
        <x:v>0</x:v>
      </x:c>
      <x:c r="F15" s="9" t="n">
        <x:v>1</x:v>
      </x:c>
      <x:c r="G15" s="9" t="n">
        <x:v>1</x:v>
      </x:c>
      <x:c r="H15" s="9" t="n">
        <x:v>1</x:v>
      </x:c>
      <x:c r="I15" s="9" t="n">
        <x:v>0</x:v>
      </x:c>
      <x:c r="J15" s="9" t="n">
        <x:v>0</x:v>
      </x:c>
      <x:c r="K15" s="9" t="n">
        <x:v>1</x:v>
      </x:c>
      <x:c r="L15" s="9" t="n">
        <x:v>0</x:v>
      </x:c>
      <x:c r="M15" s="15" t="n">
        <x:v>0.5</x:v>
      </x:c>
      <x:c r="N15" s="9" t="n">
        <x:v>1</x:v>
      </x:c>
      <x:c r="O15" s="9" t="str">
        <x:v>0-0-1-0</x:v>
      </x:c>
    </x:row>
    <x:row r="16">
      <x:c r="A16" s="9" t="n">
        <x:v>15</x:v>
      </x:c>
      <x:c r="B16" s="9" t="str">
        <x:v>S019</x:v>
      </x:c>
      <x:c r="C16" s="9" t="str">
        <x:v>Vu et al. (2021)</x:v>
      </x:c>
      <x:c r="D16" s="9" t="str">
        <x:v>Effects of 3D Printing-Line Directions for Stretchable Sensor Performances</x:v>
      </x:c>
      <x:c r="E16" s="9" t="n">
        <x:v>1</x:v>
      </x:c>
      <x:c r="F16" s="9" t="n">
        <x:v>1</x:v>
      </x:c>
      <x:c r="G16" s="9" t="n">
        <x:v>1</x:v>
      </x:c>
      <x:c r="H16" s="9" t="n">
        <x:v>1</x:v>
      </x:c>
      <x:c r="I16" s="9" t="n">
        <x:v>1</x:v>
      </x:c>
      <x:c r="J16" s="9" t="n">
        <x:v>1</x:v>
      </x:c>
      <x:c r="K16" s="9" t="n">
        <x:v>0</x:v>
      </x:c>
      <x:c r="L16" s="9" t="n">
        <x:v>1</x:v>
      </x:c>
      <x:c r="M16" s="15" t="n">
        <x:v>0.875</x:v>
      </x:c>
      <x:c r="N16" s="9" t="n">
        <x:v>3</x:v>
      </x:c>
      <x:c r="O16" s="9" t="str">
        <x:v>1-1-0-1</x:v>
      </x:c>
    </x:row>
    <x:row r="17">
      <x:c r="A17" s="9" t="n">
        <x:v>16</x:v>
      </x:c>
      <x:c r="B17" s="9" t="str">
        <x:v>S020</x:v>
      </x:c>
      <x:c r="C17" s="9" t="str">
        <x:v>Langlois et al. (2021)</x:v>
      </x:c>
      <x:c r="D17" s="9" t="str">
        <x:v>Integration of 3D Printed Flexible Pressure Sensors into Physical Interfaces for Wearable Robots</x:v>
      </x:c>
      <x:c r="E17" s="9" t="n">
        <x:v>0</x:v>
      </x:c>
      <x:c r="F17" s="9" t="n">
        <x:v>1</x:v>
      </x:c>
      <x:c r="G17" s="9" t="n">
        <x:v>1</x:v>
      </x:c>
      <x:c r="H17" s="9" t="n">
        <x:v>1</x:v>
      </x:c>
      <x:c r="I17" s="9" t="n">
        <x:v>1</x:v>
      </x:c>
      <x:c r="J17" s="9" t="n">
        <x:v>0</x:v>
      </x:c>
      <x:c r="K17" s="9" t="n">
        <x:v>0</x:v>
      </x:c>
      <x:c r="L17" s="9" t="n">
        <x:v>1</x:v>
      </x:c>
      <x:c r="M17" s="15" t="n">
        <x:v>0.625</x:v>
      </x:c>
      <x:c r="N17" s="9" t="n">
        <x:v>2</x:v>
      </x:c>
      <x:c r="O17" s="9" t="str">
        <x:v>1-0-0-1</x:v>
      </x:c>
    </x:row>
    <x:row r="18">
      <x:c r="A18" s="9" t="n">
        <x:v>17</x:v>
      </x:c>
      <x:c r="B18" s="9" t="str">
        <x:v>S021</x:v>
      </x:c>
      <x:c r="C18" s="9" t="str">
        <x:v>Li et al. (2026)</x:v>
      </x:c>
      <x:c r="D18" s="9" t="str">
        <x:v>A Flexible Wearable Data Glove Based on Hybrid Fiber-Optic Sensing for Hand Motion Monitoring</x:v>
      </x:c>
      <x:c r="E18" s="9" t="n">
        <x:v>0</x:v>
      </x:c>
      <x:c r="F18" s="9" t="n">
        <x:v>1</x:v>
      </x:c>
      <x:c r="G18" s="9" t="n">
        <x:v>1</x:v>
      </x:c>
      <x:c r="H18" s="9" t="n">
        <x:v>1</x:v>
      </x:c>
      <x:c r="I18" s="9" t="n">
        <x:v>0</x:v>
      </x:c>
      <x:c r="J18" s="9" t="n">
        <x:v>0</x:v>
      </x:c>
      <x:c r="K18" s="9" t="n">
        <x:v>1</x:v>
      </x:c>
      <x:c r="L18" s="9" t="n">
        <x:v>0</x:v>
      </x:c>
      <x:c r="M18" s="15" t="n">
        <x:v>0.5</x:v>
      </x:c>
      <x:c r="N18" s="9" t="n">
        <x:v>1</x:v>
      </x:c>
      <x:c r="O18" s="9" t="str">
        <x:v>0-0-1-0</x:v>
      </x:c>
    </x:row>
    <x:row r="19">
      <x:c r="A19" s="9" t="n">
        <x:v>18</x:v>
      </x:c>
      <x:c r="B19" s="9" t="str">
        <x:v>S022</x:v>
      </x:c>
      <x:c r="C19" s="9" t="str">
        <x:v>Yan et al. (2025)</x:v>
      </x:c>
      <x:c r="D19" s="9" t="str">
        <x:v>Additive Manufactured Programmable Scaffold Sensor Based on Triply Periodic Minimal Surfaces for Broad-Spectrum Pressure Detection</x:v>
      </x:c>
      <x:c r="E19" s="9" t="n">
        <x:v>0</x:v>
      </x:c>
      <x:c r="F19" s="9" t="n">
        <x:v>1</x:v>
      </x:c>
      <x:c r="G19" s="9" t="n">
        <x:v>1</x:v>
      </x:c>
      <x:c r="H19" s="9" t="n">
        <x:v>1</x:v>
      </x:c>
      <x:c r="I19" s="9" t="n">
        <x:v>1</x:v>
      </x:c>
      <x:c r="J19" s="9" t="n">
        <x:v>1</x:v>
      </x:c>
      <x:c r="K19" s="9" t="n">
        <x:v>0</x:v>
      </x:c>
      <x:c r="L19" s="9" t="n">
        <x:v>0</x:v>
      </x:c>
      <x:c r="M19" s="15" t="n">
        <x:v>0.625</x:v>
      </x:c>
      <x:c r="N19" s="9" t="n">
        <x:v>2</x:v>
      </x:c>
      <x:c r="O19" s="9" t="str">
        <x:v>1-1-0-0</x:v>
      </x:c>
    </x:row>
    <x:row r="20">
      <x:c r="A20" s="9" t="n">
        <x:v>19</x:v>
      </x:c>
      <x:c r="B20" s="9" t="str">
        <x:v>S023</x:v>
      </x:c>
      <x:c r="C20" s="9" t="str">
        <x:v>Salo et al. (2022)</x:v>
      </x:c>
      <x:c r="D20" s="9" t="str">
        <x:v>Electromechanical Properties of 3D-Printed Stretchable Carbon Fiber Composites</x:v>
      </x:c>
      <x:c r="E20" s="9" t="n">
        <x:v>1</x:v>
      </x:c>
      <x:c r="F20" s="9" t="n">
        <x:v>1</x:v>
      </x:c>
      <x:c r="G20" s="9" t="n">
        <x:v>1</x:v>
      </x:c>
      <x:c r="H20" s="9" t="n">
        <x:v>1</x:v>
      </x:c>
      <x:c r="I20" s="9" t="n">
        <x:v>1</x:v>
      </x:c>
      <x:c r="J20" s="9" t="n">
        <x:v>0</x:v>
      </x:c>
      <x:c r="K20" s="9" t="n">
        <x:v>0</x:v>
      </x:c>
      <x:c r="L20" s="9" t="n">
        <x:v>1</x:v>
      </x:c>
      <x:c r="M20" s="15" t="n">
        <x:v>0.75</x:v>
      </x:c>
      <x:c r="N20" s="9" t="n">
        <x:v>2</x:v>
      </x:c>
      <x:c r="O20" s="9" t="str">
        <x:v>1-0-0-1</x:v>
      </x:c>
    </x:row>
    <x:row r="21">
      <x:c r="A21" s="9" t="n">
        <x:v>20</x:v>
      </x:c>
      <x:c r="B21" s="9" t="str">
        <x:v>S024</x:v>
      </x:c>
      <x:c r="C21" s="9" t="str">
        <x:v>Han et al. (2026)</x:v>
      </x:c>
      <x:c r="D21" s="9" t="str">
        <x:v>Geometry-engineered hourglass-shaped cracks enable wide-linearity wearable strain sensors</x:v>
      </x:c>
      <x:c r="E21" s="9" t="n">
        <x:v>0</x:v>
      </x:c>
      <x:c r="F21" s="9" t="n">
        <x:v>1</x:v>
      </x:c>
      <x:c r="G21" s="9" t="n">
        <x:v>1</x:v>
      </x:c>
      <x:c r="H21" s="9" t="n">
        <x:v>1</x:v>
      </x:c>
      <x:c r="I21" s="9" t="n">
        <x:v>1</x:v>
      </x:c>
      <x:c r="J21" s="9" t="n">
        <x:v>1</x:v>
      </x:c>
      <x:c r="K21" s="9" t="n">
        <x:v>1</x:v>
      </x:c>
      <x:c r="L21" s="9" t="n">
        <x:v>0</x:v>
      </x:c>
      <x:c r="M21" s="15" t="n">
        <x:v>0.75</x:v>
      </x:c>
      <x:c r="N21" s="9" t="n">
        <x:v>3</x:v>
      </x:c>
      <x:c r="O21" s="9" t="str">
        <x:v>1-1-1-0</x:v>
      </x:c>
    </x:row>
    <x:row r="22">
      <x:c r="A22" s="9" t="n">
        <x:v>21</x:v>
      </x:c>
      <x:c r="B22" s="9" t="str">
        <x:v>S025</x:v>
      </x:c>
      <x:c r="C22" s="9" t="str">
        <x:v>Wei et al. (2026)</x:v>
      </x:c>
      <x:c r="D22" s="9" t="str">
        <x:v>3D-Printed Hollow Microneedle Potentiometric Sensors: A Modular Approach</x:v>
      </x:c>
      <x:c r="E22" s="9" t="n">
        <x:v>1</x:v>
      </x:c>
      <x:c r="F22" s="9" t="n">
        <x:v>1</x:v>
      </x:c>
      <x:c r="G22" s="9" t="n">
        <x:v>1</x:v>
      </x:c>
      <x:c r="H22" s="9" t="n">
        <x:v>1</x:v>
      </x:c>
      <x:c r="I22" s="9" t="n">
        <x:v>1</x:v>
      </x:c>
      <x:c r="J22" s="9" t="n">
        <x:v>1</x:v>
      </x:c>
      <x:c r="K22" s="9" t="n">
        <x:v>0</x:v>
      </x:c>
      <x:c r="L22" s="9" t="n">
        <x:v>1</x:v>
      </x:c>
      <x:c r="M22" s="15" t="n">
        <x:v>0.875</x:v>
      </x:c>
      <x:c r="N22" s="9" t="n">
        <x:v>3</x:v>
      </x:c>
      <x:c r="O22" s="9" t="str">
        <x:v>1-1-0-1</x:v>
      </x:c>
    </x:row>
    <x:row r="23">
      <x:c r="A23" s="9" t="n">
        <x:v>22</x:v>
      </x:c>
      <x:c r="B23" s="9" t="str">
        <x:v>S028</x:v>
      </x:c>
      <x:c r="C23" s="9" t="str">
        <x:v>Gothard et al. (2023)</x:v>
      </x:c>
      <x:c r="D23" s="9" t="str">
        <x:v>Dynamic Characterization of a Low-Cost Fully and Continuously 3D Printed Capacitive Pressure-Sensing System for Plantar Pressure Measurements</x:v>
      </x:c>
      <x:c r="E23" s="9" t="n">
        <x:v>1</x:v>
      </x:c>
      <x:c r="F23" s="9" t="n">
        <x:v>1</x:v>
      </x:c>
      <x:c r="G23" s="9" t="n">
        <x:v>1</x:v>
      </x:c>
      <x:c r="H23" s="9" t="n">
        <x:v>1</x:v>
      </x:c>
      <x:c r="I23" s="9" t="n">
        <x:v>1</x:v>
      </x:c>
      <x:c r="J23" s="9" t="n">
        <x:v>0</x:v>
      </x:c>
      <x:c r="K23" s="9" t="n">
        <x:v>0</x:v>
      </x:c>
      <x:c r="L23" s="9" t="n">
        <x:v>1</x:v>
      </x:c>
      <x:c r="M23" s="15" t="n">
        <x:v>0.75</x:v>
      </x:c>
      <x:c r="N23" s="9" t="n">
        <x:v>2</x:v>
      </x:c>
      <x:c r="O23" s="9" t="str">
        <x:v>1-0-0-1</x:v>
      </x:c>
    </x:row>
    <x:row r="24">
      <x:c r="A24" s="9" t="n">
        <x:v>23</x:v>
      </x:c>
      <x:c r="B24" s="9" t="str">
        <x:v>S029</x:v>
      </x:c>
      <x:c r="C24" s="9" t="str">
        <x:v>Özkurt et al. (2026)</x:v>
      </x:c>
      <x:c r="D24" s="9" t="str">
        <x:v>Geometrically Optimized FDM-Printed Conductive TPU Bend Sensors for Hand Rehabilitation</x:v>
      </x:c>
      <x:c r="E24" s="9" t="n">
        <x:v>1</x:v>
      </x:c>
      <x:c r="F24" s="9" t="n">
        <x:v>1</x:v>
      </x:c>
      <x:c r="G24" s="9" t="n">
        <x:v>1</x:v>
      </x:c>
      <x:c r="H24" s="9" t="n">
        <x:v>1</x:v>
      </x:c>
      <x:c r="I24" s="9" t="n">
        <x:v>1</x:v>
      </x:c>
      <x:c r="J24" s="9" t="n">
        <x:v>1</x:v>
      </x:c>
      <x:c r="K24" s="9" t="n">
        <x:v>0</x:v>
      </x:c>
      <x:c r="L24" s="9" t="n">
        <x:v>1</x:v>
      </x:c>
      <x:c r="M24" s="15" t="n">
        <x:v>0.875</x:v>
      </x:c>
      <x:c r="N24" s="9" t="n">
        <x:v>3</x:v>
      </x:c>
      <x:c r="O24" s="9" t="str">
        <x:v>1-1-0-1</x:v>
      </x:c>
    </x:row>
    <x:row r="25">
      <x:c r="A25" s="9" t="n">
        <x:v>24</x:v>
      </x:c>
      <x:c r="B25" s="9" t="str">
        <x:v>S031</x:v>
      </x:c>
      <x:c r="C25" s="9" t="str">
        <x:v>Rivera et al. (2022)</x:v>
      </x:c>
      <x:c r="D25" s="9" t="str">
        <x:v>A 3D-Printed Knee Wearable Goniometer with a Mobile-App Interface for Measuring Range of Motion and Monitoring Activities</x:v>
      </x:c>
      <x:c r="E25" s="9" t="n">
        <x:v>0</x:v>
      </x:c>
      <x:c r="F25" s="9" t="n">
        <x:v>1</x:v>
      </x:c>
      <x:c r="G25" s="9" t="n">
        <x:v>1</x:v>
      </x:c>
      <x:c r="H25" s="9" t="n">
        <x:v>1</x:v>
      </x:c>
      <x:c r="I25" s="9" t="n">
        <x:v>0</x:v>
      </x:c>
      <x:c r="J25" s="9" t="n">
        <x:v>0</x:v>
      </x:c>
      <x:c r="K25" s="9" t="n">
        <x:v>0</x:v>
      </x:c>
      <x:c r="L25" s="9" t="n">
        <x:v>0</x:v>
      </x:c>
      <x:c r="M25" s="15" t="n">
        <x:v>0.375</x:v>
      </x:c>
      <x:c r="N25" s="9" t="n">
        <x:v>0</x:v>
      </x:c>
      <x:c r="O25" s="9" t="str">
        <x:v>0-0-0-0</x:v>
      </x:c>
    </x:row>
    <x:row r="26">
      <x:c r="A26" s="9" t="n">
        <x:v>25</x:v>
      </x:c>
      <x:c r="B26" s="9" t="str">
        <x:v>S032</x:v>
      </x:c>
      <x:c r="C26" s="9" t="str">
        <x:v>Liu et al. (2021)</x:v>
      </x:c>
      <x:c r="D26" s="9" t="str">
        <x:v>Simultaneous Measurements of Tissue Blood Flow and Oxygenation Using a Wearable Fiber-Free Optical Sensor</x:v>
      </x:c>
      <x:c r="E26" s="9" t="n">
        <x:v>0</x:v>
      </x:c>
      <x:c r="F26" s="9" t="n">
        <x:v>1</x:v>
      </x:c>
      <x:c r="G26" s="9" t="n">
        <x:v>1</x:v>
      </x:c>
      <x:c r="H26" s="9" t="n">
        <x:v>1</x:v>
      </x:c>
      <x:c r="I26" s="9" t="n">
        <x:v>0</x:v>
      </x:c>
      <x:c r="J26" s="9" t="n">
        <x:v>0</x:v>
      </x:c>
      <x:c r="K26" s="9" t="n">
        <x:v>0</x:v>
      </x:c>
      <x:c r="L26" s="9" t="n">
        <x:v>0</x:v>
      </x:c>
      <x:c r="M26" s="15" t="n">
        <x:v>0.375</x:v>
      </x:c>
      <x:c r="N26" s="9" t="n">
        <x:v>0</x:v>
      </x:c>
      <x:c r="O26" s="9" t="str">
        <x:v>0-0-0-0</x:v>
      </x:c>
    </x:row>
    <x:row r="27">
      <x:c r="A27" s="9" t="n">
        <x:v>26</x:v>
      </x:c>
      <x:c r="B27" s="9" t="str">
        <x:v>S033</x:v>
      </x:c>
      <x:c r="C27" s="9" t="str">
        <x:v>Yu et al. (2020)</x:v>
      </x:c>
      <x:c r="D27" s="9" t="str">
        <x:v>Highly Sensitive Flexible Piezoresistive Sensor with 3D Conductive Network</x:v>
      </x:c>
      <x:c r="E27" s="9" t="n">
        <x:v>0</x:v>
      </x:c>
      <x:c r="F27" s="9" t="n">
        <x:v>1</x:v>
      </x:c>
      <x:c r="G27" s="9" t="n">
        <x:v>1</x:v>
      </x:c>
      <x:c r="H27" s="9" t="n">
        <x:v>1</x:v>
      </x:c>
      <x:c r="I27" s="9" t="n">
        <x:v>1</x:v>
      </x:c>
      <x:c r="J27" s="9" t="n">
        <x:v>0</x:v>
      </x:c>
      <x:c r="K27" s="9" t="n">
        <x:v>1</x:v>
      </x:c>
      <x:c r="L27" s="9" t="n">
        <x:v>0</x:v>
      </x:c>
      <x:c r="M27" s="15" t="n">
        <x:v>0.625</x:v>
      </x:c>
      <x:c r="N27" s="9" t="n">
        <x:v>2</x:v>
      </x:c>
      <x:c r="O27" s="9" t="str">
        <x:v>1-0-1-0</x:v>
      </x:c>
    </x:row>
    <x:row r="28">
      <x:c r="A28" s="9" t="n">
        <x:v>27</x:v>
      </x:c>
      <x:c r="B28" s="9" t="str">
        <x:v>S034</x:v>
      </x:c>
      <x:c r="C28" s="9" t="str">
        <x:v>Zhang et al. (2026)</x:v>
      </x:c>
      <x:c r="D28" s="9" t="str">
        <x:v>Reusable 3D-Printed Microfluidic-on-Fabric with Modular Electrodes for Point-of-Care Na+ and K+ Detection in Various Biofluids</x:v>
      </x:c>
      <x:c r="E28" s="9" t="n">
        <x:v>0</x:v>
      </x:c>
      <x:c r="F28" s="9" t="n">
        <x:v>1</x:v>
      </x:c>
      <x:c r="G28" s="9" t="n">
        <x:v>1</x:v>
      </x:c>
      <x:c r="H28" s="9" t="n">
        <x:v>1</x:v>
      </x:c>
      <x:c r="I28" s="9" t="n">
        <x:v>1</x:v>
      </x:c>
      <x:c r="J28" s="9" t="n">
        <x:v>1</x:v>
      </x:c>
      <x:c r="K28" s="9" t="n">
        <x:v>1</x:v>
      </x:c>
      <x:c r="L28" s="9" t="n">
        <x:v>1</x:v>
      </x:c>
      <x:c r="M28" s="15" t="n">
        <x:v>0.875</x:v>
      </x:c>
      <x:c r="N28" s="9" t="n">
        <x:v>4</x:v>
      </x:c>
      <x:c r="O28" s="9" t="str">
        <x:v>1-1-1-1</x:v>
      </x:c>
    </x:row>
    <x:row r="29">
      <x:c r="A29" s="9" t="n">
        <x:v>28</x:v>
      </x:c>
      <x:c r="B29" s="9" t="str">
        <x:v>S035</x:v>
      </x:c>
      <x:c r="C29" s="9" t="str">
        <x:v>Katseli et al. (2021)</x:v>
      </x:c>
      <x:c r="D29" s="9" t="str">
        <x:v>Smartphone-Addressable 3D-Printed Electrochemical Ring for Nonenzymatic Self-Monitoring of Glucose in Human Sweat</x:v>
      </x:c>
      <x:c r="E29" s="9" t="n">
        <x:v>0</x:v>
      </x:c>
      <x:c r="F29" s="9" t="n">
        <x:v>1</x:v>
      </x:c>
      <x:c r="G29" s="9" t="n">
        <x:v>1</x:v>
      </x:c>
      <x:c r="H29" s="9" t="n">
        <x:v>1</x:v>
      </x:c>
      <x:c r="I29" s="9" t="n">
        <x:v>1</x:v>
      </x:c>
      <x:c r="J29" s="9" t="n">
        <x:v>1</x:v>
      </x:c>
      <x:c r="K29" s="9" t="n">
        <x:v>0</x:v>
      </x:c>
      <x:c r="L29" s="9" t="n">
        <x:v>1</x:v>
      </x:c>
      <x:c r="M29" s="15" t="n">
        <x:v>0.75</x:v>
      </x:c>
      <x:c r="N29" s="9" t="n">
        <x:v>3</x:v>
      </x:c>
      <x:c r="O29" s="9" t="str">
        <x:v>1-1-0-1</x:v>
      </x:c>
    </x:row>
    <x:row r="30">
      <x:c r="A30" s="9" t="n">
        <x:v>29</x:v>
      </x:c>
      <x:c r="B30" s="9" t="str">
        <x:v>S036</x:v>
      </x:c>
      <x:c r="C30" s="9" t="str">
        <x:v>Xuan et al. (2026)</x:v>
      </x:c>
      <x:c r="D30" s="9" t="str">
        <x:v>Fully 3D-Printed Analytical Device Based on a Novel Floating Electrode Mechanism for Sweat Rate Acquisition</x:v>
      </x:c>
      <x:c r="E30" s="9" t="n">
        <x:v>0</x:v>
      </x:c>
      <x:c r="F30" s="9" t="n">
        <x:v>1</x:v>
      </x:c>
      <x:c r="G30" s="9" t="n">
        <x:v>1</x:v>
      </x:c>
      <x:c r="H30" s="9" t="n">
        <x:v>1</x:v>
      </x:c>
      <x:c r="I30" s="9" t="n">
        <x:v>1</x:v>
      </x:c>
      <x:c r="J30" s="9" t="n">
        <x:v>1</x:v>
      </x:c>
      <x:c r="K30" s="9" t="n">
        <x:v>1</x:v>
      </x:c>
      <x:c r="L30" s="9" t="n">
        <x:v>0</x:v>
      </x:c>
      <x:c r="M30" s="15" t="n">
        <x:v>0.75</x:v>
      </x:c>
      <x:c r="N30" s="9" t="n">
        <x:v>3</x:v>
      </x:c>
      <x:c r="O30" s="9" t="str">
        <x:v>1-1-1-0</x:v>
      </x:c>
    </x:row>
    <x:row r="31">
      <x:c r="A31" s="9" t="n">
        <x:v>30</x:v>
      </x:c>
      <x:c r="B31" s="9" t="str">
        <x:v>S037</x:v>
      </x:c>
      <x:c r="C31" s="9" t="str">
        <x:v>Wolterink et al. (2021)</x:v>
      </x:c>
      <x:c r="D31" s="9" t="str">
        <x:v>A 3D-Printed Soft Fingertip Sensor for Providing Information about Normal and Shear Components of Interaction Forces</x:v>
      </x:c>
      <x:c r="E31" s="9" t="n">
        <x:v>0</x:v>
      </x:c>
      <x:c r="F31" s="9" t="n">
        <x:v>1</x:v>
      </x:c>
      <x:c r="G31" s="9" t="n">
        <x:v>1</x:v>
      </x:c>
      <x:c r="H31" s="9" t="n">
        <x:v>1</x:v>
      </x:c>
      <x:c r="I31" s="9" t="n">
        <x:v>1</x:v>
      </x:c>
      <x:c r="J31" s="9" t="n">
        <x:v>0</x:v>
      </x:c>
      <x:c r="K31" s="9" t="n">
        <x:v>0</x:v>
      </x:c>
      <x:c r="L31" s="9" t="n">
        <x:v>0</x:v>
      </x:c>
      <x:c r="M31" s="15" t="n">
        <x:v>0.5</x:v>
      </x:c>
      <x:c r="N31" s="9" t="n">
        <x:v>1</x:v>
      </x:c>
      <x:c r="O31" s="9" t="str">
        <x:v>1-0-0-0</x:v>
      </x:c>
    </x:row>
    <x:row r="32">
      <x:c r="A32" s="9" t="n">
        <x:v>31</x:v>
      </x:c>
      <x:c r="B32" s="9" t="str">
        <x:v>S038</x:v>
      </x:c>
      <x:c r="C32" s="9" t="str">
        <x:v>Christ et al. (2018)</x:v>
      </x:c>
      <x:c r="D32" s="9" t="str">
        <x:v>Bidirectional and Stretchable Piezoresistive Sensors Enabled by Multimaterial 3D Printing of Carbon Nanotube/Thermoplastic Polyurethane Nanocomposites</x:v>
      </x:c>
      <x:c r="E32" s="9" t="n">
        <x:v>1</x:v>
      </x:c>
      <x:c r="F32" s="9" t="n">
        <x:v>1</x:v>
      </x:c>
      <x:c r="G32" s="9" t="n">
        <x:v>1</x:v>
      </x:c>
      <x:c r="H32" s="9" t="n">
        <x:v>1</x:v>
      </x:c>
      <x:c r="I32" s="9" t="n">
        <x:v>1</x:v>
      </x:c>
      <x:c r="J32" s="9" t="n">
        <x:v>0</x:v>
      </x:c>
      <x:c r="K32" s="9" t="n">
        <x:v>0</x:v>
      </x:c>
      <x:c r="L32" s="9" t="n">
        <x:v>0</x:v>
      </x:c>
      <x:c r="M32" s="15" t="n">
        <x:v>0.625</x:v>
      </x:c>
      <x:c r="N32" s="9" t="n">
        <x:v>1</x:v>
      </x:c>
      <x:c r="O32" s="9" t="str">
        <x:v>1-0-0-0</x:v>
      </x:c>
    </x:row>
    <x:row r="33">
      <x:c r="A33" s="9" t="n">
        <x:v>32</x:v>
      </x:c>
      <x:c r="B33" s="9" t="str">
        <x:v>S039</x:v>
      </x:c>
      <x:c r="C33" s="9" t="str">
        <x:v>Shin et al. (2022)</x:v>
      </x:c>
      <x:c r="D33" s="9" t="str">
        <x:v>Structural effects of 3D printing resolution on the gauge factor of microcrack-based strain gauges for health care monitoring</x:v>
      </x:c>
      <x:c r="E33" s="9" t="n">
        <x:v>1</x:v>
      </x:c>
      <x:c r="F33" s="9" t="n">
        <x:v>1</x:v>
      </x:c>
      <x:c r="G33" s="9" t="n">
        <x:v>1</x:v>
      </x:c>
      <x:c r="H33" s="9" t="n">
        <x:v>1</x:v>
      </x:c>
      <x:c r="I33" s="9" t="n">
        <x:v>1</x:v>
      </x:c>
      <x:c r="J33" s="9" t="n">
        <x:v>0</x:v>
      </x:c>
      <x:c r="K33" s="9" t="n">
        <x:v>0</x:v>
      </x:c>
      <x:c r="L33" s="9" t="n">
        <x:v>1</x:v>
      </x:c>
      <x:c r="M33" s="15" t="n">
        <x:v>0.75</x:v>
      </x:c>
      <x:c r="N33" s="9" t="n">
        <x:v>2</x:v>
      </x:c>
      <x:c r="O33" s="9" t="str">
        <x:v>1-0-0-1</x:v>
      </x:c>
    </x:row>
    <x:row r="34">
      <x:c r="A34" s="9" t="n">
        <x:v>33</x:v>
      </x:c>
      <x:c r="B34" s="9" t="str">
        <x:v>S043</x:v>
      </x:c>
      <x:c r="C34" s="9" t="str">
        <x:v>Carvalho et al. (2025)</x:v>
      </x:c>
      <x:c r="D34" s="9" t="str">
        <x:v>Additive Manufacturing of Customized Flexible Wearable Sensors for Sweat Analysis with Bespoke, Low-Cost Conductive TPU</x:v>
      </x:c>
      <x:c r="E34" s="9" t="n">
        <x:v>1</x:v>
      </x:c>
      <x:c r="F34" s="9" t="n">
        <x:v>1</x:v>
      </x:c>
      <x:c r="G34" s="9" t="n">
        <x:v>1</x:v>
      </x:c>
      <x:c r="H34" s="9" t="n">
        <x:v>1</x:v>
      </x:c>
      <x:c r="I34" s="9" t="n">
        <x:v>0</x:v>
      </x:c>
      <x:c r="J34" s="9" t="n">
        <x:v>0</x:v>
      </x:c>
      <x:c r="K34" s="9" t="n">
        <x:v>0</x:v>
      </x:c>
      <x:c r="L34" s="9" t="n">
        <x:v>0</x:v>
      </x:c>
      <x:c r="M34" s="15" t="n">
        <x:v>0.5</x:v>
      </x:c>
      <x:c r="N34" s="9" t="n">
        <x:v>0</x:v>
      </x:c>
      <x:c r="O34" s="9" t="str">
        <x:v>0-0-0-0</x:v>
      </x:c>
    </x:row>
    <x:row r="35">
      <x:c r="A35" s="9" t="n">
        <x:v>34</x:v>
      </x:c>
      <x:c r="B35" s="9" t="str">
        <x:v>S044</x:v>
      </x:c>
      <x:c r="C35" s="9" t="str">
        <x:v>Li et al. (2021)</x:v>
      </x:c>
      <x:c r="D35" s="9" t="str">
        <x:v>3D printed graphene/polyurethane wearable pressure sensor for motion fitness monitoring</x:v>
      </x:c>
      <x:c r="E35" s="9" t="n">
        <x:v>1</x:v>
      </x:c>
      <x:c r="F35" s="9" t="n">
        <x:v>1</x:v>
      </x:c>
      <x:c r="G35" s="9" t="n">
        <x:v>1</x:v>
      </x:c>
      <x:c r="H35" s="9" t="n">
        <x:v>1</x:v>
      </x:c>
      <x:c r="I35" s="9" t="n">
        <x:v>1</x:v>
      </x:c>
      <x:c r="J35" s="9" t="n">
        <x:v>0</x:v>
      </x:c>
      <x:c r="K35" s="9" t="n">
        <x:v>0</x:v>
      </x:c>
      <x:c r="L35" s="9" t="n">
        <x:v>0</x:v>
      </x:c>
      <x:c r="M35" s="15" t="n">
        <x:v>0.625</x:v>
      </x:c>
      <x:c r="N35" s="9" t="n">
        <x:v>1</x:v>
      </x:c>
      <x:c r="O35" s="9" t="str">
        <x:v>1-0-0-0</x:v>
      </x:c>
    </x:row>
    <x:row r="36">
      <x:c r="A36" s="9" t="n">
        <x:v>35</x:v>
      </x:c>
      <x:c r="B36" s="9" t="str">
        <x:v>S046</x:v>
      </x:c>
      <x:c r="C36" s="9" t="str">
        <x:v>Zhou et al. (2024)</x:v>
      </x:c>
      <x:c r="D36" s="9" t="str">
        <x:v>3D Printed Magnetoelectric Composites for Personalized Wearable Multifunctional Sensors</x:v>
      </x:c>
      <x:c r="E36" s="9" t="n">
        <x:v>0</x:v>
      </x:c>
      <x:c r="F36" s="9" t="n">
        <x:v>1</x:v>
      </x:c>
      <x:c r="G36" s="9" t="n">
        <x:v>1</x:v>
      </x:c>
      <x:c r="H36" s="9" t="n">
        <x:v>1</x:v>
      </x:c>
      <x:c r="I36" s="9" t="n">
        <x:v>0</x:v>
      </x:c>
      <x:c r="J36" s="9" t="n">
        <x:v>0</x:v>
      </x:c>
      <x:c r="K36" s="9" t="n">
        <x:v>0</x:v>
      </x:c>
      <x:c r="L36" s="9" t="n">
        <x:v>0</x:v>
      </x:c>
      <x:c r="M36" s="15" t="n">
        <x:v>0.375</x:v>
      </x:c>
      <x:c r="N36" s="9" t="n">
        <x:v>0</x:v>
      </x:c>
      <x:c r="O36" s="9" t="str">
        <x:v>0-0-0-0</x:v>
      </x:c>
    </x:row>
    <x:row r="37">
      <x:c r="A37" s="9" t="n">
        <x:v>36</x:v>
      </x:c>
      <x:c r="B37" s="9" t="str">
        <x:v>S047</x:v>
      </x:c>
      <x:c r="C37" s="9" t="str">
        <x:v>Shin et al. (2025)</x:v>
      </x:c>
      <x:c r="D37" s="9" t="str">
        <x:v>Preliminary Study on the Development of a Real-Time Pressure-Monitoring Facial Mask for Burn Rehabilitation</x:v>
      </x:c>
      <x:c r="E37" s="9" t="n">
        <x:v>0</x:v>
      </x:c>
      <x:c r="F37" s="9" t="n">
        <x:v>1</x:v>
      </x:c>
      <x:c r="G37" s="9" t="n">
        <x:v>1</x:v>
      </x:c>
      <x:c r="H37" s="9" t="n">
        <x:v>1</x:v>
      </x:c>
      <x:c r="I37" s="9" t="n">
        <x:v>0</x:v>
      </x:c>
      <x:c r="J37" s="9" t="n">
        <x:v>0</x:v>
      </x:c>
      <x:c r="K37" s="9" t="n">
        <x:v>1</x:v>
      </x:c>
      <x:c r="L37" s="9" t="n">
        <x:v>0</x:v>
      </x:c>
      <x:c r="M37" s="15" t="n">
        <x:v>0.5</x:v>
      </x:c>
      <x:c r="N37" s="9" t="n">
        <x:v>1</x:v>
      </x:c>
      <x:c r="O37" s="9" t="str">
        <x:v>0-0-1-0</x:v>
      </x:c>
    </x:row>
    <x:row r="38">
      <x:c r="A38" s="9" t="n">
        <x:v>37</x:v>
      </x:c>
      <x:c r="B38" s="9" t="str">
        <x:v>S048</x:v>
      </x:c>
      <x:c r="C38" s="9" t="str">
        <x:v>Gunasekaran et al. (2022)</x:v>
      </x:c>
      <x:c r="D38" s="9" t="str">
        <x:v>Facile Fabrication of Highly Sensitive Thermoplastic Polyurethane Sensors with Surface- and Interface-Impregnated 3D Conductive Networks</x:v>
      </x:c>
      <x:c r="E38" s="9" t="n">
        <x:v>1</x:v>
      </x:c>
      <x:c r="F38" s="9" t="n">
        <x:v>1</x:v>
      </x:c>
      <x:c r="G38" s="9" t="n">
        <x:v>1</x:v>
      </x:c>
      <x:c r="H38" s="9" t="n">
        <x:v>1</x:v>
      </x:c>
      <x:c r="I38" s="9" t="n">
        <x:v>1</x:v>
      </x:c>
      <x:c r="J38" s="9" t="n">
        <x:v>1</x:v>
      </x:c>
      <x:c r="K38" s="9" t="n">
        <x:v>1</x:v>
      </x:c>
      <x:c r="L38" s="9" t="n">
        <x:v>0</x:v>
      </x:c>
      <x:c r="M38" s="15" t="n">
        <x:v>0.875</x:v>
      </x:c>
      <x:c r="N38" s="9" t="n">
        <x:v>3</x:v>
      </x:c>
      <x:c r="O38" s="9" t="str">
        <x:v>1-1-1-0</x:v>
      </x:c>
    </x:row>
    <x:row r="39">
      <x:c r="A39" s="9" t="n">
        <x:v>38</x:v>
      </x:c>
      <x:c r="B39" s="9" t="str">
        <x:v>S050</x:v>
      </x:c>
      <x:c r="C39" s="9" t="str">
        <x:v>Leal-Junior et al. (2018)</x:v>
      </x:c>
      <x:c r="D39" s="9" t="str">
        <x:v>Fiber Bragg Gratings in CYTOP Fibers Embedded in a 3D-Printed Flexible Support for Assessment of Human–Robot Interaction Forces</x:v>
      </x:c>
      <x:c r="E39" s="9" t="n">
        <x:v>0</x:v>
      </x:c>
      <x:c r="F39" s="9" t="n">
        <x:v>1</x:v>
      </x:c>
      <x:c r="G39" s="9" t="n">
        <x:v>1</x:v>
      </x:c>
      <x:c r="H39" s="9" t="n">
        <x:v>1</x:v>
      </x:c>
      <x:c r="I39" s="9" t="n">
        <x:v>1</x:v>
      </x:c>
      <x:c r="J39" s="9" t="n">
        <x:v>1</x:v>
      </x:c>
      <x:c r="K39" s="9" t="n">
        <x:v>0</x:v>
      </x:c>
      <x:c r="L39" s="9" t="n">
        <x:v>0</x:v>
      </x:c>
      <x:c r="M39" s="15" t="n">
        <x:v>0.625</x:v>
      </x:c>
      <x:c r="N39" s="9" t="n">
        <x:v>2</x:v>
      </x:c>
      <x:c r="O39" s="9" t="str">
        <x:v>1-1-0-0</x:v>
      </x:c>
    </x:row>
    <x:row r="40">
      <x:c r="A40" s="9" t="n">
        <x:v>39</x:v>
      </x:c>
      <x:c r="B40" s="9" t="str">
        <x:v>S051</x:v>
      </x:c>
      <x:c r="C40" s="9" t="str">
        <x:v>Ota et al. (2017)</x:v>
      </x:c>
      <x:c r="D40" s="9" t="str">
        <x:v>3D Printed ‘Earable’ Smart Devices for Real-Time Detection of Core Body Temperature</x:v>
      </x:c>
      <x:c r="E40" s="9" t="n">
        <x:v>1</x:v>
      </x:c>
      <x:c r="F40" s="9" t="n">
        <x:v>1</x:v>
      </x:c>
      <x:c r="G40" s="9" t="n">
        <x:v>1</x:v>
      </x:c>
      <x:c r="H40" s="9" t="n">
        <x:v>1</x:v>
      </x:c>
      <x:c r="I40" s="9" t="n">
        <x:v>0</x:v>
      </x:c>
      <x:c r="J40" s="9" t="n">
        <x:v>1</x:v>
      </x:c>
      <x:c r="K40" s="9" t="n">
        <x:v>0</x:v>
      </x:c>
      <x:c r="L40" s="9" t="n">
        <x:v>0</x:v>
      </x:c>
      <x:c r="M40" s="15" t="n">
        <x:v>0.625</x:v>
      </x:c>
      <x:c r="N40" s="9" t="n">
        <x:v>1</x:v>
      </x:c>
      <x:c r="O40" s="9" t="str">
        <x:v>0-1-0-0</x:v>
      </x:c>
    </x:row>
    <x:row r="41">
      <x:c r="A41" s="9" t="n">
        <x:v>40</x:v>
      </x:c>
      <x:c r="B41" s="9" t="str">
        <x:v>S052</x:v>
      </x:c>
      <x:c r="C41" s="9" t="str">
        <x:v>Li et al. (2026)</x:v>
      </x:c>
      <x:c r="D41" s="9" t="str">
        <x:v>Arch-Bridge-Inspired Auxetic Piezoelectric Nanogenerators for Machine Learning-Assisted Object Recognition</x:v>
      </x:c>
      <x:c r="E41" s="9" t="n">
        <x:v>0</x:v>
      </x:c>
      <x:c r="F41" s="9" t="n">
        <x:v>1</x:v>
      </x:c>
      <x:c r="G41" s="9" t="n">
        <x:v>1</x:v>
      </x:c>
      <x:c r="H41" s="9" t="n">
        <x:v>1</x:v>
      </x:c>
      <x:c r="I41" s="9" t="n">
        <x:v>1</x:v>
      </x:c>
      <x:c r="J41" s="9" t="n">
        <x:v>1</x:v>
      </x:c>
      <x:c r="K41" s="9" t="n">
        <x:v>0</x:v>
      </x:c>
      <x:c r="L41" s="9" t="n">
        <x:v>0</x:v>
      </x:c>
      <x:c r="M41" s="15" t="n">
        <x:v>0.625</x:v>
      </x:c>
      <x:c r="N41" s="9" t="n">
        <x:v>2</x:v>
      </x:c>
      <x:c r="O41" s="9" t="str">
        <x:v>1-1-0-0</x:v>
      </x:c>
    </x:row>
    <x:row r="42">
      <x:c r="A42" s="9" t="n">
        <x:v>41</x:v>
      </x:c>
      <x:c r="B42" s="9" t="str">
        <x:v>S053</x:v>
      </x:c>
      <x:c r="C42" s="9" t="str">
        <x:v>Li et al. (2023)</x:v>
      </x:c>
      <x:c r="D42" s="9" t="str">
        <x:v>Ultra-Wide Range, High Sensitivity Piezoresistive Sensor Based on Triple Periodic Minimum Surface Construction</x:v>
      </x:c>
      <x:c r="E42" s="9" t="n">
        <x:v>0</x:v>
      </x:c>
      <x:c r="F42" s="9" t="n">
        <x:v>1</x:v>
      </x:c>
      <x:c r="G42" s="9" t="n">
        <x:v>1</x:v>
      </x:c>
      <x:c r="H42" s="9" t="n">
        <x:v>1</x:v>
      </x:c>
      <x:c r="I42" s="9" t="n">
        <x:v>1</x:v>
      </x:c>
      <x:c r="J42" s="9" t="n">
        <x:v>0</x:v>
      </x:c>
      <x:c r="K42" s="9" t="n">
        <x:v>0</x:v>
      </x:c>
      <x:c r="L42" s="9" t="n">
        <x:v>0</x:v>
      </x:c>
      <x:c r="M42" s="15" t="n">
        <x:v>0.5</x:v>
      </x:c>
      <x:c r="N42" s="9" t="n">
        <x:v>1</x:v>
      </x:c>
      <x:c r="O42" s="9" t="str">
        <x:v>1-0-0-0</x:v>
      </x:c>
    </x:row>
    <x:row r="43">
      <x:c r="A43" s="9" t="n">
        <x:v>42</x:v>
      </x:c>
      <x:c r="B43" s="9" t="str">
        <x:v>S054</x:v>
      </x:c>
      <x:c r="C43" s="9" t="str">
        <x:v>Chatzistergos et al. (2021)</x:v>
      </x:c>
      <x:c r="D43" s="9" t="str">
        <x:v>A Novel Concept for Low-Cost Non-Electronic Detection of Overloading in the Foot during Activities of Daily Living</x:v>
      </x:c>
      <x:c r="E43" s="9" t="n">
        <x:v>0</x:v>
      </x:c>
      <x:c r="F43" s="9" t="n">
        <x:v>1</x:v>
      </x:c>
      <x:c r="G43" s="9" t="n">
        <x:v>1</x:v>
      </x:c>
      <x:c r="H43" s="9" t="n">
        <x:v>1</x:v>
      </x:c>
      <x:c r="I43" s="9" t="n">
        <x:v>1</x:v>
      </x:c>
      <x:c r="J43" s="9" t="n">
        <x:v>0</x:v>
      </x:c>
      <x:c r="K43" s="9" t="n">
        <x:v>0</x:v>
      </x:c>
      <x:c r="L43" s="9" t="n">
        <x:v>1</x:v>
      </x:c>
      <x:c r="M43" s="15" t="n">
        <x:v>0.625</x:v>
      </x:c>
      <x:c r="N43" s="9" t="n">
        <x:v>2</x:v>
      </x:c>
      <x:c r="O43" s="9" t="str">
        <x:v>1-0-0-1</x:v>
      </x:c>
    </x:row>
    <x:row r="44">
      <x:c r="A44" s="9" t="n">
        <x:v>43</x:v>
      </x:c>
      <x:c r="B44" s="9" t="str">
        <x:v>S055</x:v>
      </x:c>
      <x:c r="C44" s="9" t="str">
        <x:v>Ben Harrath et al. (2026)</x:v>
      </x:c>
      <x:c r="D44" s="9" t="str">
        <x:v>In-Situ Electrically Polarized Fused Deposition Modeling of PVDF for High-Performance Flexible Piezoelectric Sensors</x:v>
      </x:c>
      <x:c r="E44" s="9" t="n">
        <x:v>1</x:v>
      </x:c>
      <x:c r="F44" s="9" t="n">
        <x:v>1</x:v>
      </x:c>
      <x:c r="G44" s="9" t="n">
        <x:v>1</x:v>
      </x:c>
      <x:c r="H44" s="9" t="n">
        <x:v>1</x:v>
      </x:c>
      <x:c r="I44" s="9" t="n">
        <x:v>1</x:v>
      </x:c>
      <x:c r="J44" s="9" t="n">
        <x:v>0</x:v>
      </x:c>
      <x:c r="K44" s="9" t="n">
        <x:v>0</x:v>
      </x:c>
      <x:c r="L44" s="9" t="n">
        <x:v>0</x:v>
      </x:c>
      <x:c r="M44" s="15" t="n">
        <x:v>0.625</x:v>
      </x:c>
      <x:c r="N44" s="9" t="n">
        <x:v>1</x:v>
      </x:c>
      <x:c r="O44" s="9" t="str">
        <x:v>1-0-0-0</x:v>
      </x:c>
    </x:row>
    <x:row r="45">
      <x:c r="A45" s="9" t="n">
        <x:v>44</x:v>
      </x:c>
      <x:c r="B45" s="9" t="str">
        <x:v>S056</x:v>
      </x:c>
      <x:c r="C45" s="9" t="str">
        <x:v>Wei et al. (2026)</x:v>
      </x:c>
      <x:c r="D45" s="9" t="str">
        <x:v>A 3D-Printable Polymer Composite with Synergistic Electromechanical Properties for Ubiquitous Sensing</x:v>
      </x:c>
      <x:c r="E45" s="9" t="n">
        <x:v>1</x:v>
      </x:c>
      <x:c r="F45" s="9" t="n">
        <x:v>1</x:v>
      </x:c>
      <x:c r="G45" s="9" t="n">
        <x:v>1</x:v>
      </x:c>
      <x:c r="H45" s="9" t="n">
        <x:v>1</x:v>
      </x:c>
      <x:c r="I45" s="9" t="n">
        <x:v>1</x:v>
      </x:c>
      <x:c r="J45" s="9" t="n">
        <x:v>1</x:v>
      </x:c>
      <x:c r="K45" s="9" t="n">
        <x:v>0</x:v>
      </x:c>
      <x:c r="L45" s="9" t="n">
        <x:v>0</x:v>
      </x:c>
      <x:c r="M45" s="15" t="n">
        <x:v>0.75</x:v>
      </x:c>
      <x:c r="N45" s="9" t="n">
        <x:v>2</x:v>
      </x:c>
      <x:c r="O45" s="9" t="str">
        <x:v>1-1-0-0</x:v>
      </x:c>
    </x:row>
    <x:row r="46">
      <x:c r="A46" s="9" t="n">
        <x:v>45</x:v>
      </x:c>
      <x:c r="B46" s="9" t="str">
        <x:v>S057</x:v>
      </x:c>
      <x:c r="C46" s="9" t="str">
        <x:v>Wei et al. (2026)</x:v>
      </x:c>
      <x:c r="D46" s="9" t="str">
        <x:v>Synergistic Design of TPU/CNT Composite-Based Flexible Sensors with TPMS Porous Structures for Full-Range Human Motion Monitoring</x:v>
      </x:c>
      <x:c r="E46" s="9" t="n">
        <x:v>1</x:v>
      </x:c>
      <x:c r="F46" s="9" t="n">
        <x:v>1</x:v>
      </x:c>
      <x:c r="G46" s="9" t="n">
        <x:v>1</x:v>
      </x:c>
      <x:c r="H46" s="9" t="n">
        <x:v>1</x:v>
      </x:c>
      <x:c r="I46" s="9" t="n">
        <x:v>1</x:v>
      </x:c>
      <x:c r="J46" s="9" t="n">
        <x:v>0</x:v>
      </x:c>
      <x:c r="K46" s="9" t="n">
        <x:v>0</x:v>
      </x:c>
      <x:c r="L46" s="9" t="n">
        <x:v>0</x:v>
      </x:c>
      <x:c r="M46" s="15" t="n">
        <x:v>0.625</x:v>
      </x:c>
      <x:c r="N46" s="9" t="n">
        <x:v>1</x:v>
      </x:c>
      <x:c r="O46" s="9" t="str">
        <x:v>1-0-0-0</x:v>
      </x:c>
    </x:row>
    <x:row r="47">
      <x:c r="A47" s="9" t="n">
        <x:v>46</x:v>
      </x:c>
      <x:c r="B47" s="9" t="str">
        <x:v>S058</x:v>
      </x:c>
      <x:c r="C47" s="9" t="str">
        <x:v>Yang et al. (2026)</x:v>
      </x:c>
      <x:c r="D47" s="9" t="str">
        <x:v>Standardized Batch-Manufacturable Triboelectric Sensor Arrays for Deep Learning-Enabled Race-Walking State Recognition</x:v>
      </x:c>
      <x:c r="E47" s="9" t="n">
        <x:v>1</x:v>
      </x:c>
      <x:c r="F47" s="9" t="n">
        <x:v>1</x:v>
      </x:c>
      <x:c r="G47" s="9" t="n">
        <x:v>1</x:v>
      </x:c>
      <x:c r="H47" s="9" t="n">
        <x:v>1</x:v>
      </x:c>
      <x:c r="I47" s="9" t="n">
        <x:v>1</x:v>
      </x:c>
      <x:c r="J47" s="9" t="n">
        <x:v>1</x:v>
      </x:c>
      <x:c r="K47" s="9" t="n">
        <x:v>1</x:v>
      </x:c>
      <x:c r="L47" s="9" t="n">
        <x:v>1</x:v>
      </x:c>
      <x:c r="M47" s="15" t="n">
        <x:v>1</x:v>
      </x:c>
      <x:c r="N47" s="9" t="n">
        <x:v>4</x:v>
      </x:c>
      <x:c r="O47" s="9" t="str">
        <x:v>1-1-1-1</x:v>
      </x:c>
    </x:row>
    <x:row r="48">
      <x:c r="A48" s="9" t="n">
        <x:v>47</x:v>
      </x:c>
      <x:c r="B48" s="9" t="str">
        <x:v>S059</x:v>
      </x:c>
      <x:c r="C48" s="9" t="str">
        <x:v>Saroli et al. (2026)</x:v>
      </x:c>
      <x:c r="D48" s="9" t="str">
        <x:v>3D-Printed Flexible Multimaterial Wearable System Based on Auxetic Strain Sensors and Dry Electrodes for Cardiorespiratory Monitoring</x:v>
      </x:c>
      <x:c r="E48" s="9" t="n">
        <x:v>1</x:v>
      </x:c>
      <x:c r="F48" s="9" t="n">
        <x:v>1</x:v>
      </x:c>
      <x:c r="G48" s="9" t="n">
        <x:v>1</x:v>
      </x:c>
      <x:c r="H48" s="9" t="n">
        <x:v>1</x:v>
      </x:c>
      <x:c r="I48" s="9" t="n">
        <x:v>1</x:v>
      </x:c>
      <x:c r="J48" s="9" t="n">
        <x:v>1</x:v>
      </x:c>
      <x:c r="K48" s="9" t="n">
        <x:v>1</x:v>
      </x:c>
      <x:c r="L48" s="9" t="n">
        <x:v>0</x:v>
      </x:c>
      <x:c r="M48" s="15" t="n">
        <x:v>0.875</x:v>
      </x:c>
      <x:c r="N48" s="9" t="n">
        <x:v>3</x:v>
      </x:c>
      <x:c r="O48" s="9" t="str">
        <x:v>1-1-1-0</x:v>
      </x:c>
    </x:row>
    <x:row r="49">
      <x:c r="A49" s="9" t="n">
        <x:v>48</x:v>
      </x:c>
      <x:c r="B49" s="9" t="str">
        <x:v>S060</x:v>
      </x:c>
      <x:c r="C49" s="9" t="str">
        <x:v>Porfyrakis et al. (2026)</x:v>
      </x:c>
      <x:c r="D49" s="9" t="str">
        <x:v>Fused filament fabrication of gyroid TPU/MWCNT nanocomposite sensors with tunable piezoresistive response: Proof-of-concept integration into a 3D-printed smart midsole</x:v>
      </x:c>
      <x:c r="E49" s="9" t="n">
        <x:v>1</x:v>
      </x:c>
      <x:c r="F49" s="9" t="n">
        <x:v>1</x:v>
      </x:c>
      <x:c r="G49" s="9" t="n">
        <x:v>1</x:v>
      </x:c>
      <x:c r="H49" s="9" t="n">
        <x:v>1</x:v>
      </x:c>
      <x:c r="I49" s="9" t="n">
        <x:v>1</x:v>
      </x:c>
      <x:c r="J49" s="9" t="n">
        <x:v>0</x:v>
      </x:c>
      <x:c r="K49" s="9" t="n">
        <x:v>0</x:v>
      </x:c>
      <x:c r="L49" s="9" t="n">
        <x:v>0</x:v>
      </x:c>
      <x:c r="M49" s="15" t="n">
        <x:v>0.625</x:v>
      </x:c>
      <x:c r="N49" s="9" t="n">
        <x:v>1</x:v>
      </x:c>
      <x:c r="O49" s="9" t="str">
        <x:v>1-0-0-0</x:v>
      </x:c>
    </x:row>
    <x:row r="50">
      <x:c r="A50" s="9" t="n">
        <x:v>49</x:v>
      </x:c>
      <x:c r="B50" s="9" t="str">
        <x:v>S061</x:v>
      </x:c>
      <x:c r="C50" s="9" t="str">
        <x:v>Kumar et al. (2026)</x:v>
      </x:c>
      <x:c r="D50" s="9" t="str">
        <x:v>Design and 3D printing of high-frequency micro-strip patch antenna-based pressure sensor for burn rehabilitation monitoring</x:v>
      </x:c>
      <x:c r="E50" s="9" t="n">
        <x:v>0</x:v>
      </x:c>
      <x:c r="F50" s="9" t="n">
        <x:v>1</x:v>
      </x:c>
      <x:c r="G50" s="9" t="n">
        <x:v>1</x:v>
      </x:c>
      <x:c r="H50" s="9" t="n">
        <x:v>1</x:v>
      </x:c>
      <x:c r="I50" s="9" t="n">
        <x:v>0</x:v>
      </x:c>
      <x:c r="J50" s="9" t="n">
        <x:v>1</x:v>
      </x:c>
      <x:c r="K50" s="9" t="n">
        <x:v>0</x:v>
      </x:c>
      <x:c r="L50" s="9" t="n">
        <x:v>0</x:v>
      </x:c>
      <x:c r="M50" s="15" t="n">
        <x:v>0.5</x:v>
      </x:c>
      <x:c r="N50" s="9" t="n">
        <x:v>1</x:v>
      </x:c>
      <x:c r="O50" s="9" t="str">
        <x:v>0-1-0-0</x:v>
      </x:c>
    </x:row>
    <x:row r="51">
      <x:c r="A51" s="9" t="n">
        <x:v>50</x:v>
      </x:c>
      <x:c r="B51" s="9" t="str">
        <x:v>S063</x:v>
      </x:c>
      <x:c r="C51" s="9" t="str">
        <x:v>Wu et al. (2026)</x:v>
      </x:c>
      <x:c r="D51" s="9" t="str">
        <x:v>Tailored carbon nanotubes (CNTs)/ thermoplastic polyurethane (TPU) composite pressure sensors via optimized 3D printing for smart wearable electronics</x:v>
      </x:c>
      <x:c r="E51" s="9" t="n">
        <x:v>1</x:v>
      </x:c>
      <x:c r="F51" s="9" t="n">
        <x:v>1</x:v>
      </x:c>
      <x:c r="G51" s="9" t="n">
        <x:v>1</x:v>
      </x:c>
      <x:c r="H51" s="9" t="n">
        <x:v>1</x:v>
      </x:c>
      <x:c r="I51" s="9" t="n">
        <x:v>1</x:v>
      </x:c>
      <x:c r="J51" s="9" t="n">
        <x:v>0</x:v>
      </x:c>
      <x:c r="K51" s="9" t="n">
        <x:v>0</x:v>
      </x:c>
      <x:c r="L51" s="9" t="n">
        <x:v>0</x:v>
      </x:c>
      <x:c r="M51" s="15" t="n">
        <x:v>0.625</x:v>
      </x:c>
      <x:c r="N51" s="9" t="n">
        <x:v>1</x:v>
      </x:c>
      <x:c r="O51" s="9" t="str">
        <x:v>1-0-0-0</x:v>
      </x:c>
    </x:row>
    <x:row r="52">
      <x:c r="A52" s="9" t="n">
        <x:v>51</x:v>
      </x:c>
      <x:c r="B52" s="9" t="str">
        <x:v>S064</x:v>
      </x:c>
      <x:c r="C52" s="9" t="str">
        <x:v>Tao et al. (2026)</x:v>
      </x:c>
      <x:c r="D52" s="9" t="str">
        <x:v>Real-time impact strain monitoring in soft structures via hybrid 3D printing</x:v>
      </x:c>
      <x:c r="E52" s="9" t="n">
        <x:v>1</x:v>
      </x:c>
      <x:c r="F52" s="9" t="n">
        <x:v>1</x:v>
      </x:c>
      <x:c r="G52" s="9" t="n">
        <x:v>1</x:v>
      </x:c>
      <x:c r="H52" s="9" t="n">
        <x:v>1</x:v>
      </x:c>
      <x:c r="I52" s="9" t="n">
        <x:v>1</x:v>
      </x:c>
      <x:c r="J52" s="9" t="n">
        <x:v>0</x:v>
      </x:c>
      <x:c r="K52" s="9" t="n">
        <x:v>1</x:v>
      </x:c>
      <x:c r="L52" s="9" t="n">
        <x:v>0</x:v>
      </x:c>
      <x:c r="M52" s="15" t="n">
        <x:v>0.75</x:v>
      </x:c>
      <x:c r="N52" s="9" t="n">
        <x:v>2</x:v>
      </x:c>
      <x:c r="O52" s="9" t="str">
        <x:v>1-0-1-0</x:v>
      </x:c>
    </x:row>
    <x:row r="53">
      <x:c r="A53" s="9" t="n">
        <x:v>52</x:v>
      </x:c>
      <x:c r="B53" s="9" t="str">
        <x:v>S065</x:v>
      </x:c>
      <x:c r="C53" s="9" t="str">
        <x:v>Han et al. (2026)</x:v>
      </x:c>
      <x:c r="D53" s="9" t="str">
        <x:v>Flexible pressure sensors with microstructured surfaces fabricated via direct fused deposition modeling</x:v>
      </x:c>
      <x:c r="E53" s="9" t="n">
        <x:v>0</x:v>
      </x:c>
      <x:c r="F53" s="9" t="n">
        <x:v>1</x:v>
      </x:c>
      <x:c r="G53" s="9" t="n">
        <x:v>1</x:v>
      </x:c>
      <x:c r="H53" s="9" t="n">
        <x:v>1</x:v>
      </x:c>
      <x:c r="I53" s="9" t="n">
        <x:v>1</x:v>
      </x:c>
      <x:c r="J53" s="9" t="n">
        <x:v>0</x:v>
      </x:c>
      <x:c r="K53" s="9" t="n">
        <x:v>1</x:v>
      </x:c>
      <x:c r="L53" s="9" t="n">
        <x:v>1</x:v>
      </x:c>
      <x:c r="M53" s="15" t="n">
        <x:v>0.75</x:v>
      </x:c>
      <x:c r="N53" s="9" t="n">
        <x:v>3</x:v>
      </x:c>
      <x:c r="O53" s="9" t="str">
        <x:v>1-0-1-1</x:v>
      </x:c>
    </x:row>
    <x:row r="54">
      <x:c r="A54" s="9" t="n">
        <x:v>53</x:v>
      </x:c>
      <x:c r="B54" s="9" t="str">
        <x:v>S066</x:v>
      </x:c>
      <x:c r="C54" s="9" t="str">
        <x:v>Saroli et al. (2026)</x:v>
      </x:c>
      <x:c r="D54" s="9" t="str">
        <x:v>Development and Validation of a Wearable Respiratory Monitoring System Based on a 3D-Printed CB-TPU Strain Sensor</x:v>
      </x:c>
      <x:c r="E54" s="9" t="n">
        <x:v>0</x:v>
      </x:c>
      <x:c r="F54" s="9" t="n">
        <x:v>1</x:v>
      </x:c>
      <x:c r="G54" s="9" t="n">
        <x:v>1</x:v>
      </x:c>
      <x:c r="H54" s="9" t="n">
        <x:v>1</x:v>
      </x:c>
      <x:c r="I54" s="9" t="n">
        <x:v>1</x:v>
      </x:c>
      <x:c r="J54" s="9" t="n">
        <x:v>1</x:v>
      </x:c>
      <x:c r="K54" s="9" t="n">
        <x:v>1</x:v>
      </x:c>
      <x:c r="L54" s="9" t="n">
        <x:v>0</x:v>
      </x:c>
      <x:c r="M54" s="15" t="n">
        <x:v>0.75</x:v>
      </x:c>
      <x:c r="N54" s="9" t="n">
        <x:v>3</x:v>
      </x:c>
      <x:c r="O54" s="9" t="str">
        <x:v>1-1-1-0</x:v>
      </x:c>
    </x:row>
    <x:row r="55">
      <x:c r="A55" s="9" t="n">
        <x:v>54</x:v>
      </x:c>
      <x:c r="B55" s="9" t="str">
        <x:v>S067</x:v>
      </x:c>
      <x:c r="C55" s="9" t="str">
        <x:v>Yang et al. (2026)</x:v>
      </x:c>
      <x:c r="D55" s="9" t="str">
        <x:v>A comfortable, FDM 3D-printed triboelectric insole for motion recognition and energy harvesting</x:v>
      </x:c>
      <x:c r="E55" s="9" t="n">
        <x:v>0</x:v>
      </x:c>
      <x:c r="F55" s="9" t="n">
        <x:v>1</x:v>
      </x:c>
      <x:c r="G55" s="9" t="n">
        <x:v>1</x:v>
      </x:c>
      <x:c r="H55" s="9" t="n">
        <x:v>1</x:v>
      </x:c>
      <x:c r="I55" s="9" t="n">
        <x:v>1</x:v>
      </x:c>
      <x:c r="J55" s="9" t="n">
        <x:v>1</x:v>
      </x:c>
      <x:c r="K55" s="9" t="n">
        <x:v>0</x:v>
      </x:c>
      <x:c r="L55" s="9" t="n">
        <x:v>0</x:v>
      </x:c>
      <x:c r="M55" s="15" t="n">
        <x:v>0.625</x:v>
      </x:c>
      <x:c r="N55" s="9" t="n">
        <x:v>2</x:v>
      </x:c>
      <x:c r="O55" s="9" t="str">
        <x:v>1-1-0-0</x:v>
      </x:c>
    </x:row>
    <x:row r="56">
      <x:c r="A56" s="9" t="n">
        <x:v>55</x:v>
      </x:c>
      <x:c r="B56" s="9" t="str">
        <x:v>S068</x:v>
      </x:c>
      <x:c r="C56" s="9" t="str">
        <x:v>Sánchez et al. (2025)</x:v>
      </x:c>
      <x:c r="D56" s="9" t="str">
        <x:v>Enhancing sensing performance of 3D-printed TPU/CB piezoresistive strain sensors through integration of silver ink IDE</x:v>
      </x:c>
      <x:c r="E56" s="9" t="n">
        <x:v>1</x:v>
      </x:c>
      <x:c r="F56" s="9" t="n">
        <x:v>1</x:v>
      </x:c>
      <x:c r="G56" s="9" t="n">
        <x:v>1</x:v>
      </x:c>
      <x:c r="H56" s="9" t="n">
        <x:v>1</x:v>
      </x:c>
      <x:c r="I56" s="9" t="n">
        <x:v>1</x:v>
      </x:c>
      <x:c r="J56" s="9" t="n">
        <x:v>0</x:v>
      </x:c>
      <x:c r="K56" s="9" t="n">
        <x:v>0</x:v>
      </x:c>
      <x:c r="L56" s="9" t="n">
        <x:v>0</x:v>
      </x:c>
      <x:c r="M56" s="15" t="n">
        <x:v>0.625</x:v>
      </x:c>
      <x:c r="N56" s="9" t="n">
        <x:v>1</x:v>
      </x:c>
      <x:c r="O56" s="9" t="str">
        <x:v>1-0-0-0</x:v>
      </x:c>
    </x:row>
    <x:row r="57">
      <x:c r="A57" s="9" t="n">
        <x:v>56</x:v>
      </x:c>
      <x:c r="B57" s="9" t="str">
        <x:v>S069</x:v>
      </x:c>
      <x:c r="C57" s="9" t="str">
        <x:v>Babu et al. (2025)</x:v>
      </x:c>
      <x:c r="D57" s="9" t="str">
        <x:v>Direct 3D-printed triboactive polymer layers on stretchable conductive fabric for high-performance T-TENGs</x:v>
      </x:c>
      <x:c r="E57" s="9" t="n">
        <x:v>1</x:v>
      </x:c>
      <x:c r="F57" s="9" t="n">
        <x:v>1</x:v>
      </x:c>
      <x:c r="G57" s="9" t="n">
        <x:v>1</x:v>
      </x:c>
      <x:c r="H57" s="9" t="n">
        <x:v>1</x:v>
      </x:c>
      <x:c r="I57" s="9" t="n">
        <x:v>1</x:v>
      </x:c>
      <x:c r="J57" s="9" t="n">
        <x:v>1</x:v>
      </x:c>
      <x:c r="K57" s="9" t="n">
        <x:v>1</x:v>
      </x:c>
      <x:c r="L57" s="9" t="n">
        <x:v>0</x:v>
      </x:c>
      <x:c r="M57" s="15" t="n">
        <x:v>0.875</x:v>
      </x:c>
      <x:c r="N57" s="9" t="n">
        <x:v>3</x:v>
      </x:c>
      <x:c r="O57" s="9" t="str">
        <x:v>1-1-1-0</x:v>
      </x:c>
    </x:row>
    <x:row r="58">
      <x:c r="A58" s="9" t="n">
        <x:v>57</x:v>
      </x:c>
      <x:c r="B58" s="9" t="str">
        <x:v>S070</x:v>
      </x:c>
      <x:c r="C58" s="9" t="str">
        <x:v>Dimo et al. (2026)</x:v>
      </x:c>
      <x:c r="D58" s="9" t="str">
        <x:v>Effect of Printing Material and Speed on the Response of Flexible 3-D-Printed FBG-Based Sensors</x:v>
      </x:c>
      <x:c r="E58" s="9" t="n">
        <x:v>1</x:v>
      </x:c>
      <x:c r="F58" s="9" t="n">
        <x:v>1</x:v>
      </x:c>
      <x:c r="G58" s="9" t="n">
        <x:v>1</x:v>
      </x:c>
      <x:c r="H58" s="9" t="n">
        <x:v>1</x:v>
      </x:c>
      <x:c r="I58" s="9" t="n">
        <x:v>1</x:v>
      </x:c>
      <x:c r="J58" s="9" t="n">
        <x:v>1</x:v>
      </x:c>
      <x:c r="K58" s="9" t="n">
        <x:v>0</x:v>
      </x:c>
      <x:c r="L58" s="9" t="n">
        <x:v>0</x:v>
      </x:c>
      <x:c r="M58" s="15" t="n">
        <x:v>0.75</x:v>
      </x:c>
      <x:c r="N58" s="9" t="n">
        <x:v>2</x:v>
      </x:c>
      <x:c r="O58" s="9" t="str">
        <x:v>1-1-0-0</x:v>
      </x:c>
    </x:row>
    <x:row r="59">
      <x:c r="A59" s="9" t="n">
        <x:v>58</x:v>
      </x:c>
      <x:c r="B59" s="9" t="str">
        <x:v>S071</x:v>
      </x:c>
      <x:c r="C59" s="9" t="str">
        <x:v>Luo et al. (2025)</x:v>
      </x:c>
      <x:c r="D59" s="9" t="str">
        <x:v>Research on the mechanical properties and piezoresistive characteristics of sensor based on TPMS lattice structure</x:v>
      </x:c>
      <x:c r="E59" s="9" t="n">
        <x:v>0</x:v>
      </x:c>
      <x:c r="F59" s="9" t="n">
        <x:v>1</x:v>
      </x:c>
      <x:c r="G59" s="9" t="n">
        <x:v>1</x:v>
      </x:c>
      <x:c r="H59" s="9" t="n">
        <x:v>1</x:v>
      </x:c>
      <x:c r="I59" s="9" t="n">
        <x:v>1</x:v>
      </x:c>
      <x:c r="J59" s="9" t="n">
        <x:v>0</x:v>
      </x:c>
      <x:c r="K59" s="9" t="n">
        <x:v>1</x:v>
      </x:c>
      <x:c r="L59" s="9" t="n">
        <x:v>0</x:v>
      </x:c>
      <x:c r="M59" s="15" t="n">
        <x:v>0.625</x:v>
      </x:c>
      <x:c r="N59" s="9" t="n">
        <x:v>2</x:v>
      </x:c>
      <x:c r="O59" s="9" t="str">
        <x:v>1-0-1-0</x:v>
      </x:c>
    </x:row>
    <x:row r="60">
      <x:c r="A60" s="9" t="n">
        <x:v>59</x:v>
      </x:c>
      <x:c r="B60" s="9" t="str">
        <x:v>S073</x:v>
      </x:c>
      <x:c r="C60" s="9" t="str">
        <x:v>Han et al. (2025)</x:v>
      </x:c>
      <x:c r="D60" s="9" t="str">
        <x:v>3D printed continuous carbon fiber reinforced TPU metamaterials for flexible multifunctional sensors</x:v>
      </x:c>
      <x:c r="E60" s="9" t="n">
        <x:v>0</x:v>
      </x:c>
      <x:c r="F60" s="9" t="n">
        <x:v>1</x:v>
      </x:c>
      <x:c r="G60" s="9" t="n">
        <x:v>1</x:v>
      </x:c>
      <x:c r="H60" s="9" t="n">
        <x:v>1</x:v>
      </x:c>
      <x:c r="I60" s="9" t="n">
        <x:v>1</x:v>
      </x:c>
      <x:c r="J60" s="9" t="n">
        <x:v>0</x:v>
      </x:c>
      <x:c r="K60" s="9" t="n">
        <x:v>0</x:v>
      </x:c>
      <x:c r="L60" s="9" t="n">
        <x:v>0</x:v>
      </x:c>
      <x:c r="M60" s="15" t="n">
        <x:v>0.5</x:v>
      </x:c>
      <x:c r="N60" s="9" t="n">
        <x:v>1</x:v>
      </x:c>
      <x:c r="O60" s="9" t="str">
        <x:v>1-0-0-0</x:v>
      </x:c>
    </x:row>
    <x:row r="61">
      <x:c r="A61" s="9" t="n">
        <x:v>60</x:v>
      </x:c>
      <x:c r="B61" s="9" t="str">
        <x:v>S074</x:v>
      </x:c>
      <x:c r="C61" s="9" t="str">
        <x:v>Lavorgna et al. (2025)</x:v>
      </x:c>
      <x:c r="D61" s="9" t="str">
        <x:v>Dual-Material 3-D-Printed Wearable Sensors Based on FBG Technology for Physiological and Biomechanical Monitoring in Back Pain Assessment</x:v>
      </x:c>
      <x:c r="E61" s="9" t="n">
        <x:v>0</x:v>
      </x:c>
      <x:c r="F61" s="9" t="n">
        <x:v>1</x:v>
      </x:c>
      <x:c r="G61" s="9" t="n">
        <x:v>1</x:v>
      </x:c>
      <x:c r="H61" s="9" t="n">
        <x:v>1</x:v>
      </x:c>
      <x:c r="I61" s="9" t="n">
        <x:v>1</x:v>
      </x:c>
      <x:c r="J61" s="9" t="n">
        <x:v>1</x:v>
      </x:c>
      <x:c r="K61" s="9" t="n">
        <x:v>0</x:v>
      </x:c>
      <x:c r="L61" s="9" t="n">
        <x:v>0</x:v>
      </x:c>
      <x:c r="M61" s="15" t="n">
        <x:v>0.625</x:v>
      </x:c>
      <x:c r="N61" s="9" t="n">
        <x:v>2</x:v>
      </x:c>
      <x:c r="O61" s="9" t="str">
        <x:v>1-1-0-0</x:v>
      </x:c>
    </x:row>
    <x:row r="62">
      <x:c r="A62" s="9" t="n">
        <x:v>61</x:v>
      </x:c>
      <x:c r="B62" s="9" t="str">
        <x:v>S075</x:v>
      </x:c>
      <x:c r="C62" s="9" t="str">
        <x:v>Saroli et al. (2025)</x:v>
      </x:c>
      <x:c r="D62" s="9" t="str">
        <x:v>Fabrication and Metrological Characterization of Bare and Integrated 3-D-Printed Single-Layer CB-TPU Strain Sensors</x:v>
      </x:c>
      <x:c r="E62" s="9" t="n">
        <x:v>1</x:v>
      </x:c>
      <x:c r="F62" s="9" t="n">
        <x:v>1</x:v>
      </x:c>
      <x:c r="G62" s="9" t="n">
        <x:v>1</x:v>
      </x:c>
      <x:c r="H62" s="9" t="n">
        <x:v>1</x:v>
      </x:c>
      <x:c r="I62" s="9" t="n">
        <x:v>1</x:v>
      </x:c>
      <x:c r="J62" s="9" t="n">
        <x:v>1</x:v>
      </x:c>
      <x:c r="K62" s="9" t="n">
        <x:v>0</x:v>
      </x:c>
      <x:c r="L62" s="9" t="n">
        <x:v>0</x:v>
      </x:c>
      <x:c r="M62" s="15" t="n">
        <x:v>0.75</x:v>
      </x:c>
      <x:c r="N62" s="9" t="n">
        <x:v>2</x:v>
      </x:c>
      <x:c r="O62" s="9" t="str">
        <x:v>1-1-0-0</x:v>
      </x:c>
    </x:row>
    <x:row r="63">
      <x:c r="A63" s="9" t="n">
        <x:v>62</x:v>
      </x:c>
      <x:c r="B63" s="9" t="str">
        <x:v>S076</x:v>
      </x:c>
      <x:c r="C63" s="9" t="str">
        <x:v>Meena et al. (2025)</x:v>
      </x:c>
      <x:c r="D63" s="9" t="str">
        <x:v>3D-Printed PVDF-Based Hybrid Nanogenerators with Dominant Triboelectric Output for High-Sensitivity Force Sensing</x:v>
      </x:c>
      <x:c r="E63" s="9" t="n">
        <x:v>1</x:v>
      </x:c>
      <x:c r="F63" s="9" t="n">
        <x:v>1</x:v>
      </x:c>
      <x:c r="G63" s="9" t="n">
        <x:v>1</x:v>
      </x:c>
      <x:c r="H63" s="9" t="n">
        <x:v>1</x:v>
      </x:c>
      <x:c r="I63" s="9" t="n">
        <x:v>1</x:v>
      </x:c>
      <x:c r="J63" s="9" t="n">
        <x:v>0</x:v>
      </x:c>
      <x:c r="K63" s="9" t="n">
        <x:v>1</x:v>
      </x:c>
      <x:c r="L63" s="9" t="n">
        <x:v>0</x:v>
      </x:c>
      <x:c r="M63" s="15" t="n">
        <x:v>0.75</x:v>
      </x:c>
      <x:c r="N63" s="9" t="n">
        <x:v>2</x:v>
      </x:c>
      <x:c r="O63" s="9" t="str">
        <x:v>1-0-1-0</x:v>
      </x:c>
    </x:row>
    <x:row r="64">
      <x:c r="A64" s="9" t="n">
        <x:v>63</x:v>
      </x:c>
      <x:c r="B64" s="9" t="str">
        <x:v>S077</x:v>
      </x:c>
      <x:c r="C64" s="9" t="str">
        <x:v>Farid et al. (2025)</x:v>
      </x:c>
      <x:c r="D64" s="9" t="str">
        <x:v>Bio-inspired hybrid composite fabrication 3D-printing approach for multifunctional flexible wearable sensors applications</x:v>
      </x:c>
      <x:c r="E64" s="9" t="n">
        <x:v>0</x:v>
      </x:c>
      <x:c r="F64" s="9" t="n">
        <x:v>1</x:v>
      </x:c>
      <x:c r="G64" s="9" t="n">
        <x:v>1</x:v>
      </x:c>
      <x:c r="H64" s="9" t="n">
        <x:v>1</x:v>
      </x:c>
      <x:c r="I64" s="9" t="n">
        <x:v>1</x:v>
      </x:c>
      <x:c r="J64" s="9" t="n">
        <x:v>0</x:v>
      </x:c>
      <x:c r="K64" s="9" t="n">
        <x:v>0</x:v>
      </x:c>
      <x:c r="L64" s="9" t="n">
        <x:v>0</x:v>
      </x:c>
      <x:c r="M64" s="15" t="n">
        <x:v>0.5</x:v>
      </x:c>
      <x:c r="N64" s="9" t="n">
        <x:v>1</x:v>
      </x:c>
      <x:c r="O64" s="9" t="str">
        <x:v>1-0-0-0</x:v>
      </x:c>
    </x:row>
    <x:row r="65">
      <x:c r="A65" s="9" t="n">
        <x:v>64</x:v>
      </x:c>
      <x:c r="B65" s="9" t="str">
        <x:v>S078</x:v>
      </x:c>
      <x:c r="C65" s="9" t="str">
        <x:v>Hu et al. (2024)</x:v>
      </x:c>
      <x:c r="D65" s="9" t="str">
        <x:v>Microwave Radiation Assisted Construction of Fused Deposition Modeling 3D Printing Flexible Sensors</x:v>
      </x:c>
      <x:c r="E65" s="9" t="n">
        <x:v>1</x:v>
      </x:c>
      <x:c r="F65" s="9" t="n">
        <x:v>1</x:v>
      </x:c>
      <x:c r="G65" s="9" t="n">
        <x:v>1</x:v>
      </x:c>
      <x:c r="H65" s="9" t="n">
        <x:v>1</x:v>
      </x:c>
      <x:c r="I65" s="9" t="n">
        <x:v>1</x:v>
      </x:c>
      <x:c r="J65" s="9" t="n">
        <x:v>0</x:v>
      </x:c>
      <x:c r="K65" s="9" t="n">
        <x:v>0</x:v>
      </x:c>
      <x:c r="L65" s="9" t="n">
        <x:v>0</x:v>
      </x:c>
      <x:c r="M65" s="15" t="n">
        <x:v>0.625</x:v>
      </x:c>
      <x:c r="N65" s="9" t="n">
        <x:v>1</x:v>
      </x:c>
      <x:c r="O65" s="9" t="str">
        <x:v>1-0-0-0</x:v>
      </x:c>
    </x:row>
    <x:row r="66">
      <x:c r="A66" s="9" t="n">
        <x:v>65</x:v>
      </x:c>
      <x:c r="B66" s="9" t="str">
        <x:v>S079</x:v>
      </x:c>
      <x:c r="C66" s="9" t="str">
        <x:v>Han et al. (2024)</x:v>
      </x:c>
      <x:c r="D66" s="9" t="str">
        <x:v>Wide-response-range and high-sensitivity piezoresistive sensors with triple periodic minimal surface (TPMS) structures for wearable human-computer interaction systems</x:v>
      </x:c>
      <x:c r="E66" s="9" t="n">
        <x:v>0</x:v>
      </x:c>
      <x:c r="F66" s="9" t="n">
        <x:v>1</x:v>
      </x:c>
      <x:c r="G66" s="9" t="n">
        <x:v>1</x:v>
      </x:c>
      <x:c r="H66" s="9" t="n">
        <x:v>1</x:v>
      </x:c>
      <x:c r="I66" s="9" t="n">
        <x:v>1</x:v>
      </x:c>
      <x:c r="J66" s="9" t="n">
        <x:v>1</x:v>
      </x:c>
      <x:c r="K66" s="9" t="n">
        <x:v>1</x:v>
      </x:c>
      <x:c r="L66" s="9" t="n">
        <x:v>0</x:v>
      </x:c>
      <x:c r="M66" s="15" t="n">
        <x:v>0.75</x:v>
      </x:c>
      <x:c r="N66" s="9" t="n">
        <x:v>3</x:v>
      </x:c>
      <x:c r="O66" s="9" t="str">
        <x:v>1-1-1-0</x:v>
      </x:c>
    </x:row>
    <x:row r="67">
      <x:c r="A67" s="9" t="n">
        <x:v>66</x:v>
      </x:c>
      <x:c r="B67" s="9" t="str">
        <x:v>S080</x:v>
      </x:c>
      <x:c r="C67" s="9" t="str">
        <x:v>Imanian et al. (2023)</x:v>
      </x:c>
      <x:c r="D67" s="9" t="str">
        <x:v>3D printed flexible wearable sensors based on triply periodic minimal surface structures for biomonitoring applications</x:v>
      </x:c>
      <x:c r="E67" s="9" t="n">
        <x:v>0</x:v>
      </x:c>
      <x:c r="F67" s="9" t="n">
        <x:v>1</x:v>
      </x:c>
      <x:c r="G67" s="9" t="n">
        <x:v>1</x:v>
      </x:c>
      <x:c r="H67" s="9" t="n">
        <x:v>1</x:v>
      </x:c>
      <x:c r="I67" s="9" t="n">
        <x:v>1</x:v>
      </x:c>
      <x:c r="J67" s="9" t="n">
        <x:v>0</x:v>
      </x:c>
      <x:c r="K67" s="9" t="n">
        <x:v>0</x:v>
      </x:c>
      <x:c r="L67" s="9" t="n">
        <x:v>0</x:v>
      </x:c>
      <x:c r="M67" s="15" t="n">
        <x:v>0.5</x:v>
      </x:c>
      <x:c r="N67" s="9" t="n">
        <x:v>1</x:v>
      </x:c>
      <x:c r="O67" s="9" t="str">
        <x:v>1-0-0-0</x:v>
      </x:c>
    </x:row>
    <x:row r="68">
      <x:c r="A68" s="9" t="n">
        <x:v>67</x:v>
      </x:c>
      <x:c r="B68" s="9" t="str">
        <x:v>S081</x:v>
      </x:c>
      <x:c r="C68" s="9" t="str">
        <x:v>De Tommasi et al. (2023)</x:v>
      </x:c>
      <x:c r="D68" s="9" t="str">
        <x:v>Wearable 3D-Printed Thumb-Shaped Device Based on Fiber Bragg Grating Sensor for Epidural Space Detection</x:v>
      </x:c>
      <x:c r="E68" s="9" t="n">
        <x:v>0</x:v>
      </x:c>
      <x:c r="F68" s="9" t="n">
        <x:v>1</x:v>
      </x:c>
      <x:c r="G68" s="9" t="n">
        <x:v>1</x:v>
      </x:c>
      <x:c r="H68" s="9" t="n">
        <x:v>1</x:v>
      </x:c>
      <x:c r="I68" s="9" t="n">
        <x:v>1</x:v>
      </x:c>
      <x:c r="J68" s="9" t="n">
        <x:v>0</x:v>
      </x:c>
      <x:c r="K68" s="9" t="n">
        <x:v>0</x:v>
      </x:c>
      <x:c r="L68" s="9" t="n">
        <x:v>0</x:v>
      </x:c>
      <x:c r="M68" s="15" t="n">
        <x:v>0.5</x:v>
      </x:c>
      <x:c r="N68" s="9" t="n">
        <x:v>1</x:v>
      </x:c>
      <x:c r="O68" s="9" t="str">
        <x:v>1-0-0-0</x:v>
      </x:c>
    </x:row>
    <x:row r="69">
      <x:c r="A69" s="9" t="n">
        <x:v>68</x:v>
      </x:c>
      <x:c r="B69" s="9" t="str">
        <x:v>S082</x:v>
      </x:c>
      <x:c r="C69" s="9" t="str">
        <x:v>Xiang et al. (2023)</x:v>
      </x:c>
      <x:c r="D69" s="9" t="str">
        <x:v>Highly Sensitive Flexible Strain Sensor Based on a Double-percolation Structured Elastic Fiber of Carbon Nanotube (CNT)/Styrene Butadiene Styrene (SBS) @ Thermoplastic Polyurethane (TPU) for Human Motion and Tactile Recognition</x:v>
      </x:c>
      <x:c r="E69" s="9" t="n">
        <x:v>0</x:v>
      </x:c>
      <x:c r="F69" s="9" t="n">
        <x:v>1</x:v>
      </x:c>
      <x:c r="G69" s="9" t="n">
        <x:v>1</x:v>
      </x:c>
      <x:c r="H69" s="9" t="n">
        <x:v>1</x:v>
      </x:c>
      <x:c r="I69" s="9" t="n">
        <x:v>1</x:v>
      </x:c>
      <x:c r="J69" s="9" t="n">
        <x:v>0</x:v>
      </x:c>
      <x:c r="K69" s="9" t="n">
        <x:v>0</x:v>
      </x:c>
      <x:c r="L69" s="9" t="n">
        <x:v>0</x:v>
      </x:c>
      <x:c r="M69" s="15" t="n">
        <x:v>0.5</x:v>
      </x:c>
      <x:c r="N69" s="9" t="n">
        <x:v>1</x:v>
      </x:c>
      <x:c r="O69" s="9" t="str">
        <x:v>1-0-0-0</x:v>
      </x:c>
    </x:row>
    <x:row r="70">
      <x:c r="A70" s="9" t="n">
        <x:v>69</x:v>
      </x:c>
      <x:c r="B70" s="9" t="str">
        <x:v>S084</x:v>
      </x:c>
      <x:c r="C70" s="9" t="str">
        <x:v>Liu et al. (2023)</x:v>
      </x:c>
      <x:c r="D70" s="9" t="str">
        <x:v>Highly sensitive flexible strain sensor based on carbon nanotube/styrene butadiene styrene@ thermoplastic polyurethane fiber with a double percolated structure</x:v>
      </x:c>
      <x:c r="E70" s="9" t="n">
        <x:v>0</x:v>
      </x:c>
      <x:c r="F70" s="9" t="n">
        <x:v>1</x:v>
      </x:c>
      <x:c r="G70" s="9" t="n">
        <x:v>1</x:v>
      </x:c>
      <x:c r="H70" s="9" t="n">
        <x:v>1</x:v>
      </x:c>
      <x:c r="I70" s="9" t="n">
        <x:v>1</x:v>
      </x:c>
      <x:c r="J70" s="9" t="n">
        <x:v>0</x:v>
      </x:c>
      <x:c r="K70" s="9" t="n">
        <x:v>0</x:v>
      </x:c>
      <x:c r="L70" s="9" t="n">
        <x:v>0</x:v>
      </x:c>
      <x:c r="M70" s="15" t="n">
        <x:v>0.5</x:v>
      </x:c>
      <x:c r="N70" s="9" t="n">
        <x:v>1</x:v>
      </x:c>
      <x:c r="O70" s="9" t="str">
        <x:v>1-0-0-0</x:v>
      </x:c>
    </x:row>
    <x:row r="71">
      <x:c r="A71" s="9" t="n">
        <x:v>70</x:v>
      </x:c>
      <x:c r="B71" s="9" t="str">
        <x:v>S085</x:v>
      </x:c>
      <x:c r="C71" s="9" t="str">
        <x:v>Li et al. (2022)</x:v>
      </x:c>
      <x:c r="D71" s="9" t="str">
        <x:v>Strain sensing behavior of FDM 3D printed carbon black filled TPU with periodic configurations and flexible substrates</x:v>
      </x:c>
      <x:c r="E71" s="9" t="n">
        <x:v>1</x:v>
      </x:c>
      <x:c r="F71" s="9" t="n">
        <x:v>1</x:v>
      </x:c>
      <x:c r="G71" s="9" t="n">
        <x:v>1</x:v>
      </x:c>
      <x:c r="H71" s="9" t="n">
        <x:v>1</x:v>
      </x:c>
      <x:c r="I71" s="9" t="n">
        <x:v>1</x:v>
      </x:c>
      <x:c r="J71" s="9" t="n">
        <x:v>0</x:v>
      </x:c>
      <x:c r="K71" s="9" t="n">
        <x:v>1</x:v>
      </x:c>
      <x:c r="L71" s="9" t="n">
        <x:v>0</x:v>
      </x:c>
      <x:c r="M71" s="15" t="n">
        <x:v>0.75</x:v>
      </x:c>
      <x:c r="N71" s="9" t="n">
        <x:v>2</x:v>
      </x:c>
      <x:c r="O71" s="9" t="str">
        <x:v>1-0-1-0</x:v>
      </x:c>
    </x:row>
    <x:row r="72">
      <x:c r="A72" s="9" t="n">
        <x:v>71</x:v>
      </x:c>
      <x:c r="B72" s="9" t="str">
        <x:v>S086</x:v>
      </x:c>
      <x:c r="C72" s="9" t="str">
        <x:v>Li et al. (2022)</x:v>
      </x:c>
      <x:c r="D72" s="9" t="str">
        <x:v>Fabrication and Properties of Thermoplastic Polyurethane/Silver Parts via Fused Deposition Modeling for Electromagnetic Interference Shielding and Wearable Sensors</x:v>
      </x:c>
      <x:c r="E72" s="9" t="n">
        <x:v>0</x:v>
      </x:c>
      <x:c r="F72" s="9" t="n">
        <x:v>1</x:v>
      </x:c>
      <x:c r="G72" s="9" t="n">
        <x:v>1</x:v>
      </x:c>
      <x:c r="H72" s="9" t="n">
        <x:v>1</x:v>
      </x:c>
      <x:c r="I72" s="9" t="n">
        <x:v>1</x:v>
      </x:c>
      <x:c r="J72" s="9" t="n">
        <x:v>0</x:v>
      </x:c>
      <x:c r="K72" s="9" t="n">
        <x:v>0</x:v>
      </x:c>
      <x:c r="L72" s="9" t="n">
        <x:v>0</x:v>
      </x:c>
      <x:c r="M72" s="15" t="n">
        <x:v>0.5</x:v>
      </x:c>
      <x:c r="N72" s="9" t="n">
        <x:v>1</x:v>
      </x:c>
      <x:c r="O72" s="9" t="str">
        <x:v>1-0-0-0</x:v>
      </x:c>
    </x:row>
    <x:row r="73">
      <x:c r="A73" s="9" t="n">
        <x:v>72</x:v>
      </x:c>
      <x:c r="B73" s="9" t="str">
        <x:v>S087</x:v>
      </x:c>
      <x:c r="C73" s="9" t="str">
        <x:v>Ma et al. (2021)</x:v>
      </x:c>
      <x:c r="D73" s="9" t="str">
        <x:v>A 3D flexible piezoresistive sensor based on surface-filled graphene nanosheets conductive layer</x:v>
      </x:c>
      <x:c r="E73" s="9" t="n">
        <x:v>0</x:v>
      </x:c>
      <x:c r="F73" s="9" t="n">
        <x:v>1</x:v>
      </x:c>
      <x:c r="G73" s="9" t="n">
        <x:v>1</x:v>
      </x:c>
      <x:c r="H73" s="9" t="n">
        <x:v>1</x:v>
      </x:c>
      <x:c r="I73" s="9" t="n">
        <x:v>1</x:v>
      </x:c>
      <x:c r="J73" s="9" t="n">
        <x:v>0</x:v>
      </x:c>
      <x:c r="K73" s="9" t="n">
        <x:v>1</x:v>
      </x:c>
      <x:c r="L73" s="9" t="n">
        <x:v>0</x:v>
      </x:c>
      <x:c r="M73" s="15" t="n">
        <x:v>0.625</x:v>
      </x:c>
      <x:c r="N73" s="9" t="n">
        <x:v>2</x:v>
      </x:c>
      <x:c r="O73" s="9" t="str">
        <x:v>1-0-1-0</x:v>
      </x:c>
    </x:row>
    <x:row r="74">
      <x:c r="A74" s="9" t="n">
        <x:v>73</x:v>
      </x:c>
      <x:c r="B74" s="9" t="str">
        <x:v>S088</x:v>
      </x:c>
      <x:c r="C74" s="9" t="str">
        <x:v>Cheng-Yu et al. (2021)</x:v>
      </x:c>
      <x:c r="D74" s="9" t="str">
        <x:v>An FBG-based smart wearable ring fabricated using FDM for monitoring body joint motion</x:v>
      </x:c>
      <x:c r="E74" s="9" t="n">
        <x:v>0</x:v>
      </x:c>
      <x:c r="F74" s="9" t="n">
        <x:v>1</x:v>
      </x:c>
      <x:c r="G74" s="9" t="n">
        <x:v>1</x:v>
      </x:c>
      <x:c r="H74" s="9" t="n">
        <x:v>1</x:v>
      </x:c>
      <x:c r="I74" s="9" t="n">
        <x:v>1</x:v>
      </x:c>
      <x:c r="J74" s="9" t="n">
        <x:v>0</x:v>
      </x:c>
      <x:c r="K74" s="9" t="n">
        <x:v>0</x:v>
      </x:c>
      <x:c r="L74" s="9" t="n">
        <x:v>0</x:v>
      </x:c>
      <x:c r="M74" s="15" t="n">
        <x:v>0.5</x:v>
      </x:c>
      <x:c r="N74" s="9" t="n">
        <x:v>1</x:v>
      </x:c>
      <x:c r="O74" s="9" t="str">
        <x:v>1-0-0-0</x:v>
      </x:c>
    </x:row>
    <x:row r="75">
      <x:c r="A75" s="9" t="n">
        <x:v>74</x:v>
      </x:c>
      <x:c r="B75" s="9" t="str">
        <x:v>S089</x:v>
      </x:c>
      <x:c r="C75" s="9" t="str">
        <x:v>Xiang et al. (2020)</x:v>
      </x:c>
      <x:c r="D75" s="9" t="str">
        <x:v>3D printed high-performance flexible strain sensors based on carbon nanotube and graphene nanoplatelet filled polymer composites</x:v>
      </x:c>
      <x:c r="E75" s="9" t="n">
        <x:v>1</x:v>
      </x:c>
      <x:c r="F75" s="9" t="n">
        <x:v>1</x:v>
      </x:c>
      <x:c r="G75" s="9" t="n">
        <x:v>1</x:v>
      </x:c>
      <x:c r="H75" s="9" t="n">
        <x:v>1</x:v>
      </x:c>
      <x:c r="I75" s="9" t="n">
        <x:v>1</x:v>
      </x:c>
      <x:c r="J75" s="9" t="n">
        <x:v>1</x:v>
      </x:c>
      <x:c r="K75" s="9" t="n">
        <x:v>0</x:v>
      </x:c>
      <x:c r="L75" s="9" t="n">
        <x:v>0</x:v>
      </x:c>
      <x:c r="M75" s="15" t="n">
        <x:v>0.75</x:v>
      </x:c>
      <x:c r="N75" s="9" t="n">
        <x:v>2</x:v>
      </x:c>
      <x:c r="O75" s="9" t="str">
        <x:v>1-1-0-0</x:v>
      </x:c>
    </x:row>
    <x:row r="76">
      <x:c r="A76" s="9" t="n">
        <x:v>75</x:v>
      </x:c>
      <x:c r="B76" s="9" t="str">
        <x:v>S090</x:v>
      </x:c>
      <x:c r="C76" s="9" t="str">
        <x:v>Fan et al. (2019)</x:v>
      </x:c>
      <x:c r="D76" s="9" t="str">
        <x:v>3D printed high transconductance organic electrochemical transistors on flexible substrates</x:v>
      </x:c>
      <x:c r="E76" s="9" t="n">
        <x:v>0</x:v>
      </x:c>
      <x:c r="F76" s="9" t="n">
        <x:v>1</x:v>
      </x:c>
      <x:c r="G76" s="9" t="n">
        <x:v>1</x:v>
      </x:c>
      <x:c r="H76" s="9" t="n">
        <x:v>1</x:v>
      </x:c>
      <x:c r="I76" s="9" t="n">
        <x:v>0</x:v>
      </x:c>
      <x:c r="J76" s="9" t="n">
        <x:v>0</x:v>
      </x:c>
      <x:c r="K76" s="9" t="n">
        <x:v>0</x:v>
      </x:c>
      <x:c r="L76" s="9" t="n">
        <x:v>1</x:v>
      </x:c>
      <x:c r="M76" s="15" t="n">
        <x:v>0.5</x:v>
      </x:c>
      <x:c r="N76" s="9" t="n">
        <x:v>1</x:v>
      </x:c>
      <x:c r="O76" s="9" t="str">
        <x:v>0-0-0-1</x:v>
      </x:c>
    </x:row>
    <x:row r="77">
      <x:c r="A77" s="10" t="n">
        <x:v>76</x:v>
      </x:c>
      <x:c r="B77" s="10" t="str">
        <x:v>S091</x:v>
      </x:c>
      <x:c r="C77" s="10" t="str">
        <x:v>Kennedy et al. (2017)</x:v>
      </x:c>
      <x:c r="D77" s="10" t="str">
        <x:v>3D-printed poly(vinylidene fluoride)/carbon nanotube composites as a tunable, low-cost chemical vapour sensing platform</x:v>
      </x:c>
      <x:c r="E77" s="10" t="n">
        <x:v>1</x:v>
      </x:c>
      <x:c r="F77" s="10" t="n">
        <x:v>1</x:v>
      </x:c>
      <x:c r="G77" s="10" t="n">
        <x:v>1</x:v>
      </x:c>
      <x:c r="H77" s="10" t="n">
        <x:v>1</x:v>
      </x:c>
      <x:c r="I77" s="10" t="n">
        <x:v>1</x:v>
      </x:c>
      <x:c r="J77" s="10" t="n">
        <x:v>0</x:v>
      </x:c>
      <x:c r="K77" s="10" t="n">
        <x:v>0</x:v>
      </x:c>
      <x:c r="L77" s="10" t="n">
        <x:v>1</x:v>
      </x:c>
      <x:c r="M77" s="16" t="n">
        <x:v>0.75</x:v>
      </x:c>
      <x:c r="N77" s="10" t="n">
        <x:v>2</x:v>
      </x:c>
      <x:c r="O77" s="10" t="str">
        <x:v>1-0-0-1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1" hidden="0" customWidth="1"/>
    <x:col min="3" max="3" width="22" hidden="0" customWidth="1"/>
    <x:col min="4" max="4" width="10" hidden="0" customWidth="1"/>
    <x:col min="5" max="5" width="14" hidden="0" customWidth="1"/>
    <x:col min="6" max="6" width="25" hidden="0" customWidth="1"/>
    <x:col min="7" max="7" width="75" hidden="0" customWidth="1"/>
    <x:col min="8" max="8" width="40" hidden="0" customWidth="1"/>
    <x:col min="9" max="9" width="28" hidden="0" customWidth="1"/>
    <x:col min="10" max="10" width="54" hidden="0" customWidth="1"/>
  </x:cols>
  <x:sheetData>
    <x:row r="1" ht="15" hidden="0" customHeight="1">
      <x:c r="A1" s="6" t="str">
        <x:v>Synthesis ID</x:v>
      </x:c>
      <x:c r="B1" s="6" t="str">
        <x:v>Study ID</x:v>
      </x:c>
      <x:c r="C1" s="6" t="str">
        <x:v>Citation</x:v>
      </x:c>
      <x:c r="D1" s="6" t="str">
        <x:v>REB item</x:v>
      </x:c>
      <x:c r="E1" s="6" t="str">
        <x:v>Final decision</x:v>
      </x:c>
      <x:c r="F1" s="6" t="str">
        <x:v>Resolution</x:v>
      </x:c>
      <x:c r="G1" s="6" t="str">
        <x:v>Supporting evidence/reason</x:v>
      </x:c>
      <x:c r="H1" s="6" t="str">
        <x:v>Article or supplementary locator</x:v>
      </x:c>
      <x:c r="I1" s="42" t="str">
        <x:v>Negative evidence status</x:v>
      </x:c>
      <x:c r="J1" s="42" t="str">
        <x:v>Negative classification basis</x:v>
      </x:c>
    </x:row>
    <x:row r="2" ht="26.399999618530273" hidden="0" customHeight="1">
      <x:c r="A2" s="8" t="n">
        <x:v>1</x:v>
      </x:c>
      <x:c r="B2" s="8" t="str">
        <x:v>S001</x:v>
      </x:c>
      <x:c r="C2" s="8" t="str">
        <x:v>Leal-Junior et al. (2025)</x:v>
      </x:c>
      <x:c r="D2" s="8" t="str">
        <x:v>L1</x:v>
      </x:c>
      <x:c r="E2" s="8" t="str">
        <x:v>0</x:v>
      </x:c>
      <x:c r="F2" s="8" t="str">
        <x:v>Initial agreement</x:v>
      </x:c>
      <x:c r="G2" s="8" t="str">
        <x:v>Core printer named, but nozzle temperature, layer height, speed, nozzle size and toolpath/orientation were not located.</x:v>
      </x:c>
      <x:c r="H2" s="8" t="str">
        <x:v>PDF pp. 4-5</x:v>
      </x:c>
      <x:c r="I2" s="43" t="str">
        <x:v>Applicable fabrication information incomplete</x:v>
      </x:c>
      <x:c r="J2" s="43" t="str">
        <x:v>One or more architecture-relevant fabrication fields needed to reconstruct the tested printed component were not located.</x:v>
      </x:c>
    </x:row>
    <x:row r="3" ht="15" hidden="0" customHeight="1">
      <x:c r="A3" s="9" t="n">
        <x:v>1</x:v>
      </x:c>
      <x:c r="B3" s="9" t="str">
        <x:v>S001</x:v>
      </x:c>
      <x:c r="C3" s="9" t="str">
        <x:v>Leal-Junior et al. (2025)</x:v>
      </x:c>
      <x:c r="D3" s="9" t="str">
        <x:v>L2</x:v>
      </x:c>
      <x:c r="E3" s="9" t="str">
        <x:v>1</x:v>
      </x:c>
      <x:c r="F3" s="9" t="str">
        <x:v>Initial agreement</x:v>
      </x:c>
      <x:c r="G3" s="9" t="str">
        <x:v>TPU, silica FBG, PTFE capillary and PDMS integration materials identified.</x:v>
      </x:c>
      <x:c r="H3" s="9" t="str">
        <x:v>PDF pp. 4-5</x:v>
      </x:c>
      <x:c r="I3" s="43" t="str"/>
      <x:c r="J3" s="43" t="str"/>
    </x:row>
    <x:row r="4" ht="15" hidden="0" customHeight="1">
      <x:c r="A4" s="9" t="n">
        <x:v>1</x:v>
      </x:c>
      <x:c r="B4" s="9" t="str">
        <x:v>S001</x:v>
      </x:c>
      <x:c r="C4" s="9" t="str">
        <x:v>Leal-Junior et al. (2025)</x:v>
      </x:c>
      <x:c r="D4" s="9" t="str">
        <x:v>L3</x:v>
      </x:c>
      <x:c r="E4" s="9" t="str">
        <x:v>1</x:v>
      </x:c>
      <x:c r="F4" s="9" t="str">
        <x:v>Initial agreement</x:v>
      </x:c>
      <x:c r="G4" s="9" t="str">
        <x:v>20-1000 N calibration and force-platform comparison described.</x:v>
      </x:c>
      <x:c r="H4" s="9" t="str">
        <x:v>PDF pp. 6-8, 14; Fig. 3-4, 7</x:v>
      </x:c>
      <x:c r="I4" s="43" t="str"/>
      <x:c r="J4" s="43" t="str"/>
    </x:row>
    <x:row r="5" ht="15" hidden="0" customHeight="1">
      <x:c r="A5" s="9" t="n">
        <x:v>1</x:v>
      </x:c>
      <x:c r="B5" s="9" t="str">
        <x:v>S001</x:v>
      </x:c>
      <x:c r="C5" s="9" t="str">
        <x:v>Leal-Junior et al. (2025)</x:v>
      </x:c>
      <x:c r="D5" s="9" t="str">
        <x:v>L4</x:v>
      </x:c>
      <x:c r="E5" s="9" t="str">
        <x:v>1</x:v>
      </x:c>
      <x:c r="F5" s="9" t="str">
        <x:v>Initial agreement</x:v>
      </x:c>
      <x:c r="G5" s="9" t="str">
        <x:v>Sensitivity, linearity and hysteresis reported with ranges/units.</x:v>
      </x:c>
      <x:c r="H5" s="9" t="str">
        <x:v>PDF p. 8, Fig. 4</x:v>
      </x:c>
      <x:c r="I5" s="43" t="str"/>
      <x:c r="J5" s="43" t="str"/>
    </x:row>
    <x:row r="6" ht="15" hidden="0" customHeight="1">
      <x:c r="A6" s="9" t="n">
        <x:v>1</x:v>
      </x:c>
      <x:c r="B6" s="9" t="str">
        <x:v>S001</x:v>
      </x:c>
      <x:c r="C6" s="9" t="str">
        <x:v>Leal-Junior et al. (2025)</x:v>
      </x:c>
      <x:c r="D6" s="9" t="str">
        <x:v>L5</x:v>
      </x:c>
      <x:c r="E6" s="9" t="str">
        <x:v>1</x:v>
      </x:c>
      <x:c r="F6" s="9" t="str">
        <x:v>Initial agreement</x:v>
      </x:c>
      <x:c r="G6" s="9" t="str">
        <x:v>Three complete loading cycles with quantitative hysteresis.</x:v>
      </x:c>
      <x:c r="H6" s="9" t="str">
        <x:v>PDF pp. 6, 8; Fig. 4</x:v>
      </x:c>
      <x:c r="I6" s="43" t="str"/>
      <x:c r="J6" s="43" t="str"/>
    </x:row>
    <x:row r="7" ht="26.399999618530273" hidden="0" customHeight="1">
      <x:c r="A7" s="9" t="n">
        <x:v>1</x:v>
      </x:c>
      <x:c r="B7" s="9" t="str">
        <x:v>S001</x:v>
      </x:c>
      <x:c r="C7" s="9" t="str">
        <x:v>Leal-Junior et al. (2025)</x:v>
      </x:c>
      <x:c r="D7" s="9" t="str">
        <x:v>L6</x:v>
      </x:c>
      <x:c r="E7" s="9" t="str">
        <x:v>0</x:v>
      </x:c>
      <x:c r="F7" s="9" t="str">
        <x:v>Initial agreement</x:v>
      </x:c>
      <x:c r="G7" s="9" t="str">
        <x:v>No stated non-measurand environment/use exposure with sensor response; on-person operation alone does not qualify.</x:v>
      </x:c>
      <x:c r="H7" s="9" t="str">
        <x:v>PDF pp. 4-15 checked</x:v>
      </x:c>
      <x:c r="I7" s="43" t="str">
        <x:v>No qualifying extrinsic-exposure evidence located</x:v>
      </x:c>
      <x:c r="J7" s="43" t="str">
        <x:v>No response was located during or after a deliberately applied condition extrinsic to the intended measurand.</x:v>
      </x:c>
    </x:row>
    <x:row r="8" ht="36" hidden="0" customHeight="1">
      <x:c r="A8" s="9" t="n">
        <x:v>1</x:v>
      </x:c>
      <x:c r="B8" s="9" t="str">
        <x:v>S001</x:v>
      </x:c>
      <x:c r="C8" s="9" t="str">
        <x:v>Leal-Junior et al. (2025)</x:v>
      </x:c>
      <x:c r="D8" s="9" t="str">
        <x:v>L7</x:v>
      </x:c>
      <x:c r="E8" s="9" t="str">
        <x:v>0</x:v>
      </x:c>
      <x:c r="F8" s="9" t="str">
        <x:v>Complete L7 audit—not qualifying</x:v>
      </x:c>
      <x:c r="G8" s="9" t="str">
        <x:v>Does not qualify after the complete L7 audit: the report shows qualitative waveform repetition or a wearable demonstration, but no Route A direct-interface endpoint and no Route B defined retention or failure endpoint for the final assembly.</x:v>
      </x:c>
      <x:c r="H8" s="9" t="str">
        <x:v>S001_Main.pdf, physical p. 7 protocol; pp. 13-15, Fig. 7a-b and sequential-gait repeatability discussion.</x:v>
      </x:c>
      <x:c r="I8" s="43" t="str">
        <x:v>No qualifying interface/final-assembly endpoint located</x:v>
      </x:c>
      <x:c r="J8" s="43" t="str">
        <x:v>Neither a Route A interface endpoint nor a Route B repeated final-assembly retention/failure endpoint was located.</x:v>
      </x:c>
    </x:row>
    <x:row r="9" ht="39.599998474121094" hidden="0" customHeight="1">
      <x:c r="A9" s="9" t="n">
        <x:v>1</x:v>
      </x:c>
      <x:c r="B9" s="9" t="str">
        <x:v>S001</x:v>
      </x:c>
      <x:c r="C9" s="9" t="str">
        <x:v>Leal-Junior et al. (2025)</x:v>
      </x:c>
      <x:c r="D9" s="9" t="str">
        <x:v>L8</x:v>
      </x:c>
      <x:c r="E9" s="9" t="str">
        <x:v>0</x:v>
      </x:c>
      <x:c r="F9" s="9" t="str">
        <x:v>Initial agreement</x:v>
      </x:c>
      <x:c r="G9" s="9" t="str">
        <x:v>Five volunteers and five FBG positions are not independently fabricated device replicates; device count/variation NR.</x:v>
      </x:c>
      <x:c r="H9" s="9" t="str">
        <x:v>PDF pp. 6-15</x:v>
      </x:c>
      <x:c r="I9" s="43" t="str">
        <x:v>Non-qualifying repeated unit or condition</x:v>
      </x:c>
      <x:c r="J9" s="43" t="str">
        <x:v>The repeated entities were people, channels, variants, material specimens, repeated measurements or devices tested under different conditions.</x:v>
      </x:c>
    </x:row>
    <x:row r="10" ht="26.399999618530273" hidden="0" customHeight="1">
      <x:c r="A10" s="9" t="n">
        <x:v>2</x:v>
      </x:c>
      <x:c r="B10" s="9" t="str">
        <x:v>S002</x:v>
      </x:c>
      <x:c r="C10" s="9" t="str">
        <x:v>Koukouviti et al. (2022)</x:v>
      </x:c>
      <x:c r="D10" s="9" t="str">
        <x:v>L1</x:v>
      </x:c>
      <x:c r="E10" s="9" t="str">
        <x:v>0</x:v>
      </x:c>
      <x:c r="F10" s="9" t="str">
        <x:v>Initial agreement</x:v>
      </x:c>
      <x:c r="G10" s="9" t="str">
        <x:v>No printer/model or layer height located, although head/bed temperature and speed are reported.</x:v>
      </x:c>
      <x:c r="H10" s="9" t="str">
        <x:v>PDF p. 4</x:v>
      </x:c>
      <x:c r="I10" s="43" t="str">
        <x:v>Applicable fabrication information incomplete</x:v>
      </x:c>
      <x:c r="J10" s="43" t="str">
        <x:v>One or more architecture-relevant fabrication fields needed to reconstruct the tested printed component were not located.</x:v>
      </x:c>
    </x:row>
    <x:row r="11" ht="15" hidden="0" customHeight="1">
      <x:c r="A11" s="9" t="n">
        <x:v>2</x:v>
      </x:c>
      <x:c r="B11" s="9" t="str">
        <x:v>S002</x:v>
      </x:c>
      <x:c r="C11" s="9" t="str">
        <x:v>Koukouviti et al. (2022)</x:v>
      </x:c>
      <x:c r="D11" s="9" t="str">
        <x:v>L2</x:v>
      </x:c>
      <x:c r="E11" s="9" t="str">
        <x:v>1</x:v>
      </x:c>
      <x:c r="F11" s="9" t="str">
        <x:v>Initial agreement</x:v>
      </x:c>
      <x:c r="G11" s="9" t="str">
        <x:v>CB-PLA, Fe cluster and Nafion modification are identified.</x:v>
      </x:c>
      <x:c r="H11" s="9" t="str">
        <x:v>PDF pp. 3-5; Supplement pp. 1-12</x:v>
      </x:c>
      <x:c r="I11" s="43" t="str"/>
      <x:c r="J11" s="43" t="str"/>
    </x:row>
    <x:row r="12" ht="15" hidden="0" customHeight="1">
      <x:c r="A12" s="9" t="n">
        <x:v>2</x:v>
      </x:c>
      <x:c r="B12" s="9" t="str">
        <x:v>S002</x:v>
      </x:c>
      <x:c r="C12" s="9" t="str">
        <x:v>Koukouviti et al. (2022)</x:v>
      </x:c>
      <x:c r="D12" s="9" t="str">
        <x:v>L3</x:v>
      </x:c>
      <x:c r="E12" s="9" t="str">
        <x:v>1</x:v>
      </x:c>
      <x:c r="F12" s="9" t="str">
        <x:v>Initial agreement</x:v>
      </x:c>
      <x:c r="G12" s="9" t="str">
        <x:v>DPV procedure and 25-500 micromolar glucose calibration described.</x:v>
      </x:c>
      <x:c r="H12" s="9" t="str">
        <x:v>PDF pp. 5-7</x:v>
      </x:c>
      <x:c r="I12" s="43" t="str"/>
      <x:c r="J12" s="43" t="str"/>
    </x:row>
    <x:row r="13" ht="15" hidden="0" customHeight="1">
      <x:c r="A13" s="9" t="n">
        <x:v>2</x:v>
      </x:c>
      <x:c r="B13" s="9" t="str">
        <x:v>S002</x:v>
      </x:c>
      <x:c r="C13" s="9" t="str">
        <x:v>Koukouviti et al. (2022)</x:v>
      </x:c>
      <x:c r="D13" s="9" t="str">
        <x:v>L4</x:v>
      </x:c>
      <x:c r="E13" s="9" t="str">
        <x:v>1</x:v>
      </x:c>
      <x:c r="F13" s="9" t="str">
        <x:v>Initial agreement</x:v>
      </x:c>
      <x:c r="G13" s="9" t="str">
        <x:v>Calibration slope/linearity/LOD and concentration range reported.</x:v>
      </x:c>
      <x:c r="H13" s="9" t="str">
        <x:v>PDF pp. 6-7, Fig. 3-4</x:v>
      </x:c>
      <x:c r="I13" s="43" t="str"/>
      <x:c r="J13" s="43" t="str"/>
    </x:row>
    <x:row r="14" ht="15" hidden="0" customHeight="1">
      <x:c r="A14" s="9" t="n">
        <x:v>2</x:v>
      </x:c>
      <x:c r="B14" s="9" t="str">
        <x:v>S002</x:v>
      </x:c>
      <x:c r="C14" s="9" t="str">
        <x:v>Koukouviti et al. (2022)</x:v>
      </x:c>
      <x:c r="D14" s="9" t="str">
        <x:v>L5</x:v>
      </x:c>
      <x:c r="E14" s="9" t="str">
        <x:v>1</x:v>
      </x:c>
      <x:c r="F14" s="9" t="str">
        <x:v>Adjudicated to Reviewer 1</x:v>
      </x:c>
      <x:c r="G14" s="9" t="str">
        <x:v>Ten repeated responses on one electrode with 4.8% RSD.</x:v>
      </x:c>
      <x:c r="H14" s="9" t="str">
        <x:v>PDF pp. 7-8, Fig. 5</x:v>
      </x:c>
      <x:c r="I14" s="43" t="str"/>
      <x:c r="J14" s="43" t="str"/>
    </x:row>
    <x:row r="15" ht="15" hidden="0" customHeight="1">
      <x:c r="A15" s="9" t="n">
        <x:v>2</x:v>
      </x:c>
      <x:c r="B15" s="9" t="str">
        <x:v>S002</x:v>
      </x:c>
      <x:c r="C15" s="9" t="str">
        <x:v>Koukouviti et al. (2022)</x:v>
      </x:c>
      <x:c r="D15" s="9" t="str">
        <x:v>L6</x:v>
      </x:c>
      <x:c r="E15" s="9" t="str">
        <x:v>1</x:v>
      </x:c>
      <x:c r="F15" s="9" t="str">
        <x:v>L6 subtype audit</x:v>
      </x:c>
      <x:c r="G15" s="9" t="str">
        <x:v>In-exposure cross-sensitivity only: Artificial-sweat pH and interferents stated; recovery/response reported.</x:v>
      </x:c>
      <x:c r="H15" s="9" t="str">
        <x:v>PDF pp. 8-10, Fig. 6-7</x:v>
      </x:c>
      <x:c r="I15" s="43" t="str"/>
      <x:c r="J15" s="43" t="str"/>
    </x:row>
    <x:row r="16" ht="26.399999618530273" hidden="0" customHeight="1">
      <x:c r="A16" s="9" t="n">
        <x:v>2</x:v>
      </x:c>
      <x:c r="B16" s="9" t="str">
        <x:v>S002</x:v>
      </x:c>
      <x:c r="C16" s="9" t="str">
        <x:v>Koukouviti et al. (2022)</x:v>
      </x:c>
      <x:c r="D16" s="9" t="str">
        <x:v>L7</x:v>
      </x:c>
      <x:c r="E16" s="9" t="str">
        <x:v>0</x:v>
      </x:c>
      <x:c r="F16" s="9" t="str">
        <x:v>Complete L7 audit—not qualifying</x:v>
      </x:c>
      <x:c r="G16" s="9" t="str">
        <x:v>No qualifying interface-integrity test or repeated final monolithic wearable-assembly test with a retention/failure endpoint was located.</x:v>
      </x:c>
      <x:c r="H16" s="9" t="str">
        <x:v>PDF pp. 1-13 and Supplement checked</x:v>
      </x:c>
      <x:c r="I16" s="43" t="str">
        <x:v>No qualifying interface/final-assembly endpoint located</x:v>
      </x:c>
      <x:c r="J16" s="43" t="str">
        <x:v>Neither a Route A interface endpoint nor a Route B repeated final-assembly retention/failure endpoint was located.</x:v>
      </x:c>
    </x:row>
    <x:row r="17" ht="15" hidden="0" customHeight="1">
      <x:c r="A17" s="9" t="n">
        <x:v>2</x:v>
      </x:c>
      <x:c r="B17" s="9" t="str">
        <x:v>S002</x:v>
      </x:c>
      <x:c r="C17" s="9" t="str">
        <x:v>Koukouviti et al. (2022)</x:v>
      </x:c>
      <x:c r="D17" s="9" t="str">
        <x:v>L8</x:v>
      </x:c>
      <x:c r="E17" s="9" t="str">
        <x:v>1</x:v>
      </x:c>
      <x:c r="F17" s="9" t="str">
        <x:v>Initial agreement</x:v>
      </x:c>
      <x:c r="G17" s="9" t="str">
        <x:v>Six different 3DPEs compared with 8.1% RSD.</x:v>
      </x:c>
      <x:c r="H17" s="9" t="str">
        <x:v>PDF pp. 7-8, Fig. 5</x:v>
      </x:c>
      <x:c r="I17" s="43" t="str"/>
      <x:c r="J17" s="43" t="str"/>
    </x:row>
    <x:row r="18" ht="15" hidden="0" customHeight="1">
      <x:c r="A18" s="9" t="n">
        <x:v>3</x:v>
      </x:c>
      <x:c r="B18" s="9" t="str">
        <x:v>S004</x:v>
      </x:c>
      <x:c r="C18" s="9" t="str">
        <x:v>Farid et al. (2025)</x:v>
      </x:c>
      <x:c r="D18" s="9" t="str">
        <x:v>L1</x:v>
      </x:c>
      <x:c r="E18" s="9" t="str">
        <x:v>1</x:v>
      </x:c>
      <x:c r="F18" s="9" t="str">
        <x:v>Initial agreement</x:v>
      </x:c>
      <x:c r="G18" s="9" t="str">
        <x:v>Printer, material, nozzle, temperatures, speed, layer heights, orientation, infill and tested geometry reported.</x:v>
      </x:c>
      <x:c r="H18" s="9" t="str">
        <x:v>PDF pp. 2–13; Figs. 1–8</x:v>
      </x:c>
      <x:c r="I18" s="43" t="str"/>
      <x:c r="J18" s="43" t="str"/>
    </x:row>
    <x:row r="19" ht="24" hidden="0" customHeight="1">
      <x:c r="A19" s="9" t="n">
        <x:v>3</x:v>
      </x:c>
      <x:c r="B19" s="9" t="str">
        <x:v>S004</x:v>
      </x:c>
      <x:c r="C19" s="9" t="str">
        <x:v>Farid et al. (2025)</x:v>
      </x:c>
      <x:c r="D19" s="9" t="str">
        <x:v>L2</x:v>
      </x:c>
      <x:c r="E19" s="9" t="str">
        <x:v>1</x:v>
      </x:c>
      <x:c r="F19" s="9" t="str">
        <x:v>Initial agreement</x:v>
      </x:c>
      <x:c r="G19" s="9" t="str">
        <x:v>TPU/E-TPU roles and integration materials reported; commercial functional loading is not disclosed but grade identity is sufficient.</x:v>
      </x:c>
      <x:c r="H19" s="9" t="str">
        <x:v>PDF pp. 2–13; Figs. 1–8</x:v>
      </x:c>
      <x:c r="I19" s="43" t="str"/>
      <x:c r="J19" s="43" t="str"/>
    </x:row>
    <x:row r="20" ht="15" hidden="0" customHeight="1">
      <x:c r="A20" s="9" t="n">
        <x:v>3</x:v>
      </x:c>
      <x:c r="B20" s="9" t="str">
        <x:v>S004</x:v>
      </x:c>
      <x:c r="C20" s="9" t="str">
        <x:v>Farid et al. (2025)</x:v>
      </x:c>
      <x:c r="D20" s="9" t="str">
        <x:v>L3</x:v>
      </x:c>
      <x:c r="E20" s="9" t="str">
        <x:v>1</x:v>
      </x:c>
      <x:c r="F20" s="9" t="str">
        <x:v>Initial agreement</x:v>
      </x:c>
      <x:c r="G20" s="9" t="str">
        <x:v>Controlled UTM strain with simultaneous electrical measurement.</x:v>
      </x:c>
      <x:c r="H20" s="9" t="str">
        <x:v>PDF pp. 2–13; Figs. 1–8</x:v>
      </x:c>
      <x:c r="I20" s="43" t="str"/>
      <x:c r="J20" s="43" t="str"/>
    </x:row>
    <x:row r="21" ht="15" hidden="0" customHeight="1">
      <x:c r="A21" s="9" t="n">
        <x:v>3</x:v>
      </x:c>
      <x:c r="B21" s="9" t="str">
        <x:v>S004</x:v>
      </x:c>
      <x:c r="C21" s="9" t="str">
        <x:v>Farid et al. (2025)</x:v>
      </x:c>
      <x:c r="D21" s="9" t="str">
        <x:v>L4</x:v>
      </x:c>
      <x:c r="E21" s="9" t="str">
        <x:v>1</x:v>
      </x:c>
      <x:c r="F21" s="9" t="str">
        <x:v>Initial agreement</x:v>
      </x:c>
      <x:c r="G21" s="9" t="str">
        <x:v>GF, ΔR/R0, strain range and response/recovery times reported.</x:v>
      </x:c>
      <x:c r="H21" s="9" t="str">
        <x:v>PDF pp. 2–13; Figs. 1–8</x:v>
      </x:c>
      <x:c r="I21" s="43" t="str"/>
      <x:c r="J21" s="43" t="str"/>
    </x:row>
    <x:row r="22" ht="24" hidden="0" customHeight="1">
      <x:c r="A22" s="9" t="n">
        <x:v>3</x:v>
      </x:c>
      <x:c r="B22" s="9" t="str">
        <x:v>S004</x:v>
      </x:c>
      <x:c r="C22" s="9" t="str">
        <x:v>Farid et al. (2025)</x:v>
      </x:c>
      <x:c r="D22" s="9" t="str">
        <x:v>L5</x:v>
      </x:c>
      <x:c r="E22" s="9" t="str">
        <x:v>1</x:v>
      </x:c>
      <x:c r="F22" s="9" t="str">
        <x:v>Initial agreement</x:v>
      </x:c>
      <x:c r="G22" s="9" t="str">
        <x:v>Several complete cyclic/stepwise strain sequences with return behavior are shown; exact same-condition count is not stated.</x:v>
      </x:c>
      <x:c r="H22" s="9" t="str">
        <x:v>PDF pp. 2–13; Figs. 1–8</x:v>
      </x:c>
      <x:c r="I22" s="43" t="str"/>
      <x:c r="J22" s="43" t="str"/>
    </x:row>
    <x:row r="23" ht="26.399999618530273" hidden="0" customHeight="1">
      <x:c r="A23" s="9" t="n">
        <x:v>3</x:v>
      </x:c>
      <x:c r="B23" s="9" t="str">
        <x:v>S004</x:v>
      </x:c>
      <x:c r="C23" s="9" t="str">
        <x:v>Farid et al. (2025)</x:v>
      </x:c>
      <x:c r="D23" s="9" t="str">
        <x:v>L6</x:v>
      </x:c>
      <x:c r="E23" s="9" t="str">
        <x:v>0</x:v>
      </x:c>
      <x:c r="F23" s="9" t="str">
        <x:v>Consensus revised after L6 consistency audit</x:v>
      </x:c>
      <x:c r="G23" s="9" t="str">
        <x:v>Loading rate is a parameter of the intended tensile-strain input, not an exposure extrinsic to the measurand; no qualifying L6 condition was reported.</x:v>
      </x:c>
      <x:c r="H23" s="9" t="str">
        <x:v>PDF pp. 10-11; Fig. 6h</x:v>
      </x:c>
      <x:c r="I23" s="43" t="str">
        <x:v>No qualifying extrinsic-exposure evidence located</x:v>
      </x:c>
      <x:c r="J23" s="43" t="str">
        <x:v>No response was located during or after a deliberately applied condition extrinsic to the intended measurand.</x:v>
      </x:c>
    </x:row>
    <x:row r="24" ht="36" hidden="0" customHeight="1">
      <x:c r="A24" s="9" t="n">
        <x:v>3</x:v>
      </x:c>
      <x:c r="B24" s="9" t="str">
        <x:v>S004</x:v>
      </x:c>
      <x:c r="C24" s="9" t="str">
        <x:v>Farid et al. (2025)</x:v>
      </x:c>
      <x:c r="D24" s="9" t="str">
        <x:v>L7</x:v>
      </x:c>
      <x:c r="E24" s="9" t="str">
        <x:v>0</x:v>
      </x:c>
      <x:c r="F24" s="9" t="str">
        <x:v>Complete L7 audit—not qualifying</x:v>
      </x:c>
      <x:c r="G24" s="9" t="str">
        <x:v>Does not qualify after the complete L7 audit: the report shows qualitative waveform repetition or a wearable demonstration, but no Route A direct-interface endpoint and no Route B defined retention or failure endpoint for the final assembly.</x:v>
      </x:c>
      <x:c r="H24" s="9" t="str">
        <x:v>S004_Main.pdf, physical pp. 11-12, section 3.3/Fig. 7a-e.</x:v>
      </x:c>
      <x:c r="I24" s="43" t="str">
        <x:v>No qualifying interface/final-assembly endpoint located</x:v>
      </x:c>
      <x:c r="J24" s="43" t="str">
        <x:v>Neither a Route A interface endpoint nor a Route B repeated final-assembly retention/failure endpoint was located.</x:v>
      </x:c>
    </x:row>
    <x:row r="25" ht="26.399999618530273" hidden="0" customHeight="1">
      <x:c r="A25" s="9" t="n">
        <x:v>3</x:v>
      </x:c>
      <x:c r="B25" s="9" t="str">
        <x:v>S004</x:v>
      </x:c>
      <x:c r="C25" s="9" t="str">
        <x:v>Farid et al. (2025)</x:v>
      </x:c>
      <x:c r="D25" s="9" t="str">
        <x:v>L8</x:v>
      </x:c>
      <x:c r="E25" s="9" t="str">
        <x:v>0</x:v>
      </x:c>
      <x:c r="F25" s="9" t="str">
        <x:v>Initial agreement</x:v>
      </x:c>
      <x:c r="G25" s="9" t="str">
        <x:v>No ≥3 separately fabricated sensing units compared quantitatively.</x:v>
      </x:c>
      <x:c r="H25" s="9" t="str">
        <x:v>PDF pp. 2–13; Figs. 1–8</x:v>
      </x:c>
      <x:c r="I25" s="43" t="str">
        <x:v>No qualifying between-device evidence located</x:v>
      </x:c>
      <x:c r="J25" s="43" t="str">
        <x:v>No quantitative same-condition comparison of at least three independently fabricated complete devices was located.</x:v>
      </x:c>
    </x:row>
    <x:row r="26" ht="26.399999618530273" hidden="0" customHeight="1">
      <x:c r="A26" s="9" t="n">
        <x:v>4</x:v>
      </x:c>
      <x:c r="B26" s="9" t="str">
        <x:v>S005</x:v>
      </x:c>
      <x:c r="C26" s="9" t="str">
        <x:v>Tavares et al. (2022)</x:v>
      </x:c>
      <x:c r="D26" s="9" t="str">
        <x:v>L1</x:v>
      </x:c>
      <x:c r="E26" s="9" t="str">
        <x:v>0</x:v>
      </x:c>
      <x:c r="F26" s="9" t="str">
        <x:v>Initial agreement</x:v>
      </x:c>
      <x:c r="G26" s="9" t="str">
        <x:v>Printer and geometry/infill are reported, but nozzle, temperature, speed, layer height and orientation are absent.</x:v>
      </x:c>
      <x:c r="H26" s="9" t="str">
        <x:v>PDF pp. 3–11; Figs. 1–9; Tables 1–3</x:v>
      </x:c>
      <x:c r="I26" s="43" t="str">
        <x:v>Applicable fabrication information incomplete</x:v>
      </x:c>
      <x:c r="J26" s="43" t="str">
        <x:v>One or more architecture-relevant fabrication fields needed to reconstruct the tested printed component were not located.</x:v>
      </x:c>
    </x:row>
    <x:row r="27" ht="15" hidden="0" customHeight="1">
      <x:c r="A27" s="9" t="n">
        <x:v>4</x:v>
      </x:c>
      <x:c r="B27" s="9" t="str">
        <x:v>S005</x:v>
      </x:c>
      <x:c r="C27" s="9" t="str">
        <x:v>Tavares et al. (2022)</x:v>
      </x:c>
      <x:c r="D27" s="9" t="str">
        <x:v>L2</x:v>
      </x:c>
      <x:c r="E27" s="9" t="str">
        <x:v>1</x:v>
      </x:c>
      <x:c r="F27" s="9" t="str">
        <x:v>Initial agreement</x:v>
      </x:c>
      <x:c r="G27" s="9" t="str">
        <x:v>Flexible filament, FBG, optical fiber and adhesive are identified.</x:v>
      </x:c>
      <x:c r="H27" s="9" t="str">
        <x:v>PDF pp. 3–11; Figs. 1–9; Tables 1–3</x:v>
      </x:c>
      <x:c r="I27" s="43" t="str"/>
      <x:c r="J27" s="43" t="str"/>
    </x:row>
    <x:row r="28" ht="15" hidden="0" customHeight="1">
      <x:c r="A28" s="9" t="n">
        <x:v>4</x:v>
      </x:c>
      <x:c r="B28" s="9" t="str">
        <x:v>S005</x:v>
      </x:c>
      <x:c r="C28" s="9" t="str">
        <x:v>Tavares et al. (2022)</x:v>
      </x:c>
      <x:c r="D28" s="9" t="str">
        <x:v>L3</x:v>
      </x:c>
      <x:c r="E28" s="9" t="str">
        <x:v>1</x:v>
      </x:c>
      <x:c r="F28" s="9" t="str">
        <x:v>Initial agreement</x:v>
      </x:c>
      <x:c r="G28" s="9" t="str">
        <x:v>Specified displacement/frequency protocol and BioHarness reference.</x:v>
      </x:c>
      <x:c r="H28" s="9" t="str">
        <x:v>PDF pp. 3–11; Figs. 1–9; Tables 1–3</x:v>
      </x:c>
      <x:c r="I28" s="43" t="str"/>
      <x:c r="J28" s="43" t="str"/>
    </x:row>
    <x:row r="29" ht="15" hidden="0" customHeight="1">
      <x:c r="A29" s="9" t="n">
        <x:v>4</x:v>
      </x:c>
      <x:c r="B29" s="9" t="str">
        <x:v>S005</x:v>
      </x:c>
      <x:c r="C29" s="9" t="str">
        <x:v>Tavares et al. (2022)</x:v>
      </x:c>
      <x:c r="D29" s="9" t="str">
        <x:v>L4</x:v>
      </x:c>
      <x:c r="E29" s="9" t="str">
        <x:v>1</x:v>
      </x:c>
      <x:c r="F29" s="9" t="str">
        <x:v>Initial agreement</x:v>
      </x:c>
      <x:c r="G29" s="9" t="str">
        <x:v>Sensitivity and HR/RR comparison metrics with units/ranges.</x:v>
      </x:c>
      <x:c r="H29" s="9" t="str">
        <x:v>PDF pp. 3–11; Figs. 1–9; Tables 1–3</x:v>
      </x:c>
      <x:c r="I29" s="43" t="str"/>
      <x:c r="J29" s="43" t="str"/>
    </x:row>
    <x:row r="30" ht="26.399999618530273" hidden="0" customHeight="1">
      <x:c r="A30" s="9" t="n">
        <x:v>4</x:v>
      </x:c>
      <x:c r="B30" s="9" t="str">
        <x:v>S005</x:v>
      </x:c>
      <x:c r="C30" s="9" t="str">
        <x:v>Tavares et al. (2022)</x:v>
      </x:c>
      <x:c r="D30" s="9" t="str">
        <x:v>L5</x:v>
      </x:c>
      <x:c r="E30" s="9" t="str">
        <x:v>0</x:v>
      </x:c>
      <x:c r="F30" s="9" t="str">
        <x:v>Initial agreement</x:v>
      </x:c>
      <x:c r="G30" s="9" t="str">
        <x:v>Three user trials are reported, but no device-response stability outcome across repeated cycles is isolated.</x:v>
      </x:c>
      <x:c r="H30" s="9" t="str">
        <x:v>PDF pp. 3–11; Figs. 1–9; Tables 1–3</x:v>
      </x:c>
      <x:c r="I30" s="43" t="str">
        <x:v>Non-qualifying repeated unit or endpoint</x:v>
      </x:c>
      <x:c r="J30" s="43" t="str">
        <x:v>Repetition involved users, tasks, sessions or observations rather than a same-device stability sequence with a qualifying endpoint.</x:v>
      </x:c>
    </x:row>
    <x:row r="31" ht="26.399999618530273" hidden="0" customHeight="1">
      <x:c r="A31" s="9" t="n">
        <x:v>4</x:v>
      </x:c>
      <x:c r="B31" s="9" t="str">
        <x:v>S005</x:v>
      </x:c>
      <x:c r="C31" s="9" t="str">
        <x:v>Tavares et al. (2022)</x:v>
      </x:c>
      <x:c r="D31" s="9" t="str">
        <x:v>L6</x:v>
      </x:c>
      <x:c r="E31" s="9" t="str">
        <x:v>0</x:v>
      </x:c>
      <x:c r="F31" s="9" t="str">
        <x:v>Initial agreement</x:v>
      </x:c>
      <x:c r="G31" s="9" t="str">
        <x:v>Temperature response was explicitly not characterized; no other qualifying exposure.</x:v>
      </x:c>
      <x:c r="H31" s="9" t="str">
        <x:v>PDF pp. 3–11; Figs. 1–9; Tables 1–3</x:v>
      </x:c>
      <x:c r="I31" s="43" t="str">
        <x:v>No qualifying extrinsic-exposure evidence located</x:v>
      </x:c>
      <x:c r="J31" s="43" t="str">
        <x:v>No response was located during or after a deliberately applied condition extrinsic to the intended measurand.</x:v>
      </x:c>
    </x:row>
    <x:row r="32" ht="26.399999618530273" hidden="0" customHeight="1">
      <x:c r="A32" s="9" t="n">
        <x:v>4</x:v>
      </x:c>
      <x:c r="B32" s="9" t="str">
        <x:v>S005</x:v>
      </x:c>
      <x:c r="C32" s="9" t="str">
        <x:v>Tavares et al. (2022)</x:v>
      </x:c>
      <x:c r="D32" s="9" t="str">
        <x:v>L7</x:v>
      </x:c>
      <x:c r="E32" s="9" t="str">
        <x:v>0</x:v>
      </x:c>
      <x:c r="F32" s="9" t="str">
        <x:v>Complete L7 audit—not qualifying</x:v>
      </x:c>
      <x:c r="G32" s="9" t="str">
        <x:v>No qualifying interface-integrity test or repeated final monolithic wearable-assembly test with a retention/failure endpoint was located.</x:v>
      </x:c>
      <x:c r="H32" s="9" t="str">
        <x:v>PDF pp. 3–11; Figs. 1–9; Tables 1–3</x:v>
      </x:c>
      <x:c r="I32" s="43" t="str">
        <x:v>No qualifying interface/final-assembly endpoint located</x:v>
      </x:c>
      <x:c r="J32" s="43" t="str">
        <x:v>Neither a Route A interface endpoint nor a Route B repeated final-assembly retention/failure endpoint was located.</x:v>
      </x:c>
    </x:row>
    <x:row r="33" ht="39.599998474121094" hidden="0" customHeight="1">
      <x:c r="A33" s="9" t="n">
        <x:v>4</x:v>
      </x:c>
      <x:c r="B33" s="9" t="str">
        <x:v>S005</x:v>
      </x:c>
      <x:c r="C33" s="9" t="str">
        <x:v>Tavares et al. (2022)</x:v>
      </x:c>
      <x:c r="D33" s="9" t="str">
        <x:v>L8</x:v>
      </x:c>
      <x:c r="E33" s="9" t="str">
        <x:v>0</x:v>
      </x:c>
      <x:c r="F33" s="9" t="str">
        <x:v>Initial agreement</x:v>
      </x:c>
      <x:c r="G33" s="9" t="str">
        <x:v>Six configurations and three users are not separate replicate devices of the selected design.</x:v>
      </x:c>
      <x:c r="H33" s="9" t="str">
        <x:v>PDF pp. 3–11; Figs. 1–9; Tables 1–3</x:v>
      </x:c>
      <x:c r="I33" s="43" t="str">
        <x:v>Non-qualifying repeated unit or condition</x:v>
      </x:c>
      <x:c r="J33" s="43" t="str">
        <x:v>The repeated entities were people, channels, variants, material specimens, repeated measurements or devices tested under different conditions.</x:v>
      </x:c>
    </x:row>
    <x:row r="34" ht="15" hidden="0" customHeight="1">
      <x:c r="A34" s="9" t="n">
        <x:v>5</x:v>
      </x:c>
      <x:c r="B34" s="9" t="str">
        <x:v>S007</x:v>
      </x:c>
      <x:c r="C34" s="9" t="str">
        <x:v>Velcescu et al. (2019)</x:v>
      </x:c>
      <x:c r="D34" s="9" t="str">
        <x:v>L1</x:v>
      </x:c>
      <x:c r="E34" s="9" t="str">
        <x:v>1</x:v>
      </x:c>
      <x:c r="F34" s="9" t="str">
        <x:v>Adjudicated to Reviewer 1</x:v>
      </x:c>
      <x:c r="G34" s="9" t="str">
        <x:v>Printer, temperature, layer height, print/travel speeds, support and orientation reported.</x:v>
      </x:c>
      <x:c r="H34" s="9" t="str">
        <x:v>PDF pp. 3-4</x:v>
      </x:c>
      <x:c r="I34" s="43" t="str"/>
      <x:c r="J34" s="43" t="str"/>
    </x:row>
    <x:row r="35" ht="15" hidden="0" customHeight="1">
      <x:c r="A35" s="9" t="n">
        <x:v>5</x:v>
      </x:c>
      <x:c r="B35" s="9" t="str">
        <x:v>S007</x:v>
      </x:c>
      <x:c r="C35" s="9" t="str">
        <x:v>Velcescu et al. (2019)</x:v>
      </x:c>
      <x:c r="D35" s="9" t="str">
        <x:v>L2</x:v>
      </x:c>
      <x:c r="E35" s="9" t="str">
        <x:v>1</x:v>
      </x:c>
      <x:c r="F35" s="9" t="str">
        <x:v>Initial agreement</x:v>
      </x:c>
      <x:c r="G35" s="9" t="str">
        <x:v>SemiFlex and Ag/AgCl coating formulation/process identified.</x:v>
      </x:c>
      <x:c r="H35" s="9" t="str">
        <x:v>PDF pp. 3-5</x:v>
      </x:c>
      <x:c r="I35" s="43" t="str"/>
      <x:c r="J35" s="43" t="str"/>
    </x:row>
    <x:row r="36" ht="15" hidden="0" customHeight="1">
      <x:c r="A36" s="9" t="n">
        <x:v>5</x:v>
      </x:c>
      <x:c r="B36" s="9" t="str">
        <x:v>S007</x:v>
      </x:c>
      <x:c r="C36" s="9" t="str">
        <x:v>Velcescu et al. (2019)</x:v>
      </x:c>
      <x:c r="D36" s="9" t="str">
        <x:v>L3</x:v>
      </x:c>
      <x:c r="E36" s="9" t="str">
        <x:v>1</x:v>
      </x:c>
      <x:c r="F36" s="9" t="str">
        <x:v>Initial agreement</x:v>
      </x:c>
      <x:c r="G36" s="9" t="str">
        <x:v>Controlled mass/frequency tests and EEG comparator/reference procedures described.</x:v>
      </x:c>
      <x:c r="H36" s="9" t="str">
        <x:v>PDF pp. 5-7</x:v>
      </x:c>
      <x:c r="I36" s="43" t="str"/>
      <x:c r="J36" s="43" t="str"/>
    </x:row>
    <x:row r="37" ht="15" hidden="0" customHeight="1">
      <x:c r="A37" s="9" t="n">
        <x:v>5</x:v>
      </x:c>
      <x:c r="B37" s="9" t="str">
        <x:v>S007</x:v>
      </x:c>
      <x:c r="C37" s="9" t="str">
        <x:v>Velcescu et al. (2019)</x:v>
      </x:c>
      <x:c r="D37" s="9" t="str">
        <x:v>L4</x:v>
      </x:c>
      <x:c r="E37" s="9" t="str">
        <x:v>1</x:v>
      </x:c>
      <x:c r="F37" s="9" t="str">
        <x:v>Initial agreement</x:v>
      </x:c>
      <x:c r="G37" s="9" t="str">
        <x:v>Resistance, impedance, noise and delay reported with units/test ranges.</x:v>
      </x:c>
      <x:c r="H37" s="9" t="str">
        <x:v>PDF pp. 8-12; Table 2-3, Fig. 4-7</x:v>
      </x:c>
      <x:c r="I37" s="43" t="str"/>
      <x:c r="J37" s="43" t="str"/>
    </x:row>
    <x:row r="38" ht="15" hidden="0" customHeight="1">
      <x:c r="A38" s="9" t="n">
        <x:v>5</x:v>
      </x:c>
      <x:c r="B38" s="9" t="str">
        <x:v>S007</x:v>
      </x:c>
      <x:c r="C38" s="9" t="str">
        <x:v>Velcescu et al. (2019)</x:v>
      </x:c>
      <x:c r="D38" s="9" t="str">
        <x:v>L5</x:v>
      </x:c>
      <x:c r="E38" s="9" t="str">
        <x:v>0</x:v>
      </x:c>
      <x:c r="F38" s="9" t="str">
        <x:v>Initial agreement</x:v>
      </x:c>
      <x:c r="G38" s="9" t="str">
        <x:v>One increase-decrease loading loop is shown; no repeated-use cycle count or stability series.</x:v>
      </x:c>
      <x:c r="H38" s="9" t="str">
        <x:v>PDF pp. 5-9, Table 3</x:v>
      </x:c>
      <x:c r="I38" s="43" t="str">
        <x:v>Insufficient experimental replication</x:v>
      </x:c>
      <x:c r="J38" s="43" t="str">
        <x:v>An explicit count below the three-repetition minimum was reported.</x:v>
      </x:c>
    </x:row>
    <x:row r="39" ht="24" hidden="0" customHeight="1">
      <x:c r="A39" s="9" t="n">
        <x:v>5</x:v>
      </x:c>
      <x:c r="B39" s="9" t="str">
        <x:v>S007</x:v>
      </x:c>
      <x:c r="C39" s="9" t="str">
        <x:v>Velcescu et al. (2019)</x:v>
      </x:c>
      <x:c r="D39" s="9" t="str">
        <x:v>L6</x:v>
      </x:c>
      <x:c r="E39" s="9" t="str">
        <x:v>1</x:v>
      </x:c>
      <x:c r="F39" s="9" t="str">
        <x:v>L6 subtype audit</x:v>
      </x:c>
      <x:c r="G39" s="9" t="str">
        <x:v>In-exposure cross-sensitivity only: Electrode contact pressure is a declared mounting/use condition distinct from EEG measurand; impedance response is reported.</x:v>
      </x:c>
      <x:c r="H39" s="9" t="str">
        <x:v>PDF pp. 5-6, 9-10; Fig. 5</x:v>
      </x:c>
      <x:c r="I39" s="43" t="str"/>
      <x:c r="J39" s="43" t="str"/>
    </x:row>
    <x:row r="40" ht="26.399999618530273" hidden="0" customHeight="1">
      <x:c r="A40" s="9" t="n">
        <x:v>5</x:v>
      </x:c>
      <x:c r="B40" s="9" t="str">
        <x:v>S007</x:v>
      </x:c>
      <x:c r="C40" s="9" t="str">
        <x:v>Velcescu et al. (2019)</x:v>
      </x:c>
      <x:c r="D40" s="9" t="str">
        <x:v>L7</x:v>
      </x:c>
      <x:c r="E40" s="9" t="str">
        <x:v>0</x:v>
      </x:c>
      <x:c r="F40" s="9" t="str">
        <x:v>Complete L7 audit—not qualifying</x:v>
      </x:c>
      <x:c r="G40" s="9" t="str">
        <x:v>Physical loading tests use 50-350 g loads; p. 11 says long-term cyclic tests were not performed and that coating can begin to crack after prolonged use.</x:v>
      </x:c>
      <x:c r="H40" s="9" t="str">
        <x:v>S007_Main.pdf, physical pp. 10-11, section 3.2, Figs. 9-10 and Table 3; on-person sections pp. 7-9.</x:v>
      </x:c>
      <x:c r="I40" s="43" t="str">
        <x:v>No qualifying interface/final-assembly endpoint located</x:v>
      </x:c>
      <x:c r="J40" s="43" t="str">
        <x:v>Neither a Route A interface endpoint nor a Route B repeated final-assembly retention/failure endpoint was located.</x:v>
      </x:c>
    </x:row>
    <x:row r="41" ht="39.599998474121094" hidden="0" customHeight="1">
      <x:c r="A41" s="9" t="n">
        <x:v>5</x:v>
      </x:c>
      <x:c r="B41" s="9" t="str">
        <x:v>S007</x:v>
      </x:c>
      <x:c r="C41" s="9" t="str">
        <x:v>Velcescu et al. (2019)</x:v>
      </x:c>
      <x:c r="D41" s="9" t="str">
        <x:v>L8</x:v>
      </x:c>
      <x:c r="E41" s="9" t="str">
        <x:v>0</x:v>
      </x:c>
      <x:c r="F41" s="9" t="str">
        <x:v>Initial agreement</x:v>
      </x:c>
      <x:c r="G41" s="9" t="str">
        <x:v>Nine geometries are design variants; independently fabricated replicate devices and dispersion are not reported.</x:v>
      </x:c>
      <x:c r="H41" s="9" t="str">
        <x:v>PDF pp. 3-12 checked</x:v>
      </x:c>
      <x:c r="I41" s="43" t="str">
        <x:v>Non-qualifying repeated unit or condition</x:v>
      </x:c>
      <x:c r="J41" s="43" t="str">
        <x:v>The repeated entities were people, channels, variants, material specimens, repeated measurements or devices tested under different conditions.</x:v>
      </x:c>
    </x:row>
    <x:row r="42" ht="15" hidden="0" customHeight="1">
      <x:c r="A42" s="9" t="n">
        <x:v>6</x:v>
      </x:c>
      <x:c r="B42" s="9" t="str">
        <x:v>S008</x:v>
      </x:c>
      <x:c r="C42" s="9" t="str">
        <x:v>Kim et al. (2022)</x:v>
      </x:c>
      <x:c r="D42" s="9" t="str">
        <x:v>L1</x:v>
      </x:c>
      <x:c r="E42" s="9" t="str">
        <x:v>1</x:v>
      </x:c>
      <x:c r="F42" s="9" t="str">
        <x:v>Initial agreement</x:v>
      </x:c>
      <x:c r="G42" s="9" t="str">
        <x:v>FFF printer, TPU filament, nozzle, temperature, speeds, layer height, infill and geometry reported.</x:v>
      </x:c>
      <x:c r="H42" s="9" t="str">
        <x:v>PDF pp. 5–10; Figs. 3–5</x:v>
      </x:c>
      <x:c r="I42" s="43" t="str"/>
      <x:c r="J42" s="43" t="str"/>
    </x:row>
    <x:row r="43" ht="15" hidden="0" customHeight="1">
      <x:c r="A43" s="9" t="n">
        <x:v>6</x:v>
      </x:c>
      <x:c r="B43" s="9" t="str">
        <x:v>S008</x:v>
      </x:c>
      <x:c r="C43" s="9" t="str">
        <x:v>Kim et al. (2022)</x:v>
      </x:c>
      <x:c r="D43" s="9" t="str">
        <x:v>L2</x:v>
      </x:c>
      <x:c r="E43" s="9" t="str">
        <x:v>1</x:v>
      </x:c>
      <x:c r="F43" s="9" t="str">
        <x:v>Initial agreement</x:v>
      </x:c>
      <x:c r="G43" s="9" t="str">
        <x:v>TPU, printed silver LC circuit, PI substrate and sensing architecture identified.</x:v>
      </x:c>
      <x:c r="H43" s="9" t="str">
        <x:v>PDF pp. 5–10; Figs. 3–5</x:v>
      </x:c>
      <x:c r="I43" s="43" t="str"/>
      <x:c r="J43" s="43" t="str"/>
    </x:row>
    <x:row r="44" ht="15" hidden="0" customHeight="1">
      <x:c r="A44" s="9" t="n">
        <x:v>6</x:v>
      </x:c>
      <x:c r="B44" s="9" t="str">
        <x:v>S008</x:v>
      </x:c>
      <x:c r="C44" s="9" t="str">
        <x:v>Kim et al. (2022)</x:v>
      </x:c>
      <x:c r="D44" s="9" t="str">
        <x:v>L3</x:v>
      </x:c>
      <x:c r="E44" s="9" t="str">
        <x:v>1</x:v>
      </x:c>
      <x:c r="F44" s="9" t="str">
        <x:v>Initial agreement</x:v>
      </x:c>
      <x:c r="G44" s="9" t="str">
        <x:v>Compression/weight protocols and VNA readout described.</x:v>
      </x:c>
      <x:c r="H44" s="9" t="str">
        <x:v>PDF pp. 5–10; Figs. 3–5</x:v>
      </x:c>
      <x:c r="I44" s="43" t="str"/>
      <x:c r="J44" s="43" t="str"/>
    </x:row>
    <x:row r="45" ht="15" hidden="0" customHeight="1">
      <x:c r="A45" s="9" t="n">
        <x:v>6</x:v>
      </x:c>
      <x:c r="B45" s="9" t="str">
        <x:v>S008</x:v>
      </x:c>
      <x:c r="C45" s="9" t="str">
        <x:v>Kim et al. (2022)</x:v>
      </x:c>
      <x:c r="D45" s="9" t="str">
        <x:v>L4</x:v>
      </x:c>
      <x:c r="E45" s="9" t="str">
        <x:v>1</x:v>
      </x:c>
      <x:c r="F45" s="9" t="str">
        <x:v>Initial agreement</x:v>
      </x:c>
      <x:c r="G45" s="9" t="str">
        <x:v>Frequency sensitivities and pressure ranges reported.</x:v>
      </x:c>
      <x:c r="H45" s="9" t="str">
        <x:v>PDF pp. 5–10; Figs. 3–5</x:v>
      </x:c>
      <x:c r="I45" s="43" t="str"/>
      <x:c r="J45" s="43" t="str"/>
    </x:row>
    <x:row r="46" ht="26.399999618530273" hidden="0" customHeight="1">
      <x:c r="A46" s="9" t="n">
        <x:v>6</x:v>
      </x:c>
      <x:c r="B46" s="9" t="str">
        <x:v>S008</x:v>
      </x:c>
      <x:c r="C46" s="9" t="str">
        <x:v>Kim et al. (2022)</x:v>
      </x:c>
      <x:c r="D46" s="9" t="str">
        <x:v>L5</x:v>
      </x:c>
      <x:c r="E46" s="9" t="str">
        <x:v>0</x:v>
      </x:c>
      <x:c r="F46" s="9" t="str">
        <x:v>Initial agreement</x:v>
      </x:c>
      <x:c r="G46" s="9" t="str">
        <x:v>Repeatability SD is stated, but the repetition count/device basis is not reported.</x:v>
      </x:c>
      <x:c r="H46" s="9" t="str">
        <x:v>PDF pp. 5–10; Figs. 3–5</x:v>
      </x:c>
      <x:c r="I46" s="43" t="str">
        <x:v>Replication count unreported or unclear</x:v>
      </x:c>
      <x:c r="J46" s="43" t="str">
        <x:v>Repeated-response wording or a trace was present, but the qualifying repetition count was not reported clearly.</x:v>
      </x:c>
    </x:row>
    <x:row r="47" ht="26.399999618530273" hidden="0" customHeight="1">
      <x:c r="A47" s="9" t="n">
        <x:v>6</x:v>
      </x:c>
      <x:c r="B47" s="9" t="str">
        <x:v>S008</x:v>
      </x:c>
      <x:c r="C47" s="9" t="str">
        <x:v>Kim et al. (2022)</x:v>
      </x:c>
      <x:c r="D47" s="9" t="str">
        <x:v>L6</x:v>
      </x:c>
      <x:c r="E47" s="9" t="str">
        <x:v>0</x:v>
      </x:c>
      <x:c r="F47" s="9" t="str">
        <x:v>Initial agreement</x:v>
      </x:c>
      <x:c r="G47" s="9" t="str">
        <x:v>Pressure/posture is the intended measurand; no separate environment/use exposure response.</x:v>
      </x:c>
      <x:c r="H47" s="9" t="str">
        <x:v>PDF pp. 5–10; Figs. 3–5</x:v>
      </x:c>
      <x:c r="I47" s="43" t="str">
        <x:v>No qualifying extrinsic-exposure evidence located</x:v>
      </x:c>
      <x:c r="J47" s="43" t="str">
        <x:v>No response was located during or after a deliberately applied condition extrinsic to the intended measurand.</x:v>
      </x:c>
    </x:row>
    <x:row r="48" ht="26.399999618530273" hidden="0" customHeight="1">
      <x:c r="A48" s="9" t="n">
        <x:v>6</x:v>
      </x:c>
      <x:c r="B48" s="9" t="str">
        <x:v>S008</x:v>
      </x:c>
      <x:c r="C48" s="9" t="str">
        <x:v>Kim et al. (2022)</x:v>
      </x:c>
      <x:c r="D48" s="9" t="str">
        <x:v>L7</x:v>
      </x:c>
      <x:c r="E48" s="9" t="str">
        <x:v>0</x:v>
      </x:c>
      <x:c r="F48" s="9" t="str">
        <x:v>Complete L7 audit—not qualifying</x:v>
      </x:c>
      <x:c r="G48" s="9" t="str">
        <x:v>Fig. 5 distinguishes plantar pressure conditions. Mechanical loading/calibration is characterized separately.</x:v>
      </x:c>
      <x:c r="H48" s="9" t="str">
        <x:v>S008_Main.pdf, physical pp. 7-9, sensor characterization and Fig. 5.</x:v>
      </x:c>
      <x:c r="I48" s="43" t="str">
        <x:v>No qualifying interface/final-assembly endpoint located</x:v>
      </x:c>
      <x:c r="J48" s="43" t="str">
        <x:v>Neither a Route A interface endpoint nor a Route B repeated final-assembly retention/failure endpoint was located.</x:v>
      </x:c>
    </x:row>
    <x:row r="49" ht="26.399999618530273" hidden="0" customHeight="1">
      <x:c r="A49" s="9" t="n">
        <x:v>6</x:v>
      </x:c>
      <x:c r="B49" s="9" t="str">
        <x:v>S008</x:v>
      </x:c>
      <x:c r="C49" s="9" t="str">
        <x:v>Kim et al. (2022)</x:v>
      </x:c>
      <x:c r="D49" s="9" t="str">
        <x:v>L8</x:v>
      </x:c>
      <x:c r="E49" s="9" t="str">
        <x:v>0</x:v>
      </x:c>
      <x:c r="F49" s="9" t="str">
        <x:v>Initial agreement</x:v>
      </x:c>
      <x:c r="G49" s="9" t="str">
        <x:v>Four sensor locations in one insole are channels, not ≥3 separate devices.</x:v>
      </x:c>
      <x:c r="H49" s="9" t="str">
        <x:v>PDF pp. 5–10; Figs. 3–5</x:v>
      </x:c>
      <x:c r="I49" s="43" t="str">
        <x:v>Insufficient experimental replication</x:v>
      </x:c>
      <x:c r="J49" s="43" t="str">
        <x:v>The reported complete-device count was below the three-device minimum.</x:v>
      </x:c>
    </x:row>
    <x:row r="50" ht="15" hidden="0" customHeight="1">
      <x:c r="A50" s="9" t="n">
        <x:v>7</x:v>
      </x:c>
      <x:c r="B50" s="9" t="str">
        <x:v>S010</x:v>
      </x:c>
      <x:c r="C50" s="9" t="str">
        <x:v>Mutlu et al. (2023)</x:v>
      </x:c>
      <x:c r="D50" s="9" t="str">
        <x:v>L1</x:v>
      </x:c>
      <x:c r="E50" s="9" t="str">
        <x:v>1</x:v>
      </x:c>
      <x:c r="F50" s="9" t="str">
        <x:v>Initial agreement</x:v>
      </x:c>
      <x:c r="G50" s="9" t="str">
        <x:v>Printer and full principal printing settings are reported in Appendix A.</x:v>
      </x:c>
      <x:c r="H50" s="9" t="str">
        <x:v>PDF pp. 3–16; Figs. 1–13; Appendix A</x:v>
      </x:c>
      <x:c r="I50" s="43" t="str"/>
      <x:c r="J50" s="43" t="str"/>
    </x:row>
    <x:row r="51" ht="15" hidden="0" customHeight="1">
      <x:c r="A51" s="9" t="n">
        <x:v>7</x:v>
      </x:c>
      <x:c r="B51" s="9" t="str">
        <x:v>S010</x:v>
      </x:c>
      <x:c r="C51" s="9" t="str">
        <x:v>Mutlu et al. (2023)</x:v>
      </x:c>
      <x:c r="D51" s="9" t="str">
        <x:v>L2</x:v>
      </x:c>
      <x:c r="E51" s="9" t="str">
        <x:v>1</x:v>
      </x:c>
      <x:c r="F51" s="9" t="str">
        <x:v>Initial agreement</x:v>
      </x:c>
      <x:c r="G51" s="9" t="str">
        <x:v>NinjaFlex and conductive carbon-black TPU roles are identified.</x:v>
      </x:c>
      <x:c r="H51" s="9" t="str">
        <x:v>PDF pp. 3–16; Figs. 1–13; Appendix A</x:v>
      </x:c>
      <x:c r="I51" s="43" t="str"/>
      <x:c r="J51" s="43" t="str"/>
    </x:row>
    <x:row r="52" ht="15" hidden="0" customHeight="1">
      <x:c r="A52" s="9" t="n">
        <x:v>7</x:v>
      </x:c>
      <x:c r="B52" s="9" t="str">
        <x:v>S010</x:v>
      </x:c>
      <x:c r="C52" s="9" t="str">
        <x:v>Mutlu et al. (2023)</x:v>
      </x:c>
      <x:c r="D52" s="9" t="str">
        <x:v>L3</x:v>
      </x:c>
      <x:c r="E52" s="9" t="str">
        <x:v>1</x:v>
      </x:c>
      <x:c r="F52" s="9" t="str">
        <x:v>Initial agreement</x:v>
      </x:c>
      <x:c r="G52" s="9" t="str">
        <x:v>Pressure regulator and six-axis force reference with specified range.</x:v>
      </x:c>
      <x:c r="H52" s="9" t="str">
        <x:v>PDF pp. 3–16; Figs. 1–13; Appendix A</x:v>
      </x:c>
      <x:c r="I52" s="43" t="str"/>
      <x:c r="J52" s="43" t="str"/>
    </x:row>
    <x:row r="53" ht="15" hidden="0" customHeight="1">
      <x:c r="A53" s="9" t="n">
        <x:v>7</x:v>
      </x:c>
      <x:c r="B53" s="9" t="str">
        <x:v>S010</x:v>
      </x:c>
      <x:c r="C53" s="9" t="str">
        <x:v>Mutlu et al. (2023)</x:v>
      </x:c>
      <x:c r="D53" s="9" t="str">
        <x:v>L4</x:v>
      </x:c>
      <x:c r="E53" s="9" t="str">
        <x:v>1</x:v>
      </x:c>
      <x:c r="F53" s="9" t="str">
        <x:v>Initial agreement</x:v>
      </x:c>
      <x:c r="G53" s="9" t="str">
        <x:v>Sensitivity, R², hysteresis, SNR and dynamic outputs reported.</x:v>
      </x:c>
      <x:c r="H53" s="9" t="str">
        <x:v>PDF pp. 3–16; Figs. 1–13; Appendix A</x:v>
      </x:c>
      <x:c r="I53" s="43" t="str"/>
      <x:c r="J53" s="43" t="str"/>
    </x:row>
    <x:row r="54" ht="15" hidden="0" customHeight="1">
      <x:c r="A54" s="9" t="n">
        <x:v>7</x:v>
      </x:c>
      <x:c r="B54" s="9" t="str">
        <x:v>S010</x:v>
      </x:c>
      <x:c r="C54" s="9" t="str">
        <x:v>Mutlu et al. (2023)</x:v>
      </x:c>
      <x:c r="D54" s="9" t="str">
        <x:v>L5</x:v>
      </x:c>
      <x:c r="E54" s="9" t="str">
        <x:v>1</x:v>
      </x:c>
      <x:c r="F54" s="9" t="str">
        <x:v>Initial agreement</x:v>
      </x:c>
      <x:c r="G54" s="9" t="str">
        <x:v>Cyclic inputs at multiple amplitudes/frequencies and hysteresis outcomes reported.</x:v>
      </x:c>
      <x:c r="H54" s="9" t="str">
        <x:v>PDF pp. 3–16; Figs. 1–13; Appendix A</x:v>
      </x:c>
      <x:c r="I54" s="43" t="str"/>
      <x:c r="J54" s="43" t="str"/>
    </x:row>
    <x:row r="55" ht="26.399999618530273" hidden="0" customHeight="1">
      <x:c r="A55" s="9" t="n">
        <x:v>7</x:v>
      </x:c>
      <x:c r="B55" s="9" t="str">
        <x:v>S010</x:v>
      </x:c>
      <x:c r="C55" s="9" t="str">
        <x:v>Mutlu et al. (2023)</x:v>
      </x:c>
      <x:c r="D55" s="9" t="str">
        <x:v>L6</x:v>
      </x:c>
      <x:c r="E55" s="9" t="str">
        <x:v>0</x:v>
      </x:c>
      <x:c r="F55" s="9" t="str">
        <x:v>Adjudicated to Reviewer 1</x:v>
      </x:c>
      <x:c r="G55" s="9" t="str">
        <x:v>Pressure/frequency are test inputs; no distinct environmental exposure response.</x:v>
      </x:c>
      <x:c r="H55" s="9" t="str">
        <x:v>PDF pp. 3–16; Figs. 1–13; Appendix A</x:v>
      </x:c>
      <x:c r="I55" s="43" t="str">
        <x:v>No qualifying extrinsic-exposure evidence located</x:v>
      </x:c>
      <x:c r="J55" s="43" t="str">
        <x:v>No response was located during or after a deliberately applied condition extrinsic to the intended measurand.</x:v>
      </x:c>
    </x:row>
    <x:row r="56" ht="26.399999618530273" hidden="0" customHeight="1">
      <x:c r="A56" s="9" t="n">
        <x:v>7</x:v>
      </x:c>
      <x:c r="B56" s="9" t="str">
        <x:v>S010</x:v>
      </x:c>
      <x:c r="C56" s="9" t="str">
        <x:v>Mutlu et al. (2023)</x:v>
      </x:c>
      <x:c r="D56" s="9" t="str">
        <x:v>L7</x:v>
      </x:c>
      <x:c r="E56" s="9" t="str">
        <x:v>0</x:v>
      </x:c>
      <x:c r="F56" s="9" t="str">
        <x:v>Complete L7 audit—not qualifying</x:v>
      </x:c>
      <x:c r="G56" s="9" t="str">
        <x:v>No qualifying interface-integrity test or repeated final monolithic wearable-assembly test with a retention/failure endpoint was located.</x:v>
      </x:c>
      <x:c r="H56" s="9" t="str">
        <x:v>PDF pp. 3–16; Figs. 1–13; Appendix A</x:v>
      </x:c>
      <x:c r="I56" s="43" t="str">
        <x:v>No qualifying interface/final-assembly endpoint located</x:v>
      </x:c>
      <x:c r="J56" s="43" t="str">
        <x:v>Neither a Route A interface endpoint nor a Route B repeated final-assembly retention/failure endpoint was located.</x:v>
      </x:c>
    </x:row>
    <x:row r="57" ht="26.399999618530273" hidden="0" customHeight="1">
      <x:c r="A57" s="9" t="n">
        <x:v>7</x:v>
      </x:c>
      <x:c r="B57" s="9" t="str">
        <x:v>S010</x:v>
      </x:c>
      <x:c r="C57" s="9" t="str">
        <x:v>Mutlu et al. (2023)</x:v>
      </x:c>
      <x:c r="D57" s="9" t="str">
        <x:v>L8</x:v>
      </x:c>
      <x:c r="E57" s="9" t="str">
        <x:v>0</x:v>
      </x:c>
      <x:c r="F57" s="9" t="str">
        <x:v>Initial agreement</x:v>
      </x:c>
      <x:c r="G57" s="9" t="str">
        <x:v>Only one device is described; multiple-device assessment is future work.</x:v>
      </x:c>
      <x:c r="H57" s="9" t="str">
        <x:v>PDF pp. 3–16; Figs. 1–13; Appendix A</x:v>
      </x:c>
      <x:c r="I57" s="43" t="str">
        <x:v>Insufficient experimental replication</x:v>
      </x:c>
      <x:c r="J57" s="43" t="str">
        <x:v>The reported complete-device count was below the three-device minimum.</x:v>
      </x:c>
    </x:row>
    <x:row r="58" ht="15" hidden="0" customHeight="1">
      <x:c r="A58" s="9" t="n">
        <x:v>8</x:v>
      </x:c>
      <x:c r="B58" s="9" t="str">
        <x:v>S011</x:v>
      </x:c>
      <x:c r="C58" s="9" t="str">
        <x:v>Samarentsis et al. (2022)</x:v>
      </x:c>
      <x:c r="D58" s="9" t="str">
        <x:v>L1</x:v>
      </x:c>
      <x:c r="E58" s="9" t="str">
        <x:v>1</x:v>
      </x:c>
      <x:c r="F58" s="9" t="str">
        <x:v>Initial agreement</x:v>
      </x:c>
      <x:c r="G58" s="9" t="str">
        <x:v>Printer plus full parameter set in Table 1.</x:v>
      </x:c>
      <x:c r="H58" s="9" t="str">
        <x:v>PDF pp. 3-4, Table 1</x:v>
      </x:c>
      <x:c r="I58" s="43" t="str"/>
      <x:c r="J58" s="43" t="str"/>
    </x:row>
    <x:row r="59" ht="15" hidden="0" customHeight="1">
      <x:c r="A59" s="9" t="n">
        <x:v>8</x:v>
      </x:c>
      <x:c r="B59" s="9" t="str">
        <x:v>S011</x:v>
      </x:c>
      <x:c r="C59" s="9" t="str">
        <x:v>Samarentsis et al. (2022)</x:v>
      </x:c>
      <x:c r="D59" s="9" t="str">
        <x:v>L2</x:v>
      </x:c>
      <x:c r="E59" s="9" t="str">
        <x:v>1</x:v>
      </x:c>
      <x:c r="F59" s="9" t="str">
        <x:v>Initial agreement</x:v>
      </x:c>
      <x:c r="G59" s="9" t="str">
        <x:v>Conductive PLA, Filaflex grades, wiring and insole materials reported.</x:v>
      </x:c>
      <x:c r="H59" s="9" t="str">
        <x:v>PDF pp. 3-5</x:v>
      </x:c>
      <x:c r="I59" s="43" t="str"/>
      <x:c r="J59" s="43" t="str"/>
    </x:row>
    <x:row r="60" ht="15" hidden="0" customHeight="1">
      <x:c r="A60" s="9" t="n">
        <x:v>8</x:v>
      </x:c>
      <x:c r="B60" s="9" t="str">
        <x:v>S011</x:v>
      </x:c>
      <x:c r="C60" s="9" t="str">
        <x:v>Samarentsis et al. (2022)</x:v>
      </x:c>
      <x:c r="D60" s="9" t="str">
        <x:v>L3</x:v>
      </x:c>
      <x:c r="E60" s="9" t="str">
        <x:v>1</x:v>
      </x:c>
      <x:c r="F60" s="9" t="str">
        <x:v>Initial agreement</x:v>
      </x:c>
      <x:c r="G60" s="9" t="str">
        <x:v>Pressure range and calibration protocol described.</x:v>
      </x:c>
      <x:c r="H60" s="9" t="str">
        <x:v>PDF pp. 5-6</x:v>
      </x:c>
      <x:c r="I60" s="43" t="str"/>
      <x:c r="J60" s="43" t="str"/>
    </x:row>
    <x:row r="61" ht="15" hidden="0" customHeight="1">
      <x:c r="A61" s="9" t="n">
        <x:v>8</x:v>
      </x:c>
      <x:c r="B61" s="9" t="str">
        <x:v>S011</x:v>
      </x:c>
      <x:c r="C61" s="9" t="str">
        <x:v>Samarentsis et al. (2022)</x:v>
      </x:c>
      <x:c r="D61" s="9" t="str">
        <x:v>L4</x:v>
      </x:c>
      <x:c r="E61" s="9" t="str">
        <x:v>1</x:v>
      </x:c>
      <x:c r="F61" s="9" t="str">
        <x:v>Initial agreement</x:v>
      </x:c>
      <x:c r="G61" s="9" t="str">
        <x:v>Sensitivity, R-squared, LOD, hysteresis and response time reported.</x:v>
      </x:c>
      <x:c r="H61" s="9" t="str">
        <x:v>PDF pp. 8-11, Fig. 4-8</x:v>
      </x:c>
      <x:c r="I61" s="43" t="str"/>
      <x:c r="J61" s="43" t="str"/>
    </x:row>
    <x:row r="62" ht="15" hidden="0" customHeight="1">
      <x:c r="A62" s="9" t="n">
        <x:v>8</x:v>
      </x:c>
      <x:c r="B62" s="9" t="str">
        <x:v>S011</x:v>
      </x:c>
      <x:c r="C62" s="9" t="str">
        <x:v>Samarentsis et al. (2022)</x:v>
      </x:c>
      <x:c r="D62" s="9" t="str">
        <x:v>L5</x:v>
      </x:c>
      <x:c r="E62" s="9" t="str">
        <x:v>1</x:v>
      </x:c>
      <x:c r="F62" s="9" t="str">
        <x:v>Initial agreement</x:v>
      </x:c>
      <x:c r="G62" s="9" t="str">
        <x:v>Three calibration cycles plus 2280-cycle durability and hysteresis.</x:v>
      </x:c>
      <x:c r="H62" s="9" t="str">
        <x:v>PDF pp. 8-11, Fig. 4-7</x:v>
      </x:c>
      <x:c r="I62" s="43" t="str"/>
      <x:c r="J62" s="43" t="str"/>
    </x:row>
    <x:row r="63" ht="26.399999618530273" hidden="0" customHeight="1">
      <x:c r="A63" s="9" t="n">
        <x:v>8</x:v>
      </x:c>
      <x:c r="B63" s="9" t="str">
        <x:v>S011</x:v>
      </x:c>
      <x:c r="C63" s="9" t="str">
        <x:v>Samarentsis et al. (2022)</x:v>
      </x:c>
      <x:c r="D63" s="9" t="str">
        <x:v>L6</x:v>
      </x:c>
      <x:c r="E63" s="9" t="str">
        <x:v>0</x:v>
      </x:c>
      <x:c r="F63" s="9" t="str">
        <x:v>Initial agreement</x:v>
      </x:c>
      <x:c r="G63" s="9" t="str">
        <x:v>20 deg C/55-60% RH are fixed laboratory conditions, not varied exposure; pressure is the intended measurand.</x:v>
      </x:c>
      <x:c r="H63" s="9" t="str">
        <x:v>PDF pp. 5-14 checked</x:v>
      </x:c>
      <x:c r="I63" s="43" t="str">
        <x:v>No qualifying extrinsic-exposure evidence located</x:v>
      </x:c>
      <x:c r="J63" s="43" t="str">
        <x:v>No response was located during or after a deliberately applied condition extrinsic to the intended measurand.</x:v>
      </x:c>
    </x:row>
    <x:row r="64" ht="26.399999618530273" hidden="0" customHeight="1">
      <x:c r="A64" s="9" t="n">
        <x:v>8</x:v>
      </x:c>
      <x:c r="B64" s="9" t="str">
        <x:v>S011</x:v>
      </x:c>
      <x:c r="C64" s="9" t="str">
        <x:v>Samarentsis et al. (2022)</x:v>
      </x:c>
      <x:c r="D64" s="9" t="str">
        <x:v>L7</x:v>
      </x:c>
      <x:c r="E64" s="9" t="str">
        <x:v>0</x:v>
      </x:c>
      <x:c r="F64" s="9" t="str">
        <x:v>Complete L7 audit—not qualifying</x:v>
      </x:c>
      <x:c r="G64" s="9" t="str">
        <x:v>The paper notes some drift/delay when the worn signals return near zero within a gait cycle. The one-hour, 2280-cycle durability comparison belongs to the laboratory sensor test.</x:v>
      </x:c>
      <x:c r="H64" s="9" t="str">
        <x:v>S011_Main.pdf, physical p. 10, section 3.1.4/Fig. 8; pp. 13-14, section 3.2/Figs. 12-13; p. 6, Fig. 2.</x:v>
      </x:c>
      <x:c r="I64" s="43" t="str">
        <x:v>No qualifying interface/final-assembly endpoint located</x:v>
      </x:c>
      <x:c r="J64" s="43" t="str">
        <x:v>Neither a Route A interface endpoint nor a Route B repeated final-assembly retention/failure endpoint was located.</x:v>
      </x:c>
    </x:row>
    <x:row r="65" ht="15" hidden="0" customHeight="1">
      <x:c r="A65" s="9" t="n">
        <x:v>8</x:v>
      </x:c>
      <x:c r="B65" s="9" t="str">
        <x:v>S011</x:v>
      </x:c>
      <x:c r="C65" s="9" t="str">
        <x:v>Samarentsis et al. (2022)</x:v>
      </x:c>
      <x:c r="D65" s="9" t="str">
        <x:v>L8</x:v>
      </x:c>
      <x:c r="E65" s="9" t="str">
        <x:v>1</x:v>
      </x:c>
      <x:c r="F65" s="9" t="str">
        <x:v>Adjudicated to Reviewer 1</x:v>
      </x:c>
      <x:c r="G65" s="9" t="str">
        <x:v>Sixteen separate sensors summarized as mean +/- SD under comparable calibration.</x:v>
      </x:c>
      <x:c r="H65" s="9" t="str">
        <x:v>PDF pp. 8-9, Fig. 4</x:v>
      </x:c>
      <x:c r="I65" s="43" t="str"/>
      <x:c r="J65" s="43" t="str"/>
    </x:row>
    <x:row r="66" ht="26.399999618530273" hidden="0" customHeight="1">
      <x:c r="A66" s="9" t="n">
        <x:v>9</x:v>
      </x:c>
      <x:c r="B66" s="9" t="str">
        <x:v>S012</x:v>
      </x:c>
      <x:c r="C66" s="9" t="str">
        <x:v>Wolterink et al. (2020)</x:v>
      </x:c>
      <x:c r="D66" s="9" t="str">
        <x:v>L1</x:v>
      </x:c>
      <x:c r="E66" s="9" t="str">
        <x:v>0</x:v>
      </x:c>
      <x:c r="F66" s="9" t="str">
        <x:v>Initial agreement</x:v>
      </x:c>
      <x:c r="G66" s="9" t="str">
        <x:v>Printer, layer height and nozzles reported, but temperature, speed, infill and orientation are absent.</x:v>
      </x:c>
      <x:c r="H66" s="9" t="str">
        <x:v>PDF pp. 4–14; Figs. 1–17; Tables 2–3</x:v>
      </x:c>
      <x:c r="I66" s="43" t="str">
        <x:v>Applicable fabrication information incomplete</x:v>
      </x:c>
      <x:c r="J66" s="43" t="str">
        <x:v>One or more architecture-relevant fabrication fields needed to reconstruct the tested printed component were not located.</x:v>
      </x:c>
    </x:row>
    <x:row r="67" ht="15" hidden="0" customHeight="1">
      <x:c r="A67" s="9" t="n">
        <x:v>9</x:v>
      </x:c>
      <x:c r="B67" s="9" t="str">
        <x:v>S012</x:v>
      </x:c>
      <x:c r="C67" s="9" t="str">
        <x:v>Wolterink et al. (2020)</x:v>
      </x:c>
      <x:c r="D67" s="9" t="str">
        <x:v>L2</x:v>
      </x:c>
      <x:c r="E67" s="9" t="str">
        <x:v>1</x:v>
      </x:c>
      <x:c r="F67" s="9" t="str">
        <x:v>Initial agreement</x:v>
      </x:c>
      <x:c r="G67" s="9" t="str">
        <x:v>Conductive PI-ETPU, NinjaFlex, wiring and amplifier interface reported.</x:v>
      </x:c>
      <x:c r="H67" s="9" t="str">
        <x:v>PDF pp. 4–14; Figs. 1–17; Tables 2–3</x:v>
      </x:c>
      <x:c r="I67" s="43" t="str"/>
      <x:c r="J67" s="43" t="str"/>
    </x:row>
    <x:row r="68" ht="15" hidden="0" customHeight="1">
      <x:c r="A68" s="9" t="n">
        <x:v>9</x:v>
      </x:c>
      <x:c r="B68" s="9" t="str">
        <x:v>S012</x:v>
      </x:c>
      <x:c r="C68" s="9" t="str">
        <x:v>Wolterink et al. (2020)</x:v>
      </x:c>
      <x:c r="D68" s="9" t="str">
        <x:v>L3</x:v>
      </x:c>
      <x:c r="E68" s="9" t="str">
        <x:v>1</x:v>
      </x:c>
      <x:c r="F68" s="9" t="str">
        <x:v>Initial agreement</x:v>
      </x:c>
      <x:c r="G68" s="9" t="str">
        <x:v>Specified EMG tasks/load protocol and Ag/AgCl comparator.</x:v>
      </x:c>
      <x:c r="H68" s="9" t="str">
        <x:v>PDF pp. 4–14; Figs. 1–17; Tables 2–3</x:v>
      </x:c>
      <x:c r="I68" s="43" t="str"/>
      <x:c r="J68" s="43" t="str"/>
    </x:row>
    <x:row r="69" ht="15" hidden="0" customHeight="1">
      <x:c r="A69" s="9" t="n">
        <x:v>9</x:v>
      </x:c>
      <x:c r="B69" s="9" t="str">
        <x:v>S012</x:v>
      </x:c>
      <x:c r="C69" s="9" t="str">
        <x:v>Wolterink et al. (2020)</x:v>
      </x:c>
      <x:c r="D69" s="9" t="str">
        <x:v>L4</x:v>
      </x:c>
      <x:c r="E69" s="9" t="str">
        <x:v>1</x:v>
      </x:c>
      <x:c r="F69" s="9" t="str">
        <x:v>Initial agreement</x:v>
      </x:c>
      <x:c r="G69" s="9" t="str">
        <x:v>Impedance, RMS/SD, statistics and classification accuracy reported.</x:v>
      </x:c>
      <x:c r="H69" s="9" t="str">
        <x:v>PDF pp. 4–14; Figs. 1–17; Tables 2–3</x:v>
      </x:c>
      <x:c r="I69" s="43" t="str"/>
      <x:c r="J69" s="43" t="str"/>
    </x:row>
    <x:row r="70" ht="15" hidden="0" customHeight="1">
      <x:c r="A70" s="9" t="n">
        <x:v>9</x:v>
      </x:c>
      <x:c r="B70" s="9" t="str">
        <x:v>S012</x:v>
      </x:c>
      <x:c r="C70" s="9" t="str">
        <x:v>Wolterink et al. (2020)</x:v>
      </x:c>
      <x:c r="D70" s="9" t="str">
        <x:v>L5</x:v>
      </x:c>
      <x:c r="E70" s="9" t="str">
        <x:v>1</x:v>
      </x:c>
      <x:c r="F70" s="9" t="str">
        <x:v>Adjudicated to Reviewer 1</x:v>
      </x:c>
      <x:c r="G70" s="9" t="str">
        <x:v>Three contractions with mean/SD outputs provide repeated-measurement evidence.</x:v>
      </x:c>
      <x:c r="H70" s="9" t="str">
        <x:v>PDF pp. 4–14; Figs. 1–17; Tables 2–3</x:v>
      </x:c>
      <x:c r="I70" s="43" t="str"/>
      <x:c r="J70" s="43" t="str"/>
    </x:row>
    <x:row r="71" ht="24" hidden="0" customHeight="1">
      <x:c r="A71" s="9" t="n">
        <x:v>9</x:v>
      </x:c>
      <x:c r="B71" s="9" t="str">
        <x:v>S012</x:v>
      </x:c>
      <x:c r="C71" s="9" t="str">
        <x:v>Wolterink et al. (2020)</x:v>
      </x:c>
      <x:c r="D71" s="9" t="str">
        <x:v>L6</x:v>
      </x:c>
      <x:c r="E71" s="9" t="str">
        <x:v>1</x:v>
      </x:c>
      <x:c r="F71" s="9" t="str">
        <x:v>L6 subtype audit</x:v>
      </x:c>
      <x:c r="G71" s="9" t="str">
        <x:v>In-exposure cross-sensitivity only: Dry versus water-moistened contact is a declared use-related condition with response comparison.</x:v>
      </x:c>
      <x:c r="H71" s="9" t="str">
        <x:v>PDF pp. 4–14; Figs. 1–17; Tables 2–3</x:v>
      </x:c>
      <x:c r="I71" s="43" t="str"/>
      <x:c r="J71" s="43" t="str"/>
    </x:row>
    <x:row r="72" ht="26.399999618530273" hidden="0" customHeight="1">
      <x:c r="A72" s="9" t="n">
        <x:v>9</x:v>
      </x:c>
      <x:c r="B72" s="9" t="str">
        <x:v>S012</x:v>
      </x:c>
      <x:c r="C72" s="9" t="str">
        <x:v>Wolterink et al. (2020)</x:v>
      </x:c>
      <x:c r="D72" s="9" t="str">
        <x:v>L7</x:v>
      </x:c>
      <x:c r="E72" s="9" t="str">
        <x:v>0</x:v>
      </x:c>
      <x:c r="F72" s="9" t="str">
        <x:v>Complete L7 audit—not qualifying</x:v>
      </x:c>
      <x:c r="G72" s="9" t="str">
        <x:v>Electrodes are swapped sequentially between measurements; exact placement is difficult. Larger electrodes perform better; long-term/multiple-use advantages are prospective.</x:v>
      </x:c>
      <x:c r="H72" s="9" t="str">
        <x:v>S012_Main.pdf, physical pp. 12-15, electrode-size results, Fig. 14 and Discussion/Conclusions.</x:v>
      </x:c>
      <x:c r="I72" s="43" t="str">
        <x:v>No qualifying interface/final-assembly endpoint located</x:v>
      </x:c>
      <x:c r="J72" s="43" t="str">
        <x:v>Neither a Route A interface endpoint nor a Route B repeated final-assembly retention/failure endpoint was located.</x:v>
      </x:c>
    </x:row>
    <x:row r="73" ht="39.599998474121094" hidden="0" customHeight="1">
      <x:c r="A73" s="9" t="n">
        <x:v>9</x:v>
      </x:c>
      <x:c r="B73" s="9" t="str">
        <x:v>S012</x:v>
      </x:c>
      <x:c r="C73" s="9" t="str">
        <x:v>Wolterink et al. (2020)</x:v>
      </x:c>
      <x:c r="D73" s="9" t="str">
        <x:v>L8</x:v>
      </x:c>
      <x:c r="E73" s="9" t="str">
        <x:v>0</x:v>
      </x:c>
      <x:c r="F73" s="9" t="str">
        <x:v>Initial agreement</x:v>
      </x:c>
      <x:c r="G73" s="9" t="str">
        <x:v>Geometry variants and participants are not independently fabricated replicate devices.</x:v>
      </x:c>
      <x:c r="H73" s="9" t="str">
        <x:v>PDF pp. 4–14; Figs. 1–17; Tables 2–3</x:v>
      </x:c>
      <x:c r="I73" s="43" t="str">
        <x:v>Non-qualifying repeated unit or condition</x:v>
      </x:c>
      <x:c r="J73" s="43" t="str">
        <x:v>The repeated entities were people, channels, variants, material specimens, repeated measurements or devices tested under different conditions.</x:v>
      </x:c>
    </x:row>
    <x:row r="74" ht="26.399999618530273" hidden="0" customHeight="1">
      <x:c r="A74" s="9" t="n">
        <x:v>10</x:v>
      </x:c>
      <x:c r="B74" s="9" t="str">
        <x:v>S013</x:v>
      </x:c>
      <x:c r="C74" s="9" t="str">
        <x:v>Poulladofonou et al. (2022)</x:v>
      </x:c>
      <x:c r="D74" s="9" t="str">
        <x:v>L1</x:v>
      </x:c>
      <x:c r="E74" s="9" t="str">
        <x:v>0</x:v>
      </x:c>
      <x:c r="F74" s="9" t="str">
        <x:v>Initial agreement</x:v>
      </x:c>
      <x:c r="G74" s="9" t="str">
        <x:v>Printer and temperatures are reported, but nozzle, speed, layer height, infill and orientation are absent.</x:v>
      </x:c>
      <x:c r="H74" s="9" t="str">
        <x:v>PDF pp. 3–7; Figs. 1–6; Table 1; cited SI</x:v>
      </x:c>
      <x:c r="I74" s="43" t="str">
        <x:v>Applicable fabrication information incomplete</x:v>
      </x:c>
      <x:c r="J74" s="43" t="str">
        <x:v>One or more architecture-relevant fabrication fields needed to reconstruct the tested printed component were not located.</x:v>
      </x:c>
    </x:row>
    <x:row r="75" ht="15" hidden="0" customHeight="1">
      <x:c r="A75" s="9" t="n">
        <x:v>10</x:v>
      </x:c>
      <x:c r="B75" s="9" t="str">
        <x:v>S013</x:v>
      </x:c>
      <x:c r="C75" s="9" t="str">
        <x:v>Poulladofonou et al. (2022)</x:v>
      </x:c>
      <x:c r="D75" s="9" t="str">
        <x:v>L2</x:v>
      </x:c>
      <x:c r="E75" s="9" t="str">
        <x:v>1</x:v>
      </x:c>
      <x:c r="F75" s="9" t="str">
        <x:v>Initial agreement</x:v>
      </x:c>
      <x:c r="G75" s="9" t="str">
        <x:v>Final CB-PLA/TPU components and instrumentation are identified.</x:v>
      </x:c>
      <x:c r="H75" s="9" t="str">
        <x:v>PDF pp. 3–7; Figs. 1–6; Table 1; cited SI</x:v>
      </x:c>
      <x:c r="I75" s="43" t="str"/>
      <x:c r="J75" s="43" t="str"/>
    </x:row>
    <x:row r="76" ht="15" hidden="0" customHeight="1">
      <x:c r="A76" s="9" t="n">
        <x:v>10</x:v>
      </x:c>
      <x:c r="B76" s="9" t="str">
        <x:v>S013</x:v>
      </x:c>
      <x:c r="C76" s="9" t="str">
        <x:v>Poulladofonou et al. (2022)</x:v>
      </x:c>
      <x:c r="D76" s="9" t="str">
        <x:v>L3</x:v>
      </x:c>
      <x:c r="E76" s="9" t="str">
        <x:v>1</x:v>
      </x:c>
      <x:c r="F76" s="9" t="str">
        <x:v>Initial agreement</x:v>
      </x:c>
      <x:c r="G76" s="9" t="str">
        <x:v>DPV procedures, spike ranges and matrices are specified.</x:v>
      </x:c>
      <x:c r="H76" s="9" t="str">
        <x:v>PDF pp. 3–7; Figs. 1–6; Table 1; cited SI</x:v>
      </x:c>
      <x:c r="I76" s="43" t="str"/>
      <x:c r="J76" s="43" t="str"/>
    </x:row>
    <x:row r="77" ht="15" hidden="0" customHeight="1">
      <x:c r="A77" s="9" t="n">
        <x:v>10</x:v>
      </x:c>
      <x:c r="B77" s="9" t="str">
        <x:v>S013</x:v>
      </x:c>
      <x:c r="C77" s="9" t="str">
        <x:v>Poulladofonou et al. (2022)</x:v>
      </x:c>
      <x:c r="D77" s="9" t="str">
        <x:v>L4</x:v>
      </x:c>
      <x:c r="E77" s="9" t="str">
        <x:v>1</x:v>
      </x:c>
      <x:c r="F77" s="9" t="str">
        <x:v>Initial agreement</x:v>
      </x:c>
      <x:c r="G77" s="9" t="str">
        <x:v>Ranges, LODs and precision metrics are reported.</x:v>
      </x:c>
      <x:c r="H77" s="9" t="str">
        <x:v>PDF pp. 3–7; Figs. 1–6; Table 1; cited SI</x:v>
      </x:c>
      <x:c r="I77" s="43" t="str"/>
      <x:c r="J77" s="43" t="str"/>
    </x:row>
    <x:row r="78" ht="15" hidden="0" customHeight="1">
      <x:c r="A78" s="9" t="n">
        <x:v>10</x:v>
      </x:c>
      <x:c r="B78" s="9" t="str">
        <x:v>S013</x:v>
      </x:c>
      <x:c r="C78" s="9" t="str">
        <x:v>Poulladofonou et al. (2022)</x:v>
      </x:c>
      <x:c r="D78" s="9" t="str">
        <x:v>L5</x:v>
      </x:c>
      <x:c r="E78" s="9" t="str">
        <x:v>1</x:v>
      </x:c>
      <x:c r="F78" s="9" t="str">
        <x:v>Initial agreement</x:v>
      </x:c>
      <x:c r="G78" s="9" t="str">
        <x:v>Eight within-device repetitions and a 12-day series are reported.</x:v>
      </x:c>
      <x:c r="H78" s="9" t="str">
        <x:v>PDF pp. 3–7; Figs. 1–6; Table 1; cited SI</x:v>
      </x:c>
      <x:c r="I78" s="43" t="str"/>
      <x:c r="J78" s="43" t="str"/>
    </x:row>
    <x:row r="79" ht="36" hidden="0" customHeight="1">
      <x:c r="A79" s="9" t="n">
        <x:v>10</x:v>
      </x:c>
      <x:c r="B79" s="9" t="str">
        <x:v>S013</x:v>
      </x:c>
      <x:c r="C79" s="9" t="str">
        <x:v>Poulladofonou et al. (2022)</x:v>
      </x:c>
      <x:c r="D79" s="9" t="str">
        <x:v>L6</x:v>
      </x:c>
      <x:c r="E79" s="9" t="str">
        <x:v>1</x:v>
      </x:c>
      <x:c r="F79" s="9" t="str">
        <x:v>L6 subtype audit</x:v>
      </x:c>
      <x:c r="G79" s="9" t="str">
        <x:v>Post-exposure retention only; defined reference/recovery reported: Distilled-water washing followed by room storage between daily measurements was reported. Evidence: Daily washing/storage over 12 days with response stability is reported.</x:v>
      </x:c>
      <x:c r="H79" s="9" t="str">
        <x:v>PDF pp. 3–7; Figs. 1–6; Table 1; cited SI</x:v>
      </x:c>
      <x:c r="I79" s="43" t="str"/>
      <x:c r="J79" s="43" t="str"/>
    </x:row>
    <x:row r="80" ht="26.399999618530273" hidden="0" customHeight="1">
      <x:c r="A80" s="9" t="n">
        <x:v>10</x:v>
      </x:c>
      <x:c r="B80" s="9" t="str">
        <x:v>S013</x:v>
      </x:c>
      <x:c r="C80" s="9" t="str">
        <x:v>Poulladofonou et al. (2022)</x:v>
      </x:c>
      <x:c r="D80" s="9" t="str">
        <x:v>L7</x:v>
      </x:c>
      <x:c r="E80" s="9" t="str">
        <x:v>0</x:v>
      </x:c>
      <x:c r="F80" s="9" t="str">
        <x:v>Complete L7 audit—not qualifying</x:v>
      </x:c>
      <x:c r="G80" s="9" t="str">
        <x:v>No qualifying interface-integrity test or repeated final monolithic wearable-assembly test with a retention/failure endpoint was located.</x:v>
      </x:c>
      <x:c r="H80" s="9" t="str">
        <x:v>PDF pp. 3–7; Figs. 1–6; Table 1; cited SI</x:v>
      </x:c>
      <x:c r="I80" s="43" t="str">
        <x:v>No qualifying interface/final-assembly endpoint located</x:v>
      </x:c>
      <x:c r="J80" s="43" t="str">
        <x:v>Neither a Route A interface endpoint nor a Route B repeated final-assembly retention/failure endpoint was located.</x:v>
      </x:c>
    </x:row>
    <x:row r="81" ht="15" hidden="0" customHeight="1">
      <x:c r="A81" s="9" t="n">
        <x:v>10</x:v>
      </x:c>
      <x:c r="B81" s="9" t="str">
        <x:v>S013</x:v>
      </x:c>
      <x:c r="C81" s="9" t="str">
        <x:v>Poulladofonou et al. (2022)</x:v>
      </x:c>
      <x:c r="D81" s="9" t="str">
        <x:v>L8</x:v>
      </x:c>
      <x:c r="E81" s="9" t="str">
        <x:v>1</x:v>
      </x:c>
      <x:c r="F81" s="9" t="str">
        <x:v>Initial agreement</x:v>
      </x:c>
      <x:c r="G81" s="9" t="str">
        <x:v>Five e-fingers are compared with between-finger RSD.</x:v>
      </x:c>
      <x:c r="H81" s="9" t="str">
        <x:v>PDF pp. 3–7; Figs. 1–6; Table 1; cited SI</x:v>
      </x:c>
      <x:c r="I81" s="43" t="str"/>
      <x:c r="J81" s="43" t="str"/>
    </x:row>
    <x:row r="82" ht="26.399999618530273" hidden="0" customHeight="1">
      <x:c r="A82" s="9" t="n">
        <x:v>11</x:v>
      </x:c>
      <x:c r="B82" s="9" t="str">
        <x:v>S014</x:v>
      </x:c>
      <x:c r="C82" s="9" t="str">
        <x:v>Dimo et al. (2025)</x:v>
      </x:c>
      <x:c r="D82" s="9" t="str">
        <x:v>L1</x:v>
      </x:c>
      <x:c r="E82" s="9" t="str">
        <x:v>0</x:v>
      </x:c>
      <x:c r="F82" s="9" t="str">
        <x:v>Initial agreement</x:v>
      </x:c>
      <x:c r="G82" s="9" t="str">
        <x:v>Printer, material, infill and geometry are reported, but nozzle, temperature, speed, layer height and orientation are absent.</x:v>
      </x:c>
      <x:c r="H82" s="9" t="str">
        <x:v>PDF pp. 4–15; Figs. 1–10; Tables 1–2</x:v>
      </x:c>
      <x:c r="I82" s="43" t="str">
        <x:v>Applicable fabrication information incomplete</x:v>
      </x:c>
      <x:c r="J82" s="43" t="str">
        <x:v>One or more architecture-relevant fabrication fields needed to reconstruct the tested printed component were not located.</x:v>
      </x:c>
    </x:row>
    <x:row r="83" ht="15" hidden="0" customHeight="1">
      <x:c r="A83" s="9" t="n">
        <x:v>11</x:v>
      </x:c>
      <x:c r="B83" s="9" t="str">
        <x:v>S014</x:v>
      </x:c>
      <x:c r="C83" s="9" t="str">
        <x:v>Dimo et al. (2025)</x:v>
      </x:c>
      <x:c r="D83" s="9" t="str">
        <x:v>L2</x:v>
      </x:c>
      <x:c r="E83" s="9" t="str">
        <x:v>1</x:v>
      </x:c>
      <x:c r="F83" s="9" t="str">
        <x:v>Initial agreement</x:v>
      </x:c>
      <x:c r="G83" s="9" t="str">
        <x:v>TPU grades, FBG properties and attachment materials reported.</x:v>
      </x:c>
      <x:c r="H83" s="9" t="str">
        <x:v>PDF pp. 4–15; Figs. 1–10; Tables 1–2</x:v>
      </x:c>
      <x:c r="I83" s="43" t="str"/>
      <x:c r="J83" s="43" t="str"/>
    </x:row>
    <x:row r="84" ht="15" hidden="0" customHeight="1">
      <x:c r="A84" s="9" t="n">
        <x:v>11</x:v>
      </x:c>
      <x:c r="B84" s="9" t="str">
        <x:v>S014</x:v>
      </x:c>
      <x:c r="C84" s="9" t="str">
        <x:v>Dimo et al. (2025)</x:v>
      </x:c>
      <x:c r="D84" s="9" t="str">
        <x:v>L3</x:v>
      </x:c>
      <x:c r="E84" s="9" t="str">
        <x:v>1</x:v>
      </x:c>
      <x:c r="F84" s="9" t="str">
        <x:v>Initial agreement</x:v>
      </x:c>
      <x:c r="G84" s="9" t="str">
        <x:v>Instron, climate chamber and on-body protocols described.</x:v>
      </x:c>
      <x:c r="H84" s="9" t="str">
        <x:v>PDF pp. 4–15; Figs. 1–10; Tables 1–2</x:v>
      </x:c>
      <x:c r="I84" s="43" t="str"/>
      <x:c r="J84" s="43" t="str"/>
    </x:row>
    <x:row r="85" ht="15" hidden="0" customHeight="1">
      <x:c r="A85" s="9" t="n">
        <x:v>11</x:v>
      </x:c>
      <x:c r="B85" s="9" t="str">
        <x:v>S014</x:v>
      </x:c>
      <x:c r="C85" s="9" t="str">
        <x:v>Dimo et al. (2025)</x:v>
      </x:c>
      <x:c r="D85" s="9" t="str">
        <x:v>L4</x:v>
      </x:c>
      <x:c r="E85" s="9" t="str">
        <x:v>1</x:v>
      </x:c>
      <x:c r="F85" s="9" t="str">
        <x:v>Initial agreement</x:v>
      </x:c>
      <x:c r="G85" s="9" t="str">
        <x:v>Strain/temperature sensitivities and hysteresis with units/ranges.</x:v>
      </x:c>
      <x:c r="H85" s="9" t="str">
        <x:v>PDF pp. 4–15; Figs. 1–10; Tables 1–2</x:v>
      </x:c>
      <x:c r="I85" s="43" t="str"/>
      <x:c r="J85" s="43" t="str"/>
    </x:row>
    <x:row r="86" ht="15" hidden="0" customHeight="1">
      <x:c r="A86" s="9" t="n">
        <x:v>11</x:v>
      </x:c>
      <x:c r="B86" s="9" t="str">
        <x:v>S014</x:v>
      </x:c>
      <x:c r="C86" s="9" t="str">
        <x:v>Dimo et al. (2025)</x:v>
      </x:c>
      <x:c r="D86" s="9" t="str">
        <x:v>L5</x:v>
      </x:c>
      <x:c r="E86" s="9" t="str">
        <x:v>1</x:v>
      </x:c>
      <x:c r="F86" s="9" t="str">
        <x:v>Initial agreement</x:v>
      </x:c>
      <x:c r="G86" s="9" t="str">
        <x:v>Ten calibration and ten hysteresis cycles with uncertainty/outcomes.</x:v>
      </x:c>
      <x:c r="H86" s="9" t="str">
        <x:v>PDF pp. 4–15; Figs. 1–10; Tables 1–2</x:v>
      </x:c>
      <x:c r="I86" s="43" t="str"/>
      <x:c r="J86" s="43" t="str"/>
    </x:row>
    <x:row r="87" ht="15" hidden="0" customHeight="1">
      <x:c r="A87" s="9" t="n">
        <x:v>11</x:v>
      </x:c>
      <x:c r="B87" s="9" t="str">
        <x:v>S014</x:v>
      </x:c>
      <x:c r="C87" s="9" t="str">
        <x:v>Dimo et al. (2025)</x:v>
      </x:c>
      <x:c r="D87" s="9" t="str">
        <x:v>L6</x:v>
      </x:c>
      <x:c r="E87" s="9" t="str">
        <x:v>1</x:v>
      </x:c>
      <x:c r="F87" s="9" t="str">
        <x:v>L6 subtype audit</x:v>
      </x:c>
      <x:c r="G87" s="9" t="str">
        <x:v>In-exposure cross-sensitivity only: 20–50 °C exposure with sensor response.</x:v>
      </x:c>
      <x:c r="H87" s="9" t="str">
        <x:v>PDF pp. 4–15; Figs. 1–10; Tables 1–2</x:v>
      </x:c>
      <x:c r="I87" s="43" t="str"/>
      <x:c r="J87" s="43" t="str"/>
    </x:row>
    <x:row r="88" ht="24" hidden="0" customHeight="1">
      <x:c r="A88" s="9" t="n">
        <x:v>11</x:v>
      </x:c>
      <x:c r="B88" s="9" t="str">
        <x:v>S014</x:v>
      </x:c>
      <x:c r="C88" s="9" t="str">
        <x:v>Dimo et al. (2025)</x:v>
      </x:c>
      <x:c r="D88" s="9" t="str">
        <x:v>L7</x:v>
      </x:c>
      <x:c r="E88" s="9" t="str">
        <x:v>1</x:v>
      </x:c>
      <x:c r="F88" s="9" t="str">
        <x:v>Complete L7 audit—Route A</x:v>
      </x:c>
      <x:c r="G88" s="9" t="str">
        <x:v>Route A—direct interface: three pull-out specimens per material quantified the fibre–printed-host interface, with pull-out force exceeding 12 N without complete detachment.</x:v>
      </x:c>
      <x:c r="H88" s="9" t="str">
        <x:v>PDF pp. 4–15; Figs. 1–10; Tables 1–2</x:v>
      </x:c>
      <x:c r="I88" s="43" t="str"/>
      <x:c r="J88" s="43" t="str"/>
    </x:row>
    <x:row r="89" ht="26.399999618530273" hidden="0" customHeight="1">
      <x:c r="A89" s="9" t="n">
        <x:v>11</x:v>
      </x:c>
      <x:c r="B89" s="9" t="str">
        <x:v>S014</x:v>
      </x:c>
      <x:c r="C89" s="9" t="str">
        <x:v>Dimo et al. (2025)</x:v>
      </x:c>
      <x:c r="D89" s="9" t="str">
        <x:v>L8</x:v>
      </x:c>
      <x:c r="E89" s="9" t="str">
        <x:v>0</x:v>
      </x:c>
      <x:c r="F89" s="9" t="str">
        <x:v>Initial agreement</x:v>
      </x:c>
      <x:c r="G89" s="9" t="str">
        <x:v>Only two functional material variants; pull-out coupons are not functional replicate sensors.</x:v>
      </x:c>
      <x:c r="H89" s="9" t="str">
        <x:v>PDF pp. 4–15; Figs. 1–10; Tables 1–2</x:v>
      </x:c>
      <x:c r="I89" s="43" t="str">
        <x:v>Insufficient experimental replication</x:v>
      </x:c>
      <x:c r="J89" s="43" t="str">
        <x:v>The reported complete-device count was below the three-device minimum.</x:v>
      </x:c>
    </x:row>
    <x:row r="90" ht="26.399999618530273" hidden="0" customHeight="1">
      <x:c r="A90" s="9" t="n">
        <x:v>12</x:v>
      </x:c>
      <x:c r="B90" s="9" t="str">
        <x:v>S015</x:v>
      </x:c>
      <x:c r="C90" s="9" t="str">
        <x:v>Farook et al. (2023)</x:v>
      </x:c>
      <x:c r="D90" s="9" t="str">
        <x:v>L1</x:v>
      </x:c>
      <x:c r="E90" s="9" t="str">
        <x:v>0</x:v>
      </x:c>
      <x:c r="F90" s="9" t="str">
        <x:v>Initial agreement</x:v>
      </x:c>
      <x:c r="G90" s="9" t="str">
        <x:v>Printer, PLA, speed, infill and geometry reported, but nozzle, temperature, layer height and orientation are absent.</x:v>
      </x:c>
      <x:c r="H90" s="9" t="str">
        <x:v>PDF pp. 3–11; Figs. 1–6; Table 1</x:v>
      </x:c>
      <x:c r="I90" s="43" t="str">
        <x:v>Applicable fabrication information incomplete</x:v>
      </x:c>
      <x:c r="J90" s="43" t="str">
        <x:v>One or more architecture-relevant fabrication fields needed to reconstruct the tested printed component were not located.</x:v>
      </x:c>
    </x:row>
    <x:row r="91" ht="15" hidden="0" customHeight="1">
      <x:c r="A91" s="9" t="n">
        <x:v>12</x:v>
      </x:c>
      <x:c r="B91" s="9" t="str">
        <x:v>S015</x:v>
      </x:c>
      <x:c r="C91" s="9" t="str">
        <x:v>Farook et al. (2023)</x:v>
      </x:c>
      <x:c r="D91" s="9" t="str">
        <x:v>L2</x:v>
      </x:c>
      <x:c r="E91" s="9" t="str">
        <x:v>1</x:v>
      </x:c>
      <x:c r="F91" s="9" t="str">
        <x:v>Initial agreement</x:v>
      </x:c>
      <x:c r="G91" s="9" t="str">
        <x:v>Printed frame, commercial sensors, bearings, electronics and attachments identified.</x:v>
      </x:c>
      <x:c r="H91" s="9" t="str">
        <x:v>PDF pp. 3–11; Figs. 1–6; Table 1</x:v>
      </x:c>
      <x:c r="I91" s="43" t="str"/>
      <x:c r="J91" s="43" t="str"/>
    </x:row>
    <x:row r="92" ht="15" hidden="0" customHeight="1">
      <x:c r="A92" s="9" t="n">
        <x:v>12</x:v>
      </x:c>
      <x:c r="B92" s="9" t="str">
        <x:v>S015</x:v>
      </x:c>
      <x:c r="C92" s="9" t="str">
        <x:v>Farook et al. (2023)</x:v>
      </x:c>
      <x:c r="D92" s="9" t="str">
        <x:v>L3</x:v>
      </x:c>
      <x:c r="E92" s="9" t="str">
        <x:v>1</x:v>
      </x:c>
      <x:c r="F92" s="9" t="str">
        <x:v>Initial agreement</x:v>
      </x:c>
      <x:c r="G92" s="9" t="str">
        <x:v>Eight-position caliper comparison and on-body task protocol described.</x:v>
      </x:c>
      <x:c r="H92" s="9" t="str">
        <x:v>PDF pp. 3–11; Figs. 1–6; Table 1</x:v>
      </x:c>
      <x:c r="I92" s="43" t="str"/>
      <x:c r="J92" s="43" t="str"/>
    </x:row>
    <x:row r="93" ht="15" hidden="0" customHeight="1">
      <x:c r="A93" s="9" t="n">
        <x:v>12</x:v>
      </x:c>
      <x:c r="B93" s="9" t="str">
        <x:v>S015</x:v>
      </x:c>
      <x:c r="C93" s="9" t="str">
        <x:v>Farook et al. (2023)</x:v>
      </x:c>
      <x:c r="D93" s="9" t="str">
        <x:v>L4</x:v>
      </x:c>
      <x:c r="E93" s="9" t="str">
        <x:v>1</x:v>
      </x:c>
      <x:c r="F93" s="9" t="str">
        <x:v>Initial agreement</x:v>
      </x:c>
      <x:c r="G93" s="9" t="str">
        <x:v>Absolute error, RMSE and normalized outputs reported.</x:v>
      </x:c>
      <x:c r="H93" s="9" t="str">
        <x:v>PDF pp. 3–11; Figs. 1–6; Table 1</x:v>
      </x:c>
      <x:c r="I93" s="43" t="str"/>
      <x:c r="J93" s="43" t="str"/>
    </x:row>
    <x:row r="94" ht="26.399999618530273" hidden="0" customHeight="1">
      <x:c r="A94" s="9" t="n">
        <x:v>12</x:v>
      </x:c>
      <x:c r="B94" s="9" t="str">
        <x:v>S015</x:v>
      </x:c>
      <x:c r="C94" s="9" t="str">
        <x:v>Farook et al. (2023)</x:v>
      </x:c>
      <x:c r="D94" s="9" t="str">
        <x:v>L5</x:v>
      </x:c>
      <x:c r="E94" s="9" t="str">
        <x:v>0</x:v>
      </x:c>
      <x:c r="F94" s="9" t="str">
        <x:v>Initial agreement</x:v>
      </x:c>
      <x:c r="G94" s="9" t="str">
        <x:v>Five practice repetitions were unrecorded; recorded data do not establish repeated-response stability.</x:v>
      </x:c>
      <x:c r="H94" s="9" t="str">
        <x:v>PDF pp. 3–11; Figs. 1–6; Table 1</x:v>
      </x:c>
      <x:c r="I94" s="43" t="str">
        <x:v>Non-qualifying repeated unit or endpoint</x:v>
      </x:c>
      <x:c r="J94" s="43" t="str">
        <x:v>Repetition involved users, tasks, sessions or observations rather than a same-device stability sequence with a qualifying endpoint.</x:v>
      </x:c>
    </x:row>
    <x:row r="95" ht="26.399999618530273" hidden="0" customHeight="1">
      <x:c r="A95" s="9" t="n">
        <x:v>12</x:v>
      </x:c>
      <x:c r="B95" s="9" t="str">
        <x:v>S015</x:v>
      </x:c>
      <x:c r="C95" s="9" t="str">
        <x:v>Farook et al. (2023)</x:v>
      </x:c>
      <x:c r="D95" s="9" t="str">
        <x:v>L6</x:v>
      </x:c>
      <x:c r="E95" s="9" t="str">
        <x:v>0</x:v>
      </x:c>
      <x:c r="F95" s="9" t="str">
        <x:v>Initial agreement</x:v>
      </x:c>
      <x:c r="G95" s="9" t="str">
        <x:v>No non-measurand environmental/use exposure with sensor response.</x:v>
      </x:c>
      <x:c r="H95" s="9" t="str">
        <x:v>PDF pp. 3–11; Figs. 1–6; Table 1</x:v>
      </x:c>
      <x:c r="I95" s="43" t="str">
        <x:v>No qualifying extrinsic-exposure evidence located</x:v>
      </x:c>
      <x:c r="J95" s="43" t="str">
        <x:v>No response was located during or after a deliberately applied condition extrinsic to the intended measurand.</x:v>
      </x:c>
    </x:row>
    <x:row r="96" ht="26.399999618530273" hidden="0" customHeight="1">
      <x:c r="A96" s="9" t="n">
        <x:v>12</x:v>
      </x:c>
      <x:c r="B96" s="9" t="str">
        <x:v>S015</x:v>
      </x:c>
      <x:c r="C96" s="9" t="str">
        <x:v>Farook et al. (2023)</x:v>
      </x:c>
      <x:c r="D96" s="9" t="str">
        <x:v>L7</x:v>
      </x:c>
      <x:c r="E96" s="9" t="str">
        <x:v>0</x:v>
      </x:c>
      <x:c r="F96" s="9" t="str">
        <x:v>Complete L7 audit—not qualifying</x:v>
      </x:c>
      <x:c r="G96" s="9" t="str">
        <x:v>No qualifying interface-integrity test or repeated final monolithic wearable-assembly test with a retention/failure endpoint was located.</x:v>
      </x:c>
      <x:c r="H96" s="9" t="str">
        <x:v>PDF pp. 3–11; Figs. 1–6; Table 1</x:v>
      </x:c>
      <x:c r="I96" s="43" t="str">
        <x:v>No qualifying interface/final-assembly endpoint located</x:v>
      </x:c>
      <x:c r="J96" s="43" t="str">
        <x:v>Neither a Route A interface endpoint nor a Route B repeated final-assembly retention/failure endpoint was located.</x:v>
      </x:c>
    </x:row>
    <x:row r="97" ht="39.599998474121094" hidden="0" customHeight="1">
      <x:c r="A97" s="9" t="n">
        <x:v>12</x:v>
      </x:c>
      <x:c r="B97" s="9" t="str">
        <x:v>S015</x:v>
      </x:c>
      <x:c r="C97" s="9" t="str">
        <x:v>Farook et al. (2023)</x:v>
      </x:c>
      <x:c r="D97" s="9" t="str">
        <x:v>L8</x:v>
      </x:c>
      <x:c r="E97" s="9" t="str">
        <x:v>0</x:v>
      </x:c>
      <x:c r="F97" s="9" t="str">
        <x:v>Initial agreement</x:v>
      </x:c>
      <x:c r="G97" s="9" t="str">
        <x:v>One prototype; channels and participants are not separate printed devices.</x:v>
      </x:c>
      <x:c r="H97" s="9" t="str">
        <x:v>PDF pp. 3–11; Figs. 1–6; Table 1</x:v>
      </x:c>
      <x:c r="I97" s="43" t="str">
        <x:v>Non-qualifying repeated unit or condition</x:v>
      </x:c>
      <x:c r="J97" s="43" t="str">
        <x:v>The repeated entities were people, channels, variants, material specimens, repeated measurements or devices tested under different conditions.</x:v>
      </x:c>
    </x:row>
    <x:row r="98" ht="26.399999618530273" hidden="0" customHeight="1">
      <x:c r="A98" s="9" t="n">
        <x:v>13</x:v>
      </x:c>
      <x:c r="B98" s="9" t="str">
        <x:v>S017</x:v>
      </x:c>
      <x:c r="C98" s="9" t="str">
        <x:v>Zhang and Ma (2025)</x:v>
      </x:c>
      <x:c r="D98" s="9" t="str">
        <x:v>L1</x:v>
      </x:c>
      <x:c r="E98" s="9" t="str">
        <x:v>0</x:v>
      </x:c>
      <x:c r="F98" s="9" t="str">
        <x:v>Initial agreement</x:v>
      </x:c>
      <x:c r="G98" s="9" t="str">
        <x:v>Printer/model and core slicing settings not reported.</x:v>
      </x:c>
      <x:c r="H98" s="9" t="str">
        <x:v>PDF p. 2</x:v>
      </x:c>
      <x:c r="I98" s="43" t="str">
        <x:v>Applicable fabrication information incomplete</x:v>
      </x:c>
      <x:c r="J98" s="43" t="str">
        <x:v>One or more architecture-relevant fabrication fields needed to reconstruct the tested printed component were not located.</x:v>
      </x:c>
    </x:row>
    <x:row r="99" ht="26.399999618530273" hidden="0" customHeight="1">
      <x:c r="A99" s="9" t="n">
        <x:v>13</x:v>
      </x:c>
      <x:c r="B99" s="9" t="str">
        <x:v>S017</x:v>
      </x:c>
      <x:c r="C99" s="9" t="str">
        <x:v>Zhang and Ma (2025)</x:v>
      </x:c>
      <x:c r="D99" s="9" t="str">
        <x:v>L2</x:v>
      </x:c>
      <x:c r="E99" s="9" t="str">
        <x:v>0</x:v>
      </x:c>
      <x:c r="F99" s="9" t="str">
        <x:v>Adjudicated to Reviewer 1</x:v>
      </x:c>
      <x:c r="G99" s="9" t="str">
        <x:v>TPU:PLA ratio is reported but carbon-fiber loading and key electrode/assembly details are absent.</x:v>
      </x:c>
      <x:c r="H99" s="9" t="str">
        <x:v>PDF pp. 2-3</x:v>
      </x:c>
      <x:c r="I99" s="43" t="str">
        <x:v>Required composition information incomplete</x:v>
      </x:c>
      <x:c r="J99" s="43" t="str">
        <x:v>A required functional constituent, substrate, electrode or available formulation detail was not located.</x:v>
      </x:c>
    </x:row>
    <x:row r="100" ht="15" hidden="0" customHeight="1">
      <x:c r="A100" s="9" t="n">
        <x:v>13</x:v>
      </x:c>
      <x:c r="B100" s="9" t="str">
        <x:v>S017</x:v>
      </x:c>
      <x:c r="C100" s="9" t="str">
        <x:v>Zhang and Ma (2025)</x:v>
      </x:c>
      <x:c r="D100" s="9" t="str">
        <x:v>L3</x:v>
      </x:c>
      <x:c r="E100" s="9" t="str">
        <x:v>1</x:v>
      </x:c>
      <x:c r="F100" s="9" t="str">
        <x:v>Initial agreement</x:v>
      </x:c>
      <x:c r="G100" s="9" t="str">
        <x:v>Force, displacement, frequency and load resistance are controlled/described.</x:v>
      </x:c>
      <x:c r="H100" s="9" t="str">
        <x:v>PDF pp. 2-4</x:v>
      </x:c>
      <x:c r="I100" s="43" t="str"/>
      <x:c r="J100" s="43" t="str"/>
    </x:row>
    <x:row r="101" ht="15" hidden="0" customHeight="1">
      <x:c r="A101" s="9" t="n">
        <x:v>13</x:v>
      </x:c>
      <x:c r="B101" s="9" t="str">
        <x:v>S017</x:v>
      </x:c>
      <x:c r="C101" s="9" t="str">
        <x:v>Zhang and Ma (2025)</x:v>
      </x:c>
      <x:c r="D101" s="9" t="str">
        <x:v>L4</x:v>
      </x:c>
      <x:c r="E101" s="9" t="str">
        <x:v>1</x:v>
      </x:c>
      <x:c r="F101" s="9" t="str">
        <x:v>Initial agreement</x:v>
      </x:c>
      <x:c r="G101" s="9" t="str">
        <x:v>Voltage/current/charge and power density are reported with test conditions.</x:v>
      </x:c>
      <x:c r="H101" s="9" t="str">
        <x:v>PDF pp. 3-4, Fig. 2-3</x:v>
      </x:c>
      <x:c r="I101" s="43" t="str"/>
      <x:c r="J101" s="43" t="str"/>
    </x:row>
    <x:row r="102" ht="15" hidden="0" customHeight="1">
      <x:c r="A102" s="9" t="n">
        <x:v>13</x:v>
      </x:c>
      <x:c r="B102" s="9" t="str">
        <x:v>S017</x:v>
      </x:c>
      <x:c r="C102" s="9" t="str">
        <x:v>Zhang and Ma (2025)</x:v>
      </x:c>
      <x:c r="D102" s="9" t="str">
        <x:v>L5</x:v>
      </x:c>
      <x:c r="E102" s="9" t="str">
        <x:v>1</x:v>
      </x:c>
      <x:c r="F102" s="9" t="str">
        <x:v>Initial agreement</x:v>
      </x:c>
      <x:c r="G102" s="9" t="str">
        <x:v>1600-cycle output trace and post-buckling retention/recovery values are reported.</x:v>
      </x:c>
      <x:c r="H102" s="9" t="str">
        <x:v>PDF pp. 4-5, Fig. 4-5</x:v>
      </x:c>
      <x:c r="I102" s="43" t="str"/>
      <x:c r="J102" s="43" t="str"/>
    </x:row>
    <x:row r="103" ht="36" hidden="0" customHeight="1">
      <x:c r="A103" s="9" t="n">
        <x:v>13</x:v>
      </x:c>
      <x:c r="B103" s="9" t="str">
        <x:v>S017</x:v>
      </x:c>
      <x:c r="C103" s="9" t="str">
        <x:v>Zhang and Ma (2025)</x:v>
      </x:c>
      <x:c r="D103" s="9" t="str">
        <x:v>L6</x:v>
      </x:c>
      <x:c r="E103" s="9" t="str">
        <x:v>1</x:v>
      </x:c>
      <x:c r="F103" s="9" t="str">
        <x:v>L6 subtype audit</x:v>
      </x:c>
      <x:c r="G103" s="9" t="str">
        <x:v>Both; defined reference/recovery not reported: Post-buckling recovery output was reported, but the recovery interval and reference conditioning were not specified. Evidence: Humidity and buckling/recovery exposures with output response are reported.</x:v>
      </x:c>
      <x:c r="H103" s="9" t="str">
        <x:v>PDF pp. 4-5, Fig. 4</x:v>
      </x:c>
      <x:c r="I103" s="43" t="str"/>
      <x:c r="J103" s="43" t="str"/>
    </x:row>
    <x:row r="104" ht="26.399999618530273" hidden="0" customHeight="1">
      <x:c r="A104" s="9" t="n">
        <x:v>13</x:v>
      </x:c>
      <x:c r="B104" s="9" t="str">
        <x:v>S017</x:v>
      </x:c>
      <x:c r="C104" s="9" t="str">
        <x:v>Zhang and Ma (2025)</x:v>
      </x:c>
      <x:c r="D104" s="9" t="str">
        <x:v>L7</x:v>
      </x:c>
      <x:c r="E104" s="9" t="str">
        <x:v>0</x:v>
      </x:c>
      <x:c r="F104" s="9" t="str">
        <x:v>Complete L7 audit—not qualifying</x:v>
      </x:c>
      <x:c r="G104" s="9" t="str">
        <x:v>No qualifying interface-integrity test or repeated final monolithic wearable-assembly test with a retention/failure endpoint was located.</x:v>
      </x:c>
      <x:c r="H104" s="9" t="str">
        <x:v>PDF pp. 3-5 checked</x:v>
      </x:c>
      <x:c r="I104" s="43" t="str">
        <x:v>No qualifying interface/final-assembly endpoint located</x:v>
      </x:c>
      <x:c r="J104" s="43" t="str">
        <x:v>Neither a Route A interface endpoint nor a Route B repeated final-assembly retention/failure endpoint was located.</x:v>
      </x:c>
    </x:row>
    <x:row r="105" ht="26.399999618530273" hidden="0" customHeight="1">
      <x:c r="A105" s="9" t="n">
        <x:v>13</x:v>
      </x:c>
      <x:c r="B105" s="9" t="str">
        <x:v>S017</x:v>
      </x:c>
      <x:c r="C105" s="9" t="str">
        <x:v>Zhang and Ma (2025)</x:v>
      </x:c>
      <x:c r="D105" s="9" t="str">
        <x:v>L8</x:v>
      </x:c>
      <x:c r="E105" s="9" t="str">
        <x:v>0</x:v>
      </x:c>
      <x:c r="F105" s="9" t="str">
        <x:v>Initial agreement</x:v>
      </x:c>
      <x:c r="G105" s="9" t="str">
        <x:v>No independently fabricated device comparison or between-device variation.</x:v>
      </x:c>
      <x:c r="H105" s="9" t="str">
        <x:v>PDF pp. 1-6 checked</x:v>
      </x:c>
      <x:c r="I105" s="43" t="str">
        <x:v>No qualifying between-device evidence located</x:v>
      </x:c>
      <x:c r="J105" s="43" t="str">
        <x:v>No quantitative same-condition comparison of at least three independently fabricated complete devices was located.</x:v>
      </x:c>
    </x:row>
    <x:row r="106" ht="26.399999618530273" hidden="0" customHeight="1">
      <x:c r="A106" s="9" t="n">
        <x:v>14</x:v>
      </x:c>
      <x:c r="B106" s="9" t="str">
        <x:v>S018</x:v>
      </x:c>
      <x:c r="C106" s="9" t="str">
        <x:v>Vu et al. (2025)</x:v>
      </x:c>
      <x:c r="D106" s="9" t="str">
        <x:v>L1</x:v>
      </x:c>
      <x:c r="E106" s="9" t="str">
        <x:v>0</x:v>
      </x:c>
      <x:c r="F106" s="9" t="str">
        <x:v>Unclear resolved</x:v>
      </x:c>
      <x:c r="G106" s="9" t="str">
        <x:v>Printer/material and some sealing settings reported, but core layer/nozzle/temperature settings are only in cited supplementary data.</x:v>
      </x:c>
      <x:c r="H106" s="9" t="str">
        <x:v>PDF pp. 3–11; Figs. 1–6; Table 1</x:v>
      </x:c>
      <x:c r="I106" s="43" t="str">
        <x:v>Applicable fabrication information incomplete</x:v>
      </x:c>
      <x:c r="J106" s="43" t="str">
        <x:v>One or more architecture-relevant fabrication fields needed to reconstruct the tested printed component were not located.</x:v>
      </x:c>
    </x:row>
    <x:row r="107" ht="15" hidden="0" customHeight="1">
      <x:c r="A107" s="9" t="n">
        <x:v>14</x:v>
      </x:c>
      <x:c r="B107" s="9" t="str">
        <x:v>S018</x:v>
      </x:c>
      <x:c r="C107" s="9" t="str">
        <x:v>Vu et al. (2025)</x:v>
      </x:c>
      <x:c r="D107" s="9" t="str">
        <x:v>L2</x:v>
      </x:c>
      <x:c r="E107" s="9" t="str">
        <x:v>1</x:v>
      </x:c>
      <x:c r="F107" s="9" t="str">
        <x:v>Initial agreement</x:v>
      </x:c>
      <x:c r="G107" s="9" t="str">
        <x:v>Printed chamber, conduit and transducer interface are described.</x:v>
      </x:c>
      <x:c r="H107" s="9" t="str">
        <x:v>PDF pp. 3–11; Figs. 1–6; Table 1</x:v>
      </x:c>
      <x:c r="I107" s="43" t="str"/>
      <x:c r="J107" s="43" t="str"/>
    </x:row>
    <x:row r="108" ht="15" hidden="0" customHeight="1">
      <x:c r="A108" s="9" t="n">
        <x:v>14</x:v>
      </x:c>
      <x:c r="B108" s="9" t="str">
        <x:v>S018</x:v>
      </x:c>
      <x:c r="C108" s="9" t="str">
        <x:v>Vu et al. (2025)</x:v>
      </x:c>
      <x:c r="D108" s="9" t="str">
        <x:v>L3</x:v>
      </x:c>
      <x:c r="E108" s="9" t="str">
        <x:v>1</x:v>
      </x:c>
      <x:c r="F108" s="9" t="str">
        <x:v>Initial agreement</x:v>
      </x:c>
      <x:c r="G108" s="9" t="str">
        <x:v>Force plates provide a synchronized reference during stated walking protocols.</x:v>
      </x:c>
      <x:c r="H108" s="9" t="str">
        <x:v>PDF pp. 3–11; Figs. 1–6; Table 1</x:v>
      </x:c>
      <x:c r="I108" s="43" t="str"/>
      <x:c r="J108" s="43" t="str"/>
    </x:row>
    <x:row r="109" ht="15" hidden="0" customHeight="1">
      <x:c r="A109" s="9" t="n">
        <x:v>14</x:v>
      </x:c>
      <x:c r="B109" s="9" t="str">
        <x:v>S018</x:v>
      </x:c>
      <x:c r="C109" s="9" t="str">
        <x:v>Vu et al. (2025)</x:v>
      </x:c>
      <x:c r="D109" s="9" t="str">
        <x:v>L4</x:v>
      </x:c>
      <x:c r="E109" s="9" t="str">
        <x:v>1</x:v>
      </x:c>
      <x:c r="F109" s="9" t="str">
        <x:v>Initial agreement</x:v>
      </x:c>
      <x:c r="G109" s="9" t="str">
        <x:v>GRF/COP errors and ranges are reported.</x:v>
      </x:c>
      <x:c r="H109" s="9" t="str">
        <x:v>PDF pp. 3–11; Figs. 1–6; Table 1</x:v>
      </x:c>
      <x:c r="I109" s="43" t="str"/>
      <x:c r="J109" s="43" t="str"/>
    </x:row>
    <x:row r="110" ht="26.399999618530273" hidden="0" customHeight="1">
      <x:c r="A110" s="9" t="n">
        <x:v>14</x:v>
      </x:c>
      <x:c r="B110" s="9" t="str">
        <x:v>S018</x:v>
      </x:c>
      <x:c r="C110" s="9" t="str">
        <x:v>Vu et al. (2025)</x:v>
      </x:c>
      <x:c r="D110" s="9" t="str">
        <x:v>L5</x:v>
      </x:c>
      <x:c r="E110" s="9" t="str">
        <x:v>0</x:v>
      </x:c>
      <x:c r="F110" s="9" t="str">
        <x:v>Adjudicated to Reviewer 1</x:v>
      </x:c>
      <x:c r="G110" s="9" t="str">
        <x:v>Repeated steps support model evaluation but do not report same-device response retention/stability.</x:v>
      </x:c>
      <x:c r="H110" s="9" t="str">
        <x:v>PDF pp. 3–11; Figs. 1–6; Table 1</x:v>
      </x:c>
      <x:c r="I110" s="43" t="str">
        <x:v>Non-qualifying repeated unit or endpoint</x:v>
      </x:c>
      <x:c r="J110" s="43" t="str">
        <x:v>Repetition involved users, tasks, sessions or observations rather than a same-device stability sequence with a qualifying endpoint.</x:v>
      </x:c>
    </x:row>
    <x:row r="111" ht="26.399999618530273" hidden="0" customHeight="1">
      <x:c r="A111" s="9" t="n">
        <x:v>14</x:v>
      </x:c>
      <x:c r="B111" s="9" t="str">
        <x:v>S018</x:v>
      </x:c>
      <x:c r="C111" s="9" t="str">
        <x:v>Vu et al. (2025)</x:v>
      </x:c>
      <x:c r="D111" s="9" t="str">
        <x:v>L6</x:v>
      </x:c>
      <x:c r="E111" s="9" t="str">
        <x:v>0</x:v>
      </x:c>
      <x:c r="F111" s="9" t="str">
        <x:v>Initial agreement</x:v>
      </x:c>
      <x:c r="G111" s="9" t="str">
        <x:v>Walking speed is part of the intended measurement protocol; no separate qualifying exposure response.</x:v>
      </x:c>
      <x:c r="H111" s="9" t="str">
        <x:v>PDF pp. 3–11; Figs. 1–6; Table 1</x:v>
      </x:c>
      <x:c r="I111" s="43" t="str">
        <x:v>No qualifying extrinsic-exposure evidence located</x:v>
      </x:c>
      <x:c r="J111" s="43" t="str">
        <x:v>No response was located during or after a deliberately applied condition extrinsic to the intended measurand.</x:v>
      </x:c>
    </x:row>
    <x:row r="112" ht="24" hidden="0" customHeight="1">
      <x:c r="A112" s="9" t="n">
        <x:v>14</x:v>
      </x:c>
      <x:c r="B112" s="9" t="str">
        <x:v>S018</x:v>
      </x:c>
      <x:c r="C112" s="9" t="str">
        <x:v>Vu et al. (2025)</x:v>
      </x:c>
      <x:c r="D112" s="9" t="str">
        <x:v>L7</x:v>
      </x:c>
      <x:c r="E112" s="9" t="str">
        <x:v>1</x:v>
      </x:c>
      <x:c r="F112" s="9" t="str">
        <x:v>Complete L7 audit—Route B</x:v>
      </x:c>
      <x:c r="G112" s="9" t="str">
        <x:v>Route B—integrated assembly: the final insole completed repeated loaded steps and the pneumatic chambers remained airtight and intact throughout the reported loading sequence.</x:v>
      </x:c>
      <x:c r="H112" s="9" t="str">
        <x:v>PDF pp. 3–11; Figs. 1–6; Table 1</x:v>
      </x:c>
      <x:c r="I112" s="43" t="str"/>
      <x:c r="J112" s="43" t="str"/>
    </x:row>
    <x:row r="113" ht="26.399999618530273" hidden="0" customHeight="1">
      <x:c r="A113" s="9" t="n">
        <x:v>14</x:v>
      </x:c>
      <x:c r="B113" s="9" t="str">
        <x:v>S018</x:v>
      </x:c>
      <x:c r="C113" s="9" t="str">
        <x:v>Vu et al. (2025)</x:v>
      </x:c>
      <x:c r="D113" s="9" t="str">
        <x:v>L8</x:v>
      </x:c>
      <x:c r="E113" s="9" t="str">
        <x:v>0</x:v>
      </x:c>
      <x:c r="F113" s="9" t="str">
        <x:v>Initial agreement</x:v>
      </x:c>
      <x:c r="G113" s="9" t="str">
        <x:v>One insole; two chambers are channels.</x:v>
      </x:c>
      <x:c r="H113" s="9" t="str">
        <x:v>PDF pp. 3–11; Figs. 1–6; Table 1</x:v>
      </x:c>
      <x:c r="I113" s="43" t="str">
        <x:v>Insufficient experimental replication</x:v>
      </x:c>
      <x:c r="J113" s="43" t="str">
        <x:v>The reported complete-device count was below the three-device minimum.</x:v>
      </x:c>
    </x:row>
    <x:row r="114" ht="15" hidden="0" customHeight="1">
      <x:c r="A114" s="9" t="n">
        <x:v>15</x:v>
      </x:c>
      <x:c r="B114" s="9" t="str">
        <x:v>S019</x:v>
      </x:c>
      <x:c r="C114" s="9" t="str">
        <x:v>Vu et al. (2021)</x:v>
      </x:c>
      <x:c r="D114" s="9" t="str">
        <x:v>L1</x:v>
      </x:c>
      <x:c r="E114" s="9" t="str">
        <x:v>1</x:v>
      </x:c>
      <x:c r="F114" s="9" t="str">
        <x:v>Adjudicated to Reviewer 1</x:v>
      </x:c>
      <x:c r="G114" s="9" t="str">
        <x:v>Printer, filament, nozzle, temperature, speed, layer height, geometry and orientation are reported.</x:v>
      </x:c>
      <x:c r="H114" s="9" t="str">
        <x:v>PDF pp. 2–8; Figs. 1–7</x:v>
      </x:c>
      <x:c r="I114" s="43" t="str"/>
      <x:c r="J114" s="43" t="str"/>
    </x:row>
    <x:row r="115" ht="15" hidden="0" customHeight="1">
      <x:c r="A115" s="9" t="n">
        <x:v>15</x:v>
      </x:c>
      <x:c r="B115" s="9" t="str">
        <x:v>S019</x:v>
      </x:c>
      <x:c r="C115" s="9" t="str">
        <x:v>Vu et al. (2021)</x:v>
      </x:c>
      <x:c r="D115" s="9" t="str">
        <x:v>L2</x:v>
      </x:c>
      <x:c r="E115" s="9" t="str">
        <x:v>1</x:v>
      </x:c>
      <x:c r="F115" s="9" t="str">
        <x:v>Initial agreement</x:v>
      </x:c>
      <x:c r="G115" s="9" t="str">
        <x:v>Commercial CNT/TPU sensing filament and wearable electronics are identified.</x:v>
      </x:c>
      <x:c r="H115" s="9" t="str">
        <x:v>PDF pp. 2–8; Figs. 1–7</x:v>
      </x:c>
      <x:c r="I115" s="43" t="str"/>
      <x:c r="J115" s="43" t="str"/>
    </x:row>
    <x:row r="116" ht="15" hidden="0" customHeight="1">
      <x:c r="A116" s="9" t="n">
        <x:v>15</x:v>
      </x:c>
      <x:c r="B116" s="9" t="str">
        <x:v>S019</x:v>
      </x:c>
      <x:c r="C116" s="9" t="str">
        <x:v>Vu et al. (2021)</x:v>
      </x:c>
      <x:c r="D116" s="9" t="str">
        <x:v>L3</x:v>
      </x:c>
      <x:c r="E116" s="9" t="str">
        <x:v>1</x:v>
      </x:c>
      <x:c r="F116" s="9" t="str">
        <x:v>Initial agreement</x:v>
      </x:c>
      <x:c r="G116" s="9" t="str">
        <x:v>UTM/load cell with source meter and strain protocol are specified.</x:v>
      </x:c>
      <x:c r="H116" s="9" t="str">
        <x:v>PDF pp. 2–8; Figs. 1–7</x:v>
      </x:c>
      <x:c r="I116" s="43" t="str"/>
      <x:c r="J116" s="43" t="str"/>
    </x:row>
    <x:row r="117" ht="15" hidden="0" customHeight="1">
      <x:c r="A117" s="9" t="n">
        <x:v>15</x:v>
      </x:c>
      <x:c r="B117" s="9" t="str">
        <x:v>S019</x:v>
      </x:c>
      <x:c r="C117" s="9" t="str">
        <x:v>Vu et al. (2021)</x:v>
      </x:c>
      <x:c r="D117" s="9" t="str">
        <x:v>L4</x:v>
      </x:c>
      <x:c r="E117" s="9" t="str">
        <x:v>1</x:v>
      </x:c>
      <x:c r="F117" s="9" t="str">
        <x:v>Initial agreement</x:v>
      </x:c>
      <x:c r="G117" s="9" t="str">
        <x:v>GF, hysteresis, time response and ranges are reported.</x:v>
      </x:c>
      <x:c r="H117" s="9" t="str">
        <x:v>PDF pp. 2–8; Figs. 1–7</x:v>
      </x:c>
      <x:c r="I117" s="43" t="str"/>
      <x:c r="J117" s="43" t="str"/>
    </x:row>
    <x:row r="118" ht="15" hidden="0" customHeight="1">
      <x:c r="A118" s="9" t="n">
        <x:v>15</x:v>
      </x:c>
      <x:c r="B118" s="9" t="str">
        <x:v>S019</x:v>
      </x:c>
      <x:c r="C118" s="9" t="str">
        <x:v>Vu et al. (2021)</x:v>
      </x:c>
      <x:c r="D118" s="9" t="str">
        <x:v>L5</x:v>
      </x:c>
      <x:c r="E118" s="9" t="str">
        <x:v>1</x:v>
      </x:c>
      <x:c r="F118" s="9" t="str">
        <x:v>Initial agreement</x:v>
      </x:c>
      <x:c r="G118" s="9" t="str">
        <x:v>10,000 strain/release cycles with quantified end difference.</x:v>
      </x:c>
      <x:c r="H118" s="9" t="str">
        <x:v>PDF pp. 2–8; Figs. 1–7</x:v>
      </x:c>
      <x:c r="I118" s="43" t="str"/>
      <x:c r="J118" s="43" t="str"/>
    </x:row>
    <x:row r="119" ht="15" hidden="0" customHeight="1">
      <x:c r="A119" s="9" t="n">
        <x:v>15</x:v>
      </x:c>
      <x:c r="B119" s="9" t="str">
        <x:v>S019</x:v>
      </x:c>
      <x:c r="C119" s="9" t="str">
        <x:v>Vu et al. (2021)</x:v>
      </x:c>
      <x:c r="D119" s="9" t="str">
        <x:v>L6</x:v>
      </x:c>
      <x:c r="E119" s="9" t="str">
        <x:v>1</x:v>
      </x:c>
      <x:c r="F119" s="9" t="str">
        <x:v>L6 subtype audit</x:v>
      </x:c>
      <x:c r="G119" s="9" t="str">
        <x:v>In-exposure cross-sensitivity only: Response was measured from 20–30 °C.</x:v>
      </x:c>
      <x:c r="H119" s="9" t="str">
        <x:v>PDF pp. 2–8; Figs. 1–7</x:v>
      </x:c>
      <x:c r="I119" s="43" t="str"/>
      <x:c r="J119" s="43" t="str"/>
    </x:row>
    <x:row r="120" ht="26.399999618530273" hidden="0" customHeight="1">
      <x:c r="A120" s="9" t="n">
        <x:v>15</x:v>
      </x:c>
      <x:c r="B120" s="9" t="str">
        <x:v>S019</x:v>
      </x:c>
      <x:c r="C120" s="9" t="str">
        <x:v>Vu et al. (2021)</x:v>
      </x:c>
      <x:c r="D120" s="9" t="str">
        <x:v>L7</x:v>
      </x:c>
      <x:c r="E120" s="9" t="str">
        <x:v>0</x:v>
      </x:c>
      <x:c r="F120" s="9" t="str">
        <x:v>Complete L7 audit—not qualifying</x:v>
      </x:c>
      <x:c r="G120" s="9" t="str">
        <x:v>No qualifying interface-integrity test or repeated final monolithic wearable-assembly test with a retention/failure endpoint was located.</x:v>
      </x:c>
      <x:c r="H120" s="9" t="str">
        <x:v>PDF pp. 2–8; Figs. 1–7</x:v>
      </x:c>
      <x:c r="I120" s="43" t="str">
        <x:v>No qualifying interface/final-assembly endpoint located</x:v>
      </x:c>
      <x:c r="J120" s="43" t="str">
        <x:v>Neither a Route A interface endpoint nor a Route B repeated final-assembly retention/failure endpoint was located.</x:v>
      </x:c>
    </x:row>
    <x:row r="121" ht="15" hidden="0" customHeight="1">
      <x:c r="A121" s="9" t="n">
        <x:v>15</x:v>
      </x:c>
      <x:c r="B121" s="9" t="str">
        <x:v>S019</x:v>
      </x:c>
      <x:c r="C121" s="9" t="str">
        <x:v>Vu et al. (2021)</x:v>
      </x:c>
      <x:c r="D121" s="9" t="str">
        <x:v>L8</x:v>
      </x:c>
      <x:c r="E121" s="9" t="str">
        <x:v>1</x:v>
      </x:c>
      <x:c r="F121" s="9" t="str">
        <x:v>Adjudicated to Reviewer 1</x:v>
      </x:c>
      <x:c r="G121" s="9" t="str">
        <x:v>Five separately printed sensors per orientation were averaged.</x:v>
      </x:c>
      <x:c r="H121" s="9" t="str">
        <x:v>PDF pp. 2–8; Figs. 1–7</x:v>
      </x:c>
      <x:c r="I121" s="43" t="str"/>
      <x:c r="J121" s="43" t="str"/>
    </x:row>
    <x:row r="122" ht="26.399999618530273" hidden="0" customHeight="1">
      <x:c r="A122" s="9" t="n">
        <x:v>16</x:v>
      </x:c>
      <x:c r="B122" s="9" t="str">
        <x:v>S020</x:v>
      </x:c>
      <x:c r="C122" s="9" t="str">
        <x:v>Langlois et al. (2021)</x:v>
      </x:c>
      <x:c r="D122" s="9" t="str">
        <x:v>L1</x:v>
      </x:c>
      <x:c r="E122" s="9" t="str">
        <x:v>0</x:v>
      </x:c>
      <x:c r="F122" s="9" t="str">
        <x:v>Initial agreement</x:v>
      </x:c>
      <x:c r="G122" s="9" t="str">
        <x:v>Printer and materials are named, but nozzle, temperature, speed, layer height, toolpath and infill are absent.</x:v>
      </x:c>
      <x:c r="H122" s="9" t="str">
        <x:v>PDF pp. 5–14; Figs. 5–12</x:v>
      </x:c>
      <x:c r="I122" s="43" t="str">
        <x:v>Applicable fabrication information incomplete</x:v>
      </x:c>
      <x:c r="J122" s="43" t="str">
        <x:v>One or more architecture-relevant fabrication fields needed to reconstruct the tested printed component were not located.</x:v>
      </x:c>
    </x:row>
    <x:row r="123" ht="15" hidden="0" customHeight="1">
      <x:c r="A123" s="9" t="n">
        <x:v>16</x:v>
      </x:c>
      <x:c r="B123" s="9" t="str">
        <x:v>S020</x:v>
      </x:c>
      <x:c r="C123" s="9" t="str">
        <x:v>Langlois et al. (2021)</x:v>
      </x:c>
      <x:c r="D123" s="9" t="str">
        <x:v>L2</x:v>
      </x:c>
      <x:c r="E123" s="9" t="str">
        <x:v>1</x:v>
      </x:c>
      <x:c r="F123" s="9" t="str">
        <x:v>Initial agreement</x:v>
      </x:c>
      <x:c r="G123" s="9" t="str">
        <x:v>Insulating/conductive TPU, assembly, shield and readout are described.</x:v>
      </x:c>
      <x:c r="H123" s="9" t="str">
        <x:v>PDF pp. 5–14; Figs. 5–12</x:v>
      </x:c>
      <x:c r="I123" s="43" t="str"/>
      <x:c r="J123" s="43" t="str"/>
    </x:row>
    <x:row r="124" ht="15" hidden="0" customHeight="1">
      <x:c r="A124" s="9" t="n">
        <x:v>16</x:v>
      </x:c>
      <x:c r="B124" s="9" t="str">
        <x:v>S020</x:v>
      </x:c>
      <x:c r="C124" s="9" t="str">
        <x:v>Langlois et al. (2021)</x:v>
      </x:c>
      <x:c r="D124" s="9" t="str">
        <x:v>L3</x:v>
      </x:c>
      <x:c r="E124" s="9" t="str">
        <x:v>1</x:v>
      </x:c>
      <x:c r="F124" s="9" t="str">
        <x:v>Initial agreement</x:v>
      </x:c>
      <x:c r="G124" s="9" t="str">
        <x:v>Force-controlled bench and robot end-effector references are specified.</x:v>
      </x:c>
      <x:c r="H124" s="9" t="str">
        <x:v>PDF pp. 5–14; Figs. 5–12</x:v>
      </x:c>
      <x:c r="I124" s="43" t="str"/>
      <x:c r="J124" s="43" t="str"/>
    </x:row>
    <x:row r="125" ht="15" hidden="0" customHeight="1">
      <x:c r="A125" s="9" t="n">
        <x:v>16</x:v>
      </x:c>
      <x:c r="B125" s="9" t="str">
        <x:v>S020</x:v>
      </x:c>
      <x:c r="C125" s="9" t="str">
        <x:v>Langlois et al. (2021)</x:v>
      </x:c>
      <x:c r="D125" s="9" t="str">
        <x:v>L4</x:v>
      </x:c>
      <x:c r="E125" s="9" t="str">
        <x:v>1</x:v>
      </x:c>
      <x:c r="F125" s="9" t="str">
        <x:v>Initial agreement</x:v>
      </x:c>
      <x:c r="G125" s="9" t="str">
        <x:v>Capacitance/force, hysteresis, response time and prediction metrics are reported.</x:v>
      </x:c>
      <x:c r="H125" s="9" t="str">
        <x:v>PDF pp. 5–14; Figs. 5–12</x:v>
      </x:c>
      <x:c r="I125" s="43" t="str"/>
      <x:c r="J125" s="43" t="str"/>
    </x:row>
    <x:row r="126" ht="15" hidden="0" customHeight="1">
      <x:c r="A126" s="9" t="n">
        <x:v>16</x:v>
      </x:c>
      <x:c r="B126" s="9" t="str">
        <x:v>S020</x:v>
      </x:c>
      <x:c r="C126" s="9" t="str">
        <x:v>Langlois et al. (2021)</x:v>
      </x:c>
      <x:c r="D126" s="9" t="str">
        <x:v>L5</x:v>
      </x:c>
      <x:c r="E126" s="9" t="str">
        <x:v>1</x:v>
      </x:c>
      <x:c r="F126" s="9" t="str">
        <x:v>Initial agreement</x:v>
      </x:c>
      <x:c r="G126" s="9" t="str">
        <x:v>10–200 cycle tests and four repeated constant-load trials report drift/repeatability.</x:v>
      </x:c>
      <x:c r="H126" s="9" t="str">
        <x:v>PDF pp. 5–14; Figs. 5–12</x:v>
      </x:c>
      <x:c r="I126" s="43" t="str"/>
      <x:c r="J126" s="43" t="str"/>
    </x:row>
    <x:row r="127" ht="26.399999618530273" hidden="0" customHeight="1">
      <x:c r="A127" s="9" t="n">
        <x:v>16</x:v>
      </x:c>
      <x:c r="B127" s="9" t="str">
        <x:v>S020</x:v>
      </x:c>
      <x:c r="C127" s="9" t="str">
        <x:v>Langlois et al. (2021)</x:v>
      </x:c>
      <x:c r="D127" s="9" t="str">
        <x:v>L6</x:v>
      </x:c>
      <x:c r="E127" s="9" t="str">
        <x:v>0</x:v>
      </x:c>
      <x:c r="F127" s="9" t="str">
        <x:v>Initial agreement</x:v>
      </x:c>
      <x:c r="G127" s="9" t="str">
        <x:v>No declared environmental/use exposure distinct from load and integration variables.</x:v>
      </x:c>
      <x:c r="H127" s="9" t="str">
        <x:v>PDF pp. 5–14; Figs. 5–12</x:v>
      </x:c>
      <x:c r="I127" s="43" t="str">
        <x:v>No qualifying extrinsic-exposure evidence located</x:v>
      </x:c>
      <x:c r="J127" s="43" t="str">
        <x:v>No response was located during or after a deliberately applied condition extrinsic to the intended measurand.</x:v>
      </x:c>
    </x:row>
    <x:row r="128" ht="26.399999618530273" hidden="0" customHeight="1">
      <x:c r="A128" s="9" t="n">
        <x:v>16</x:v>
      </x:c>
      <x:c r="B128" s="9" t="str">
        <x:v>S020</x:v>
      </x:c>
      <x:c r="C128" s="9" t="str">
        <x:v>Langlois et al. (2021)</x:v>
      </x:c>
      <x:c r="D128" s="9" t="str">
        <x:v>L7</x:v>
      </x:c>
      <x:c r="E128" s="9" t="str">
        <x:v>0</x:v>
      </x:c>
      <x:c r="F128" s="9" t="str">
        <x:v>Complete L7 audit—not qualifying</x:v>
      </x:c>
      <x:c r="G128" s="9" t="str">
        <x:v>The authors state sensors were characterized on a test bench. Drift in Fig. 7a is discussed as a greater concern for longer tasks or breaks, while the human trial illustrates in-situ calibration.</x:v>
      </x:c>
      <x:c r="H128" s="9" t="str">
        <x:v>S020_Main.pdf, physical pp. 13-14, human-in-the-loop results and Discussion; Fig. 7a bench characterization.</x:v>
      </x:c>
      <x:c r="I128" s="43" t="str">
        <x:v>No qualifying interface/final-assembly endpoint located</x:v>
      </x:c>
      <x:c r="J128" s="43" t="str">
        <x:v>Neither a Route A interface endpoint nor a Route B repeated final-assembly retention/failure endpoint was located.</x:v>
      </x:c>
    </x:row>
    <x:row r="129" ht="15" hidden="0" customHeight="1">
      <x:c r="A129" s="9" t="n">
        <x:v>16</x:v>
      </x:c>
      <x:c r="B129" s="9" t="str">
        <x:v>S020</x:v>
      </x:c>
      <x:c r="C129" s="9" t="str">
        <x:v>Langlois et al. (2021)</x:v>
      </x:c>
      <x:c r="D129" s="9" t="str">
        <x:v>L8</x:v>
      </x:c>
      <x:c r="E129" s="9" t="str">
        <x:v>1</x:v>
      </x:c>
      <x:c r="F129" s="9" t="str">
        <x:v>Adjudicated to Reviewer 1</x:v>
      </x:c>
      <x:c r="G129" s="9" t="str">
        <x:v>Four identically printed sensors were compared under the same load.</x:v>
      </x:c>
      <x:c r="H129" s="9" t="str">
        <x:v>PDF pp. 5–14; Figs. 5–12</x:v>
      </x:c>
      <x:c r="I129" s="43" t="str"/>
      <x:c r="J129" s="43" t="str"/>
    </x:row>
    <x:row r="130" ht="26.399999618530273" hidden="0" customHeight="1">
      <x:c r="A130" s="9" t="n">
        <x:v>17</x:v>
      </x:c>
      <x:c r="B130" s="9" t="str">
        <x:v>S021</x:v>
      </x:c>
      <x:c r="C130" s="9" t="str">
        <x:v>Li et al. (2026)</x:v>
      </x:c>
      <x:c r="D130" s="9" t="str">
        <x:v>L1</x:v>
      </x:c>
      <x:c r="E130" s="9" t="str">
        <x:v>0</x:v>
      </x:c>
      <x:c r="F130" s="9" t="str">
        <x:v>Initial agreement</x:v>
      </x:c>
      <x:c r="G130" s="9" t="str">
        <x:v>TPU/FDM and structure are reported, but printer and core settings are absent.</x:v>
      </x:c>
      <x:c r="H130" s="9" t="str">
        <x:v>PDF pp. 3–12; Figs. 1–8; Table 1</x:v>
      </x:c>
      <x:c r="I130" s="43" t="str">
        <x:v>Applicable fabrication information incomplete</x:v>
      </x:c>
      <x:c r="J130" s="43" t="str">
        <x:v>One or more architecture-relevant fabrication fields needed to reconstruct the tested printed component were not located.</x:v>
      </x:c>
    </x:row>
    <x:row r="131" ht="15" hidden="0" customHeight="1">
      <x:c r="A131" s="9" t="n">
        <x:v>17</x:v>
      </x:c>
      <x:c r="B131" s="9" t="str">
        <x:v>S021</x:v>
      </x:c>
      <x:c r="C131" s="9" t="str">
        <x:v>Li et al. (2026)</x:v>
      </x:c>
      <x:c r="D131" s="9" t="str">
        <x:v>L2</x:v>
      </x:c>
      <x:c r="E131" s="9" t="str">
        <x:v>1</x:v>
      </x:c>
      <x:c r="F131" s="9" t="str">
        <x:v>Initial agreement</x:v>
      </x:c>
      <x:c r="G131" s="9" t="str">
        <x:v>TPU skeleton, optical fibres, PDMS and sensing roles are described.</x:v>
      </x:c>
      <x:c r="H131" s="9" t="str">
        <x:v>PDF pp. 3–12; Figs. 1–8; Table 1</x:v>
      </x:c>
      <x:c r="I131" s="43" t="str"/>
      <x:c r="J131" s="43" t="str"/>
    </x:row>
    <x:row r="132" ht="15" hidden="0" customHeight="1">
      <x:c r="A132" s="9" t="n">
        <x:v>17</x:v>
      </x:c>
      <x:c r="B132" s="9" t="str">
        <x:v>S021</x:v>
      </x:c>
      <x:c r="C132" s="9" t="str">
        <x:v>Li et al. (2026)</x:v>
      </x:c>
      <x:c r="D132" s="9" t="str">
        <x:v>L3</x:v>
      </x:c>
      <x:c r="E132" s="9" t="str">
        <x:v>1</x:v>
      </x:c>
      <x:c r="F132" s="9" t="str">
        <x:v>Initial agreement</x:v>
      </x:c>
      <x:c r="G132" s="9" t="str">
        <x:v>IMUs provide reference joint angles and separate-session validation is described.</x:v>
      </x:c>
      <x:c r="H132" s="9" t="str">
        <x:v>PDF pp. 3–12; Figs. 1–8; Table 1</x:v>
      </x:c>
      <x:c r="I132" s="43" t="str"/>
      <x:c r="J132" s="43" t="str"/>
    </x:row>
    <x:row r="133" ht="15" hidden="0" customHeight="1">
      <x:c r="A133" s="9" t="n">
        <x:v>17</x:v>
      </x:c>
      <x:c r="B133" s="9" t="str">
        <x:v>S021</x:v>
      </x:c>
      <x:c r="C133" s="9" t="str">
        <x:v>Li et al. (2026)</x:v>
      </x:c>
      <x:c r="D133" s="9" t="str">
        <x:v>L4</x:v>
      </x:c>
      <x:c r="E133" s="9" t="str">
        <x:v>1</x:v>
      </x:c>
      <x:c r="F133" s="9" t="str">
        <x:v>Initial agreement</x:v>
      </x:c>
      <x:c r="G133" s="9" t="str">
        <x:v>MAE and classification outcomes are reported.</x:v>
      </x:c>
      <x:c r="H133" s="9" t="str">
        <x:v>PDF pp. 3–12; Figs. 1–8; Table 1</x:v>
      </x:c>
      <x:c r="I133" s="43" t="str"/>
      <x:c r="J133" s="43" t="str"/>
    </x:row>
    <x:row r="134" ht="26.399999618530273" hidden="0" customHeight="1">
      <x:c r="A134" s="9" t="n">
        <x:v>17</x:v>
      </x:c>
      <x:c r="B134" s="9" t="str">
        <x:v>S021</x:v>
      </x:c>
      <x:c r="C134" s="9" t="str">
        <x:v>Li et al. (2026)</x:v>
      </x:c>
      <x:c r="D134" s="9" t="str">
        <x:v>L5</x:v>
      </x:c>
      <x:c r="E134" s="9" t="str">
        <x:v>0</x:v>
      </x:c>
      <x:c r="F134" s="9" t="str">
        <x:v>Initial agreement</x:v>
      </x:c>
      <x:c r="G134" s="9" t="str">
        <x:v>Large sample counts and two sessions do not state at least three complete repeated cycles with a stability endpoint.</x:v>
      </x:c>
      <x:c r="H134" s="9" t="str">
        <x:v>PDF pp. 3–12; Figs. 1–8; Table 1</x:v>
      </x:c>
      <x:c r="I134" s="43" t="str">
        <x:v>Non-qualifying repeated unit or endpoint</x:v>
      </x:c>
      <x:c r="J134" s="43" t="str">
        <x:v>Repetition involved users, tasks, sessions or observations rather than a same-device stability sequence with a qualifying endpoint.</x:v>
      </x:c>
    </x:row>
    <x:row r="135" ht="26.399999618530273" hidden="0" customHeight="1">
      <x:c r="A135" s="9" t="n">
        <x:v>17</x:v>
      </x:c>
      <x:c r="B135" s="9" t="str">
        <x:v>S021</x:v>
      </x:c>
      <x:c r="C135" s="9" t="str">
        <x:v>Li et al. (2026)</x:v>
      </x:c>
      <x:c r="D135" s="9" t="str">
        <x:v>L6</x:v>
      </x:c>
      <x:c r="E135" s="9" t="str">
        <x:v>0</x:v>
      </x:c>
      <x:c r="F135" s="9" t="str">
        <x:v>Initial agreement</x:v>
      </x:c>
      <x:c r="G135" s="9" t="str">
        <x:v>Temperature was not varied; stable indoor conditions were assumed.</x:v>
      </x:c>
      <x:c r="H135" s="9" t="str">
        <x:v>PDF pp. 3–12; Figs. 1–8; Table 1</x:v>
      </x:c>
      <x:c r="I135" s="43" t="str">
        <x:v>No qualifying extrinsic-exposure evidence located</x:v>
      </x:c>
      <x:c r="J135" s="43" t="str">
        <x:v>No response was located during or after a deliberately applied condition extrinsic to the intended measurand.</x:v>
      </x:c>
    </x:row>
    <x:row r="136" ht="24" hidden="0" customHeight="1">
      <x:c r="A136" s="9" t="n">
        <x:v>17</x:v>
      </x:c>
      <x:c r="B136" s="9" t="str">
        <x:v>S021</x:v>
      </x:c>
      <x:c r="C136" s="9" t="str">
        <x:v>Li et al. (2026)</x:v>
      </x:c>
      <x:c r="D136" s="9" t="str">
        <x:v>L7</x:v>
      </x:c>
      <x:c r="E136" s="9" t="str">
        <x:v>1</x:v>
      </x:c>
      <x:c r="F136" s="9" t="str">
        <x:v>Complete L7 audit—Route B</x:v>
      </x:c>
      <x:c r="G136" s="9" t="str">
        <x:v>Route B—integrated assembly: the data glove was removed and re-worn for a separate-session validation, with retained classification performance reported after reapplication.</x:v>
      </x:c>
      <x:c r="H136" s="9" t="str">
        <x:v>PDF pp. 3–12; Figs. 1–8; Table 1</x:v>
      </x:c>
      <x:c r="I136" s="43" t="str"/>
      <x:c r="J136" s="43" t="str"/>
    </x:row>
    <x:row r="137" ht="26.399999618530273" hidden="0" customHeight="1">
      <x:c r="A137" s="9" t="n">
        <x:v>17</x:v>
      </x:c>
      <x:c r="B137" s="9" t="str">
        <x:v>S021</x:v>
      </x:c>
      <x:c r="C137" s="9" t="str">
        <x:v>Li et al. (2026)</x:v>
      </x:c>
      <x:c r="D137" s="9" t="str">
        <x:v>L8</x:v>
      </x:c>
      <x:c r="E137" s="9" t="str">
        <x:v>0</x:v>
      </x:c>
      <x:c r="F137" s="9" t="str">
        <x:v>Initial agreement</x:v>
      </x:c>
      <x:c r="G137" s="9" t="str">
        <x:v>One glove; nodes and sessions are not separate fabricated devices.</x:v>
      </x:c>
      <x:c r="H137" s="9" t="str">
        <x:v>PDF pp. 3–12; Figs. 1–8; Table 1</x:v>
      </x:c>
      <x:c r="I137" s="43" t="str">
        <x:v>Insufficient experimental replication</x:v>
      </x:c>
      <x:c r="J137" s="43" t="str">
        <x:v>The reported complete-device count was below the three-device minimum.</x:v>
      </x:c>
    </x:row>
    <x:row r="138" ht="26.399999618530273" hidden="0" customHeight="1">
      <x:c r="A138" s="9" t="n">
        <x:v>18</x:v>
      </x:c>
      <x:c r="B138" s="9" t="str">
        <x:v>S022</x:v>
      </x:c>
      <x:c r="C138" s="9" t="str">
        <x:v>Yan et al. (2025)</x:v>
      </x:c>
      <x:c r="D138" s="9" t="str">
        <x:v>L1</x:v>
      </x:c>
      <x:c r="E138" s="9" t="str">
        <x:v>0</x:v>
      </x:c>
      <x:c r="F138" s="9" t="str">
        <x:v>Adjudicated to Reviewer 1</x:v>
      </x:c>
      <x:c r="G138" s="9" t="str">
        <x:v>Printer and scaffold geometry are reported; core print settings are only in Supplementary Table S1.</x:v>
      </x:c>
      <x:c r="H138" s="9" t="str">
        <x:v>PDF pp. 1–9; Figs. 1–6; cited SI</x:v>
      </x:c>
      <x:c r="I138" s="43" t="str">
        <x:v>Applicable fabrication information incomplete</x:v>
      </x:c>
      <x:c r="J138" s="43" t="str">
        <x:v>One or more architecture-relevant fabrication fields needed to reconstruct the tested printed component were not located.</x:v>
      </x:c>
    </x:row>
    <x:row r="139" ht="15" hidden="0" customHeight="1">
      <x:c r="A139" s="9" t="n">
        <x:v>18</x:v>
      </x:c>
      <x:c r="B139" s="9" t="str">
        <x:v>S022</x:v>
      </x:c>
      <x:c r="C139" s="9" t="str">
        <x:v>Yan et al. (2025)</x:v>
      </x:c>
      <x:c r="D139" s="9" t="str">
        <x:v>L2</x:v>
      </x:c>
      <x:c r="E139" s="9" t="str">
        <x:v>1</x:v>
      </x:c>
      <x:c r="F139" s="9" t="str">
        <x:v>Initial agreement</x:v>
      </x:c>
      <x:c r="G139" s="9" t="str">
        <x:v>TPU, CB dispersion/impregnation and electrode/readout roles are described.</x:v>
      </x:c>
      <x:c r="H139" s="9" t="str">
        <x:v>PDF pp. 1–9; Figs. 1–6; cited SI</x:v>
      </x:c>
      <x:c r="I139" s="43" t="str"/>
      <x:c r="J139" s="43" t="str"/>
    </x:row>
    <x:row r="140" ht="15" hidden="0" customHeight="1">
      <x:c r="A140" s="9" t="n">
        <x:v>18</x:v>
      </x:c>
      <x:c r="B140" s="9" t="str">
        <x:v>S022</x:v>
      </x:c>
      <x:c r="C140" s="9" t="str">
        <x:v>Yan et al. (2025)</x:v>
      </x:c>
      <x:c r="D140" s="9" t="str">
        <x:v>L3</x:v>
      </x:c>
      <x:c r="E140" s="9" t="str">
        <x:v>1</x:v>
      </x:c>
      <x:c r="F140" s="9" t="str">
        <x:v>Initial agreement</x:v>
      </x:c>
      <x:c r="G140" s="9" t="str">
        <x:v>Controlled compression with tester and multimeter is described.</x:v>
      </x:c>
      <x:c r="H140" s="9" t="str">
        <x:v>PDF pp. 1–9; Figs. 1–6; cited SI</x:v>
      </x:c>
      <x:c r="I140" s="43" t="str"/>
      <x:c r="J140" s="43" t="str"/>
    </x:row>
    <x:row r="141" ht="15" hidden="0" customHeight="1">
      <x:c r="A141" s="9" t="n">
        <x:v>18</x:v>
      </x:c>
      <x:c r="B141" s="9" t="str">
        <x:v>S022</x:v>
      </x:c>
      <x:c r="C141" s="9" t="str">
        <x:v>Yan et al. (2025)</x:v>
      </x:c>
      <x:c r="D141" s="9" t="str">
        <x:v>L4</x:v>
      </x:c>
      <x:c r="E141" s="9" t="str">
        <x:v>1</x:v>
      </x:c>
      <x:c r="F141" s="9" t="str">
        <x:v>Initial agreement</x:v>
      </x:c>
      <x:c r="G141" s="9" t="str">
        <x:v>Stage-specific GF, range and response time are reported.</x:v>
      </x:c>
      <x:c r="H141" s="9" t="str">
        <x:v>PDF pp. 1–9; Figs. 1–6; cited SI</x:v>
      </x:c>
      <x:c r="I141" s="43" t="str"/>
      <x:c r="J141" s="43" t="str"/>
    </x:row>
    <x:row r="142" ht="15" hidden="0" customHeight="1">
      <x:c r="A142" s="9" t="n">
        <x:v>18</x:v>
      </x:c>
      <x:c r="B142" s="9" t="str">
        <x:v>S022</x:v>
      </x:c>
      <x:c r="C142" s="9" t="str">
        <x:v>Yan et al. (2025)</x:v>
      </x:c>
      <x:c r="D142" s="9" t="str">
        <x:v>L5</x:v>
      </x:c>
      <x:c r="E142" s="9" t="str">
        <x:v>1</x:v>
      </x:c>
      <x:c r="F142" s="9" t="str">
        <x:v>Initial agreement</x:v>
      </x:c>
      <x:c r="G142" s="9" t="str">
        <x:v>1000 compression-release cycles with &lt;5% deviation.</x:v>
      </x:c>
      <x:c r="H142" s="9" t="str">
        <x:v>PDF pp. 1–9; Figs. 1–6; cited SI</x:v>
      </x:c>
      <x:c r="I142" s="43" t="str"/>
      <x:c r="J142" s="43" t="str"/>
    </x:row>
    <x:row r="143" ht="24" hidden="0" customHeight="1">
      <x:c r="A143" s="9" t="n">
        <x:v>18</x:v>
      </x:c>
      <x:c r="B143" s="9" t="str">
        <x:v>S022</x:v>
      </x:c>
      <x:c r="C143" s="9" t="str">
        <x:v>Yan et al. (2025)</x:v>
      </x:c>
      <x:c r="D143" s="9" t="str">
        <x:v>L6</x:v>
      </x:c>
      <x:c r="E143" s="9" t="str">
        <x:v>1</x:v>
      </x:c>
      <x:c r="F143" s="9" t="str">
        <x:v>L6 subtype audit</x:v>
      </x:c>
      <x:c r="G143" s="9" t="str">
        <x:v>In-exposure cross-sensitivity only: Resistance response was measured from 23% to 85% RH; the reported normalized-resistance variation was on the order of 10^-3.</x:v>
      </x:c>
      <x:c r="H143" s="9" t="str">
        <x:v>Supplementary Fig. S9</x:v>
      </x:c>
      <x:c r="I143" s="43" t="str"/>
      <x:c r="J143" s="43" t="str"/>
    </x:row>
    <x:row r="144" ht="36" hidden="0" customHeight="1">
      <x:c r="A144" s="9" t="n">
        <x:v>18</x:v>
      </x:c>
      <x:c r="B144" s="9" t="str">
        <x:v>S022</x:v>
      </x:c>
      <x:c r="C144" s="9" t="str">
        <x:v>Yan et al. (2025)</x:v>
      </x:c>
      <x:c r="D144" s="9" t="str">
        <x:v>L7</x:v>
      </x:c>
      <x:c r="E144" s="9" t="str">
        <x:v>0</x:v>
      </x:c>
      <x:c r="F144" s="9" t="str">
        <x:v>Complete L7 audit—not qualifying</x:v>
      </x:c>
      <x:c r="G144" s="9" t="str">
        <x:v>Does not qualify after the complete L7 audit: the report shows qualitative waveform repetition or a wearable demonstration, but no Route A direct-interface endpoint and no Route B defined retention or failure endpoint for the final assembly.</x:v>
      </x:c>
      <x:c r="H144" s="9" t="str">
        <x:v>S022_Main.pdf, physical p. 6, full-body monitoring paragraph; p. 7, Fig. 6h-j. Supplied supplement contains separate bench characterization.</x:v>
      </x:c>
      <x:c r="I144" s="43" t="str">
        <x:v>No qualifying interface/final-assembly endpoint located</x:v>
      </x:c>
      <x:c r="J144" s="43" t="str">
        <x:v>Neither a Route A interface endpoint nor a Route B repeated final-assembly retention/failure endpoint was located.</x:v>
      </x:c>
    </x:row>
    <x:row r="145" ht="26.399999618530273" hidden="0" customHeight="1">
      <x:c r="A145" s="9" t="n">
        <x:v>18</x:v>
      </x:c>
      <x:c r="B145" s="9" t="str">
        <x:v>S022</x:v>
      </x:c>
      <x:c r="C145" s="9" t="str">
        <x:v>Yan et al. (2025)</x:v>
      </x:c>
      <x:c r="D145" s="9" t="str">
        <x:v>L8</x:v>
      </x:c>
      <x:c r="E145" s="9" t="str">
        <x:v>0</x:v>
      </x:c>
      <x:c r="F145" s="9" t="str">
        <x:v>Initial agreement</x:v>
      </x:c>
      <x:c r="G145" s="9" t="str">
        <x:v>n=5 applies to mechanical architecture tests; quantitative functional sensor replication is unclear.</x:v>
      </x:c>
      <x:c r="H145" s="9" t="str">
        <x:v>PDF pp. 1–9; Figs. 1–6; cited SI</x:v>
      </x:c>
      <x:c r="I145" s="43" t="str">
        <x:v>Replication count unreported or unclear</x:v>
      </x:c>
      <x:c r="J145" s="43" t="str">
        <x:v>The report did not establish the number of independently fabricated complete devices under the same condition.</x:v>
      </x:c>
    </x:row>
    <x:row r="146" ht="15" hidden="0" customHeight="1">
      <x:c r="A146" s="9" t="n">
        <x:v>19</x:v>
      </x:c>
      <x:c r="B146" s="9" t="str">
        <x:v>S023</x:v>
      </x:c>
      <x:c r="C146" s="9" t="str">
        <x:v>Salo et al. (2022)</x:v>
      </x:c>
      <x:c r="D146" s="9" t="str">
        <x:v>L1</x:v>
      </x:c>
      <x:c r="E146" s="9" t="str">
        <x:v>1</x:v>
      </x:c>
      <x:c r="F146" s="9" t="str">
        <x:v>Initial agreement</x:v>
      </x:c>
      <x:c r="G146" s="9" t="str">
        <x:v>Printer, nozzle, temperatures, speed, layer, infill, toolpath and geometry are reported.</x:v>
      </x:c>
      <x:c r="H146" s="9" t="str">
        <x:v>PDF pp. 3–16; Figs. 2–10; Tables 1–2</x:v>
      </x:c>
      <x:c r="I146" s="43" t="str"/>
      <x:c r="J146" s="43" t="str"/>
    </x:row>
    <x:row r="147" ht="15" hidden="0" customHeight="1">
      <x:c r="A147" s="9" t="n">
        <x:v>19</x:v>
      </x:c>
      <x:c r="B147" s="9" t="str">
        <x:v>S023</x:v>
      </x:c>
      <x:c r="C147" s="9" t="str">
        <x:v>Salo et al. (2022)</x:v>
      </x:c>
      <x:c r="D147" s="9" t="str">
        <x:v>L2</x:v>
      </x:c>
      <x:c r="E147" s="9" t="str">
        <x:v>1</x:v>
      </x:c>
      <x:c r="F147" s="9" t="str">
        <x:v>Initial agreement</x:v>
      </x:c>
      <x:c r="G147" s="9" t="str">
        <x:v>TPU and CFC composition/roles and integration are reported.</x:v>
      </x:c>
      <x:c r="H147" s="9" t="str">
        <x:v>PDF pp. 3–16; Figs. 2–10; Tables 1–2</x:v>
      </x:c>
      <x:c r="I147" s="43" t="str"/>
      <x:c r="J147" s="43" t="str"/>
    </x:row>
    <x:row r="148" ht="15" hidden="0" customHeight="1">
      <x:c r="A148" s="9" t="n">
        <x:v>19</x:v>
      </x:c>
      <x:c r="B148" s="9" t="str">
        <x:v>S023</x:v>
      </x:c>
      <x:c r="C148" s="9" t="str">
        <x:v>Salo et al. (2022)</x:v>
      </x:c>
      <x:c r="D148" s="9" t="str">
        <x:v>L3</x:v>
      </x:c>
      <x:c r="E148" s="9" t="str">
        <x:v>1</x:v>
      </x:c>
      <x:c r="F148" s="9" t="str">
        <x:v>Initial agreement</x:v>
      </x:c>
      <x:c r="G148" s="9" t="str">
        <x:v>Controlled tensile and electrical measurements with defined ranges/speeds.</x:v>
      </x:c>
      <x:c r="H148" s="9" t="str">
        <x:v>PDF pp. 3–16; Figs. 2–10; Tables 1–2</x:v>
      </x:c>
      <x:c r="I148" s="43" t="str"/>
      <x:c r="J148" s="43" t="str"/>
    </x:row>
    <x:row r="149" ht="15" hidden="0" customHeight="1">
      <x:c r="A149" s="9" t="n">
        <x:v>19</x:v>
      </x:c>
      <x:c r="B149" s="9" t="str">
        <x:v>S023</x:v>
      </x:c>
      <x:c r="C149" s="9" t="str">
        <x:v>Salo et al. (2022)</x:v>
      </x:c>
      <x:c r="D149" s="9" t="str">
        <x:v>L4</x:v>
      </x:c>
      <x:c r="E149" s="9" t="str">
        <x:v>1</x:v>
      </x:c>
      <x:c r="F149" s="9" t="str">
        <x:v>Initial agreement</x:v>
      </x:c>
      <x:c r="G149" s="9" t="str">
        <x:v>Resistance, sensitivity, hysteresis, drift and deformation ranges are reported.</x:v>
      </x:c>
      <x:c r="H149" s="9" t="str">
        <x:v>PDF pp. 3–16; Figs. 2–10; Tables 1–2</x:v>
      </x:c>
      <x:c r="I149" s="43" t="str"/>
      <x:c r="J149" s="43" t="str"/>
    </x:row>
    <x:row r="150" ht="15" hidden="0" customHeight="1">
      <x:c r="A150" s="9" t="n">
        <x:v>19</x:v>
      </x:c>
      <x:c r="B150" s="9" t="str">
        <x:v>S023</x:v>
      </x:c>
      <x:c r="C150" s="9" t="str">
        <x:v>Salo et al. (2022)</x:v>
      </x:c>
      <x:c r="D150" s="9" t="str">
        <x:v>L5</x:v>
      </x:c>
      <x:c r="E150" s="9" t="str">
        <x:v>1</x:v>
      </x:c>
      <x:c r="F150" s="9" t="str">
        <x:v>Initial agreement</x:v>
      </x:c>
      <x:c r="G150" s="9" t="str">
        <x:v>10,000 cycles with individual sample trajectories and failure boundary.</x:v>
      </x:c>
      <x:c r="H150" s="9" t="str">
        <x:v>PDF pp. 3–16; Figs. 2–10; Tables 1–2</x:v>
      </x:c>
      <x:c r="I150" s="43" t="str"/>
      <x:c r="J150" s="43" t="str"/>
    </x:row>
    <x:row r="151" ht="26.399999618530273" hidden="0" customHeight="1">
      <x:c r="A151" s="9" t="n">
        <x:v>19</x:v>
      </x:c>
      <x:c r="B151" s="9" t="str">
        <x:v>S023</x:v>
      </x:c>
      <x:c r="C151" s="9" t="str">
        <x:v>Salo et al. (2022)</x:v>
      </x:c>
      <x:c r="D151" s="9" t="str">
        <x:v>L6</x:v>
      </x:c>
      <x:c r="E151" s="9" t="str">
        <x:v>0</x:v>
      </x:c>
      <x:c r="F151" s="9" t="str">
        <x:v>Initial agreement</x:v>
      </x:c>
      <x:c r="G151" s="9" t="str">
        <x:v>No qualifying environmental exposure response.</x:v>
      </x:c>
      <x:c r="H151" s="9" t="str">
        <x:v>PDF pp. 3–16; Figs. 2–10; Tables 1–2</x:v>
      </x:c>
      <x:c r="I151" s="43" t="str">
        <x:v>No qualifying extrinsic-exposure evidence located</x:v>
      </x:c>
      <x:c r="J151" s="43" t="str">
        <x:v>No response was located during or after a deliberately applied condition extrinsic to the intended measurand.</x:v>
      </x:c>
    </x:row>
    <x:row r="152" ht="26.399999618530273" hidden="0" customHeight="1">
      <x:c r="A152" s="9" t="n">
        <x:v>19</x:v>
      </x:c>
      <x:c r="B152" s="9" t="str">
        <x:v>S023</x:v>
      </x:c>
      <x:c r="C152" s="9" t="str">
        <x:v>Salo et al. (2022)</x:v>
      </x:c>
      <x:c r="D152" s="9" t="str">
        <x:v>L7</x:v>
      </x:c>
      <x:c r="E152" s="9" t="str">
        <x:v>0</x:v>
      </x:c>
      <x:c r="F152" s="9" t="str">
        <x:v>Complete L7 audit—not qualifying</x:v>
      </x:c>
      <x:c r="G152" s="9" t="str">
        <x:v>No qualifying interface-integrity test or repeated final monolithic wearable-assembly test with a retention/failure endpoint was located.</x:v>
      </x:c>
      <x:c r="H152" s="9" t="str">
        <x:v>PDF pp. 3–16; Figs. 2–10; Tables 1–2</x:v>
      </x:c>
      <x:c r="I152" s="43" t="str">
        <x:v>No qualifying interface/final-assembly endpoint located</x:v>
      </x:c>
      <x:c r="J152" s="43" t="str">
        <x:v>Neither a Route A interface endpoint nor a Route B repeated final-assembly retention/failure endpoint was located.</x:v>
      </x:c>
    </x:row>
    <x:row r="153" ht="15" hidden="0" customHeight="1">
      <x:c r="A153" s="9" t="n">
        <x:v>19</x:v>
      </x:c>
      <x:c r="B153" s="9" t="str">
        <x:v>S023</x:v>
      </x:c>
      <x:c r="C153" s="9" t="str">
        <x:v>Salo et al. (2022)</x:v>
      </x:c>
      <x:c r="D153" s="9" t="str">
        <x:v>L8</x:v>
      </x:c>
      <x:c r="E153" s="9" t="str">
        <x:v>1</x:v>
      </x:c>
      <x:c r="F153" s="9" t="str">
        <x:v>Initial agreement</x:v>
      </x:c>
      <x:c r="G153" s="9" t="str">
        <x:v>Three separate samples per cyclic condition were measured individually.</x:v>
      </x:c>
      <x:c r="H153" s="9" t="str">
        <x:v>PDF pp. 3–16; Figs. 2–10; Tables 1–2</x:v>
      </x:c>
      <x:c r="I153" s="43" t="str"/>
      <x:c r="J153" s="43" t="str"/>
    </x:row>
    <x:row r="154" ht="26.399999618530273" hidden="0" customHeight="1">
      <x:c r="A154" s="9" t="n">
        <x:v>20</x:v>
      </x:c>
      <x:c r="B154" s="9" t="str">
        <x:v>S024</x:v>
      </x:c>
      <x:c r="C154" s="9" t="str">
        <x:v>Han et al. (2026)</x:v>
      </x:c>
      <x:c r="D154" s="9" t="str">
        <x:v>L1</x:v>
      </x:c>
      <x:c r="E154" s="9" t="str">
        <x:v>0</x:v>
      </x:c>
      <x:c r="F154" s="9" t="str">
        <x:v>Initial agreement</x:v>
      </x:c>
      <x:c r="G154" s="9" t="str">
        <x:v>Printer, material and some thermal/geometry details are reported, but nozzle, layer height, infill and exact speed are absent.</x:v>
      </x:c>
      <x:c r="H154" s="9" t="str">
        <x:v>PDF pp. 2–11; Figs. 1–6; cited SI</x:v>
      </x:c>
      <x:c r="I154" s="43" t="str">
        <x:v>Applicable fabrication information incomplete</x:v>
      </x:c>
      <x:c r="J154" s="43" t="str">
        <x:v>One or more architecture-relevant fabrication fields needed to reconstruct the tested printed component were not located.</x:v>
      </x:c>
    </x:row>
    <x:row r="155" ht="15" hidden="0" customHeight="1">
      <x:c r="A155" s="9" t="n">
        <x:v>20</x:v>
      </x:c>
      <x:c r="B155" s="9" t="str">
        <x:v>S024</x:v>
      </x:c>
      <x:c r="C155" s="9" t="str">
        <x:v>Han et al. (2026)</x:v>
      </x:c>
      <x:c r="D155" s="9" t="str">
        <x:v>L2</x:v>
      </x:c>
      <x:c r="E155" s="9" t="str">
        <x:v>1</x:v>
      </x:c>
      <x:c r="F155" s="9" t="str">
        <x:v>Initial agreement</x:v>
      </x:c>
      <x:c r="G155" s="9" t="str">
        <x:v>Active conductive TPU film, patterned cracks, electrodes and encapsulation are described.</x:v>
      </x:c>
      <x:c r="H155" s="9" t="str">
        <x:v>PDF pp. 2–11; Figs. 1–6; cited SI</x:v>
      </x:c>
      <x:c r="I155" s="43" t="str"/>
      <x:c r="J155" s="43" t="str"/>
    </x:row>
    <x:row r="156" ht="15" hidden="0" customHeight="1">
      <x:c r="A156" s="9" t="n">
        <x:v>20</x:v>
      </x:c>
      <x:c r="B156" s="9" t="str">
        <x:v>S024</x:v>
      </x:c>
      <x:c r="C156" s="9" t="str">
        <x:v>Han et al. (2026)</x:v>
      </x:c>
      <x:c r="D156" s="9" t="str">
        <x:v>L3</x:v>
      </x:c>
      <x:c r="E156" s="9" t="str">
        <x:v>1</x:v>
      </x:c>
      <x:c r="F156" s="9" t="str">
        <x:v>Initial agreement</x:v>
      </x:c>
      <x:c r="G156" s="9" t="str">
        <x:v>Controlled tensile testing and resistance measurement are described.</x:v>
      </x:c>
      <x:c r="H156" s="9" t="str">
        <x:v>PDF pp. 2–11; Figs. 1–6; cited SI</x:v>
      </x:c>
      <x:c r="I156" s="43" t="str"/>
      <x:c r="J156" s="43" t="str"/>
    </x:row>
    <x:row r="157" ht="15" hidden="0" customHeight="1">
      <x:c r="A157" s="9" t="n">
        <x:v>20</x:v>
      </x:c>
      <x:c r="B157" s="9" t="str">
        <x:v>S024</x:v>
      </x:c>
      <x:c r="C157" s="9" t="str">
        <x:v>Han et al. (2026)</x:v>
      </x:c>
      <x:c r="D157" s="9" t="str">
        <x:v>L4</x:v>
      </x:c>
      <x:c r="E157" s="9" t="str">
        <x:v>1</x:v>
      </x:c>
      <x:c r="F157" s="9" t="str">
        <x:v>Initial agreement</x:v>
      </x:c>
      <x:c r="G157" s="9" t="str">
        <x:v>GF, linear range, hysteresis, response/recovery and drift are reported.</x:v>
      </x:c>
      <x:c r="H157" s="9" t="str">
        <x:v>PDF pp. 2–11; Figs. 1–6; cited SI</x:v>
      </x:c>
      <x:c r="I157" s="43" t="str"/>
      <x:c r="J157" s="43" t="str"/>
    </x:row>
    <x:row r="158" ht="15" hidden="0" customHeight="1">
      <x:c r="A158" s="9" t="n">
        <x:v>20</x:v>
      </x:c>
      <x:c r="B158" s="9" t="str">
        <x:v>S024</x:v>
      </x:c>
      <x:c r="C158" s="9" t="str">
        <x:v>Han et al. (2026)</x:v>
      </x:c>
      <x:c r="D158" s="9" t="str">
        <x:v>L5</x:v>
      </x:c>
      <x:c r="E158" s="9" t="str">
        <x:v>1</x:v>
      </x:c>
      <x:c r="F158" s="9" t="str">
        <x:v>Initial agreement</x:v>
      </x:c>
      <x:c r="G158" s="9" t="str">
        <x:v>8000 cycles at 6% strain with quantified peak retention.</x:v>
      </x:c>
      <x:c r="H158" s="9" t="str">
        <x:v>PDF pp. 2–11; Figs. 1–6; cited SI</x:v>
      </x:c>
      <x:c r="I158" s="43" t="str"/>
      <x:c r="J158" s="43" t="str"/>
    </x:row>
    <x:row r="159" ht="48" hidden="0" customHeight="1">
      <x:c r="A159" s="9" t="n">
        <x:v>20</x:v>
      </x:c>
      <x:c r="B159" s="9" t="str">
        <x:v>S024</x:v>
      </x:c>
      <x:c r="C159" s="9" t="str">
        <x:v>Han et al. (2026)</x:v>
      </x:c>
      <x:c r="D159" s="9" t="str">
        <x:v>L6</x:v>
      </x:c>
      <x:c r="E159" s="9" t="str">
        <x:v>1</x:v>
      </x:c>
      <x:c r="F159" s="9" t="str">
        <x:v>L6 subtype audit</x:v>
      </x:c>
      <x:c r="G159" s="9" t="str">
        <x:v>Post-exposure retention only; defined reference/recovery not reported: The 3- and 7-day exposure time points were defined, but no return-to-reference or recovery period was reported. Evidence: Sensor response was compared before exposure and after 3 and 7 days at 60 °C and 80% RH; gauge factor decreased by 5.4% and 9.1%, respectively.</x:v>
      </x:c>
      <x:c r="H159" s="9" t="str">
        <x:v>Main article p. 7; Supplementary Fig. S4, SI p. 4</x:v>
      </x:c>
      <x:c r="I159" s="43" t="str"/>
      <x:c r="J159" s="43" t="str"/>
    </x:row>
    <x:row r="160" ht="24" hidden="0" customHeight="1">
      <x:c r="A160" s="9" t="n">
        <x:v>20</x:v>
      </x:c>
      <x:c r="B160" s="9" t="str">
        <x:v>S024</x:v>
      </x:c>
      <x:c r="C160" s="9" t="str">
        <x:v>Han et al. (2026)</x:v>
      </x:c>
      <x:c r="D160" s="9" t="str">
        <x:v>L7</x:v>
      </x:c>
      <x:c r="E160" s="9" t="str">
        <x:v>1</x:v>
      </x:c>
      <x:c r="F160" s="9" t="str">
        <x:v>Complete L7 audit—Route A</x:v>
      </x:c>
      <x:c r="G160" s="9" t="str">
        <x:v>Route A—direct interface: lap-shear testing quantified adhesion between the conductive TPU layer and the pressure-sensitive adhesive encapsulation.</x:v>
      </x:c>
      <x:c r="H160" s="9" t="str">
        <x:v>PDF pp. 2–11; Figs. 1–6; cited SI</x:v>
      </x:c>
      <x:c r="I160" s="43" t="str"/>
      <x:c r="J160" s="43" t="str"/>
    </x:row>
    <x:row r="161" ht="26.399999618530273" hidden="0" customHeight="1">
      <x:c r="A161" s="9" t="n">
        <x:v>20</x:v>
      </x:c>
      <x:c r="B161" s="9" t="str">
        <x:v>S024</x:v>
      </x:c>
      <x:c r="C161" s="9" t="str">
        <x:v>Han et al. (2026)</x:v>
      </x:c>
      <x:c r="D161" s="9" t="str">
        <x:v>L8</x:v>
      </x:c>
      <x:c r="E161" s="9" t="str">
        <x:v>0</x:v>
      </x:c>
      <x:c r="F161" s="9" t="str">
        <x:v>Initial agreement</x:v>
      </x:c>
      <x:c r="G161" s="9" t="str">
        <x:v>Geometry groups are reported without a clear ≥3 separately fabricated device comparison.</x:v>
      </x:c>
      <x:c r="H161" s="9" t="str">
        <x:v>PDF pp. 2–11; Figs. 1–6; cited SI</x:v>
      </x:c>
      <x:c r="I161" s="43" t="str">
        <x:v>No qualifying between-device evidence located</x:v>
      </x:c>
      <x:c r="J161" s="43" t="str">
        <x:v>No quantitative same-condition comparison of at least three independently fabricated complete devices was located.</x:v>
      </x:c>
    </x:row>
    <x:row r="162" ht="15" hidden="0" customHeight="1">
      <x:c r="A162" s="9" t="n">
        <x:v>21</x:v>
      </x:c>
      <x:c r="B162" s="9" t="str">
        <x:v>S025</x:v>
      </x:c>
      <x:c r="C162" s="9" t="str">
        <x:v>Wei et al. (2026)</x:v>
      </x:c>
      <x:c r="D162" s="9" t="str">
        <x:v>L1</x:v>
      </x:c>
      <x:c r="E162" s="9" t="str">
        <x:v>1</x:v>
      </x:c>
      <x:c r="F162" s="9" t="str">
        <x:v>Adjudicated to Reviewer 1</x:v>
      </x:c>
      <x:c r="G162" s="9" t="str">
        <x:v>FFF printer, conductive filament, nozzle, temperatures, layer height and pillar geometry are reported.</x:v>
      </x:c>
      <x:c r="H162" s="9" t="str">
        <x:v>PDF pp. 2–10; Figs. 1–6; Table 1; cited SI</x:v>
      </x:c>
      <x:c r="I162" s="43" t="str"/>
      <x:c r="J162" s="43" t="str"/>
    </x:row>
    <x:row r="163" ht="24" hidden="0" customHeight="1">
      <x:c r="A163" s="9" t="n">
        <x:v>21</x:v>
      </x:c>
      <x:c r="B163" s="9" t="str">
        <x:v>S025</x:v>
      </x:c>
      <x:c r="C163" s="9" t="str">
        <x:v>Wei et al. (2026)</x:v>
      </x:c>
      <x:c r="D163" s="9" t="str">
        <x:v>L2</x:v>
      </x:c>
      <x:c r="E163" s="9" t="str">
        <x:v>1</x:v>
      </x:c>
      <x:c r="F163" s="9" t="str">
        <x:v>Initial agreement</x:v>
      </x:c>
      <x:c r="G163" s="9" t="str">
        <x:v>The supplement identifies the H+-selective cocktail (hydrogen ionophore I, NaTFPB, PU and DOS in THF) and the reference membrane (PVB and NaCl in methanol), together with the CB-PLA and Ag/AgCl components.</x:v>
      </x:c>
      <x:c r="H163" s="9" t="str">
        <x:v>Supplementary Experimental section, SI p. 3</x:v>
      </x:c>
      <x:c r="I163" s="43" t="str"/>
      <x:c r="J163" s="43" t="str"/>
    </x:row>
    <x:row r="164" ht="15" hidden="0" customHeight="1">
      <x:c r="A164" s="9" t="n">
        <x:v>21</x:v>
      </x:c>
      <x:c r="B164" s="9" t="str">
        <x:v>S025</x:v>
      </x:c>
      <x:c r="C164" s="9" t="str">
        <x:v>Wei et al. (2026)</x:v>
      </x:c>
      <x:c r="D164" s="9" t="str">
        <x:v>L3</x:v>
      </x:c>
      <x:c r="E164" s="9" t="str">
        <x:v>1</x:v>
      </x:c>
      <x:c r="F164" s="9" t="str">
        <x:v>Initial agreement</x:v>
      </x:c>
      <x:c r="G164" s="9" t="str">
        <x:v>Controlled buffers and commercial pH references are used.</x:v>
      </x:c>
      <x:c r="H164" s="9" t="str">
        <x:v>PDF pp. 2–10; Figs. 1–6; Table 1; cited SI</x:v>
      </x:c>
      <x:c r="I164" s="43" t="str"/>
      <x:c r="J164" s="43" t="str"/>
    </x:row>
    <x:row r="165" ht="15" hidden="0" customHeight="1">
      <x:c r="A165" s="9" t="n">
        <x:v>21</x:v>
      </x:c>
      <x:c r="B165" s="9" t="str">
        <x:v>S025</x:v>
      </x:c>
      <x:c r="C165" s="9" t="str">
        <x:v>Wei et al. (2026)</x:v>
      </x:c>
      <x:c r="D165" s="9" t="str">
        <x:v>L4</x:v>
      </x:c>
      <x:c r="E165" s="9" t="str">
        <x:v>1</x:v>
      </x:c>
      <x:c r="F165" s="9" t="str">
        <x:v>Initial agreement</x:v>
      </x:c>
      <x:c r="G165" s="9" t="str">
        <x:v>Sensitivity, response, drift, RSD and ex-vivo accuracy are reported.</x:v>
      </x:c>
      <x:c r="H165" s="9" t="str">
        <x:v>PDF pp. 2–10; Figs. 1–6; Table 1; cited SI</x:v>
      </x:c>
      <x:c r="I165" s="43" t="str"/>
      <x:c r="J165" s="43" t="str"/>
    </x:row>
    <x:row r="166" ht="15" hidden="0" customHeight="1">
      <x:c r="A166" s="9" t="n">
        <x:v>21</x:v>
      </x:c>
      <x:c r="B166" s="9" t="str">
        <x:v>S025</x:v>
      </x:c>
      <x:c r="C166" s="9" t="str">
        <x:v>Wei et al. (2026)</x:v>
      </x:c>
      <x:c r="D166" s="9" t="str">
        <x:v>L5</x:v>
      </x:c>
      <x:c r="E166" s="9" t="str">
        <x:v>1</x:v>
      </x:c>
      <x:c r="F166" s="9" t="str">
        <x:v>Initial agreement</x:v>
      </x:c>
      <x:c r="G166" s="9" t="str">
        <x:v>Three calibration cycles, reversibility, 24 h stability and repeated insertions are quantified.</x:v>
      </x:c>
      <x:c r="H166" s="9" t="str">
        <x:v>PDF pp. 2–10; Figs. 1–6; Table 1; cited SI</x:v>
      </x:c>
      <x:c r="I166" s="43" t="str"/>
      <x:c r="J166" s="43" t="str"/>
    </x:row>
    <x:row r="167" ht="36" hidden="0" customHeight="1">
      <x:c r="A167" s="9" t="n">
        <x:v>21</x:v>
      </x:c>
      <x:c r="B167" s="9" t="str">
        <x:v>S025</x:v>
      </x:c>
      <x:c r="C167" s="9" t="str">
        <x:v>Wei et al. (2026)</x:v>
      </x:c>
      <x:c r="D167" s="9" t="str">
        <x:v>L6</x:v>
      </x:c>
      <x:c r="E167" s="9" t="str">
        <x:v>1</x:v>
      </x:c>
      <x:c r="F167" s="9" t="str">
        <x:v>L6 subtype audit</x:v>
      </x:c>
      <x:c r="G167" s="9" t="str">
        <x:v>Both; defined reference/recovery not reported: Response after repeated insertion was reported, but no return-to-reference condition or recovery period was defined. Evidence: Temperature and repeated skin-insertion effects are reported.</x:v>
      </x:c>
      <x:c r="H167" s="9" t="str">
        <x:v>PDF pp. 2–10; Figs. 1–6; Table 1; cited SI</x:v>
      </x:c>
      <x:c r="I167" s="43" t="str"/>
      <x:c r="J167" s="43" t="str"/>
    </x:row>
    <x:row r="168" ht="36" hidden="0" customHeight="1">
      <x:c r="A168" s="9" t="n">
        <x:v>21</x:v>
      </x:c>
      <x:c r="B168" s="9" t="str">
        <x:v>S025</x:v>
      </x:c>
      <x:c r="C168" s="9" t="str">
        <x:v>Wei et al. (2026)</x:v>
      </x:c>
      <x:c r="D168" s="9" t="str">
        <x:v>L7</x:v>
      </x:c>
      <x:c r="E168" s="9" t="str">
        <x:v>0</x:v>
      </x:c>
      <x:c r="F168" s="9" t="str">
        <x:v>Complete L7 audit—not qualifying</x:v>
      </x:c>
      <x:c r="G168" s="9" t="str">
        <x:v>Three consecutive insertions are performed for each patch. The conclusion explicitly places on-body measurements in future work.</x:v>
      </x:c>
      <x:c r="H168" s="9" t="str">
        <x:v>S025_Main.pdf, physical pp. 9-11, Fig. 5d, Fig. 6/Table 1 and Conclusions; S025_Supplement_01.pdf, ex-vivo and calibration methods.</x:v>
      </x:c>
      <x:c r="I168" s="43" t="str">
        <x:v>No qualifying interface/final-assembly endpoint located</x:v>
      </x:c>
      <x:c r="J168" s="43" t="str">
        <x:v>Neither a Route A interface endpoint nor a Route B repeated final-assembly retention/failure endpoint was located.</x:v>
      </x:c>
    </x:row>
    <x:row r="169" ht="15" hidden="0" customHeight="1">
      <x:c r="A169" s="9" t="n">
        <x:v>21</x:v>
      </x:c>
      <x:c r="B169" s="9" t="str">
        <x:v>S025</x:v>
      </x:c>
      <x:c r="C169" s="9" t="str">
        <x:v>Wei et al. (2026)</x:v>
      </x:c>
      <x:c r="D169" s="9" t="str">
        <x:v>L8</x:v>
      </x:c>
      <x:c r="E169" s="9" t="str">
        <x:v>1</x:v>
      </x:c>
      <x:c r="F169" s="9" t="str">
        <x:v>Initial agreement</x:v>
      </x:c>
      <x:c r="G169" s="9" t="str">
        <x:v>Six HMNs and four independently fabricated complete patches were compared quantitatively.</x:v>
      </x:c>
      <x:c r="H169" s="9" t="str">
        <x:v>PDF pp. 2–10; Figs. 1–6; Table 1; cited SI</x:v>
      </x:c>
      <x:c r="I169" s="43" t="str"/>
      <x:c r="J169" s="43" t="str"/>
    </x:row>
    <x:row r="170" ht="15" hidden="0" customHeight="1">
      <x:c r="A170" s="9" t="n">
        <x:v>22</x:v>
      </x:c>
      <x:c r="B170" s="9" t="str">
        <x:v>S028</x:v>
      </x:c>
      <x:c r="C170" s="9" t="str">
        <x:v>Gothard et al. (2023)</x:v>
      </x:c>
      <x:c r="D170" s="9" t="str">
        <x:v>L1</x:v>
      </x:c>
      <x:c r="E170" s="9" t="str">
        <x:v>1</x:v>
      </x:c>
      <x:c r="F170" s="9" t="str">
        <x:v>Initial agreement</x:v>
      </x:c>
      <x:c r="G170" s="9" t="str">
        <x:v>FDM term, printer, functional filaments, temperature, layer height, infill, speed and geometry are reported.</x:v>
      </x:c>
      <x:c r="H170" s="9" t="str">
        <x:v>PDF pp. 4–17; Figs. 1–10; Tables 1–4</x:v>
      </x:c>
      <x:c r="I170" s="43" t="str"/>
      <x:c r="J170" s="43" t="str"/>
    </x:row>
    <x:row r="171" ht="15" hidden="0" customHeight="1">
      <x:c r="A171" s="9" t="n">
        <x:v>22</x:v>
      </x:c>
      <x:c r="B171" s="9" t="str">
        <x:v>S028</x:v>
      </x:c>
      <x:c r="C171" s="9" t="str">
        <x:v>Gothard et al. (2023)</x:v>
      </x:c>
      <x:c r="D171" s="9" t="str">
        <x:v>L2</x:v>
      </x:c>
      <x:c r="E171" s="9" t="str">
        <x:v>1</x:v>
      </x:c>
      <x:c r="F171" s="9" t="str">
        <x:v>Initial agreement</x:v>
      </x:c>
      <x:c r="G171" s="9" t="str">
        <x:v>Conductive/dielectric filaments and readout roles are described.</x:v>
      </x:c>
      <x:c r="H171" s="9" t="str">
        <x:v>PDF pp. 4–17; Figs. 1–10; Tables 1–4</x:v>
      </x:c>
      <x:c r="I171" s="43" t="str"/>
      <x:c r="J171" s="43" t="str"/>
    </x:row>
    <x:row r="172" ht="15" hidden="0" customHeight="1">
      <x:c r="A172" s="9" t="n">
        <x:v>22</x:v>
      </x:c>
      <x:c r="B172" s="9" t="str">
        <x:v>S028</x:v>
      </x:c>
      <x:c r="C172" s="9" t="str">
        <x:v>Gothard et al. (2023)</x:v>
      </x:c>
      <x:c r="D172" s="9" t="str">
        <x:v>L3</x:v>
      </x:c>
      <x:c r="E172" s="9" t="str">
        <x:v>1</x:v>
      </x:c>
      <x:c r="F172" s="9" t="str">
        <x:v>Initial agreement</x:v>
      </x:c>
      <x:c r="G172" s="9" t="str">
        <x:v>Controlled load frame, synchronized load cell and pressure/frequency protocol are reported.</x:v>
      </x:c>
      <x:c r="H172" s="9" t="str">
        <x:v>PDF pp. 4–17; Figs. 1–10; Tables 1–4</x:v>
      </x:c>
      <x:c r="I172" s="43" t="str"/>
      <x:c r="J172" s="43" t="str"/>
    </x:row>
    <x:row r="173" ht="15" hidden="0" customHeight="1">
      <x:c r="A173" s="9" t="n">
        <x:v>22</x:v>
      </x:c>
      <x:c r="B173" s="9" t="str">
        <x:v>S028</x:v>
      </x:c>
      <x:c r="C173" s="9" t="str">
        <x:v>Gothard et al. (2023)</x:v>
      </x:c>
      <x:c r="D173" s="9" t="str">
        <x:v>L4</x:v>
      </x:c>
      <x:c r="E173" s="9" t="str">
        <x:v>1</x:v>
      </x:c>
      <x:c r="F173" s="9" t="str">
        <x:v>Initial agreement</x:v>
      </x:c>
      <x:c r="G173" s="9" t="str">
        <x:v>Sensitivity, hysteresis and linearity definitions, units and tested ranges are reported.</x:v>
      </x:c>
      <x:c r="H173" s="9" t="str">
        <x:v>PDF pp. 4–17; Figs. 1–10; Tables 1–4</x:v>
      </x:c>
      <x:c r="I173" s="43" t="str"/>
      <x:c r="J173" s="43" t="str"/>
    </x:row>
    <x:row r="174" ht="15" hidden="0" customHeight="1">
      <x:c r="A174" s="9" t="n">
        <x:v>22</x:v>
      </x:c>
      <x:c r="B174" s="9" t="str">
        <x:v>S028</x:v>
      </x:c>
      <x:c r="C174" s="9" t="str">
        <x:v>Gothard et al. (2023)</x:v>
      </x:c>
      <x:c r="D174" s="9" t="str">
        <x:v>L5</x:v>
      </x:c>
      <x:c r="E174" s="9" t="str">
        <x:v>1</x:v>
      </x:c>
      <x:c r="F174" s="9" t="str">
        <x:v>Initial agreement</x:v>
      </x:c>
      <x:c r="G174" s="9" t="str">
        <x:v>Twenty complete cycles per condition underpin cycle-level metrics.</x:v>
      </x:c>
      <x:c r="H174" s="9" t="str">
        <x:v>PDF pp. 4–17; Figs. 1–10; Tables 1–4</x:v>
      </x:c>
      <x:c r="I174" s="43" t="str"/>
      <x:c r="J174" s="43" t="str"/>
    </x:row>
    <x:row r="175" ht="26.399999618530273" hidden="0" customHeight="1">
      <x:c r="A175" s="9" t="n">
        <x:v>22</x:v>
      </x:c>
      <x:c r="B175" s="9" t="str">
        <x:v>S028</x:v>
      </x:c>
      <x:c r="C175" s="9" t="str">
        <x:v>Gothard et al. (2023)</x:v>
      </x:c>
      <x:c r="D175" s="9" t="str">
        <x:v>L6</x:v>
      </x:c>
      <x:c r="E175" s="9" t="str">
        <x:v>0</x:v>
      </x:c>
      <x:c r="F175" s="9" t="str">
        <x:v>Initial agreement</x:v>
      </x:c>
      <x:c r="G175" s="9" t="str">
        <x:v>Pressure/frequency are intended measurands; no separate environmental/use exposure was tested.</x:v>
      </x:c>
      <x:c r="H175" s="9" t="str">
        <x:v>PDF pp. 4–17; Figs. 1–10; Tables 1–4</x:v>
      </x:c>
      <x:c r="I175" s="43" t="str">
        <x:v>No qualifying extrinsic-exposure evidence located</x:v>
      </x:c>
      <x:c r="J175" s="43" t="str">
        <x:v>No response was located during or after a deliberately applied condition extrinsic to the intended measurand.</x:v>
      </x:c>
    </x:row>
    <x:row r="176" ht="26.399999618530273" hidden="0" customHeight="1">
      <x:c r="A176" s="9" t="n">
        <x:v>22</x:v>
      </x:c>
      <x:c r="B176" s="9" t="str">
        <x:v>S028</x:v>
      </x:c>
      <x:c r="C176" s="9" t="str">
        <x:v>Gothard et al. (2023)</x:v>
      </x:c>
      <x:c r="D176" s="9" t="str">
        <x:v>L7</x:v>
      </x:c>
      <x:c r="E176" s="9" t="str">
        <x:v>0</x:v>
      </x:c>
      <x:c r="F176" s="9" t="str">
        <x:v>Complete L7 audit—not qualifying</x:v>
      </x:c>
      <x:c r="G176" s="9" t="str">
        <x:v>No qualifying interface-integrity test or repeated final monolithic wearable-assembly test with a retention/failure endpoint was located.</x:v>
      </x:c>
      <x:c r="H176" s="9" t="str">
        <x:v>PDF pp. 4–17; Figs. 1–10; Tables 1–4</x:v>
      </x:c>
      <x:c r="I176" s="43" t="str">
        <x:v>No qualifying interface/final-assembly endpoint located</x:v>
      </x:c>
      <x:c r="J176" s="43" t="str">
        <x:v>Neither a Route A interface endpoint nor a Route B repeated final-assembly retention/failure endpoint was located.</x:v>
      </x:c>
    </x:row>
    <x:row r="177" ht="15" hidden="0" customHeight="1">
      <x:c r="A177" s="9" t="n">
        <x:v>22</x:v>
      </x:c>
      <x:c r="B177" s="9" t="str">
        <x:v>S028</x:v>
      </x:c>
      <x:c r="C177" s="9" t="str">
        <x:v>Gothard et al. (2023)</x:v>
      </x:c>
      <x:c r="D177" s="9" t="str">
        <x:v>L8</x:v>
      </x:c>
      <x:c r="E177" s="9" t="str">
        <x:v>1</x:v>
      </x:c>
      <x:c r="F177" s="9" t="str">
        <x:v>Initial agreement</x:v>
      </x:c>
      <x:c r="G177" s="9" t="str">
        <x:v>Five separately printed units per design were tested and individual-device points/averages were reported.</x:v>
      </x:c>
      <x:c r="H177" s="9" t="str">
        <x:v>PDF pp. 4–17; Figs. 1–10; Tables 1–4</x:v>
      </x:c>
      <x:c r="I177" s="43" t="str"/>
      <x:c r="J177" s="43" t="str"/>
    </x:row>
    <x:row r="178" ht="15" hidden="0" customHeight="1">
      <x:c r="A178" s="9" t="n">
        <x:v>23</x:v>
      </x:c>
      <x:c r="B178" s="9" t="str">
        <x:v>S029</x:v>
      </x:c>
      <x:c r="C178" s="9" t="str">
        <x:v>Özkurt et al. (2026)</x:v>
      </x:c>
      <x:c r="D178" s="9" t="str">
        <x:v>L1</x:v>
      </x:c>
      <x:c r="E178" s="9" t="str">
        <x:v>1</x:v>
      </x:c>
      <x:c r="F178" s="9" t="str">
        <x:v>Initial agreement</x:v>
      </x:c>
      <x:c r="G178" s="9" t="str">
        <x:v>FDM term, printer, c-TPU, nozzle, temperatures, speed, layer height, infill, orientation and geometry are reported.</x:v>
      </x:c>
      <x:c r="H178" s="9" t="str">
        <x:v>PDF pp. 4–23; Figs. 3–17; Tables 2–7</x:v>
      </x:c>
      <x:c r="I178" s="43" t="str"/>
      <x:c r="J178" s="43" t="str"/>
    </x:row>
    <x:row r="179" ht="15" hidden="0" customHeight="1">
      <x:c r="A179" s="9" t="n">
        <x:v>23</x:v>
      </x:c>
      <x:c r="B179" s="9" t="str">
        <x:v>S029</x:v>
      </x:c>
      <x:c r="C179" s="9" t="str">
        <x:v>Özkurt et al. (2026)</x:v>
      </x:c>
      <x:c r="D179" s="9" t="str">
        <x:v>L2</x:v>
      </x:c>
      <x:c r="E179" s="9" t="str">
        <x:v>1</x:v>
      </x:c>
      <x:c r="F179" s="9" t="str">
        <x:v>Initial agreement</x:v>
      </x:c>
      <x:c r="G179" s="9" t="str">
        <x:v>Commercial conductive filament, glove mounting and readout are described.</x:v>
      </x:c>
      <x:c r="H179" s="9" t="str">
        <x:v>PDF pp. 4–23; Figs. 3–17; Tables 2–7</x:v>
      </x:c>
      <x:c r="I179" s="43" t="str"/>
      <x:c r="J179" s="43" t="str"/>
    </x:row>
    <x:row r="180" ht="15" hidden="0" customHeight="1">
      <x:c r="A180" s="9" t="n">
        <x:v>23</x:v>
      </x:c>
      <x:c r="B180" s="9" t="str">
        <x:v>S029</x:v>
      </x:c>
      <x:c r="C180" s="9" t="str">
        <x:v>Özkurt et al. (2026)</x:v>
      </x:c>
      <x:c r="D180" s="9" t="str">
        <x:v>L3</x:v>
      </x:c>
      <x:c r="E180" s="9" t="str">
        <x:v>1</x:v>
      </x:c>
      <x:c r="F180" s="9" t="str">
        <x:v>Initial agreement</x:v>
      </x:c>
      <x:c r="G180" s="9" t="str">
        <x:v>Controlled angle fixture and commercial reference sensor are described.</x:v>
      </x:c>
      <x:c r="H180" s="9" t="str">
        <x:v>PDF pp. 4–23; Figs. 3–17; Tables 2–7</x:v>
      </x:c>
      <x:c r="I180" s="43" t="str"/>
      <x:c r="J180" s="43" t="str"/>
    </x:row>
    <x:row r="181" ht="15" hidden="0" customHeight="1">
      <x:c r="A181" s="9" t="n">
        <x:v>23</x:v>
      </x:c>
      <x:c r="B181" s="9" t="str">
        <x:v>S029</x:v>
      </x:c>
      <x:c r="C181" s="9" t="str">
        <x:v>Özkurt et al. (2026)</x:v>
      </x:c>
      <x:c r="D181" s="9" t="str">
        <x:v>L4</x:v>
      </x:c>
      <x:c r="E181" s="9" t="str">
        <x:v>1</x:v>
      </x:c>
      <x:c r="F181" s="9" t="str">
        <x:v>Initial agreement</x:v>
      </x:c>
      <x:c r="G181" s="9" t="str">
        <x:v>GF, hysteresis, repeatability, drift and calibration fit are defined and quantified.</x:v>
      </x:c>
      <x:c r="H181" s="9" t="str">
        <x:v>PDF pp. 4–23; Figs. 3–17; Tables 2–7</x:v>
      </x:c>
      <x:c r="I181" s="43" t="str"/>
      <x:c r="J181" s="43" t="str"/>
    </x:row>
    <x:row r="182" ht="15" hidden="0" customHeight="1">
      <x:c r="A182" s="9" t="n">
        <x:v>23</x:v>
      </x:c>
      <x:c r="B182" s="9" t="str">
        <x:v>S029</x:v>
      </x:c>
      <x:c r="C182" s="9" t="str">
        <x:v>Özkurt et al. (2026)</x:v>
      </x:c>
      <x:c r="D182" s="9" t="str">
        <x:v>L5</x:v>
      </x:c>
      <x:c r="E182" s="9" t="str">
        <x:v>1</x:v>
      </x:c>
      <x:c r="F182" s="9" t="str">
        <x:v>Initial agreement</x:v>
      </x:c>
      <x:c r="G182" s="9" t="str">
        <x:v>A selected sensor underwent 700 cycles with quantified repeatability and drift.</x:v>
      </x:c>
      <x:c r="H182" s="9" t="str">
        <x:v>PDF pp. 4–23; Figs. 3–17; Tables 2–7</x:v>
      </x:c>
      <x:c r="I182" s="43" t="str"/>
      <x:c r="J182" s="43" t="str"/>
    </x:row>
    <x:row r="183" ht="36" hidden="0" customHeight="1">
      <x:c r="A183" s="9" t="n">
        <x:v>23</x:v>
      </x:c>
      <x:c r="B183" s="9" t="str">
        <x:v>S029</x:v>
      </x:c>
      <x:c r="C183" s="9" t="str">
        <x:v>Özkurt et al. (2026)</x:v>
      </x:c>
      <x:c r="D183" s="9" t="str">
        <x:v>L6</x:v>
      </x:c>
      <x:c r="E183" s="9" t="str">
        <x:v>1</x:v>
      </x:c>
      <x:c r="F183" s="9" t="str">
        <x:v>L6 subtype audit</x:v>
      </x:c>
      <x:c r="G183" s="9" t="str">
        <x:v>Post-exposure retention only; defined reference/recovery not reported: Fresh and 60-day-aged devices were compared; no return-to-reference or recovery phase was reported. Evidence: Fresh and 60-day-aged specimens were compared over repeated bends, giving a time/storage exposure response.</x:v>
      </x:c>
      <x:c r="H183" s="9" t="str">
        <x:v>PDF pp. 4–23; Figs. 3–17; Tables 2–7</x:v>
      </x:c>
      <x:c r="I183" s="43" t="str"/>
      <x:c r="J183" s="43" t="str"/>
    </x:row>
    <x:row r="184" ht="26.399999618530273" hidden="0" customHeight="1">
      <x:c r="A184" s="9" t="n">
        <x:v>23</x:v>
      </x:c>
      <x:c r="B184" s="9" t="str">
        <x:v>S029</x:v>
      </x:c>
      <x:c r="C184" s="9" t="str">
        <x:v>Özkurt et al. (2026)</x:v>
      </x:c>
      <x:c r="D184" s="9" t="str">
        <x:v>L7</x:v>
      </x:c>
      <x:c r="E184" s="9" t="str">
        <x:v>0</x:v>
      </x:c>
      <x:c r="F184" s="9" t="str">
        <x:v>Complete L7 audit—not qualifying</x:v>
      </x:c>
      <x:c r="G184" s="9" t="str">
        <x:v>The application section demonstrates a glove prototype and response tracking; it also proposes a per-patient disposable-use model.</x:v>
      </x:c>
      <x:c r="H184" s="9" t="str">
        <x:v>S029_Main.pdf, physical pp. 22-23, section 3.6, application feasibility and glove demonstration.</x:v>
      </x:c>
      <x:c r="I184" s="43" t="str">
        <x:v>No qualifying interface/final-assembly endpoint located</x:v>
      </x:c>
      <x:c r="J184" s="43" t="str">
        <x:v>Neither a Route A interface endpoint nor a Route B repeated final-assembly retention/failure endpoint was located.</x:v>
      </x:c>
    </x:row>
    <x:row r="185" ht="15" hidden="0" customHeight="1">
      <x:c r="A185" s="9" t="n">
        <x:v>23</x:v>
      </x:c>
      <x:c r="B185" s="9" t="str">
        <x:v>S029</x:v>
      </x:c>
      <x:c r="C185" s="9" t="str">
        <x:v>Özkurt et al. (2026)</x:v>
      </x:c>
      <x:c r="D185" s="9" t="str">
        <x:v>L8</x:v>
      </x:c>
      <x:c r="E185" s="9" t="str">
        <x:v>1</x:v>
      </x:c>
      <x:c r="F185" s="9" t="str">
        <x:v>Adjudicated to Reviewer 1</x:v>
      </x:c>
      <x:c r="G185" s="9" t="str">
        <x:v>Two independent batches of 15 sensors were compared quantitatively.</x:v>
      </x:c>
      <x:c r="H185" s="9" t="str">
        <x:v>PDF pp. 4–23; Figs. 3–17; Tables 2–7</x:v>
      </x:c>
      <x:c r="I185" s="43" t="str"/>
      <x:c r="J185" s="43" t="str"/>
    </x:row>
    <x:row r="186" ht="26.399999618530273" hidden="0" customHeight="1">
      <x:c r="A186" s="9" t="n">
        <x:v>24</x:v>
      </x:c>
      <x:c r="B186" s="9" t="str">
        <x:v>S031</x:v>
      </x:c>
      <x:c r="C186" s="9" t="str">
        <x:v>Rivera et al. (2022)</x:v>
      </x:c>
      <x:c r="D186" s="9" t="str">
        <x:v>L1</x:v>
      </x:c>
      <x:c r="E186" s="9" t="str">
        <x:v>0</x:v>
      </x:c>
      <x:c r="F186" s="9" t="str">
        <x:v>Initial agreement</x:v>
      </x:c>
      <x:c r="G186" s="9" t="str">
        <x:v>Printer and ABS are named, but nozzle, temperature, layer height, speed, infill and toolpath are absent.</x:v>
      </x:c>
      <x:c r="H186" s="9" t="str">
        <x:v>PDF pp. 3–12; Figs. 1–9; Tables 1–3; Appendix A</x:v>
      </x:c>
      <x:c r="I186" s="43" t="str">
        <x:v>Applicable fabrication information incomplete</x:v>
      </x:c>
      <x:c r="J186" s="43" t="str">
        <x:v>One or more architecture-relevant fabrication fields needed to reconstruct the tested printed component were not located.</x:v>
      </x:c>
    </x:row>
    <x:row r="187" ht="15" hidden="0" customHeight="1">
      <x:c r="A187" s="9" t="n">
        <x:v>24</x:v>
      </x:c>
      <x:c r="B187" s="9" t="str">
        <x:v>S031</x:v>
      </x:c>
      <x:c r="C187" s="9" t="str">
        <x:v>Rivera et al. (2022)</x:v>
      </x:c>
      <x:c r="D187" s="9" t="str">
        <x:v>L2</x:v>
      </x:c>
      <x:c r="E187" s="9" t="str">
        <x:v>1</x:v>
      </x:c>
      <x:c r="F187" s="9" t="str">
        <x:v>Initial agreement</x:v>
      </x:c>
      <x:c r="G187" s="9" t="str">
        <x:v>Printed arms, sensor, electronics and attachment roles are described.</x:v>
      </x:c>
      <x:c r="H187" s="9" t="str">
        <x:v>PDF pp. 3–12; Figs. 1–9; Tables 1–3; Appendix A</x:v>
      </x:c>
      <x:c r="I187" s="43" t="str"/>
      <x:c r="J187" s="43" t="str"/>
    </x:row>
    <x:row r="188" ht="15" hidden="0" customHeight="1">
      <x:c r="A188" s="9" t="n">
        <x:v>24</x:v>
      </x:c>
      <x:c r="B188" s="9" t="str">
        <x:v>S031</x:v>
      </x:c>
      <x:c r="C188" s="9" t="str">
        <x:v>Rivera et al. (2022)</x:v>
      </x:c>
      <x:c r="D188" s="9" t="str">
        <x:v>L3</x:v>
      </x:c>
      <x:c r="E188" s="9" t="str">
        <x:v>1</x:v>
      </x:c>
      <x:c r="F188" s="9" t="str">
        <x:v>Initial agreement</x:v>
      </x:c>
      <x:c r="G188" s="9" t="str">
        <x:v>Commercial goniometer and Aktos-t IMUs provide reference measurements under stated protocols.</x:v>
      </x:c>
      <x:c r="H188" s="9" t="str">
        <x:v>PDF pp. 3–12; Figs. 1–9; Tables 1–3; Appendix A</x:v>
      </x:c>
      <x:c r="I188" s="43" t="str"/>
      <x:c r="J188" s="43" t="str"/>
    </x:row>
    <x:row r="189" ht="15" hidden="0" customHeight="1">
      <x:c r="A189" s="9" t="n">
        <x:v>24</x:v>
      </x:c>
      <x:c r="B189" s="9" t="str">
        <x:v>S031</x:v>
      </x:c>
      <x:c r="C189" s="9" t="str">
        <x:v>Rivera et al. (2022)</x:v>
      </x:c>
      <x:c r="D189" s="9" t="str">
        <x:v>L4</x:v>
      </x:c>
      <x:c r="E189" s="9" t="str">
        <x:v>1</x:v>
      </x:c>
      <x:c r="F189" s="9" t="str">
        <x:v>Initial agreement</x:v>
      </x:c>
      <x:c r="G189" s="9" t="str">
        <x:v>MAE, MAD and activity-detection accuracy are reported over stated ranges.</x:v>
      </x:c>
      <x:c r="H189" s="9" t="str">
        <x:v>PDF pp. 3–12; Figs. 1–9; Tables 1–3; Appendix A</x:v>
      </x:c>
      <x:c r="I189" s="43" t="str"/>
      <x:c r="J189" s="43" t="str"/>
    </x:row>
    <x:row r="190" ht="26.399999618530273" hidden="0" customHeight="1">
      <x:c r="A190" s="9" t="n">
        <x:v>24</x:v>
      </x:c>
      <x:c r="B190" s="9" t="str">
        <x:v>S031</x:v>
      </x:c>
      <x:c r="C190" s="9" t="str">
        <x:v>Rivera et al. (2022)</x:v>
      </x:c>
      <x:c r="D190" s="9" t="str">
        <x:v>L5</x:v>
      </x:c>
      <x:c r="E190" s="9" t="str">
        <x:v>0</x:v>
      </x:c>
      <x:c r="F190" s="9" t="str">
        <x:v>Initial agreement</x:v>
      </x:c>
      <x:c r="G190" s="9" t="str">
        <x:v>Six gait cycles were analyzed, but no same-device response-retention or stability endpoint was reported.</x:v>
      </x:c>
      <x:c r="H190" s="9" t="str">
        <x:v>PDF pp. 3–12; Figs. 1–9; Tables 1–3; Appendix A</x:v>
      </x:c>
      <x:c r="I190" s="43" t="str">
        <x:v>Non-qualifying repeated unit or endpoint</x:v>
      </x:c>
      <x:c r="J190" s="43" t="str">
        <x:v>Repetition involved users, tasks, sessions or observations rather than a same-device stability sequence with a qualifying endpoint.</x:v>
      </x:c>
    </x:row>
    <x:row r="191" ht="26.399999618530273" hidden="0" customHeight="1">
      <x:c r="A191" s="9" t="n">
        <x:v>24</x:v>
      </x:c>
      <x:c r="B191" s="9" t="str">
        <x:v>S031</x:v>
      </x:c>
      <x:c r="C191" s="9" t="str">
        <x:v>Rivera et al. (2022)</x:v>
      </x:c>
      <x:c r="D191" s="9" t="str">
        <x:v>L6</x:v>
      </x:c>
      <x:c r="E191" s="9" t="str">
        <x:v>0</x:v>
      </x:c>
      <x:c r="F191" s="9" t="str">
        <x:v>Initial agreement</x:v>
      </x:c>
      <x:c r="G191" s="9" t="str">
        <x:v>Walking speeds are the intended activity protocol; no separate qualifying exposure was tested.</x:v>
      </x:c>
      <x:c r="H191" s="9" t="str">
        <x:v>PDF pp. 3–12; Figs. 1–9; Tables 1–3; Appendix A</x:v>
      </x:c>
      <x:c r="I191" s="43" t="str">
        <x:v>No qualifying extrinsic-exposure evidence located</x:v>
      </x:c>
      <x:c r="J191" s="43" t="str">
        <x:v>No response was located during or after a deliberately applied condition extrinsic to the intended measurand.</x:v>
      </x:c>
    </x:row>
    <x:row r="192" ht="26.399999618530273" hidden="0" customHeight="1">
      <x:c r="A192" s="9" t="n">
        <x:v>24</x:v>
      </x:c>
      <x:c r="B192" s="9" t="str">
        <x:v>S031</x:v>
      </x:c>
      <x:c r="C192" s="9" t="str">
        <x:v>Rivera et al. (2022)</x:v>
      </x:c>
      <x:c r="D192" s="9" t="str">
        <x:v>L7</x:v>
      </x:c>
      <x:c r="E192" s="9" t="str">
        <x:v>0</x:v>
      </x:c>
      <x:c r="F192" s="9" t="str">
        <x:v>Complete L7 audit—not qualifying</x:v>
      </x:c>
      <x:c r="G192" s="9" t="str">
        <x:v>No qualifying interface-integrity test or repeated final monolithic wearable-assembly test with a retention/failure endpoint was located.</x:v>
      </x:c>
      <x:c r="H192" s="9" t="str">
        <x:v>PDF pp. 3–12; Figs. 1–9; Tables 1–3; Appendix A</x:v>
      </x:c>
      <x:c r="I192" s="43" t="str">
        <x:v>No qualifying interface/final-assembly endpoint located</x:v>
      </x:c>
      <x:c r="J192" s="43" t="str">
        <x:v>Neither a Route A interface endpoint nor a Route B repeated final-assembly retention/failure endpoint was located.</x:v>
      </x:c>
    </x:row>
    <x:row r="193" ht="39.599998474121094" hidden="0" customHeight="1">
      <x:c r="A193" s="9" t="n">
        <x:v>24</x:v>
      </x:c>
      <x:c r="B193" s="9" t="str">
        <x:v>S031</x:v>
      </x:c>
      <x:c r="C193" s="9" t="str">
        <x:v>Rivera et al. (2022)</x:v>
      </x:c>
      <x:c r="D193" s="9" t="str">
        <x:v>L8</x:v>
      </x:c>
      <x:c r="E193" s="9" t="str">
        <x:v>0</x:v>
      </x:c>
      <x:c r="F193" s="9" t="str">
        <x:v>Initial agreement</x:v>
      </x:c>
      <x:c r="G193" s="9" t="str">
        <x:v>One wearable was used across participants; participants are not devices.</x:v>
      </x:c>
      <x:c r="H193" s="9" t="str">
        <x:v>PDF pp. 3–12; Figs. 1–9; Tables 1–3; Appendix A</x:v>
      </x:c>
      <x:c r="I193" s="43" t="str">
        <x:v>Non-qualifying repeated unit or condition</x:v>
      </x:c>
      <x:c r="J193" s="43" t="str">
        <x:v>The repeated entities were people, channels, variants, material specimens, repeated measurements or devices tested under different conditions.</x:v>
      </x:c>
    </x:row>
    <x:row r="194" ht="26.399999618530273" hidden="0" customHeight="1">
      <x:c r="A194" s="9" t="n">
        <x:v>25</x:v>
      </x:c>
      <x:c r="B194" s="9" t="str">
        <x:v>S032</x:v>
      </x:c>
      <x:c r="C194" s="9" t="str">
        <x:v>Liu et al. (2021)</x:v>
      </x:c>
      <x:c r="D194" s="9" t="str">
        <x:v>L1</x:v>
      </x:c>
      <x:c r="E194" s="9" t="str">
        <x:v>0</x:v>
      </x:c>
      <x:c r="F194" s="9" t="str">
        <x:v>Initial agreement</x:v>
      </x:c>
      <x:c r="G194" s="9" t="str">
        <x:v>Printer, PLA and probe geometry are reported, but core print settings are absent.</x:v>
      </x:c>
      <x:c r="H194" s="9" t="str">
        <x:v>PDF pp. 3–10; Figs. 1–8</x:v>
      </x:c>
      <x:c r="I194" s="43" t="str">
        <x:v>Applicable fabrication information incomplete</x:v>
      </x:c>
      <x:c r="J194" s="43" t="str">
        <x:v>One or more architecture-relevant fabrication fields needed to reconstruct the tested printed component were not located.</x:v>
      </x:c>
    </x:row>
    <x:row r="195" ht="15" hidden="0" customHeight="1">
      <x:c r="A195" s="9" t="n">
        <x:v>25</x:v>
      </x:c>
      <x:c r="B195" s="9" t="str">
        <x:v>S032</x:v>
      </x:c>
      <x:c r="C195" s="9" t="str">
        <x:v>Liu et al. (2021)</x:v>
      </x:c>
      <x:c r="D195" s="9" t="str">
        <x:v>L2</x:v>
      </x:c>
      <x:c r="E195" s="9" t="str">
        <x:v>1</x:v>
      </x:c>
      <x:c r="F195" s="9" t="str">
        <x:v>Initial agreement</x:v>
      </x:c>
      <x:c r="G195" s="9" t="str">
        <x:v>Probe, optical sources/detector, thermistor, fixation and signal roles are described.</x:v>
      </x:c>
      <x:c r="H195" s="9" t="str">
        <x:v>PDF pp. 3–10; Figs. 1–8</x:v>
      </x:c>
      <x:c r="I195" s="43" t="str"/>
      <x:c r="J195" s="43" t="str"/>
    </x:row>
    <x:row r="196" ht="15" hidden="0" customHeight="1">
      <x:c r="A196" s="9" t="n">
        <x:v>25</x:v>
      </x:c>
      <x:c r="B196" s="9" t="str">
        <x:v>S032</x:v>
      </x:c>
      <x:c r="C196" s="9" t="str">
        <x:v>Liu et al. (2021)</x:v>
      </x:c>
      <x:c r="D196" s="9" t="str">
        <x:v>L3</x:v>
      </x:c>
      <x:c r="E196" s="9" t="str">
        <x:v>1</x:v>
      </x:c>
      <x:c r="F196" s="9" t="str">
        <x:v>Initial agreement</x:v>
      </x:c>
      <x:c r="G196" s="9" t="str">
        <x:v>Phantom comparison and cuff-occlusion protocol are described.</x:v>
      </x:c>
      <x:c r="H196" s="9" t="str">
        <x:v>PDF pp. 3–10; Figs. 1–8</x:v>
      </x:c>
      <x:c r="I196" s="43" t="str"/>
      <x:c r="J196" s="43" t="str"/>
    </x:row>
    <x:row r="197" ht="15" hidden="0" customHeight="1">
      <x:c r="A197" s="9" t="n">
        <x:v>25</x:v>
      </x:c>
      <x:c r="B197" s="9" t="str">
        <x:v>S032</x:v>
      </x:c>
      <x:c r="C197" s="9" t="str">
        <x:v>Liu et al. (2021)</x:v>
      </x:c>
      <x:c r="D197" s="9" t="str">
        <x:v>L4</x:v>
      </x:c>
      <x:c r="E197" s="9" t="str">
        <x:v>1</x:v>
      </x:c>
      <x:c r="F197" s="9" t="str">
        <x:v>Initial agreement</x:v>
      </x:c>
      <x:c r="G197" s="9" t="str">
        <x:v>Relative-flow, concentration-change, SNR and temperature outcomes are defined and reported.</x:v>
      </x:c>
      <x:c r="H197" s="9" t="str">
        <x:v>PDF pp. 3–10; Figs. 1–8</x:v>
      </x:c>
      <x:c r="I197" s="43" t="str"/>
      <x:c r="J197" s="43" t="str"/>
    </x:row>
    <x:row r="198" ht="26.399999618530273" hidden="0" customHeight="1">
      <x:c r="A198" s="9" t="n">
        <x:v>25</x:v>
      </x:c>
      <x:c r="B198" s="9" t="str">
        <x:v>S032</x:v>
      </x:c>
      <x:c r="C198" s="9" t="str">
        <x:v>Liu et al. (2021)</x:v>
      </x:c>
      <x:c r="D198" s="9" t="str">
        <x:v>L5</x:v>
      </x:c>
      <x:c r="E198" s="9" t="str">
        <x:v>0</x:v>
      </x:c>
      <x:c r="F198" s="9" t="str">
        <x:v>Initial agreement</x:v>
      </x:c>
      <x:c r="G198" s="9" t="str">
        <x:v>Continuous time series and five participants do not constitute three repeated complete exposure cycles with a stability endpoint.</x:v>
      </x:c>
      <x:c r="H198" s="9" t="str">
        <x:v>PDF pp. 3–10; Figs. 1–8</x:v>
      </x:c>
      <x:c r="I198" s="43" t="str">
        <x:v>Non-qualifying repeated unit or endpoint</x:v>
      </x:c>
      <x:c r="J198" s="43" t="str">
        <x:v>Repetition involved users, tasks, sessions or observations rather than a same-device stability sequence with a qualifying endpoint.</x:v>
      </x:c>
    </x:row>
    <x:row r="199" ht="26.399999618530273" hidden="0" customHeight="1">
      <x:c r="A199" s="9" t="n">
        <x:v>25</x:v>
      </x:c>
      <x:c r="B199" s="9" t="str">
        <x:v>S032</x:v>
      </x:c>
      <x:c r="C199" s="9" t="str">
        <x:v>Liu et al. (2021)</x:v>
      </x:c>
      <x:c r="D199" s="9" t="str">
        <x:v>L6</x:v>
      </x:c>
      <x:c r="E199" s="9" t="str">
        <x:v>0</x:v>
      </x:c>
      <x:c r="F199" s="9" t="str">
        <x:v>Initial agreement</x:v>
      </x:c>
      <x:c r="G199" s="9" t="str">
        <x:v>Room temperature was controlled but not varied as an exposure; cuff occlusion is the intended physiological perturbation.</x:v>
      </x:c>
      <x:c r="H199" s="9" t="str">
        <x:v>PDF pp. 3–10; Figs. 1–8</x:v>
      </x:c>
      <x:c r="I199" s="43" t="str">
        <x:v>No qualifying extrinsic-exposure evidence located</x:v>
      </x:c>
      <x:c r="J199" s="43" t="str">
        <x:v>No response was located during or after a deliberately applied condition extrinsic to the intended measurand.</x:v>
      </x:c>
    </x:row>
    <x:row r="200" ht="26.399999618530273" hidden="0" customHeight="1">
      <x:c r="A200" s="9" t="n">
        <x:v>25</x:v>
      </x:c>
      <x:c r="B200" s="9" t="str">
        <x:v>S032</x:v>
      </x:c>
      <x:c r="C200" s="9" t="str">
        <x:v>Liu et al. (2021)</x:v>
      </x:c>
      <x:c r="D200" s="9" t="str">
        <x:v>L7</x:v>
      </x:c>
      <x:c r="E200" s="9" t="str">
        <x:v>0</x:v>
      </x:c>
      <x:c r="F200" s="9" t="str">
        <x:v>Complete L7 audit—not qualifying</x:v>
      </x:c>
      <x:c r="G200" s="9" t="str">
        <x:v>No qualifying interface-integrity test or repeated final monolithic wearable-assembly test with a retention/failure endpoint was located.</x:v>
      </x:c>
      <x:c r="H200" s="9" t="str">
        <x:v>PDF pp. 3–10; Figs. 1–8</x:v>
      </x:c>
      <x:c r="I200" s="43" t="str">
        <x:v>No qualifying interface/final-assembly endpoint located</x:v>
      </x:c>
      <x:c r="J200" s="43" t="str">
        <x:v>Neither a Route A interface endpoint nor a Route B repeated final-assembly retention/failure endpoint was located.</x:v>
      </x:c>
    </x:row>
    <x:row r="201" ht="26.399999618530273" hidden="0" customHeight="1">
      <x:c r="A201" s="9" t="n">
        <x:v>25</x:v>
      </x:c>
      <x:c r="B201" s="9" t="str">
        <x:v>S032</x:v>
      </x:c>
      <x:c r="C201" s="9" t="str">
        <x:v>Liu et al. (2021)</x:v>
      </x:c>
      <x:c r="D201" s="9" t="str">
        <x:v>L8</x:v>
      </x:c>
      <x:c r="E201" s="9" t="str">
        <x:v>0</x:v>
      </x:c>
      <x:c r="F201" s="9" t="str">
        <x:v>Initial agreement</x:v>
      </x:c>
      <x:c r="G201" s="9" t="str">
        <x:v>One probe is described; participants are not separate devices.</x:v>
      </x:c>
      <x:c r="H201" s="9" t="str">
        <x:v>PDF pp. 3–10; Figs. 1–8</x:v>
      </x:c>
      <x:c r="I201" s="43" t="str">
        <x:v>Insufficient experimental replication</x:v>
      </x:c>
      <x:c r="J201" s="43" t="str">
        <x:v>The reported complete-device count was below the three-device minimum.</x:v>
      </x:c>
    </x:row>
    <x:row r="202" ht="26.399999618530273" hidden="0" customHeight="1">
      <x:c r="A202" s="9" t="n">
        <x:v>26</x:v>
      </x:c>
      <x:c r="B202" s="9" t="str">
        <x:v>S033</x:v>
      </x:c>
      <x:c r="C202" s="9" t="str">
        <x:v>Yu et al. (2020)</x:v>
      </x:c>
      <x:c r="D202" s="9" t="str">
        <x:v>L1</x:v>
      </x:c>
      <x:c r="E202" s="9" t="str">
        <x:v>0</x:v>
      </x:c>
      <x:c r="F202" s="9" t="str">
        <x:v>Initial agreement</x:v>
      </x:c>
      <x:c r="G202" s="9" t="str">
        <x:v>FDM/printer/material/melt temperature and geometry are reported, but nozzle diameter, layer height, speed, infill and toolpath are absent.</x:v>
      </x:c>
      <x:c r="H202" s="9" t="str">
        <x:v>PDF pp. 2–7; Figs. 1–5; cited SI</x:v>
      </x:c>
      <x:c r="I202" s="43" t="str">
        <x:v>Applicable fabrication information incomplete</x:v>
      </x:c>
      <x:c r="J202" s="43" t="str">
        <x:v>One or more architecture-relevant fabrication fields needed to reconstruct the tested printed component were not located.</x:v>
      </x:c>
    </x:row>
    <x:row r="203" ht="15" hidden="0" customHeight="1">
      <x:c r="A203" s="9" t="n">
        <x:v>26</x:v>
      </x:c>
      <x:c r="B203" s="9" t="str">
        <x:v>S033</x:v>
      </x:c>
      <x:c r="C203" s="9" t="str">
        <x:v>Yu et al. (2020)</x:v>
      </x:c>
      <x:c r="D203" s="9" t="str">
        <x:v>L2</x:v>
      </x:c>
      <x:c r="E203" s="9" t="str">
        <x:v>1</x:v>
      </x:c>
      <x:c r="F203" s="9" t="str">
        <x:v>Initial agreement</x:v>
      </x:c>
      <x:c r="G203" s="9" t="str">
        <x:v>TPE, CNT dispersion concentrations, thermal embedding and copper electrodes are described.</x:v>
      </x:c>
      <x:c r="H203" s="9" t="str">
        <x:v>PDF pp. 2–7; Figs. 1–5; cited SI</x:v>
      </x:c>
      <x:c r="I203" s="43" t="str"/>
      <x:c r="J203" s="43" t="str"/>
    </x:row>
    <x:row r="204" ht="15" hidden="0" customHeight="1">
      <x:c r="A204" s="9" t="n">
        <x:v>26</x:v>
      </x:c>
      <x:c r="B204" s="9" t="str">
        <x:v>S033</x:v>
      </x:c>
      <x:c r="C204" s="9" t="str">
        <x:v>Yu et al. (2020)</x:v>
      </x:c>
      <x:c r="D204" s="9" t="str">
        <x:v>L3</x:v>
      </x:c>
      <x:c r="E204" s="9" t="str">
        <x:v>1</x:v>
      </x:c>
      <x:c r="F204" s="9" t="str">
        <x:v>Initial agreement</x:v>
      </x:c>
      <x:c r="G204" s="9" t="str">
        <x:v>Universal tester/LCR measurement and strain/pressure protocols are described.</x:v>
      </x:c>
      <x:c r="H204" s="9" t="str">
        <x:v>PDF pp. 2–7; Figs. 1–5; cited SI</x:v>
      </x:c>
      <x:c r="I204" s="43" t="str"/>
      <x:c r="J204" s="43" t="str"/>
    </x:row>
    <x:row r="205" ht="15" hidden="0" customHeight="1">
      <x:c r="A205" s="9" t="n">
        <x:v>26</x:v>
      </x:c>
      <x:c r="B205" s="9" t="str">
        <x:v>S033</x:v>
      </x:c>
      <x:c r="C205" s="9" t="str">
        <x:v>Yu et al. (2020)</x:v>
      </x:c>
      <x:c r="D205" s="9" t="str">
        <x:v>L4</x:v>
      </x:c>
      <x:c r="E205" s="9" t="str">
        <x:v>1</x:v>
      </x:c>
      <x:c r="F205" s="9" t="str">
        <x:v>Initial agreement</x:v>
      </x:c>
      <x:c r="G205" s="9" t="str">
        <x:v>GF and pressure sensitivity equations, units and ranges are reported.</x:v>
      </x:c>
      <x:c r="H205" s="9" t="str">
        <x:v>PDF pp. 2–7; Figs. 1–5; cited SI</x:v>
      </x:c>
      <x:c r="I205" s="43" t="str"/>
      <x:c r="J205" s="43" t="str"/>
    </x:row>
    <x:row r="206" ht="15" hidden="0" customHeight="1">
      <x:c r="A206" s="9" t="n">
        <x:v>26</x:v>
      </x:c>
      <x:c r="B206" s="9" t="str">
        <x:v>S033</x:v>
      </x:c>
      <x:c r="C206" s="9" t="str">
        <x:v>Yu et al. (2020)</x:v>
      </x:c>
      <x:c r="D206" s="9" t="str">
        <x:v>L5</x:v>
      </x:c>
      <x:c r="E206" s="9" t="str">
        <x:v>1</x:v>
      </x:c>
      <x:c r="F206" s="9" t="str">
        <x:v>Initial agreement</x:v>
      </x:c>
      <x:c r="G206" s="9" t="str">
        <x:v>A 1000-cycle 10 kPa loading test reports about 30% baseline reduction and subsequent tendency toward stability.</x:v>
      </x:c>
      <x:c r="H206" s="9" t="str">
        <x:v>PDF pp. 2–7; Figs. 1–5; cited SI</x:v>
      </x:c>
      <x:c r="I206" s="43" t="str"/>
      <x:c r="J206" s="43" t="str"/>
    </x:row>
    <x:row r="207" ht="26.399999618530273" hidden="0" customHeight="1">
      <x:c r="A207" s="9" t="n">
        <x:v>26</x:v>
      </x:c>
      <x:c r="B207" s="9" t="str">
        <x:v>S033</x:v>
      </x:c>
      <x:c r="C207" s="9" t="str">
        <x:v>Yu et al. (2020)</x:v>
      </x:c>
      <x:c r="D207" s="9" t="str">
        <x:v>L6</x:v>
      </x:c>
      <x:c r="E207" s="9" t="str">
        <x:v>0</x:v>
      </x:c>
      <x:c r="F207" s="9" t="str">
        <x:v>Adjudicated to Reviewer 1</x:v>
      </x:c>
      <x:c r="G207" s="9" t="str">
        <x:v>Temperature/RH were test conditions for peel testing, not a varied exposure with sensor-response retention.</x:v>
      </x:c>
      <x:c r="H207" s="9" t="str">
        <x:v>PDF pp. 2–7; Figs. 1–5; cited SI</x:v>
      </x:c>
      <x:c r="I207" s="43" t="str">
        <x:v>No qualifying extrinsic-exposure evidence located</x:v>
      </x:c>
      <x:c r="J207" s="43" t="str">
        <x:v>No response was located during or after a deliberately applied condition extrinsic to the intended measurand.</x:v>
      </x:c>
    </x:row>
    <x:row r="208" ht="24" hidden="0" customHeight="1">
      <x:c r="A208" s="9" t="n">
        <x:v>26</x:v>
      </x:c>
      <x:c r="B208" s="9" t="str">
        <x:v>S033</x:v>
      </x:c>
      <x:c r="C208" s="9" t="str">
        <x:v>Yu et al. (2020)</x:v>
      </x:c>
      <x:c r="D208" s="9" t="str">
        <x:v>L7</x:v>
      </x:c>
      <x:c r="E208" s="9" t="str">
        <x:v>1</x:v>
      </x:c>
      <x:c r="F208" s="9" t="str">
        <x:v>Complete L7 audit—Route A</x:v>
      </x:c>
      <x:c r="G208" s="9" t="str">
        <x:v>Route A—direct interface: peel-off force was measured for coated, embedded and unmodified TPE sensing units pressed against test tape, directly evaluating retention of the CNT–TPE sensing interface.</x:v>
      </x:c>
      <x:c r="H208" s="9" t="str">
        <x:v>S033_Supplement_01.pdf, p. 2, Fig. S2; S033_Main.pdf, physical pp. 5–7</x:v>
      </x:c>
      <x:c r="I208" s="43" t="str"/>
      <x:c r="J208" s="43" t="str"/>
    </x:row>
    <x:row r="209" ht="26.399999618530273" hidden="0" customHeight="1">
      <x:c r="A209" s="9" t="n">
        <x:v>26</x:v>
      </x:c>
      <x:c r="B209" s="9" t="str">
        <x:v>S033</x:v>
      </x:c>
      <x:c r="C209" s="9" t="str">
        <x:v>Yu et al. (2020)</x:v>
      </x:c>
      <x:c r="D209" s="9" t="str">
        <x:v>L8</x:v>
      </x:c>
      <x:c r="E209" s="9" t="str">
        <x:v>0</x:v>
      </x:c>
      <x:c r="F209" s="9" t="str">
        <x:v>Initial agreement</x:v>
      </x:c>
      <x:c r="G209" s="9" t="str">
        <x:v>Thickness/concentration variants are not a ≥3 independent-device comparison; replicate count is not reported.</x:v>
      </x:c>
      <x:c r="H209" s="9" t="str">
        <x:v>PDF pp. 2–7; Figs. 1–5; cited SI</x:v>
      </x:c>
      <x:c r="I209" s="43" t="str">
        <x:v>Replication count unreported or unclear</x:v>
      </x:c>
      <x:c r="J209" s="43" t="str">
        <x:v>The report did not establish the number of independently fabricated complete devices under the same condition.</x:v>
      </x:c>
    </x:row>
    <x:row r="210" ht="26.399999618530273" hidden="0" customHeight="1">
      <x:c r="A210" s="9" t="n">
        <x:v>27</x:v>
      </x:c>
      <x:c r="B210" s="9" t="str">
        <x:v>S034</x:v>
      </x:c>
      <x:c r="C210" s="9" t="str">
        <x:v>Zhang et al. (2026)</x:v>
      </x:c>
      <x:c r="D210" s="9" t="str">
        <x:v>L1</x:v>
      </x:c>
      <x:c r="E210" s="9" t="str">
        <x:v>0</x:v>
      </x:c>
      <x:c r="F210" s="9" t="str">
        <x:v>Initial agreement</x:v>
      </x:c>
      <x:c r="G210" s="9" t="str">
        <x:v>FDM/printer/material/nozzle and bed temperatures are reported, but layer height, speed, infill and toolpath are absent from the main method.</x:v>
      </x:c>
      <x:c r="H210" s="9" t="str">
        <x:v>PDF pp. 2–9; Figs. 1–5; cited SI</x:v>
      </x:c>
      <x:c r="I210" s="43" t="str">
        <x:v>Applicable fabrication information incomplete</x:v>
      </x:c>
      <x:c r="J210" s="43" t="str">
        <x:v>One or more architecture-relevant fabrication fields needed to reconstruct the tested printed component were not located.</x:v>
      </x:c>
    </x:row>
    <x:row r="211" ht="15" hidden="0" customHeight="1">
      <x:c r="A211" s="9" t="n">
        <x:v>27</x:v>
      </x:c>
      <x:c r="B211" s="9" t="str">
        <x:v>S034</x:v>
      </x:c>
      <x:c r="C211" s="9" t="str">
        <x:v>Zhang et al. (2026)</x:v>
      </x:c>
      <x:c r="D211" s="9" t="str">
        <x:v>L2</x:v>
      </x:c>
      <x:c r="E211" s="9" t="str">
        <x:v>1</x:v>
      </x:c>
      <x:c r="F211" s="9" t="str">
        <x:v>Initial agreement</x:v>
      </x:c>
      <x:c r="G211" s="9" t="str">
        <x:v>ABS fluidics, cotton, ion-selective/reference electrode compositions and readout are described.</x:v>
      </x:c>
      <x:c r="H211" s="9" t="str">
        <x:v>PDF pp. 2–9; Figs. 1–5; cited SI</x:v>
      </x:c>
      <x:c r="I211" s="43" t="str"/>
      <x:c r="J211" s="43" t="str"/>
    </x:row>
    <x:row r="212" ht="15" hidden="0" customHeight="1">
      <x:c r="A212" s="9" t="n">
        <x:v>27</x:v>
      </x:c>
      <x:c r="B212" s="9" t="str">
        <x:v>S034</x:v>
      </x:c>
      <x:c r="C212" s="9" t="str">
        <x:v>Zhang et al. (2026)</x:v>
      </x:c>
      <x:c r="D212" s="9" t="str">
        <x:v>L3</x:v>
      </x:c>
      <x:c r="E212" s="9" t="str">
        <x:v>1</x:v>
      </x:c>
      <x:c r="F212" s="9" t="str">
        <x:v>Initial agreement</x:v>
      </x:c>
      <x:c r="G212" s="9" t="str">
        <x:v>Standard solutions and ion chromatography are used under stated procedures.</x:v>
      </x:c>
      <x:c r="H212" s="9" t="str">
        <x:v>PDF pp. 2–9; Figs. 1–5; cited SI</x:v>
      </x:c>
      <x:c r="I212" s="43" t="str"/>
      <x:c r="J212" s="43" t="str"/>
    </x:row>
    <x:row r="213" ht="15" hidden="0" customHeight="1">
      <x:c r="A213" s="9" t="n">
        <x:v>27</x:v>
      </x:c>
      <x:c r="B213" s="9" t="str">
        <x:v>S034</x:v>
      </x:c>
      <x:c r="C213" s="9" t="str">
        <x:v>Zhang et al. (2026)</x:v>
      </x:c>
      <x:c r="D213" s="9" t="str">
        <x:v>L4</x:v>
      </x:c>
      <x:c r="E213" s="9" t="str">
        <x:v>1</x:v>
      </x:c>
      <x:c r="F213" s="9" t="str">
        <x:v>Initial agreement</x:v>
      </x:c>
      <x:c r="G213" s="9" t="str">
        <x:v>Calibration range, slopes, LOD, RSD and biofluid concentrations are reported.</x:v>
      </x:c>
      <x:c r="H213" s="9" t="str">
        <x:v>PDF pp. 2–9; Figs. 1–5; cited SI</x:v>
      </x:c>
      <x:c r="I213" s="43" t="str"/>
      <x:c r="J213" s="43" t="str"/>
    </x:row>
    <x:row r="214" ht="15" hidden="0" customHeight="1">
      <x:c r="A214" s="9" t="n">
        <x:v>27</x:v>
      </x:c>
      <x:c r="B214" s="9" t="str">
        <x:v>S034</x:v>
      </x:c>
      <x:c r="C214" s="9" t="str">
        <x:v>Zhang et al. (2026)</x:v>
      </x:c>
      <x:c r="D214" s="9" t="str">
        <x:v>L5</x:v>
      </x:c>
      <x:c r="E214" s="9" t="str">
        <x:v>1</x:v>
      </x:c>
      <x:c r="F214" s="9" t="str">
        <x:v>Initial agreement</x:v>
      </x:c>
      <x:c r="G214" s="9" t="str">
        <x:v>Sixty–seventy structural wash cycles and 30 response/carryover cycles report retained function.</x:v>
      </x:c>
      <x:c r="H214" s="9" t="str">
        <x:v>PDF pp. 2–9; Figs. 1–5; cited SI</x:v>
      </x:c>
      <x:c r="I214" s="43" t="str"/>
      <x:c r="J214" s="43" t="str"/>
    </x:row>
    <x:row r="215" ht="36" hidden="0" customHeight="1">
      <x:c r="A215" s="9" t="n">
        <x:v>27</x:v>
      </x:c>
      <x:c r="B215" s="9" t="str">
        <x:v>S034</x:v>
      </x:c>
      <x:c r="C215" s="9" t="str">
        <x:v>Zhang et al. (2026)</x:v>
      </x:c>
      <x:c r="D215" s="9" t="str">
        <x:v>L6</x:v>
      </x:c>
      <x:c r="E215" s="9" t="str">
        <x:v>1</x:v>
      </x:c>
      <x:c r="F215" s="9" t="str">
        <x:v>L6 subtype audit</x:v>
      </x:c>
      <x:c r="G215" s="9" t="str">
        <x:v>Post-exposure retention only; defined reference/recovery not reported: Response across wash/reuse cycles was reported, but no separate drying or recovery interval was defined. Evidence: Water/ethanol washing is a declared use-related exposure with response and structural outcomes.</x:v>
      </x:c>
      <x:c r="H215" s="9" t="str">
        <x:v>PDF pp. 2–9; Figs. 1–5; cited SI</x:v>
      </x:c>
      <x:c r="I215" s="43" t="str"/>
      <x:c r="J215" s="43" t="str"/>
    </x:row>
    <x:row r="216" ht="36" hidden="0" customHeight="1">
      <x:c r="A216" s="9" t="n">
        <x:v>27</x:v>
      </x:c>
      <x:c r="B216" s="9" t="str">
        <x:v>S034</x:v>
      </x:c>
      <x:c r="C216" s="9" t="str">
        <x:v>Zhang et al. (2026)</x:v>
      </x:c>
      <x:c r="D216" s="9" t="str">
        <x:v>L7</x:v>
      </x:c>
      <x:c r="E216" s="9" t="str">
        <x:v>1</x:v>
      </x:c>
      <x:c r="F216" s="9" t="str">
        <x:v>Complete L7 audit—Route A</x:v>
      </x:c>
      <x:c r="G216" s="9" t="str">
        <x:v>Route A—direct interface: leakage was monitored during repeated wash/reuse cycles of the fused microfluidic-on-fabric structure; fabric devices remained functional for 60–70 cycles and the complete platform retained stable voltage readings over 30 reuse cycles.</x:v>
      </x:c>
      <x:c r="H216" s="9" t="str">
        <x:v>S034_Main.pdf, physical pp. 4–7, Figs. 1C and 3B–D</x:v>
      </x:c>
      <x:c r="I216" s="43" t="str"/>
      <x:c r="J216" s="43" t="str"/>
    </x:row>
    <x:row r="217" ht="15" hidden="0" customHeight="1">
      <x:c r="A217" s="9" t="n">
        <x:v>27</x:v>
      </x:c>
      <x:c r="B217" s="9" t="str">
        <x:v>S034</x:v>
      </x:c>
      <x:c r="C217" s="9" t="str">
        <x:v>Zhang et al. (2026)</x:v>
      </x:c>
      <x:c r="D217" s="9" t="str">
        <x:v>L8</x:v>
      </x:c>
      <x:c r="E217" s="9" t="str">
        <x:v>1</x:v>
      </x:c>
      <x:c r="F217" s="9" t="str">
        <x:v>Adjudicated to Reviewer 1</x:v>
      </x:c>
      <x:c r="G217" s="9" t="str">
        <x:v>Three complete sensor devices were used for accuracy tests and three-sensor RSDs were reported.</x:v>
      </x:c>
      <x:c r="H217" s="9" t="str">
        <x:v>PDF pp. 2–9; Figs. 1–5; cited SI</x:v>
      </x:c>
      <x:c r="I217" s="43" t="str"/>
      <x:c r="J217" s="43" t="str"/>
    </x:row>
    <x:row r="218" ht="26.399999618530273" hidden="0" customHeight="1">
      <x:c r="A218" s="9" t="n">
        <x:v>28</x:v>
      </x:c>
      <x:c r="B218" s="9" t="str">
        <x:v>S035</x:v>
      </x:c>
      <x:c r="C218" s="9" t="str">
        <x:v>Katseli et al. (2021)</x:v>
      </x:c>
      <x:c r="D218" s="9" t="str">
        <x:v>L1</x:v>
      </x:c>
      <x:c r="E218" s="9" t="str">
        <x:v>0</x:v>
      </x:c>
      <x:c r="F218" s="9" t="str">
        <x:v>Initial agreement</x:v>
      </x:c>
      <x:c r="G218" s="9" t="str">
        <x:v>FDM/printer/material/temperatures/speed and geometry are reported, but nozzle diameter, layer height, infill and toolpath are absent.</x:v>
      </x:c>
      <x:c r="H218" s="9" t="str">
        <x:v>PDF pp. 1–5; Figs. 1–4; cited SI</x:v>
      </x:c>
      <x:c r="I218" s="43" t="str">
        <x:v>Applicable fabrication information incomplete</x:v>
      </x:c>
      <x:c r="J218" s="43" t="str">
        <x:v>One or more architecture-relevant fabrication fields needed to reconstruct the tested printed component were not located.</x:v>
      </x:c>
    </x:row>
    <x:row r="219" ht="15" hidden="0" customHeight="1">
      <x:c r="A219" s="9" t="n">
        <x:v>28</x:v>
      </x:c>
      <x:c r="B219" s="9" t="str">
        <x:v>S035</x:v>
      </x:c>
      <x:c r="C219" s="9" t="str">
        <x:v>Katseli et al. (2021)</x:v>
      </x:c>
      <x:c r="D219" s="9" t="str">
        <x:v>L2</x:v>
      </x:c>
      <x:c r="E219" s="9" t="str">
        <x:v>1</x:v>
      </x:c>
      <x:c r="F219" s="9" t="str">
        <x:v>Initial agreement</x:v>
      </x:c>
      <x:c r="G219" s="9" t="str">
        <x:v>Conductive and nonconductive filament roles, gold modification and readout are described.</x:v>
      </x:c>
      <x:c r="H219" s="9" t="str">
        <x:v>PDF pp. 1–5; Figs. 1–4; cited SI</x:v>
      </x:c>
      <x:c r="I219" s="43" t="str"/>
      <x:c r="J219" s="43" t="str"/>
    </x:row>
    <x:row r="220" ht="15" hidden="0" customHeight="1">
      <x:c r="A220" s="9" t="n">
        <x:v>28</x:v>
      </x:c>
      <x:c r="B220" s="9" t="str">
        <x:v>S035</x:v>
      </x:c>
      <x:c r="C220" s="9" t="str">
        <x:v>Katseli et al. (2021)</x:v>
      </x:c>
      <x:c r="D220" s="9" t="str">
        <x:v>L3</x:v>
      </x:c>
      <x:c r="E220" s="9" t="str">
        <x:v>1</x:v>
      </x:c>
      <x:c r="F220" s="9" t="str">
        <x:v>Initial agreement</x:v>
      </x:c>
      <x:c r="G220" s="9" t="str">
        <x:v>Artificial-sweat calibration and reference-electrode comparison procedures are stated.</x:v>
      </x:c>
      <x:c r="H220" s="9" t="str">
        <x:v>PDF pp. 1–5; Figs. 1–4; cited SI</x:v>
      </x:c>
      <x:c r="I220" s="43" t="str"/>
      <x:c r="J220" s="43" t="str"/>
    </x:row>
    <x:row r="221" ht="15" hidden="0" customHeight="1">
      <x:c r="A221" s="9" t="n">
        <x:v>28</x:v>
      </x:c>
      <x:c r="B221" s="9" t="str">
        <x:v>S035</x:v>
      </x:c>
      <x:c r="C221" s="9" t="str">
        <x:v>Katseli et al. (2021)</x:v>
      </x:c>
      <x:c r="D221" s="9" t="str">
        <x:v>L4</x:v>
      </x:c>
      <x:c r="E221" s="9" t="str">
        <x:v>1</x:v>
      </x:c>
      <x:c r="F221" s="9" t="str">
        <x:v>Initial agreement</x:v>
      </x:c>
      <x:c r="G221" s="9" t="str">
        <x:v>Range, LOD, RSD, stability and on-body ratios are reported.</x:v>
      </x:c>
      <x:c r="H221" s="9" t="str">
        <x:v>PDF pp. 1–5; Figs. 1–4; cited SI</x:v>
      </x:c>
      <x:c r="I221" s="43" t="str"/>
      <x:c r="J221" s="43" t="str"/>
    </x:row>
    <x:row r="222" ht="15" hidden="0" customHeight="1">
      <x:c r="A222" s="9" t="n">
        <x:v>28</x:v>
      </x:c>
      <x:c r="B222" s="9" t="str">
        <x:v>S035</x:v>
      </x:c>
      <x:c r="C222" s="9" t="str">
        <x:v>Katseli et al. (2021)</x:v>
      </x:c>
      <x:c r="D222" s="9" t="str">
        <x:v>L5</x:v>
      </x:c>
      <x:c r="E222" s="9" t="str">
        <x:v>1</x:v>
      </x:c>
      <x:c r="F222" s="9" t="str">
        <x:v>Initial agreement</x:v>
      </x:c>
      <x:c r="G222" s="9" t="str">
        <x:v>Ten-day triplicate measurements and 15 bending cycles report stability.</x:v>
      </x:c>
      <x:c r="H222" s="9" t="str">
        <x:v>PDF pp. 1–5; Figs. 1–4; cited SI</x:v>
      </x:c>
      <x:c r="I222" s="43" t="str"/>
      <x:c r="J222" s="43" t="str"/>
    </x:row>
    <x:row r="223" ht="36" hidden="0" customHeight="1">
      <x:c r="A223" s="9" t="n">
        <x:v>28</x:v>
      </x:c>
      <x:c r="B223" s="9" t="str">
        <x:v>S035</x:v>
      </x:c>
      <x:c r="C223" s="9" t="str">
        <x:v>Katseli et al. (2021)</x:v>
      </x:c>
      <x:c r="D223" s="9" t="str">
        <x:v>L6</x:v>
      </x:c>
      <x:c r="E223" s="9" t="str">
        <x:v>1</x:v>
      </x:c>
      <x:c r="F223" s="9" t="str">
        <x:v>L6 subtype audit</x:v>
      </x:c>
      <x:c r="G223" s="9" t="str">
        <x:v>Post-exposure retention only; defined reference/recovery reported: Daily washing followed by ambient storage before subsequent measurements was reported. Evidence: Daily washing/ambient storage over 10 days is a declared exposure with retained response.</x:v>
      </x:c>
      <x:c r="H223" s="9" t="str">
        <x:v>PDF pp. 1–5; Figs. 1–4; cited SI</x:v>
      </x:c>
      <x:c r="I223" s="43" t="str"/>
      <x:c r="J223" s="43" t="str"/>
    </x:row>
    <x:row r="224" ht="26.399999618530273" hidden="0" customHeight="1">
      <x:c r="A224" s="9" t="n">
        <x:v>28</x:v>
      </x:c>
      <x:c r="B224" s="9" t="str">
        <x:v>S035</x:v>
      </x:c>
      <x:c r="C224" s="9" t="str">
        <x:v>Katseli et al. (2021)</x:v>
      </x:c>
      <x:c r="D224" s="9" t="str">
        <x:v>L7</x:v>
      </x:c>
      <x:c r="E224" s="9" t="str">
        <x:v>0</x:v>
      </x:c>
      <x:c r="F224" s="9" t="str">
        <x:v>Complete L7 audit—not qualifying</x:v>
      </x:c>
      <x:c r="G224" s="9" t="str">
        <x:v>Ten-day stability follows three daily measurements in artificial sweat, washing and room storage. Fifteen bending cycles are described using the illustrated ring deformation; on-body meal monitoring is separate.</x:v>
      </x:c>
      <x:c r="H224" s="9" t="str">
        <x:v>S035_Main.pdf, physical pp. 3-5, stability protocol/Fig. 4a versus on-body Fig. 4b; p. 2, Fig. 1B.</x:v>
      </x:c>
      <x:c r="I224" s="43" t="str">
        <x:v>No qualifying interface/final-assembly endpoint located</x:v>
      </x:c>
      <x:c r="J224" s="43" t="str">
        <x:v>Neither a Route A interface endpoint nor a Route B repeated final-assembly retention/failure endpoint was located.</x:v>
      </x:c>
    </x:row>
    <x:row r="225" ht="15" hidden="0" customHeight="1">
      <x:c r="A225" s="9" t="n">
        <x:v>28</x:v>
      </x:c>
      <x:c r="B225" s="9" t="str">
        <x:v>S035</x:v>
      </x:c>
      <x:c r="C225" s="9" t="str">
        <x:v>Katseli et al. (2021)</x:v>
      </x:c>
      <x:c r="D225" s="9" t="str">
        <x:v>L8</x:v>
      </x:c>
      <x:c r="E225" s="9" t="str">
        <x:v>1</x:v>
      </x:c>
      <x:c r="F225" s="9" t="str">
        <x:v>Initial agreement</x:v>
      </x:c>
      <x:c r="G225" s="9" t="str">
        <x:v>Four rings were compared for glucose response and six rings for reference potential.</x:v>
      </x:c>
      <x:c r="H225" s="9" t="str">
        <x:v>PDF pp. 1–5; Figs. 1–4; cited SI</x:v>
      </x:c>
      <x:c r="I225" s="43" t="str"/>
      <x:c r="J225" s="43" t="str"/>
    </x:row>
    <x:row r="226" ht="26.399999618530273" hidden="0" customHeight="1">
      <x:c r="A226" s="9" t="n">
        <x:v>29</x:v>
      </x:c>
      <x:c r="B226" s="9" t="str">
        <x:v>S036</x:v>
      </x:c>
      <x:c r="C226" s="9" t="str">
        <x:v>Xuan et al. (2026)</x:v>
      </x:c>
      <x:c r="D226" s="9" t="str">
        <x:v>L1</x:v>
      </x:c>
      <x:c r="E226" s="9" t="str">
        <x:v>0</x:v>
      </x:c>
      <x:c r="F226" s="9" t="str">
        <x:v>Initial agreement</x:v>
      </x:c>
      <x:c r="G226" s="9" t="str">
        <x:v>FFF term, functional filaments, temperatures, speed, infill, functional-layer/channel dimensions and geometry are reported, but the printer model and nozzle diameter are not.</x:v>
      </x:c>
      <x:c r="H226" s="9" t="str">
        <x:v>PDF pp. 2–11; Figs. 1–6; cited SI</x:v>
      </x:c>
      <x:c r="I226" s="43" t="str">
        <x:v>Applicable fabrication information incomplete</x:v>
      </x:c>
      <x:c r="J226" s="43" t="str">
        <x:v>One or more architecture-relevant fabrication fields needed to reconstruct the tested printed component were not located.</x:v>
      </x:c>
    </x:row>
    <x:row r="227" ht="15" hidden="0" customHeight="1">
      <x:c r="A227" s="9" t="n">
        <x:v>29</x:v>
      </x:c>
      <x:c r="B227" s="9" t="str">
        <x:v>S036</x:v>
      </x:c>
      <x:c r="C227" s="9" t="str">
        <x:v>Xuan et al. (2026)</x:v>
      </x:c>
      <x:c r="D227" s="9" t="str">
        <x:v>L2</x:v>
      </x:c>
      <x:c r="E227" s="9" t="str">
        <x:v>1</x:v>
      </x:c>
      <x:c r="F227" s="9" t="str">
        <x:v>Initial agreement</x:v>
      </x:c>
      <x:c r="G227" s="9" t="str">
        <x:v>CB-PLA/PLA layers, electrode roles, microfluidics, adhesive and readout are described.</x:v>
      </x:c>
      <x:c r="H227" s="9" t="str">
        <x:v>PDF pp. 2–11; Figs. 1–6; cited SI</x:v>
      </x:c>
      <x:c r="I227" s="43" t="str"/>
      <x:c r="J227" s="43" t="str"/>
    </x:row>
    <x:row r="228" ht="15" hidden="0" customHeight="1">
      <x:c r="A228" s="9" t="n">
        <x:v>29</x:v>
      </x:c>
      <x:c r="B228" s="9" t="str">
        <x:v>S036</x:v>
      </x:c>
      <x:c r="C228" s="9" t="str">
        <x:v>Xuan et al. (2026)</x:v>
      </x:c>
      <x:c r="D228" s="9" t="str">
        <x:v>L3</x:v>
      </x:c>
      <x:c r="E228" s="9" t="str">
        <x:v>1</x:v>
      </x:c>
      <x:c r="F228" s="9" t="str">
        <x:v>Initial agreement</x:v>
      </x:c>
      <x:c r="G228" s="9" t="str">
        <x:v>Syringe-pump/timer references and on-body comparison protocols are reported.</x:v>
      </x:c>
      <x:c r="H228" s="9" t="str">
        <x:v>PDF pp. 2–11; Figs. 1–6; cited SI</x:v>
      </x:c>
      <x:c r="I228" s="43" t="str"/>
      <x:c r="J228" s="43" t="str"/>
    </x:row>
    <x:row r="229" ht="15" hidden="0" customHeight="1">
      <x:c r="A229" s="9" t="n">
        <x:v>29</x:v>
      </x:c>
      <x:c r="B229" s="9" t="str">
        <x:v>S036</x:v>
      </x:c>
      <x:c r="C229" s="9" t="str">
        <x:v>Xuan et al. (2026)</x:v>
      </x:c>
      <x:c r="D229" s="9" t="str">
        <x:v>L4</x:v>
      </x:c>
      <x:c r="E229" s="9" t="str">
        <x:v>1</x:v>
      </x:c>
      <x:c r="F229" s="9" t="str">
        <x:v>Initial agreement</x:v>
      </x:c>
      <x:c r="G229" s="9" t="str">
        <x:v>Calibration equations, rate ranges, differences, correlations and uncertainty/dispersion are reported.</x:v>
      </x:c>
      <x:c r="H229" s="9" t="str">
        <x:v>PDF pp. 2–11; Figs. 1–6; cited SI</x:v>
      </x:c>
      <x:c r="I229" s="43" t="str"/>
      <x:c r="J229" s="43" t="str"/>
    </x:row>
    <x:row r="230" ht="15" hidden="0" customHeight="1">
      <x:c r="A230" s="9" t="n">
        <x:v>29</x:v>
      </x:c>
      <x:c r="B230" s="9" t="str">
        <x:v>S036</x:v>
      </x:c>
      <x:c r="C230" s="9" t="str">
        <x:v>Xuan et al. (2026)</x:v>
      </x:c>
      <x:c r="D230" s="9" t="str">
        <x:v>L5</x:v>
      </x:c>
      <x:c r="E230" s="9" t="str">
        <x:v>1</x:v>
      </x:c>
      <x:c r="F230" s="9" t="str">
        <x:v>Initial agreement</x:v>
      </x:c>
      <x:c r="G230" s="9" t="str">
        <x:v>Repeated fixed-rate observations with n=6–8 and standard deviations report repeated-measurement precision.</x:v>
      </x:c>
      <x:c r="H230" s="9" t="str">
        <x:v>PDF pp. 2–11; Figs. 1–6; cited SI</x:v>
      </x:c>
      <x:c r="I230" s="43" t="str"/>
      <x:c r="J230" s="43" t="str"/>
    </x:row>
    <x:row r="231" ht="24" hidden="0" customHeight="1">
      <x:c r="A231" s="9" t="n">
        <x:v>29</x:v>
      </x:c>
      <x:c r="B231" s="9" t="str">
        <x:v>S036</x:v>
      </x:c>
      <x:c r="C231" s="9" t="str">
        <x:v>Xuan et al. (2026)</x:v>
      </x:c>
      <x:c r="D231" s="9" t="str">
        <x:v>L6</x:v>
      </x:c>
      <x:c r="E231" s="9" t="str">
        <x:v>1</x:v>
      </x:c>
      <x:c r="F231" s="9" t="str">
        <x:v>L6 subtype audit</x:v>
      </x:c>
      <x:c r="G231" s="9" t="str">
        <x:v>In-exposure cross-sensitivity only: Temperature 24–40 °C and concentration 0.5×–1.25× were varied with sweat-rate deviation reported.</x:v>
      </x:c>
      <x:c r="H231" s="9" t="str">
        <x:v>PDF pp. 2–11; Figs. 1–6; cited SI</x:v>
      </x:c>
      <x:c r="I231" s="43" t="str"/>
      <x:c r="J231" s="43" t="str"/>
    </x:row>
    <x:row r="232" ht="24" hidden="0" customHeight="1">
      <x:c r="A232" s="9" t="n">
        <x:v>29</x:v>
      </x:c>
      <x:c r="B232" s="9" t="str">
        <x:v>S036</x:v>
      </x:c>
      <x:c r="C232" s="9" t="str">
        <x:v>Xuan et al. (2026)</x:v>
      </x:c>
      <x:c r="D232" s="9" t="str">
        <x:v>L7</x:v>
      </x:c>
      <x:c r="E232" s="9" t="str">
        <x:v>1</x:v>
      </x:c>
      <x:c r="F232" s="9" t="str">
        <x:v>Complete L7 audit—Route B</x:v>
      </x:c>
      <x:c r="G232" s="9" t="str">
        <x:v>Route B—integrated assembly: the attached sweat-rate device was monitored until the explicit system-capacity failure endpoint at approximately 2200 seconds.</x:v>
      </x:c>
      <x:c r="H232" s="9" t="str">
        <x:v>S036_Main.pdf, physical p. 3, assembly/cycling protocol; pp. 9–10, on-body section and Fig. 6</x:v>
      </x:c>
      <x:c r="I232" s="43" t="str"/>
      <x:c r="J232" s="43" t="str"/>
    </x:row>
    <x:row r="233" ht="26.399999618530273" hidden="0" customHeight="1">
      <x:c r="A233" s="9" t="n">
        <x:v>29</x:v>
      </x:c>
      <x:c r="B233" s="9" t="str">
        <x:v>S036</x:v>
      </x:c>
      <x:c r="C233" s="9" t="str">
        <x:v>Xuan et al. (2026)</x:v>
      </x:c>
      <x:c r="D233" s="9" t="str">
        <x:v>L8</x:v>
      </x:c>
      <x:c r="E233" s="9" t="str">
        <x:v>0</x:v>
      </x:c>
      <x:c r="F233" s="9" t="str">
        <x:v>Initial agreement</x:v>
      </x:c>
      <x:c r="G233" s="9" t="str">
        <x:v>Replicate observations and two participants are reported; ≥3 separate fabricated devices are not identified.</x:v>
      </x:c>
      <x:c r="H233" s="9" t="str">
        <x:v>PDF pp. 2–11; Figs. 1–6; cited SI</x:v>
      </x:c>
      <x:c r="I233" s="43" t="str">
        <x:v>Replication count unreported or unclear</x:v>
      </x:c>
      <x:c r="J233" s="43" t="str">
        <x:v>The report did not establish the number of independently fabricated complete devices under the same condition.</x:v>
      </x:c>
    </x:row>
    <x:row r="234" ht="26.399999618530273" hidden="0" customHeight="1">
      <x:c r="A234" s="9" t="n">
        <x:v>30</x:v>
      </x:c>
      <x:c r="B234" s="9" t="str">
        <x:v>S037</x:v>
      </x:c>
      <x:c r="C234" s="9" t="str">
        <x:v>Wolterink et al. (2021)</x:v>
      </x:c>
      <x:c r="D234" s="9" t="str">
        <x:v>L1</x:v>
      </x:c>
      <x:c r="E234" s="9" t="str">
        <x:v>0</x:v>
      </x:c>
      <x:c r="F234" s="9" t="str">
        <x:v>Initial agreement</x:v>
      </x:c>
      <x:c r="G234" s="9" t="str">
        <x:v>Printer, materials, layer height, gauge path and geometry are reported, but nozzle, temperatures, speed and sensor infill are absent.</x:v>
      </x:c>
      <x:c r="H234" s="9" t="str">
        <x:v>PDF pp. 1–10; Figs. 1–16</x:v>
      </x:c>
      <x:c r="I234" s="43" t="str">
        <x:v>Applicable fabrication information incomplete</x:v>
      </x:c>
      <x:c r="J234" s="43" t="str">
        <x:v>One or more architecture-relevant fabrication fields needed to reconstruct the tested printed component were not located.</x:v>
      </x:c>
    </x:row>
    <x:row r="235" ht="15" hidden="0" customHeight="1">
      <x:c r="A235" s="9" t="n">
        <x:v>30</x:v>
      </x:c>
      <x:c r="B235" s="9" t="str">
        <x:v>S037</x:v>
      </x:c>
      <x:c r="C235" s="9" t="str">
        <x:v>Wolterink et al. (2021)</x:v>
      </x:c>
      <x:c r="D235" s="9" t="str">
        <x:v>L2</x:v>
      </x:c>
      <x:c r="E235" s="9" t="str">
        <x:v>1</x:v>
      </x:c>
      <x:c r="F235" s="9" t="str">
        <x:v>Initial agreement</x:v>
      </x:c>
      <x:c r="G235" s="9" t="str">
        <x:v>Conductive/nonconductive TPU, PETG, contacts, gauge and bridge roles are described.</x:v>
      </x:c>
      <x:c r="H235" s="9" t="str">
        <x:v>PDF pp. 1–10; Figs. 1–16</x:v>
      </x:c>
      <x:c r="I235" s="43" t="str"/>
      <x:c r="J235" s="43" t="str"/>
    </x:row>
    <x:row r="236" ht="15" hidden="0" customHeight="1">
      <x:c r="A236" s="9" t="n">
        <x:v>30</x:v>
      </x:c>
      <x:c r="B236" s="9" t="str">
        <x:v>S037</x:v>
      </x:c>
      <x:c r="C236" s="9" t="str">
        <x:v>Wolterink et al. (2021)</x:v>
      </x:c>
      <x:c r="D236" s="9" t="str">
        <x:v>L3</x:v>
      </x:c>
      <x:c r="E236" s="9" t="str">
        <x:v>1</x:v>
      </x:c>
      <x:c r="F236" s="9" t="str">
        <x:v>Initial agreement</x:v>
      </x:c>
      <x:c r="G236" s="9" t="str">
        <x:v>Actuator/load-cell references, angles, force, frequency and processing are reported.</x:v>
      </x:c>
      <x:c r="H236" s="9" t="str">
        <x:v>PDF pp. 1–10; Figs. 1–16</x:v>
      </x:c>
      <x:c r="I236" s="43" t="str"/>
      <x:c r="J236" s="43" t="str"/>
    </x:row>
    <x:row r="237" ht="15" hidden="0" customHeight="1">
      <x:c r="A237" s="9" t="n">
        <x:v>30</x:v>
      </x:c>
      <x:c r="B237" s="9" t="str">
        <x:v>S037</x:v>
      </x:c>
      <x:c r="C237" s="9" t="str">
        <x:v>Wolterink et al. (2021)</x:v>
      </x:c>
      <x:c r="D237" s="9" t="str">
        <x:v>L4</x:v>
      </x:c>
      <x:c r="E237" s="9" t="str">
        <x:v>1</x:v>
      </x:c>
      <x:c r="F237" s="9" t="str">
        <x:v>Initial agreement</x:v>
      </x:c>
      <x:c r="G237" s="9" t="str">
        <x:v>Normalized output and stated force/strain ranges are reported; performance is chiefly graphical.</x:v>
      </x:c>
      <x:c r="H237" s="9" t="str">
        <x:v>PDF pp. 1–10; Figs. 1–16</x:v>
      </x:c>
      <x:c r="I237" s="43" t="str"/>
      <x:c r="J237" s="43" t="str"/>
    </x:row>
    <x:row r="238" ht="24" hidden="0" customHeight="1">
      <x:c r="A238" s="9" t="n">
        <x:v>30</x:v>
      </x:c>
      <x:c r="B238" s="9" t="str">
        <x:v>S037</x:v>
      </x:c>
      <x:c r="C238" s="9" t="str">
        <x:v>Wolterink et al. (2021)</x:v>
      </x:c>
      <x:c r="D238" s="9" t="str">
        <x:v>L5</x:v>
      </x:c>
      <x:c r="E238" s="9" t="str">
        <x:v>1</x:v>
      </x:c>
      <x:c r="F238" s="9" t="str">
        <x:v>Initial agreement</x:v>
      </x:c>
      <x:c r="G238" s="9" t="str">
        <x:v>Ten material cycles and approximately ten sensor cycles per condition are summarized with means/SD and settling behavior.</x:v>
      </x:c>
      <x:c r="H238" s="9" t="str">
        <x:v>PDF pp. 1–10; Figs. 1–16</x:v>
      </x:c>
      <x:c r="I238" s="43" t="str"/>
      <x:c r="J238" s="43" t="str"/>
    </x:row>
    <x:row r="239" ht="26.399999618530273" hidden="0" customHeight="1">
      <x:c r="A239" s="9" t="n">
        <x:v>30</x:v>
      </x:c>
      <x:c r="B239" s="9" t="str">
        <x:v>S037</x:v>
      </x:c>
      <x:c r="C239" s="9" t="str">
        <x:v>Wolterink et al. (2021)</x:v>
      </x:c>
      <x:c r="D239" s="9" t="str">
        <x:v>L6</x:v>
      </x:c>
      <x:c r="E239" s="9" t="str">
        <x:v>0</x:v>
      </x:c>
      <x:c r="F239" s="9" t="str">
        <x:v>Initial agreement</x:v>
      </x:c>
      <x:c r="G239" s="9" t="str">
        <x:v>No qualifying environmental/use exposure was tested.</x:v>
      </x:c>
      <x:c r="H239" s="9" t="str">
        <x:v>PDF pp. 1–10; Figs. 1–16</x:v>
      </x:c>
      <x:c r="I239" s="43" t="str">
        <x:v>No qualifying extrinsic-exposure evidence located</x:v>
      </x:c>
      <x:c r="J239" s="43" t="str">
        <x:v>No response was located during or after a deliberately applied condition extrinsic to the intended measurand.</x:v>
      </x:c>
    </x:row>
    <x:row r="240" ht="26.399999618530273" hidden="0" customHeight="1">
      <x:c r="A240" s="9" t="n">
        <x:v>30</x:v>
      </x:c>
      <x:c r="B240" s="9" t="str">
        <x:v>S037</x:v>
      </x:c>
      <x:c r="C240" s="9" t="str">
        <x:v>Wolterink et al. (2021)</x:v>
      </x:c>
      <x:c r="D240" s="9" t="str">
        <x:v>L7</x:v>
      </x:c>
      <x:c r="E240" s="9" t="str">
        <x:v>0</x:v>
      </x:c>
      <x:c r="F240" s="9" t="str">
        <x:v>Complete L7 audit—not qualifying</x:v>
      </x:c>
      <x:c r="G240" s="9" t="str">
        <x:v>No qualifying interface-integrity test or repeated final monolithic wearable-assembly test with a retention/failure endpoint was located.</x:v>
      </x:c>
      <x:c r="H240" s="9" t="str">
        <x:v>PDF pp. 1–10; Figs. 1–16</x:v>
      </x:c>
      <x:c r="I240" s="43" t="str">
        <x:v>No qualifying interface/final-assembly endpoint located</x:v>
      </x:c>
      <x:c r="J240" s="43" t="str">
        <x:v>Neither a Route A interface endpoint nor a Route B repeated final-assembly retention/failure endpoint was located.</x:v>
      </x:c>
    </x:row>
    <x:row r="241" ht="39.599998474121094" hidden="0" customHeight="1">
      <x:c r="A241" s="9" t="n">
        <x:v>30</x:v>
      </x:c>
      <x:c r="B241" s="9" t="str">
        <x:v>S037</x:v>
      </x:c>
      <x:c r="C241" s="9" t="str">
        <x:v>Wolterink et al. (2021)</x:v>
      </x:c>
      <x:c r="D241" s="9" t="str">
        <x:v>L8</x:v>
      </x:c>
      <x:c r="E241" s="9" t="str">
        <x:v>0</x:v>
      </x:c>
      <x:c r="F241" s="9" t="str">
        <x:v>Initial agreement</x:v>
      </x:c>
      <x:c r="G241" s="9" t="str">
        <x:v>Only inside/outside prototypes are described; configurations are not three independent replicate devices.</x:v>
      </x:c>
      <x:c r="H241" s="9" t="str">
        <x:v>PDF pp. 1–10; Figs. 1–16</x:v>
      </x:c>
      <x:c r="I241" s="43" t="str">
        <x:v>Non-qualifying repeated unit or condition</x:v>
      </x:c>
      <x:c r="J241" s="43" t="str">
        <x:v>The repeated entities were people, channels, variants, material specimens, repeated measurements or devices tested under different conditions.</x:v>
      </x:c>
    </x:row>
    <x:row r="242" ht="24" hidden="0" customHeight="1">
      <x:c r="A242" s="9" t="n">
        <x:v>31</x:v>
      </x:c>
      <x:c r="B242" s="9" t="str">
        <x:v>S038</x:v>
      </x:c>
      <x:c r="C242" s="9" t="str">
        <x:v>Christ et al. (2018)</x:v>
      </x:c>
      <x:c r="D242" s="9" t="str">
        <x:v>L1</x:v>
      </x:c>
      <x:c r="E242" s="9" t="str">
        <x:v>1</x:v>
      </x:c>
      <x:c r="F242" s="9" t="str">
        <x:v>Initial agreement</x:v>
      </x:c>
      <x:c r="G242" s="9" t="str">
        <x:v>FFF term, printer model, both functional filaments, nozzle/bed temperatures, speed, layer height, infill and geometry are reported.</x:v>
      </x:c>
      <x:c r="H242" s="9" t="str">
        <x:v>PDF pp. 3–12; Figs. 1–11; Table 1</x:v>
      </x:c>
      <x:c r="I242" s="43" t="str"/>
      <x:c r="J242" s="43" t="str"/>
    </x:row>
    <x:row r="243" ht="15" hidden="0" customHeight="1">
      <x:c r="A243" s="9" t="n">
        <x:v>31</x:v>
      </x:c>
      <x:c r="B243" s="9" t="str">
        <x:v>S038</x:v>
      </x:c>
      <x:c r="C243" s="9" t="str">
        <x:v>Christ et al. (2018)</x:v>
      </x:c>
      <x:c r="D243" s="9" t="str">
        <x:v>L2</x:v>
      </x:c>
      <x:c r="E243" s="9" t="str">
        <x:v>1</x:v>
      </x:c>
      <x:c r="F243" s="9" t="str">
        <x:v>Initial agreement</x:v>
      </x:c>
      <x:c r="G243" s="9" t="str">
        <x:v>Conductive and insulating materials, trace geometry and contacts are described.</x:v>
      </x:c>
      <x:c r="H243" s="9" t="str">
        <x:v>PDF pp. 3–12; Figs. 1–11; Table 1</x:v>
      </x:c>
      <x:c r="I243" s="43" t="str"/>
      <x:c r="J243" s="43" t="str"/>
    </x:row>
    <x:row r="244" ht="15" hidden="0" customHeight="1">
      <x:c r="A244" s="9" t="n">
        <x:v>31</x:v>
      </x:c>
      <x:c r="B244" s="9" t="str">
        <x:v>S038</x:v>
      </x:c>
      <x:c r="C244" s="9" t="str">
        <x:v>Christ et al. (2018)</x:v>
      </x:c>
      <x:c r="D244" s="9" t="str">
        <x:v>L3</x:v>
      </x:c>
      <x:c r="E244" s="9" t="str">
        <x:v>1</x:v>
      </x:c>
      <x:c r="F244" s="9" t="str">
        <x:v>Initial agreement</x:v>
      </x:c>
      <x:c r="G244" s="9" t="str">
        <x:v>A custom tensile machine, loading rates, hold time and resistance circuit are reported.</x:v>
      </x:c>
      <x:c r="H244" s="9" t="str">
        <x:v>PDF pp. 3–12; Figs. 1–11; Table 1</x:v>
      </x:c>
      <x:c r="I244" s="43" t="str"/>
      <x:c r="J244" s="43" t="str"/>
    </x:row>
    <x:row r="245" ht="15" hidden="0" customHeight="1">
      <x:c r="A245" s="9" t="n">
        <x:v>31</x:v>
      </x:c>
      <x:c r="B245" s="9" t="str">
        <x:v>S038</x:v>
      </x:c>
      <x:c r="C245" s="9" t="str">
        <x:v>Christ et al. (2018)</x:v>
      </x:c>
      <x:c r="D245" s="9" t="str">
        <x:v>L4</x:v>
      </x:c>
      <x:c r="E245" s="9" t="str">
        <x:v>1</x:v>
      </x:c>
      <x:c r="F245" s="9" t="str">
        <x:v>Initial agreement</x:v>
      </x:c>
      <x:c r="G245" s="9" t="str">
        <x:v>Relative resistance and gauge factor are reported over stated strain ranges.</x:v>
      </x:c>
      <x:c r="H245" s="9" t="str">
        <x:v>PDF pp. 3–12; Figs. 1–11; Table 1</x:v>
      </x:c>
      <x:c r="I245" s="43" t="str"/>
      <x:c r="J245" s="43" t="str"/>
    </x:row>
    <x:row r="246" ht="15" hidden="0" customHeight="1">
      <x:c r="A246" s="9" t="n">
        <x:v>31</x:v>
      </x:c>
      <x:c r="B246" s="9" t="str">
        <x:v>S038</x:v>
      </x:c>
      <x:c r="C246" s="9" t="str">
        <x:v>Christ et al. (2018)</x:v>
      </x:c>
      <x:c r="D246" s="9" t="str">
        <x:v>L5</x:v>
      </x:c>
      <x:c r="E246" s="9" t="str">
        <x:v>1</x:v>
      </x:c>
      <x:c r="F246" s="9" t="str">
        <x:v>Initial agreement</x:v>
      </x:c>
      <x:c r="G246" s="9" t="str">
        <x:v>Twenty loading–unloading cycles at 50% strain report early drift and later repeatability.</x:v>
      </x:c>
      <x:c r="H246" s="9" t="str">
        <x:v>PDF pp. 3–12; Figs. 1–11; Table 1</x:v>
      </x:c>
      <x:c r="I246" s="43" t="str"/>
      <x:c r="J246" s="43" t="str"/>
    </x:row>
    <x:row r="247" ht="26.399999618530273" hidden="0" customHeight="1">
      <x:c r="A247" s="9" t="n">
        <x:v>31</x:v>
      </x:c>
      <x:c r="B247" s="9" t="str">
        <x:v>S038</x:v>
      </x:c>
      <x:c r="C247" s="9" t="str">
        <x:v>Christ et al. (2018)</x:v>
      </x:c>
      <x:c r="D247" s="9" t="str">
        <x:v>L6</x:v>
      </x:c>
      <x:c r="E247" s="9" t="str">
        <x:v>0</x:v>
      </x:c>
      <x:c r="F247" s="9" t="str">
        <x:v>Initial agreement</x:v>
      </x:c>
      <x:c r="G247" s="9" t="str">
        <x:v>No environmental or separate use-related exposure was tested.</x:v>
      </x:c>
      <x:c r="H247" s="9" t="str">
        <x:v>PDF pp. 3–12; Figs. 1–11; Table 1</x:v>
      </x:c>
      <x:c r="I247" s="43" t="str">
        <x:v>No qualifying extrinsic-exposure evidence located</x:v>
      </x:c>
      <x:c r="J247" s="43" t="str">
        <x:v>No response was located during or after a deliberately applied condition extrinsic to the intended measurand.</x:v>
      </x:c>
    </x:row>
    <x:row r="248" ht="36" hidden="0" customHeight="1">
      <x:c r="A248" s="9" t="n">
        <x:v>31</x:v>
      </x:c>
      <x:c r="B248" s="9" t="str">
        <x:v>S038</x:v>
      </x:c>
      <x:c r="C248" s="9" t="str">
        <x:v>Christ et al. (2018)</x:v>
      </x:c>
      <x:c r="D248" s="9" t="str">
        <x:v>L7</x:v>
      </x:c>
      <x:c r="E248" s="9" t="str">
        <x:v>0</x:v>
      </x:c>
      <x:c r="F248" s="9" t="str">
        <x:v>Complete L7 audit—not qualifying</x:v>
      </x:c>
      <x:c r="G248" s="9" t="str">
        <x:v>Does not qualify after the complete L7 audit: the report shows qualitative waveform repetition or a wearable demonstration, but no Route A direct-interface endpoint and no Route B defined retention or failure endpoint for the final assembly.</x:v>
      </x:c>
      <x:c r="H248" s="9" t="str">
        <x:v>S038_Main.pdf, physical p. 12, section 3.5 and Fig. 11b-c.</x:v>
      </x:c>
      <x:c r="I248" s="43" t="str">
        <x:v>No qualifying interface/final-assembly endpoint located</x:v>
      </x:c>
      <x:c r="J248" s="43" t="str">
        <x:v>Neither a Route A interface endpoint nor a Route B repeated final-assembly retention/failure endpoint was located.</x:v>
      </x:c>
    </x:row>
    <x:row r="249" ht="26.399999618530273" hidden="0" customHeight="1">
      <x:c r="A249" s="9" t="n">
        <x:v>31</x:v>
      </x:c>
      <x:c r="B249" s="9" t="str">
        <x:v>S038</x:v>
      </x:c>
      <x:c r="C249" s="9" t="str">
        <x:v>Christ et al. (2018)</x:v>
      </x:c>
      <x:c r="D249" s="9" t="str">
        <x:v>L8</x:v>
      </x:c>
      <x:c r="E249" s="9" t="str">
        <x:v>0</x:v>
      </x:c>
      <x:c r="F249" s="9" t="str">
        <x:v>Initial agreement</x:v>
      </x:c>
      <x:c r="G249" s="9" t="str">
        <x:v>Architectures and directions were compared, but three separately fabricated units per condition were not identified.</x:v>
      </x:c>
      <x:c r="H249" s="9" t="str">
        <x:v>PDF pp. 3–12; Figs. 1–11; Table 1</x:v>
      </x:c>
      <x:c r="I249" s="43" t="str">
        <x:v>Replication count unreported or unclear</x:v>
      </x:c>
      <x:c r="J249" s="43" t="str">
        <x:v>The report did not establish the number of independently fabricated complete devices under the same condition.</x:v>
      </x:c>
    </x:row>
    <x:row r="250" ht="15" hidden="0" customHeight="1">
      <x:c r="A250" s="9" t="n">
        <x:v>32</x:v>
      </x:c>
      <x:c r="B250" s="9" t="str">
        <x:v>S039</x:v>
      </x:c>
      <x:c r="C250" s="9" t="str">
        <x:v>Shin et al. (2022)</x:v>
      </x:c>
      <x:c r="D250" s="9" t="str">
        <x:v>L1</x:v>
      </x:c>
      <x:c r="E250" s="9" t="str">
        <x:v>1</x:v>
      </x:c>
      <x:c r="F250" s="9" t="str">
        <x:v>Initial agreement</x:v>
      </x:c>
      <x:c r="G250" s="9" t="str">
        <x:v>FDM term, printer, TPU, temperatures, speed, layer heights, infill, orientation and geometry are reported.</x:v>
      </x:c>
      <x:c r="H250" s="9" t="str">
        <x:v>PDF pp. 3–9; Figs. 2–10</x:v>
      </x:c>
      <x:c r="I250" s="43" t="str"/>
      <x:c r="J250" s="43" t="str"/>
    </x:row>
    <x:row r="251" ht="15" hidden="0" customHeight="1">
      <x:c r="A251" s="9" t="n">
        <x:v>32</x:v>
      </x:c>
      <x:c r="B251" s="9" t="str">
        <x:v>S039</x:v>
      </x:c>
      <x:c r="C251" s="9" t="str">
        <x:v>Shin et al. (2022)</x:v>
      </x:c>
      <x:c r="D251" s="9" t="str">
        <x:v>L2</x:v>
      </x:c>
      <x:c r="E251" s="9" t="str">
        <x:v>1</x:v>
      </x:c>
      <x:c r="F251" s="9" t="str">
        <x:v>Initial agreement</x:v>
      </x:c>
      <x:c r="G251" s="9" t="str">
        <x:v>Printed TPU, Pt layer, prestretch, contacts and sensing roles are described.</x:v>
      </x:c>
      <x:c r="H251" s="9" t="str">
        <x:v>PDF pp. 3–9; Figs. 2–10</x:v>
      </x:c>
      <x:c r="I251" s="43" t="str"/>
      <x:c r="J251" s="43" t="str"/>
    </x:row>
    <x:row r="252" ht="15" hidden="0" customHeight="1">
      <x:c r="A252" s="9" t="n">
        <x:v>32</x:v>
      </x:c>
      <x:c r="B252" s="9" t="str">
        <x:v>S039</x:v>
      </x:c>
      <x:c r="C252" s="9" t="str">
        <x:v>Shin et al. (2022)</x:v>
      </x:c>
      <x:c r="D252" s="9" t="str">
        <x:v>L3</x:v>
      </x:c>
      <x:c r="E252" s="9" t="str">
        <x:v>1</x:v>
      </x:c>
      <x:c r="F252" s="9" t="str">
        <x:v>Initial agreement</x:v>
      </x:c>
      <x:c r="G252" s="9" t="str">
        <x:v>Controlled stretching and defined body-motion protocols are reported.</x:v>
      </x:c>
      <x:c r="H252" s="9" t="str">
        <x:v>PDF pp. 3–9; Figs. 2–10</x:v>
      </x:c>
      <x:c r="I252" s="43" t="str"/>
      <x:c r="J252" s="43" t="str"/>
    </x:row>
    <x:row r="253" ht="15" hidden="0" customHeight="1">
      <x:c r="A253" s="9" t="n">
        <x:v>32</x:v>
      </x:c>
      <x:c r="B253" s="9" t="str">
        <x:v>S039</x:v>
      </x:c>
      <x:c r="C253" s="9" t="str">
        <x:v>Shin et al. (2022)</x:v>
      </x:c>
      <x:c r="D253" s="9" t="str">
        <x:v>L4</x:v>
      </x:c>
      <x:c r="E253" s="9" t="str">
        <x:v>1</x:v>
      </x:c>
      <x:c r="F253" s="9" t="str">
        <x:v>Initial agreement</x:v>
      </x:c>
      <x:c r="G253" s="9" t="str">
        <x:v>GF and recovery time are defined and quantified over the stated strain range.</x:v>
      </x:c>
      <x:c r="H253" s="9" t="str">
        <x:v>PDF pp. 3–9; Figs. 2–10</x:v>
      </x:c>
      <x:c r="I253" s="43" t="str"/>
      <x:c r="J253" s="43" t="str"/>
    </x:row>
    <x:row r="254" ht="15" hidden="0" customHeight="1">
      <x:c r="A254" s="9" t="n">
        <x:v>32</x:v>
      </x:c>
      <x:c r="B254" s="9" t="str">
        <x:v>S039</x:v>
      </x:c>
      <x:c r="C254" s="9" t="str">
        <x:v>Shin et al. (2022)</x:v>
      </x:c>
      <x:c r="D254" s="9" t="str">
        <x:v>L5</x:v>
      </x:c>
      <x:c r="E254" s="9" t="str">
        <x:v>1</x:v>
      </x:c>
      <x:c r="F254" s="9" t="str">
        <x:v>Initial agreement</x:v>
      </x:c>
      <x:c r="G254" s="9" t="str">
        <x:v>Five transient repetitions and 500 continuous cycles report response stability.</x:v>
      </x:c>
      <x:c r="H254" s="9" t="str">
        <x:v>PDF pp. 3–9; Figs. 2–10</x:v>
      </x:c>
      <x:c r="I254" s="43" t="str"/>
      <x:c r="J254" s="43" t="str"/>
    </x:row>
    <x:row r="255" ht="26.399999618530273" hidden="0" customHeight="1">
      <x:c r="A255" s="9" t="n">
        <x:v>32</x:v>
      </x:c>
      <x:c r="B255" s="9" t="str">
        <x:v>S039</x:v>
      </x:c>
      <x:c r="C255" s="9" t="str">
        <x:v>Shin et al. (2022)</x:v>
      </x:c>
      <x:c r="D255" s="9" t="str">
        <x:v>L6</x:v>
      </x:c>
      <x:c r="E255" s="9" t="str">
        <x:v>0</x:v>
      </x:c>
      <x:c r="F255" s="9" t="str">
        <x:v>Initial agreement</x:v>
      </x:c>
      <x:c r="G255" s="9" t="str">
        <x:v>Exercise changed the physiological measurand; no separate environmental/use exposure was applied to the sensor.</x:v>
      </x:c>
      <x:c r="H255" s="9" t="str">
        <x:v>PDF pp. 3–9; Figs. 2–10</x:v>
      </x:c>
      <x:c r="I255" s="43" t="str">
        <x:v>No qualifying extrinsic-exposure evidence located</x:v>
      </x:c>
      <x:c r="J255" s="43" t="str">
        <x:v>No response was located during or after a deliberately applied condition extrinsic to the intended measurand.</x:v>
      </x:c>
    </x:row>
    <x:row r="256" ht="36" hidden="0" customHeight="1">
      <x:c r="A256" s="9" t="n">
        <x:v>32</x:v>
      </x:c>
      <x:c r="B256" s="9" t="str">
        <x:v>S039</x:v>
      </x:c>
      <x:c r="C256" s="9" t="str">
        <x:v>Shin et al. (2022)</x:v>
      </x:c>
      <x:c r="D256" s="9" t="str">
        <x:v>L7</x:v>
      </x:c>
      <x:c r="E256" s="9" t="str">
        <x:v>0</x:v>
      </x:c>
      <x:c r="F256" s="9" t="str">
        <x:v>Complete L7 audit—not qualifying</x:v>
      </x:c>
      <x:c r="G256" s="9" t="str">
        <x:v>Does not qualify after the complete L7 audit: the report shows qualitative waveform repetition or a wearable demonstration, but no Route A direct-interface endpoint and no Route B defined retention or failure endpoint for the final assembly.</x:v>
      </x:c>
      <x:c r="H256" s="9" t="str">
        <x:v>PDF pp. 3–9; Figs. 2–10</x:v>
      </x:c>
      <x:c r="I256" s="43" t="str">
        <x:v>No qualifying interface/final-assembly endpoint located</x:v>
      </x:c>
      <x:c r="J256" s="43" t="str">
        <x:v>Neither a Route A interface endpoint nor a Route B repeated final-assembly retention/failure endpoint was located.</x:v>
      </x:c>
    </x:row>
    <x:row r="257" ht="15" hidden="0" customHeight="1">
      <x:c r="A257" s="9" t="n">
        <x:v>32</x:v>
      </x:c>
      <x:c r="B257" s="9" t="str">
        <x:v>S039</x:v>
      </x:c>
      <x:c r="C257" s="9" t="str">
        <x:v>Shin et al. (2022)</x:v>
      </x:c>
      <x:c r="D257" s="9" t="str">
        <x:v>L8</x:v>
      </x:c>
      <x:c r="E257" s="9" t="str">
        <x:v>1</x:v>
      </x:c>
      <x:c r="F257" s="9" t="str">
        <x:v>Adjudicated to Reviewer 1</x:v>
      </x:c>
      <x:c r="G257" s="9" t="str">
        <x:v>Four separate samples per FSG type were quantitatively compared with averages/deviations.</x:v>
      </x:c>
      <x:c r="H257" s="9" t="str">
        <x:v>PDF pp. 3–9; Figs. 2–10</x:v>
      </x:c>
      <x:c r="I257" s="43" t="str"/>
      <x:c r="J257" s="43" t="str"/>
    </x:row>
    <x:row r="258" ht="15" hidden="0" customHeight="1">
      <x:c r="A258" s="9" t="n">
        <x:v>33</x:v>
      </x:c>
      <x:c r="B258" s="9" t="str">
        <x:v>S043</x:v>
      </x:c>
      <x:c r="C258" s="9" t="str">
        <x:v>Carvalho et al. (2025)</x:v>
      </x:c>
      <x:c r="D258" s="9" t="str">
        <x:v>L1</x:v>
      </x:c>
      <x:c r="E258" s="9" t="str">
        <x:v>1</x:v>
      </x:c>
      <x:c r="F258" s="9" t="str">
        <x:v>Initial agreement</x:v>
      </x:c>
      <x:c r="G258" s="9" t="str">
        <x:v>FFF printers, materials, nozzle, temperatures, speed, infill and electrode/wristband geometry are reported.</x:v>
      </x:c>
      <x:c r="H258" s="9" t="str">
        <x:v>PDF pp. 2–12; Figs. 1–8; Tables 1–4; cited SI</x:v>
      </x:c>
      <x:c r="I258" s="43" t="str"/>
      <x:c r="J258" s="43" t="str"/>
    </x:row>
    <x:row r="259" ht="15" hidden="0" customHeight="1">
      <x:c r="A259" s="9" t="n">
        <x:v>33</x:v>
      </x:c>
      <x:c r="B259" s="9" t="str">
        <x:v>S043</x:v>
      </x:c>
      <x:c r="C259" s="9" t="str">
        <x:v>Carvalho et al. (2025)</x:v>
      </x:c>
      <x:c r="D259" s="9" t="str">
        <x:v>L2</x:v>
      </x:c>
      <x:c r="E259" s="9" t="str">
        <x:v>1</x:v>
      </x:c>
      <x:c r="F259" s="9" t="str">
        <x:v>Initial agreement</x:v>
      </x:c>
      <x:c r="G259" s="9" t="str">
        <x:v>Electrode compositions, wristband, treatments, connectors and electrochemical roles are described.</x:v>
      </x:c>
      <x:c r="H259" s="9" t="str">
        <x:v>PDF pp. 2–12; Figs. 1–8; Tables 1–4; cited SI</x:v>
      </x:c>
      <x:c r="I259" s="43" t="str"/>
      <x:c r="J259" s="43" t="str"/>
    </x:row>
    <x:row r="260" ht="15" hidden="0" customHeight="1">
      <x:c r="A260" s="9" t="n">
        <x:v>33</x:v>
      </x:c>
      <x:c r="B260" s="9" t="str">
        <x:v>S043</x:v>
      </x:c>
      <x:c r="C260" s="9" t="str">
        <x:v>Carvalho et al. (2025)</x:v>
      </x:c>
      <x:c r="D260" s="9" t="str">
        <x:v>L3</x:v>
      </x:c>
      <x:c r="E260" s="9" t="str">
        <x:v>1</x:v>
      </x:c>
      <x:c r="F260" s="9" t="str">
        <x:v>Initial agreement</x:v>
      </x:c>
      <x:c r="G260" s="9" t="str">
        <x:v>Benchmark redox probes, commercial electrodes and standard-addition procedures are reported.</x:v>
      </x:c>
      <x:c r="H260" s="9" t="str">
        <x:v>PDF pp. 2–12; Figs. 1–8; Tables 1–4; cited SI</x:v>
      </x:c>
      <x:c r="I260" s="43" t="str"/>
      <x:c r="J260" s="43" t="str"/>
    </x:row>
    <x:row r="261" ht="15" hidden="0" customHeight="1">
      <x:c r="A261" s="9" t="n">
        <x:v>33</x:v>
      </x:c>
      <x:c r="B261" s="9" t="str">
        <x:v>S043</x:v>
      </x:c>
      <x:c r="C261" s="9" t="str">
        <x:v>Carvalho et al. (2025)</x:v>
      </x:c>
      <x:c r="D261" s="9" t="str">
        <x:v>L4</x:v>
      </x:c>
      <x:c r="E261" s="9" t="str">
        <x:v>1</x:v>
      </x:c>
      <x:c r="F261" s="9" t="str">
        <x:v>Initial agreement</x:v>
      </x:c>
      <x:c r="G261" s="9" t="str">
        <x:v>Linear range, regression, LOD/LOQ and recovery are defined and quantified.</x:v>
      </x:c>
      <x:c r="H261" s="9" t="str">
        <x:v>PDF pp. 2–12; Figs. 1–8; Tables 1–4; cited SI</x:v>
      </x:c>
      <x:c r="I261" s="43" t="str"/>
      <x:c r="J261" s="43" t="str"/>
    </x:row>
    <x:row r="262" ht="26.399999618530273" hidden="0" customHeight="1">
      <x:c r="A262" s="9" t="n">
        <x:v>33</x:v>
      </x:c>
      <x:c r="B262" s="9" t="str">
        <x:v>S043</x:v>
      </x:c>
      <x:c r="C262" s="9" t="str">
        <x:v>Carvalho et al. (2025)</x:v>
      </x:c>
      <x:c r="D262" s="9" t="str">
        <x:v>L5</x:v>
      </x:c>
      <x:c r="E262" s="9" t="str">
        <x:v>0</x:v>
      </x:c>
      <x:c r="F262" s="9" t="str">
        <x:v>Initial agreement</x:v>
      </x:c>
      <x:c r="G262" s="9" t="str">
        <x:v>No ≥3-cycle same-device retention test with a stability endpoint was identified.</x:v>
      </x:c>
      <x:c r="H262" s="9" t="str">
        <x:v>PDF pp. 2–12; Figs. 1–8; Tables 1–4; cited SI</x:v>
      </x:c>
      <x:c r="I262" s="43" t="str">
        <x:v>No qualifying repeated-stability evidence located</x:v>
      </x:c>
      <x:c r="J262" s="43" t="str">
        <x:v>No experimental sequence satisfying the L5 unit, repetition and stability-endpoint rule was located.</x:v>
      </x:c>
    </x:row>
    <x:row r="263" ht="26.399999618530273" hidden="0" customHeight="1">
      <x:c r="A263" s="9" t="n">
        <x:v>33</x:v>
      </x:c>
      <x:c r="B263" s="9" t="str">
        <x:v>S043</x:v>
      </x:c>
      <x:c r="C263" s="9" t="str">
        <x:v>Carvalho et al. (2025)</x:v>
      </x:c>
      <x:c r="D263" s="9" t="str">
        <x:v>L6</x:v>
      </x:c>
      <x:c r="E263" s="9" t="str">
        <x:v>0</x:v>
      </x:c>
      <x:c r="F263" s="9" t="str">
        <x:v>Adjudicated to Reviewer 1</x:v>
      </x:c>
      <x:c r="G263" s="9" t="str">
        <x:v>Artificial sweat is the analytical sample matrix, not a separate environmental exposure.</x:v>
      </x:c>
      <x:c r="H263" s="9" t="str">
        <x:v>PDF pp. 2–12; Figs. 1–8; Tables 1–4; cited SI</x:v>
      </x:c>
      <x:c r="I263" s="43" t="str">
        <x:v>No qualifying extrinsic-exposure evidence located</x:v>
      </x:c>
      <x:c r="J263" s="43" t="str">
        <x:v>No response was located during or after a deliberately applied condition extrinsic to the intended measurand.</x:v>
      </x:c>
    </x:row>
    <x:row r="264" ht="26.399999618530273" hidden="0" customHeight="1">
      <x:c r="A264" s="9" t="n">
        <x:v>33</x:v>
      </x:c>
      <x:c r="B264" s="9" t="str">
        <x:v>S043</x:v>
      </x:c>
      <x:c r="C264" s="9" t="str">
        <x:v>Carvalho et al. (2025)</x:v>
      </x:c>
      <x:c r="D264" s="9" t="str">
        <x:v>L7</x:v>
      </x:c>
      <x:c r="E264" s="9" t="str">
        <x:v>0</x:v>
      </x:c>
      <x:c r="F264" s="9" t="str">
        <x:v>Complete L7 audit—not qualifying</x:v>
      </x:c>
      <x:c r="G264" s="9" t="str">
        <x:v>No qualifying interface-integrity test or repeated final monolithic wearable-assembly test with a retention/failure endpoint was located.</x:v>
      </x:c>
      <x:c r="H264" s="9" t="str">
        <x:v>PDF pp. 2–12; Figs. 1–8; Tables 1–4; cited SI</x:v>
      </x:c>
      <x:c r="I264" s="43" t="str">
        <x:v>No qualifying interface/final-assembly endpoint located</x:v>
      </x:c>
      <x:c r="J264" s="43" t="str">
        <x:v>Neither a Route A interface endpoint nor a Route B repeated final-assembly retention/failure endpoint was located.</x:v>
      </x:c>
    </x:row>
    <x:row r="265" ht="26.399999618530273" hidden="0" customHeight="1">
      <x:c r="A265" s="9" t="n">
        <x:v>33</x:v>
      </x:c>
      <x:c r="B265" s="9" t="str">
        <x:v>S043</x:v>
      </x:c>
      <x:c r="C265" s="9" t="str">
        <x:v>Carvalho et al. (2025)</x:v>
      </x:c>
      <x:c r="D265" s="9" t="str">
        <x:v>L8</x:v>
      </x:c>
      <x:c r="E265" s="9" t="str">
        <x:v>0</x:v>
      </x:c>
      <x:c r="F265" s="9" t="str">
        <x:v>Initial agreement</x:v>
      </x:c>
      <x:c r="G265" s="9" t="str">
        <x:v>The number of separately fabricated complete sensor systems used for quantitative comparison was not stated.</x:v>
      </x:c>
      <x:c r="H265" s="9" t="str">
        <x:v>PDF pp. 2–12; Figs. 1–8; Tables 1–4; cited SI</x:v>
      </x:c>
      <x:c r="I265" s="43" t="str">
        <x:v>Replication count unreported or unclear</x:v>
      </x:c>
      <x:c r="J265" s="43" t="str">
        <x:v>The report did not establish the number of independently fabricated complete devices under the same condition.</x:v>
      </x:c>
    </x:row>
    <x:row r="266" ht="15" hidden="0" customHeight="1">
      <x:c r="A266" s="9" t="n">
        <x:v>34</x:v>
      </x:c>
      <x:c r="B266" s="9" t="str">
        <x:v>S044</x:v>
      </x:c>
      <x:c r="C266" s="9" t="str">
        <x:v>Li et al. (2021)</x:v>
      </x:c>
      <x:c r="D266" s="9" t="str">
        <x:v>L1</x:v>
      </x:c>
      <x:c r="E266" s="9" t="str">
        <x:v>1</x:v>
      </x:c>
      <x:c r="F266" s="9" t="str">
        <x:v>Adjudicated to Reviewer 1</x:v>
      </x:c>
      <x:c r="G266" s="9" t="str">
        <x:v>FDM term, printer, functional filament, nozzle temperature, layer height, infill and geometry are reported.</x:v>
      </x:c>
      <x:c r="H266" s="9" t="str">
        <x:v>PDF pp. 4–11; Figs. 1, 5–6; cited SI</x:v>
      </x:c>
      <x:c r="I266" s="43" t="str"/>
      <x:c r="J266" s="43" t="str"/>
    </x:row>
    <x:row r="267" ht="15" hidden="0" customHeight="1">
      <x:c r="A267" s="9" t="n">
        <x:v>34</x:v>
      </x:c>
      <x:c r="B267" s="9" t="str">
        <x:v>S044</x:v>
      </x:c>
      <x:c r="C267" s="9" t="str">
        <x:v>Li et al. (2021)</x:v>
      </x:c>
      <x:c r="D267" s="9" t="str">
        <x:v>L2</x:v>
      </x:c>
      <x:c r="E267" s="9" t="str">
        <x:v>1</x:v>
      </x:c>
      <x:c r="F267" s="9" t="str">
        <x:v>Initial agreement</x:v>
      </x:c>
      <x:c r="G267" s="9" t="str">
        <x:v>GNP/TPU filament, electrodes, encapsulation and signal acquisition are described.</x:v>
      </x:c>
      <x:c r="H267" s="9" t="str">
        <x:v>PDF pp. 4–11; Figs. 1, 5–6; cited SI</x:v>
      </x:c>
      <x:c r="I267" s="43" t="str"/>
      <x:c r="J267" s="43" t="str"/>
    </x:row>
    <x:row r="268" ht="15" hidden="0" customHeight="1">
      <x:c r="A268" s="9" t="n">
        <x:v>34</x:v>
      </x:c>
      <x:c r="B268" s="9" t="str">
        <x:v>S044</x:v>
      </x:c>
      <x:c r="C268" s="9" t="str">
        <x:v>Li et al. (2021)</x:v>
      </x:c>
      <x:c r="D268" s="9" t="str">
        <x:v>L3</x:v>
      </x:c>
      <x:c r="E268" s="9" t="str">
        <x:v>1</x:v>
      </x:c>
      <x:c r="F268" s="9" t="str">
        <x:v>Initial agreement</x:v>
      </x:c>
      <x:c r="G268" s="9" t="str">
        <x:v>Universal mechanical testing and stated loading protocols are reported.</x:v>
      </x:c>
      <x:c r="H268" s="9" t="str">
        <x:v>PDF pp. 4–11; Figs. 1, 5–6; cited SI</x:v>
      </x:c>
      <x:c r="I268" s="43" t="str"/>
      <x:c r="J268" s="43" t="str"/>
    </x:row>
    <x:row r="269" ht="15" hidden="0" customHeight="1">
      <x:c r="A269" s="9" t="n">
        <x:v>34</x:v>
      </x:c>
      <x:c r="B269" s="9" t="str">
        <x:v>S044</x:v>
      </x:c>
      <x:c r="C269" s="9" t="str">
        <x:v>Li et al. (2021)</x:v>
      </x:c>
      <x:c r="D269" s="9" t="str">
        <x:v>L4</x:v>
      </x:c>
      <x:c r="E269" s="9" t="str">
        <x:v>1</x:v>
      </x:c>
      <x:c r="F269" s="9" t="str">
        <x:v>Initial agreement</x:v>
      </x:c>
      <x:c r="G269" s="9" t="str">
        <x:v>GF, hysteresis and drift are quantified over stated strain/rate ranges.</x:v>
      </x:c>
      <x:c r="H269" s="9" t="str">
        <x:v>PDF pp. 4–11; Figs. 1, 5–6; cited SI</x:v>
      </x:c>
      <x:c r="I269" s="43" t="str"/>
      <x:c r="J269" s="43" t="str"/>
    </x:row>
    <x:row r="270" ht="15" hidden="0" customHeight="1">
      <x:c r="A270" s="9" t="n">
        <x:v>34</x:v>
      </x:c>
      <x:c r="B270" s="9" t="str">
        <x:v>S044</x:v>
      </x:c>
      <x:c r="C270" s="9" t="str">
        <x:v>Li et al. (2021)</x:v>
      </x:c>
      <x:c r="D270" s="9" t="str">
        <x:v>L5</x:v>
      </x:c>
      <x:c r="E270" s="9" t="str">
        <x:v>1</x:v>
      </x:c>
      <x:c r="F270" s="9" t="str">
        <x:v>Initial agreement</x:v>
      </x:c>
      <x:c r="G270" s="9" t="str">
        <x:v>A 500-cycle compression test reports a maximum 9.5% GF drift after 400 cycles.</x:v>
      </x:c>
      <x:c r="H270" s="9" t="str">
        <x:v>PDF pp. 4–11; Figs. 1, 5–6; cited SI</x:v>
      </x:c>
      <x:c r="I270" s="43" t="str"/>
      <x:c r="J270" s="43" t="str"/>
    </x:row>
    <x:row r="271" ht="26.399999618530273" hidden="0" customHeight="1">
      <x:c r="A271" s="9" t="n">
        <x:v>34</x:v>
      </x:c>
      <x:c r="B271" s="9" t="str">
        <x:v>S044</x:v>
      </x:c>
      <x:c r="C271" s="9" t="str">
        <x:v>Li et al. (2021)</x:v>
      </x:c>
      <x:c r="D271" s="9" t="str">
        <x:v>L6</x:v>
      </x:c>
      <x:c r="E271" s="9" t="str">
        <x:v>0</x:v>
      </x:c>
      <x:c r="F271" s="9" t="str">
        <x:v>Initial agreement</x:v>
      </x:c>
      <x:c r="G271" s="9" t="str">
        <x:v>Loading speed is a test variable for the intended measurand; no separate qualifying exposure was tested.</x:v>
      </x:c>
      <x:c r="H271" s="9" t="str">
        <x:v>PDF pp. 4–11; Figs. 1, 5–6; cited SI</x:v>
      </x:c>
      <x:c r="I271" s="43" t="str">
        <x:v>No qualifying extrinsic-exposure evidence located</x:v>
      </x:c>
      <x:c r="J271" s="43" t="str">
        <x:v>No response was located during or after a deliberately applied condition extrinsic to the intended measurand.</x:v>
      </x:c>
    </x:row>
    <x:row r="272" ht="26.399999618530273" hidden="0" customHeight="1">
      <x:c r="A272" s="9" t="n">
        <x:v>34</x:v>
      </x:c>
      <x:c r="B272" s="9" t="str">
        <x:v>S044</x:v>
      </x:c>
      <x:c r="C272" s="9" t="str">
        <x:v>Li et al. (2021)</x:v>
      </x:c>
      <x:c r="D272" s="9" t="str">
        <x:v>L7</x:v>
      </x:c>
      <x:c r="E272" s="9" t="str">
        <x:v>0</x:v>
      </x:c>
      <x:c r="F272" s="9" t="str">
        <x:v>Complete L7 audit—not qualifying</x:v>
      </x:c>
      <x:c r="G272" s="9" t="str">
        <x:v>No qualifying interface-integrity test or repeated final monolithic wearable-assembly test with a retention/failure endpoint was located.</x:v>
      </x:c>
      <x:c r="H272" s="9" t="str">
        <x:v>PDF pp. 4–11; Figs. 1, 5–6; cited SI</x:v>
      </x:c>
      <x:c r="I272" s="43" t="str">
        <x:v>No qualifying interface/final-assembly endpoint located</x:v>
      </x:c>
      <x:c r="J272" s="43" t="str">
        <x:v>Neither a Route A interface endpoint nor a Route B repeated final-assembly retention/failure endpoint was located.</x:v>
      </x:c>
    </x:row>
    <x:row r="273" ht="26.399999618530273" hidden="0" customHeight="1">
      <x:c r="A273" s="9" t="n">
        <x:v>34</x:v>
      </x:c>
      <x:c r="B273" s="9" t="str">
        <x:v>S044</x:v>
      </x:c>
      <x:c r="C273" s="9" t="str">
        <x:v>Li et al. (2021)</x:v>
      </x:c>
      <x:c r="D273" s="9" t="str">
        <x:v>L8</x:v>
      </x:c>
      <x:c r="E273" s="9" t="str">
        <x:v>0</x:v>
      </x:c>
      <x:c r="F273" s="9" t="str">
        <x:v>Initial agreement</x:v>
      </x:c>
      <x:c r="G273" s="9" t="str">
        <x:v>Architecture variants were compared; ≥3 separately fabricated replicate devices were not identified.</x:v>
      </x:c>
      <x:c r="H273" s="9" t="str">
        <x:v>PDF pp. 4–11; Figs. 1, 5–6; cited SI</x:v>
      </x:c>
      <x:c r="I273" s="43" t="str">
        <x:v>Replication count unreported or unclear</x:v>
      </x:c>
      <x:c r="J273" s="43" t="str">
        <x:v>The report did not establish the number of independently fabricated complete devices under the same condition.</x:v>
      </x:c>
    </x:row>
    <x:row r="274" ht="36" hidden="0" customHeight="1">
      <x:c r="A274" s="9" t="n">
        <x:v>35</x:v>
      </x:c>
      <x:c r="B274" s="9" t="str">
        <x:v>S046</x:v>
      </x:c>
      <x:c r="C274" s="9" t="str">
        <x:v>Zhou et al. (2024)</x:v>
      </x:c>
      <x:c r="D274" s="9" t="str">
        <x:v>L1</x:v>
      </x:c>
      <x:c r="E274" s="9" t="str">
        <x:v>0</x:v>
      </x:c>
      <x:c r="F274" s="9" t="str">
        <x:v>Initial agreement</x:v>
      </x:c>
      <x:c r="G274" s="9" t="str">
        <x:v>The supplement reports the Anycubic Kobra Plus i3 printer, 90 °C platform, 250 °C nozzle and 15 mm s^-1 speed, but layer height, infill value/pattern and orientation/toolpath remain unreported; the tested device cannot be fully reconstructed.</x:v>
      </x:c>
      <x:c r="H274" s="9" t="str">
        <x:v>Supplementary pp. 3-4; Fig. S3</x:v>
      </x:c>
      <x:c r="I274" s="43" t="str">
        <x:v>Applicable fabrication information incomplete</x:v>
      </x:c>
      <x:c r="J274" s="43" t="str">
        <x:v>One or more architecture-relevant fabrication fields needed to reconstruct the tested printed component were not located.</x:v>
      </x:c>
    </x:row>
    <x:row r="275" ht="15" hidden="0" customHeight="1">
      <x:c r="A275" s="9" t="n">
        <x:v>35</x:v>
      </x:c>
      <x:c r="B275" s="9" t="str">
        <x:v>S046</x:v>
      </x:c>
      <x:c r="C275" s="9" t="str">
        <x:v>Zhou et al. (2024)</x:v>
      </x:c>
      <x:c r="D275" s="9" t="str">
        <x:v>L2</x:v>
      </x:c>
      <x:c r="E275" s="9" t="str">
        <x:v>1</x:v>
      </x:c>
      <x:c r="F275" s="9" t="str">
        <x:v>Initial agreement</x:v>
      </x:c>
      <x:c r="G275" s="9" t="str">
        <x:v>PVDF/CFO composition, filament preparation and voltage acquisition are described.</x:v>
      </x:c>
      <x:c r="H275" s="9" t="str">
        <x:v>PDF pp. 2–7; Figs. 3–5; cited Supplementary Figs. S1–S5</x:v>
      </x:c>
      <x:c r="I275" s="43" t="str"/>
      <x:c r="J275" s="43" t="str"/>
    </x:row>
    <x:row r="276" ht="15" hidden="0" customHeight="1">
      <x:c r="A276" s="9" t="n">
        <x:v>35</x:v>
      </x:c>
      <x:c r="B276" s="9" t="str">
        <x:v>S046</x:v>
      </x:c>
      <x:c r="C276" s="9" t="str">
        <x:v>Zhou et al. (2024)</x:v>
      </x:c>
      <x:c r="D276" s="9" t="str">
        <x:v>L3</x:v>
      </x:c>
      <x:c r="E276" s="9" t="str">
        <x:v>1</x:v>
      </x:c>
      <x:c r="F276" s="9" t="str">
        <x:v>Initial agreement</x:v>
      </x:c>
      <x:c r="G276" s="9" t="str">
        <x:v>Controlled drop weights/heights, periodic magnetic fields and stated walking frequencies are reported.</x:v>
      </x:c>
      <x:c r="H276" s="9" t="str">
        <x:v>PDF pp. 2–7; Figs. 3–5; cited Supplementary Figs. S1–S5</x:v>
      </x:c>
      <x:c r="I276" s="43" t="str"/>
      <x:c r="J276" s="43" t="str"/>
    </x:row>
    <x:row r="277" ht="15" hidden="0" customHeight="1">
      <x:c r="A277" s="9" t="n">
        <x:v>35</x:v>
      </x:c>
      <x:c r="B277" s="9" t="str">
        <x:v>S046</x:v>
      </x:c>
      <x:c r="C277" s="9" t="str">
        <x:v>Zhou et al. (2024)</x:v>
      </x:c>
      <x:c r="D277" s="9" t="str">
        <x:v>L4</x:v>
      </x:c>
      <x:c r="E277" s="9" t="str">
        <x:v>1</x:v>
      </x:c>
      <x:c r="F277" s="9" t="str">
        <x:v>Initial agreement</x:v>
      </x:c>
      <x:c r="G277" s="9" t="str">
        <x:v>Output voltage, piezoelectric voltage coefficient and magnetoelectric coefficient are defined and quantified.</x:v>
      </x:c>
      <x:c r="H277" s="9" t="str">
        <x:v>PDF pp. 2–7; Figs. 3–5; cited Supplementary Figs. S1–S5</x:v>
      </x:c>
      <x:c r="I277" s="43" t="str"/>
      <x:c r="J277" s="43" t="str"/>
    </x:row>
    <x:row r="278" ht="26.399999618530273" hidden="0" customHeight="1">
      <x:c r="A278" s="9" t="n">
        <x:v>35</x:v>
      </x:c>
      <x:c r="B278" s="9" t="str">
        <x:v>S046</x:v>
      </x:c>
      <x:c r="C278" s="9" t="str">
        <x:v>Zhou et al. (2024)</x:v>
      </x:c>
      <x:c r="D278" s="9" t="str">
        <x:v>L5</x:v>
      </x:c>
      <x:c r="E278" s="9" t="str">
        <x:v>0</x:v>
      </x:c>
      <x:c r="F278" s="9" t="str">
        <x:v>Initial agreement</x:v>
      </x:c>
      <x:c r="G278" s="9" t="str">
        <x:v>Periodic responses are shown, but an explicit ≥3-cycle count and retention outcome are not reported.</x:v>
      </x:c>
      <x:c r="H278" s="9" t="str">
        <x:v>PDF pp. 2–7; Figs. 3–5; cited Supplementary Figs. S1–S5</x:v>
      </x:c>
      <x:c r="I278" s="43" t="str">
        <x:v>Replication count unreported or unclear</x:v>
      </x:c>
      <x:c r="J278" s="43" t="str">
        <x:v>Repeated-response wording or a trace was present, but the qualifying repetition count was not reported clearly.</x:v>
      </x:c>
    </x:row>
    <x:row r="279" ht="26.399999618530273" hidden="0" customHeight="1">
      <x:c r="A279" s="9" t="n">
        <x:v>35</x:v>
      </x:c>
      <x:c r="B279" s="9" t="str">
        <x:v>S046</x:v>
      </x:c>
      <x:c r="C279" s="9" t="str">
        <x:v>Zhou et al. (2024)</x:v>
      </x:c>
      <x:c r="D279" s="9" t="str">
        <x:v>L6</x:v>
      </x:c>
      <x:c r="E279" s="9" t="str">
        <x:v>0</x:v>
      </x:c>
      <x:c r="F279" s="9" t="str">
        <x:v>Initial agreement</x:v>
      </x:c>
      <x:c r="G279" s="9" t="str">
        <x:v>No qualifying environmental exposure was tested.</x:v>
      </x:c>
      <x:c r="H279" s="9" t="str">
        <x:v>PDF pp. 2–7; Figs. 3–5; cited Supplementary Figs. S1–S5</x:v>
      </x:c>
      <x:c r="I279" s="43" t="str">
        <x:v>No qualifying extrinsic-exposure evidence located</x:v>
      </x:c>
      <x:c r="J279" s="43" t="str">
        <x:v>No response was located during or after a deliberately applied condition extrinsic to the intended measurand.</x:v>
      </x:c>
    </x:row>
    <x:row r="280" ht="36" hidden="0" customHeight="1">
      <x:c r="A280" s="9" t="n">
        <x:v>35</x:v>
      </x:c>
      <x:c r="B280" s="9" t="str">
        <x:v>S046</x:v>
      </x:c>
      <x:c r="C280" s="9" t="str">
        <x:v>Zhou et al. (2024)</x:v>
      </x:c>
      <x:c r="D280" s="9" t="str">
        <x:v>L7</x:v>
      </x:c>
      <x:c r="E280" s="9" t="str">
        <x:v>0</x:v>
      </x:c>
      <x:c r="F280" s="9" t="str">
        <x:v>Complete L7 audit—not qualifying</x:v>
      </x:c>
      <x:c r="G280" s="9" t="str">
        <x:v>Does not qualify after the complete L7 audit: the report shows qualitative waveform repetition or a wearable demonstration, but no Route A direct-interface endpoint and no Route B defined retention or failure endpoint for the final assembly.</x:v>
      </x:c>
      <x:c r="H280" s="9" t="str">
        <x:v>S046_Main.pdf, physical pp. 6-7, Fig. 5c-e and application paragraph (printed pp. 1021-1022).</x:v>
      </x:c>
      <x:c r="I280" s="43" t="str">
        <x:v>No qualifying interface/final-assembly endpoint located</x:v>
      </x:c>
      <x:c r="J280" s="43" t="str">
        <x:v>Neither a Route A interface endpoint nor a Route B repeated final-assembly retention/failure endpoint was located.</x:v>
      </x:c>
    </x:row>
    <x:row r="281" ht="26.399999618530273" hidden="0" customHeight="1">
      <x:c r="A281" s="9" t="n">
        <x:v>35</x:v>
      </x:c>
      <x:c r="B281" s="9" t="str">
        <x:v>S046</x:v>
      </x:c>
      <x:c r="C281" s="9" t="str">
        <x:v>Zhou et al. (2024)</x:v>
      </x:c>
      <x:c r="D281" s="9" t="str">
        <x:v>L8</x:v>
      </x:c>
      <x:c r="E281" s="9" t="str">
        <x:v>0</x:v>
      </x:c>
      <x:c r="F281" s="9" t="str">
        <x:v>Initial agreement</x:v>
      </x:c>
      <x:c r="G281" s="9" t="str">
        <x:v>Only one demonstrated sleeve and one Z spring were identified; composition variants are not replicate devices.</x:v>
      </x:c>
      <x:c r="H281" s="9" t="str">
        <x:v>PDF pp. 2–7; Figs. 3–5; cited Supplementary Figs. S1–S5</x:v>
      </x:c>
      <x:c r="I281" s="43" t="str">
        <x:v>Insufficient experimental replication</x:v>
      </x:c>
      <x:c r="J281" s="43" t="str">
        <x:v>The reported complete-device count was below the three-device minimum.</x:v>
      </x:c>
    </x:row>
    <x:row r="282" ht="26.399999618530273" hidden="0" customHeight="1">
      <x:c r="A282" s="9" t="n">
        <x:v>36</x:v>
      </x:c>
      <x:c r="B282" s="9" t="str">
        <x:v>S047</x:v>
      </x:c>
      <x:c r="C282" s="9" t="str">
        <x:v>Shin et al. (2025)</x:v>
      </x:c>
      <x:c r="D282" s="9" t="str">
        <x:v>L1</x:v>
      </x:c>
      <x:c r="E282" s="9" t="str">
        <x:v>0</x:v>
      </x:c>
      <x:c r="F282" s="9" t="str">
        <x:v>Initial agreement</x:v>
      </x:c>
      <x:c r="G282" s="9" t="str">
        <x:v>FDM, printer and PLA are named, but nozzle, temperatures, speed, layer height and infill are not reported.</x:v>
      </x:c>
      <x:c r="H282" s="9" t="str">
        <x:v>PDF pp. 3–13; Figs. 2–12; Table 1</x:v>
      </x:c>
      <x:c r="I282" s="43" t="str">
        <x:v>Applicable fabrication information incomplete</x:v>
      </x:c>
      <x:c r="J282" s="43" t="str">
        <x:v>One or more architecture-relevant fabrication fields needed to reconstruct the tested printed component were not located.</x:v>
      </x:c>
    </x:row>
    <x:row r="283" ht="15" hidden="0" customHeight="1">
      <x:c r="A283" s="9" t="n">
        <x:v>36</x:v>
      </x:c>
      <x:c r="B283" s="9" t="str">
        <x:v>S047</x:v>
      </x:c>
      <x:c r="C283" s="9" t="str">
        <x:v>Shin et al. (2025)</x:v>
      </x:c>
      <x:c r="D283" s="9" t="str">
        <x:v>L2</x:v>
      </x:c>
      <x:c r="E283" s="9" t="str">
        <x:v>1</x:v>
      </x:c>
      <x:c r="F283" s="9" t="str">
        <x:v>Initial agreement</x:v>
      </x:c>
      <x:c r="G283" s="9" t="str">
        <x:v>Mask, FSR modules, silicone interface, straps and readout architecture are described.</x:v>
      </x:c>
      <x:c r="H283" s="9" t="str">
        <x:v>PDF pp. 3–13; Figs. 2–12; Table 1</x:v>
      </x:c>
      <x:c r="I283" s="43" t="str"/>
      <x:c r="J283" s="43" t="str"/>
    </x:row>
    <x:row r="284" ht="15" hidden="0" customHeight="1">
      <x:c r="A284" s="9" t="n">
        <x:v>36</x:v>
      </x:c>
      <x:c r="B284" s="9" t="str">
        <x:v>S047</x:v>
      </x:c>
      <x:c r="C284" s="9" t="str">
        <x:v>Shin et al. (2025)</x:v>
      </x:c>
      <x:c r="D284" s="9" t="str">
        <x:v>L3</x:v>
      </x:c>
      <x:c r="E284" s="9" t="str">
        <x:v>1</x:v>
      </x:c>
      <x:c r="F284" s="9" t="str">
        <x:v>Initial agreement</x:v>
      </x:c>
      <x:c r="G284" s="9" t="str">
        <x:v>Weight screening and patient-specific PicoPress calibration at 15 and 25 mmHg are reported.</x:v>
      </x:c>
      <x:c r="H284" s="9" t="str">
        <x:v>PDF pp. 3–13; Figs. 2–12; Table 1</x:v>
      </x:c>
      <x:c r="I284" s="43" t="str"/>
      <x:c r="J284" s="43" t="str"/>
    </x:row>
    <x:row r="285" ht="15" hidden="0" customHeight="1">
      <x:c r="A285" s="9" t="n">
        <x:v>36</x:v>
      </x:c>
      <x:c r="B285" s="9" t="str">
        <x:v>S047</x:v>
      </x:c>
      <x:c r="C285" s="9" t="str">
        <x:v>Shin et al. (2025)</x:v>
      </x:c>
      <x:c r="D285" s="9" t="str">
        <x:v>L4</x:v>
      </x:c>
      <x:c r="E285" s="9" t="str">
        <x:v>1</x:v>
      </x:c>
      <x:c r="F285" s="9" t="str">
        <x:v>Initial agreement</x:v>
      </x:c>
      <x:c r="G285" s="9" t="str">
        <x:v>Pressure, logged averages/SD and clinical outcomes are quantitatively reported.</x:v>
      </x:c>
      <x:c r="H285" s="9" t="str">
        <x:v>PDF pp. 3–13; Figs. 2–12; Table 1</x:v>
      </x:c>
      <x:c r="I285" s="43" t="str"/>
      <x:c r="J285" s="43" t="str"/>
    </x:row>
    <x:row r="286" ht="26.399999618530273" hidden="0" customHeight="1">
      <x:c r="A286" s="9" t="n">
        <x:v>36</x:v>
      </x:c>
      <x:c r="B286" s="9" t="str">
        <x:v>S047</x:v>
      </x:c>
      <x:c r="C286" s="9" t="str">
        <x:v>Shin et al. (2025)</x:v>
      </x:c>
      <x:c r="D286" s="9" t="str">
        <x:v>L5</x:v>
      </x:c>
      <x:c r="E286" s="9" t="str">
        <x:v>0</x:v>
      </x:c>
      <x:c r="F286" s="9" t="str">
        <x:v>Initial agreement</x:v>
      </x:c>
      <x:c r="G286" s="9" t="str">
        <x:v>Four-week monitoring does not report a controlled repeated sensor-retention test or recalibration drift endpoint.</x:v>
      </x:c>
      <x:c r="H286" s="9" t="str">
        <x:v>PDF pp. 3–13; Figs. 2–12; Table 1</x:v>
      </x:c>
      <x:c r="I286" s="43" t="str">
        <x:v>No qualifying repeated-stability evidence located</x:v>
      </x:c>
      <x:c r="J286" s="43" t="str">
        <x:v>No experimental sequence satisfying the L5 unit, repetition and stability-endpoint rule was located.</x:v>
      </x:c>
    </x:row>
    <x:row r="287" ht="26.399999618530273" hidden="0" customHeight="1">
      <x:c r="A287" s="9" t="n">
        <x:v>36</x:v>
      </x:c>
      <x:c r="B287" s="9" t="str">
        <x:v>S047</x:v>
      </x:c>
      <x:c r="C287" s="9" t="str">
        <x:v>Shin et al. (2025)</x:v>
      </x:c>
      <x:c r="D287" s="9" t="str">
        <x:v>L6</x:v>
      </x:c>
      <x:c r="E287" s="9" t="str">
        <x:v>0</x:v>
      </x:c>
      <x:c r="F287" s="9" t="str">
        <x:v>Adjudicated to Reviewer 1</x:v>
      </x:c>
      <x:c r="G287" s="9" t="str">
        <x:v>Clinical wear provides application data but no declared environmental exposure with sensor-response retention.</x:v>
      </x:c>
      <x:c r="H287" s="9" t="str">
        <x:v>PDF pp. 3–13; Figs. 2–12; Table 1</x:v>
      </x:c>
      <x:c r="I287" s="43" t="str">
        <x:v>No qualifying extrinsic-exposure evidence located</x:v>
      </x:c>
      <x:c r="J287" s="43" t="str">
        <x:v>No response was located during or after a deliberately applied condition extrinsic to the intended measurand.</x:v>
      </x:c>
    </x:row>
    <x:row r="288" ht="24" hidden="0" customHeight="1">
      <x:c r="A288" s="9" t="n">
        <x:v>36</x:v>
      </x:c>
      <x:c r="B288" s="9" t="str">
        <x:v>S047</x:v>
      </x:c>
      <x:c r="C288" s="9" t="str">
        <x:v>Shin et al. (2025)</x:v>
      </x:c>
      <x:c r="D288" s="9" t="str">
        <x:v>L7</x:v>
      </x:c>
      <x:c r="E288" s="9" t="str">
        <x:v>1</x:v>
      </x:c>
      <x:c r="F288" s="9" t="str">
        <x:v>Complete L7 audit—Route B</x:v>
      </x:c>
      <x:c r="G288" s="9" t="str">
        <x:v>Route B—integrated assembly: interface pressure was monitored during the wear trial and maintained within the stated 15–25 mmHg range, with strap adjustment recorded.</x:v>
      </x:c>
      <x:c r="H288" s="9" t="str">
        <x:v>S047_Main.pdf, physical p. 6, clinical protocol; pp. 9–10, section 3.2.1 and Fig. 9</x:v>
      </x:c>
      <x:c r="I288" s="43" t="str"/>
      <x:c r="J288" s="43" t="str"/>
    </x:row>
    <x:row r="289" ht="26.399999618530273" hidden="0" customHeight="1">
      <x:c r="A289" s="9" t="n">
        <x:v>36</x:v>
      </x:c>
      <x:c r="B289" s="9" t="str">
        <x:v>S047</x:v>
      </x:c>
      <x:c r="C289" s="9" t="str">
        <x:v>Shin et al. (2025)</x:v>
      </x:c>
      <x:c r="D289" s="9" t="str">
        <x:v>L8</x:v>
      </x:c>
      <x:c r="E289" s="9" t="str">
        <x:v>0</x:v>
      </x:c>
      <x:c r="F289" s="9" t="str">
        <x:v>Initial agreement</x:v>
      </x:c>
      <x:c r="G289" s="9" t="str">
        <x:v>Two masks were used; eight commercial FSR modules were screened, not three separately fabricated FDM sensing systems.</x:v>
      </x:c>
      <x:c r="H289" s="9" t="str">
        <x:v>PDF pp. 3–13; Figs. 2–12; Table 1</x:v>
      </x:c>
      <x:c r="I289" s="43" t="str">
        <x:v>Insufficient experimental replication</x:v>
      </x:c>
      <x:c r="J289" s="43" t="str">
        <x:v>The reported complete-device count was below the three-device minimum.</x:v>
      </x:c>
    </x:row>
    <x:row r="290" ht="24" hidden="0" customHeight="1">
      <x:c r="A290" s="9" t="n">
        <x:v>37</x:v>
      </x:c>
      <x:c r="B290" s="9" t="str">
        <x:v>S048</x:v>
      </x:c>
      <x:c r="C290" s="9" t="str">
        <x:v>Gunasekaran et al. (2022)</x:v>
      </x:c>
      <x:c r="D290" s="9" t="str">
        <x:v>L1</x:v>
      </x:c>
      <x:c r="E290" s="9" t="str">
        <x:v>1</x:v>
      </x:c>
      <x:c r="F290" s="9" t="str">
        <x:v>Initial agreement</x:v>
      </x:c>
      <x:c r="G290" s="9" t="str">
        <x:v>FDM printer, TPU/graphene, nozzle, temperature, speed, layer height, pattern/infill and processing geometry are reported.</x:v>
      </x:c>
      <x:c r="H290" s="9" t="str">
        <x:v>PDF pp. 3–9; Figs. 1, 4–9; cited SI</x:v>
      </x:c>
      <x:c r="I290" s="43" t="str"/>
      <x:c r="J290" s="43" t="str"/>
    </x:row>
    <x:row r="291" ht="15" hidden="0" customHeight="1">
      <x:c r="A291" s="9" t="n">
        <x:v>37</x:v>
      </x:c>
      <x:c r="B291" s="9" t="str">
        <x:v>S048</x:v>
      </x:c>
      <x:c r="C291" s="9" t="str">
        <x:v>Gunasekaran et al. (2022)</x:v>
      </x:c>
      <x:c r="D291" s="9" t="str">
        <x:v>L2</x:v>
      </x:c>
      <x:c r="E291" s="9" t="str">
        <x:v>1</x:v>
      </x:c>
      <x:c r="F291" s="9" t="str">
        <x:v>Initial agreement</x:v>
      </x:c>
      <x:c r="G291" s="9" t="str">
        <x:v>TPU, graphene deposition/embedding, contacts and sensing roles are described.</x:v>
      </x:c>
      <x:c r="H291" s="9" t="str">
        <x:v>PDF pp. 3–9; Figs. 1, 4–9; cited SI</x:v>
      </x:c>
      <x:c r="I291" s="43" t="str"/>
      <x:c r="J291" s="43" t="str"/>
    </x:row>
    <x:row r="292" ht="15" hidden="0" customHeight="1">
      <x:c r="A292" s="9" t="n">
        <x:v>37</x:v>
      </x:c>
      <x:c r="B292" s="9" t="str">
        <x:v>S048</x:v>
      </x:c>
      <x:c r="C292" s="9" t="str">
        <x:v>Gunasekaran et al. (2022)</x:v>
      </x:c>
      <x:c r="D292" s="9" t="str">
        <x:v>L3</x:v>
      </x:c>
      <x:c r="E292" s="9" t="str">
        <x:v>1</x:v>
      </x:c>
      <x:c r="F292" s="9" t="str">
        <x:v>Initial agreement</x:v>
      </x:c>
      <x:c r="G292" s="9" t="str">
        <x:v>Mechanical test conditions and resistance/current acquisition are reported.</x:v>
      </x:c>
      <x:c r="H292" s="9" t="str">
        <x:v>PDF pp. 3–9; Figs. 1, 4–9; cited SI</x:v>
      </x:c>
      <x:c r="I292" s="43" t="str"/>
      <x:c r="J292" s="43" t="str"/>
    </x:row>
    <x:row r="293" ht="15" hidden="0" customHeight="1">
      <x:c r="A293" s="9" t="n">
        <x:v>37</x:v>
      </x:c>
      <x:c r="B293" s="9" t="str">
        <x:v>S048</x:v>
      </x:c>
      <x:c r="C293" s="9" t="str">
        <x:v>Gunasekaran et al. (2022)</x:v>
      </x:c>
      <x:c r="D293" s="9" t="str">
        <x:v>L4</x:v>
      </x:c>
      <x:c r="E293" s="9" t="str">
        <x:v>1</x:v>
      </x:c>
      <x:c r="F293" s="9" t="str">
        <x:v>Initial agreement</x:v>
      </x:c>
      <x:c r="G293" s="9" t="str">
        <x:v>Sensitivity and GF equations, ranges, cycling thresholds and exposure response are reported.</x:v>
      </x:c>
      <x:c r="H293" s="9" t="str">
        <x:v>PDF pp. 3–9; Figs. 1, 4–9; cited SI</x:v>
      </x:c>
      <x:c r="I293" s="43" t="str"/>
      <x:c r="J293" s="43" t="str"/>
    </x:row>
    <x:row r="294" ht="15" hidden="0" customHeight="1">
      <x:c r="A294" s="9" t="n">
        <x:v>37</x:v>
      </x:c>
      <x:c r="B294" s="9" t="str">
        <x:v>S048</x:v>
      </x:c>
      <x:c r="C294" s="9" t="str">
        <x:v>Gunasekaran et al. (2022)</x:v>
      </x:c>
      <x:c r="D294" s="9" t="str">
        <x:v>L5</x:v>
      </x:c>
      <x:c r="E294" s="9" t="str">
        <x:v>1</x:v>
      </x:c>
      <x:c r="F294" s="9" t="str">
        <x:v>Initial agreement</x:v>
      </x:c>
      <x:c r="G294" s="9" t="str">
        <x:v>Five-cycle compression tests and a tensile test beyond 1500 cycles report recovery and degradation.</x:v>
      </x:c>
      <x:c r="H294" s="9" t="str">
        <x:v>PDF pp. 3–9; Figs. 1, 4–9; cited SI</x:v>
      </x:c>
      <x:c r="I294" s="43" t="str"/>
      <x:c r="J294" s="43" t="str"/>
    </x:row>
    <x:row r="295" ht="36" hidden="0" customHeight="1">
      <x:c r="A295" s="9" t="n">
        <x:v>37</x:v>
      </x:c>
      <x:c r="B295" s="9" t="str">
        <x:v>S048</x:v>
      </x:c>
      <x:c r="C295" s="9" t="str">
        <x:v>Gunasekaran et al. (2022)</x:v>
      </x:c>
      <x:c r="D295" s="9" t="str">
        <x:v>L6</x:v>
      </x:c>
      <x:c r="E295" s="9" t="str">
        <x:v>1</x:v>
      </x:c>
      <x:c r="F295" s="9" t="str">
        <x:v>L6 subtype audit</x:v>
      </x:c>
      <x:c r="G295" s="9" t="str">
        <x:v>Post-exposure retention only; defined reference/recovery reported: Resistance was measured after drying and cooling at 30-minute intervals. Evidence: Water and organic-solvent immersion/ultrasonication for four hours was followed by resistance measurements.</x:v>
      </x:c>
      <x:c r="H295" s="9" t="str">
        <x:v>PDF pp. 3–9; Figs. 1, 4–9; cited SI</x:v>
      </x:c>
      <x:c r="I295" s="43" t="str"/>
      <x:c r="J295" s="43" t="str"/>
    </x:row>
    <x:row r="296" ht="36" hidden="0" customHeight="1">
      <x:c r="A296" s="9" t="n">
        <x:v>37</x:v>
      </x:c>
      <x:c r="B296" s="9" t="str">
        <x:v>S048</x:v>
      </x:c>
      <x:c r="C296" s="9" t="str">
        <x:v>Gunasekaran et al. (2022)</x:v>
      </x:c>
      <x:c r="D296" s="9" t="str">
        <x:v>L7</x:v>
      </x:c>
      <x:c r="E296" s="9" t="str">
        <x:v>1</x:v>
      </x:c>
      <x:c r="F296" s="9" t="str">
        <x:v>Complete L7 audit—Route A</x:v>
      </x:c>
      <x:c r="G296" s="9" t="str">
        <x:v>Route A—direct interface: surface- and interface-embedded graphene/TPU samples underwent four hours of solvent ultrasonication with resistance monitoring and inspection for delamination, shedding, swelling and retained graphene at the interface.</x:v>
      </x:c>
      <x:c r="H296" s="9" t="str">
        <x:v>S048_Main.pdf, physical pp. 3–6, Fig. 4; Supplementary Figs. S7–S8</x:v>
      </x:c>
      <x:c r="I296" s="43" t="str"/>
      <x:c r="J296" s="43" t="str"/>
    </x:row>
    <x:row r="297" ht="39.599998474121094" hidden="0" customHeight="1">
      <x:c r="A297" s="9" t="n">
        <x:v>37</x:v>
      </x:c>
      <x:c r="B297" s="9" t="str">
        <x:v>S048</x:v>
      </x:c>
      <x:c r="C297" s="9" t="str">
        <x:v>Gunasekaran et al. (2022)</x:v>
      </x:c>
      <x:c r="D297" s="9" t="str">
        <x:v>L8</x:v>
      </x:c>
      <x:c r="E297" s="9" t="str">
        <x:v>0</x:v>
      </x:c>
      <x:c r="F297" s="9" t="str">
        <x:v>Initial agreement</x:v>
      </x:c>
      <x:c r="G297" s="9" t="str">
        <x:v>Material and pattern variants were tested; ≥3 separate complete sensors were not quantitatively compared.</x:v>
      </x:c>
      <x:c r="H297" s="9" t="str">
        <x:v>PDF pp. 3–9; Figs. 1, 4–9; cited SI</x:v>
      </x:c>
      <x:c r="I297" s="43" t="str">
        <x:v>Non-qualifying repeated unit or condition</x:v>
      </x:c>
      <x:c r="J297" s="43" t="str">
        <x:v>The repeated entities were people, channels, variants, material specimens, repeated measurements or devices tested under different conditions.</x:v>
      </x:c>
    </x:row>
    <x:row r="298" ht="26.399999618530273" hidden="0" customHeight="1">
      <x:c r="A298" s="9" t="n">
        <x:v>38</x:v>
      </x:c>
      <x:c r="B298" s="9" t="str">
        <x:v>S050</x:v>
      </x:c>
      <x:c r="C298" s="9" t="str">
        <x:v>Leal-Junior et al. (2018)</x:v>
      </x:c>
      <x:c r="D298" s="9" t="str">
        <x:v>L1</x:v>
      </x:c>
      <x:c r="E298" s="9" t="str">
        <x:v>0</x:v>
      </x:c>
      <x:c r="F298" s="9" t="str">
        <x:v>Initial agreement</x:v>
      </x:c>
      <x:c r="G298" s="9" t="str">
        <x:v>Printer and materials are named, but nozzle/extrusion temperature, layer height, speed and toolpath are not reported.</x:v>
      </x:c>
      <x:c r="H298" s="9" t="str">
        <x:v>PDF pp. 3–10; Figs. 1–8</x:v>
      </x:c>
      <x:c r="I298" s="43" t="str">
        <x:v>Applicable fabrication information incomplete</x:v>
      </x:c>
      <x:c r="J298" s="43" t="str">
        <x:v>One or more architecture-relevant fabrication fields needed to reconstruct the tested printed component were not located.</x:v>
      </x:c>
    </x:row>
    <x:row r="299" ht="15" hidden="0" customHeight="1">
      <x:c r="A299" s="9" t="n">
        <x:v>38</x:v>
      </x:c>
      <x:c r="B299" s="9" t="str">
        <x:v>S050</x:v>
      </x:c>
      <x:c r="C299" s="9" t="str">
        <x:v>Leal-Junior et al. (2018)</x:v>
      </x:c>
      <x:c r="D299" s="9" t="str">
        <x:v>L2</x:v>
      </x:c>
      <x:c r="E299" s="9" t="str">
        <x:v>1</x:v>
      </x:c>
      <x:c r="F299" s="9" t="str">
        <x:v>Initial agreement</x:v>
      </x:c>
      <x:c r="G299" s="9" t="str">
        <x:v>ABS/TPU support roles and both embedded FBGs are described.</x:v>
      </x:c>
      <x:c r="H299" s="9" t="str">
        <x:v>PDF pp. 3–10; Figs. 1–8</x:v>
      </x:c>
      <x:c r="I299" s="43" t="str"/>
      <x:c r="J299" s="43" t="str"/>
    </x:row>
    <x:row r="300" ht="15" hidden="0" customHeight="1">
      <x:c r="A300" s="9" t="n">
        <x:v>38</x:v>
      </x:c>
      <x:c r="B300" s="9" t="str">
        <x:v>S050</x:v>
      </x:c>
      <x:c r="C300" s="9" t="str">
        <x:v>Leal-Junior et al. (2018)</x:v>
      </x:c>
      <x:c r="D300" s="9" t="str">
        <x:v>L3</x:v>
      </x:c>
      <x:c r="E300" s="9" t="str">
        <x:v>1</x:v>
      </x:c>
      <x:c r="F300" s="9" t="str">
        <x:v>Initial agreement</x:v>
      </x:c>
      <x:c r="G300" s="9" t="str">
        <x:v>Controlled force, temperature and motion tests use stated references.</x:v>
      </x:c>
      <x:c r="H300" s="9" t="str">
        <x:v>PDF pp. 3–10; Figs. 1–8</x:v>
      </x:c>
      <x:c r="I300" s="43" t="str"/>
      <x:c r="J300" s="43" t="str"/>
    </x:row>
    <x:row r="301" ht="15" hidden="0" customHeight="1">
      <x:c r="A301" s="9" t="n">
        <x:v>38</x:v>
      </x:c>
      <x:c r="B301" s="9" t="str">
        <x:v>S050</x:v>
      </x:c>
      <x:c r="C301" s="9" t="str">
        <x:v>Leal-Junior et al. (2018)</x:v>
      </x:c>
      <x:c r="D301" s="9" t="str">
        <x:v>L4</x:v>
      </x:c>
      <x:c r="E301" s="9" t="str">
        <x:v>1</x:v>
      </x:c>
      <x:c r="F301" s="9" t="str">
        <x:v>Initial agreement</x:v>
      </x:c>
      <x:c r="G301" s="9" t="str">
        <x:v>Sensitivities, errors and tested ranges are quantified.</x:v>
      </x:c>
      <x:c r="H301" s="9" t="str">
        <x:v>PDF pp. 3–10; Figs. 1–8</x:v>
      </x:c>
      <x:c r="I301" s="43" t="str"/>
      <x:c r="J301" s="43" t="str"/>
    </x:row>
    <x:row r="302" ht="15" hidden="0" customHeight="1">
      <x:c r="A302" s="9" t="n">
        <x:v>38</x:v>
      </x:c>
      <x:c r="B302" s="9" t="str">
        <x:v>S050</x:v>
      </x:c>
      <x:c r="C302" s="9" t="str">
        <x:v>Leal-Junior et al. (2018)</x:v>
      </x:c>
      <x:c r="D302" s="9" t="str">
        <x:v>L5</x:v>
      </x:c>
      <x:c r="E302" s="9" t="str">
        <x:v>1</x:v>
      </x:c>
      <x:c r="F302" s="9" t="str">
        <x:v>Adjudicated to Reviewer 1</x:v>
      </x:c>
      <x:c r="G302" s="9" t="str">
        <x:v>Five exoskeleton flexion/extension cycles provide a repeated application-response trace.</x:v>
      </x:c>
      <x:c r="H302" s="9" t="str">
        <x:v>PDF pp. 3–10; Figs. 1–8</x:v>
      </x:c>
      <x:c r="I302" s="43" t="str"/>
      <x:c r="J302" s="43" t="str"/>
    </x:row>
    <x:row r="303" ht="24" hidden="0" customHeight="1">
      <x:c r="A303" s="9" t="n">
        <x:v>38</x:v>
      </x:c>
      <x:c r="B303" s="9" t="str">
        <x:v>S050</x:v>
      </x:c>
      <x:c r="C303" s="9" t="str">
        <x:v>Leal-Junior et al. (2018)</x:v>
      </x:c>
      <x:c r="D303" s="9" t="str">
        <x:v>L6</x:v>
      </x:c>
      <x:c r="E303" s="9" t="str">
        <x:v>1</x:v>
      </x:c>
      <x:c r="F303" s="9" t="str">
        <x:v>L6 subtype audit</x:v>
      </x:c>
      <x:c r="G303" s="9" t="str">
        <x:v>In-exposure cross-sensitivity only: Sensor response was quantified from 25 to 45 °C and force compensation was evaluated.</x:v>
      </x:c>
      <x:c r="H303" s="9" t="str">
        <x:v>PDF pp. 3–10; Figs. 1–8</x:v>
      </x:c>
      <x:c r="I303" s="43" t="str"/>
      <x:c r="J303" s="43" t="str"/>
    </x:row>
    <x:row r="304" ht="26.399999618530273" hidden="0" customHeight="1">
      <x:c r="A304" s="9" t="n">
        <x:v>38</x:v>
      </x:c>
      <x:c r="B304" s="9" t="str">
        <x:v>S050</x:v>
      </x:c>
      <x:c r="C304" s="9" t="str">
        <x:v>Leal-Junior et al. (2018)</x:v>
      </x:c>
      <x:c r="D304" s="9" t="str">
        <x:v>L7</x:v>
      </x:c>
      <x:c r="E304" s="9" t="str">
        <x:v>0</x:v>
      </x:c>
      <x:c r="F304" s="9" t="str">
        <x:v>Complete L7 audit—not qualifying</x:v>
      </x:c>
      <x:c r="G304" s="9" t="str">
        <x:v>No qualifying interface-integrity test or repeated final monolithic wearable-assembly test with a retention/failure endpoint was located.</x:v>
      </x:c>
      <x:c r="H304" s="9" t="str">
        <x:v>PDF pp. 3–10; Figs. 1–8</x:v>
      </x:c>
      <x:c r="I304" s="43" t="str">
        <x:v>No qualifying interface/final-assembly endpoint located</x:v>
      </x:c>
      <x:c r="J304" s="43" t="str">
        <x:v>Neither a Route A interface endpoint nor a Route B repeated final-assembly retention/failure endpoint was located.</x:v>
      </x:c>
    </x:row>
    <x:row r="305" ht="26.399999618530273" hidden="0" customHeight="1">
      <x:c r="A305" s="9" t="n">
        <x:v>38</x:v>
      </x:c>
      <x:c r="B305" s="9" t="str">
        <x:v>S050</x:v>
      </x:c>
      <x:c r="C305" s="9" t="str">
        <x:v>Leal-Junior et al. (2018)</x:v>
      </x:c>
      <x:c r="D305" s="9" t="str">
        <x:v>L8</x:v>
      </x:c>
      <x:c r="E305" s="9" t="str">
        <x:v>0</x:v>
      </x:c>
      <x:c r="F305" s="9" t="str">
        <x:v>Initial agreement</x:v>
      </x:c>
      <x:c r="G305" s="9" t="str">
        <x:v>Only two complete support/FBG assemblies were identified.</x:v>
      </x:c>
      <x:c r="H305" s="9" t="str">
        <x:v>PDF pp. 3–10; Figs. 1–8</x:v>
      </x:c>
      <x:c r="I305" s="43" t="str">
        <x:v>Insufficient experimental replication</x:v>
      </x:c>
      <x:c r="J305" s="43" t="str">
        <x:v>The reported complete-device count was below the three-device minimum.</x:v>
      </x:c>
    </x:row>
    <x:row r="306" ht="24" hidden="0" customHeight="1">
      <x:c r="A306" s="9" t="n">
        <x:v>39</x:v>
      </x:c>
      <x:c r="B306" s="9" t="str">
        <x:v>S051</x:v>
      </x:c>
      <x:c r="C306" s="9" t="str">
        <x:v>Ota et al. (2017)</x:v>
      </x:c>
      <x:c r="D306" s="9" t="str">
        <x:v>L1</x:v>
      </x:c>
      <x:c r="E306" s="9" t="str">
        <x:v>1</x:v>
      </x:c>
      <x:c r="F306" s="9" t="str">
        <x:v>Adjudicated to Reviewer 1</x:v>
      </x:c>
      <x:c r="G306" s="9" t="str">
        <x:v>FDM printer, flexible filament, nozzle, temperatures, speed, layer height and device/channel geometry are reported.</x:v>
      </x:c>
      <x:c r="H306" s="9" t="str">
        <x:v>PDF pp. 2–7; Figs. 1–5</x:v>
      </x:c>
      <x:c r="I306" s="43" t="str"/>
      <x:c r="J306" s="43" t="str"/>
    </x:row>
    <x:row r="307" ht="15" hidden="0" customHeight="1">
      <x:c r="A307" s="9" t="n">
        <x:v>39</x:v>
      </x:c>
      <x:c r="B307" s="9" t="str">
        <x:v>S051</x:v>
      </x:c>
      <x:c r="C307" s="9" t="str">
        <x:v>Ota et al. (2017)</x:v>
      </x:c>
      <x:c r="D307" s="9" t="str">
        <x:v>L2</x:v>
      </x:c>
      <x:c r="E307" s="9" t="str">
        <x:v>1</x:v>
      </x:c>
      <x:c r="F307" s="9" t="str">
        <x:v>Initial agreement</x:v>
      </x:c>
      <x:c r="G307" s="9" t="str">
        <x:v>Printed polyurethane, Galinstan, PDMS/epoxy and electronic elements are described by role.</x:v>
      </x:c>
      <x:c r="H307" s="9" t="str">
        <x:v>PDF pp. 2–7; Figs. 1–5</x:v>
      </x:c>
      <x:c r="I307" s="43" t="str"/>
      <x:c r="J307" s="43" t="str"/>
    </x:row>
    <x:row r="308" ht="15" hidden="0" customHeight="1">
      <x:c r="A308" s="9" t="n">
        <x:v>39</x:v>
      </x:c>
      <x:c r="B308" s="9" t="str">
        <x:v>S051</x:v>
      </x:c>
      <x:c r="C308" s="9" t="str">
        <x:v>Ota et al. (2017)</x:v>
      </x:c>
      <x:c r="D308" s="9" t="str">
        <x:v>L3</x:v>
      </x:c>
      <x:c r="E308" s="9" t="str">
        <x:v>1</x:v>
      </x:c>
      <x:c r="F308" s="9" t="str">
        <x:v>Initial agreement</x:v>
      </x:c>
      <x:c r="G308" s="9" t="str">
        <x:v>Temperature calibration and stated room/exercise conditions are reported.</x:v>
      </x:c>
      <x:c r="H308" s="9" t="str">
        <x:v>PDF pp. 2–7; Figs. 1–5</x:v>
      </x:c>
      <x:c r="I308" s="43" t="str"/>
      <x:c r="J308" s="43" t="str"/>
    </x:row>
    <x:row r="309" ht="15" hidden="0" customHeight="1">
      <x:c r="A309" s="9" t="n">
        <x:v>39</x:v>
      </x:c>
      <x:c r="B309" s="9" t="str">
        <x:v>S051</x:v>
      </x:c>
      <x:c r="C309" s="9" t="str">
        <x:v>Ota et al. (2017)</x:v>
      </x:c>
      <x:c r="D309" s="9" t="str">
        <x:v>L4</x:v>
      </x:c>
      <x:c r="E309" s="9" t="str">
        <x:v>1</x:v>
      </x:c>
      <x:c r="F309" s="9" t="str">
        <x:v>Initial agreement</x:v>
      </x:c>
      <x:c r="G309" s="9" t="str">
        <x:v>Calibration ranges, frequency response and time-series temperature outputs are quantitative.</x:v>
      </x:c>
      <x:c r="H309" s="9" t="str">
        <x:v>PDF pp. 2–7; Figs. 1–5</x:v>
      </x:c>
      <x:c r="I309" s="43" t="str"/>
      <x:c r="J309" s="43" t="str"/>
    </x:row>
    <x:row r="310" ht="26.399999618530273" hidden="0" customHeight="1">
      <x:c r="A310" s="9" t="n">
        <x:v>39</x:v>
      </x:c>
      <x:c r="B310" s="9" t="str">
        <x:v>S051</x:v>
      </x:c>
      <x:c r="C310" s="9" t="str">
        <x:v>Ota et al. (2017)</x:v>
      </x:c>
      <x:c r="D310" s="9" t="str">
        <x:v>L5</x:v>
      </x:c>
      <x:c r="E310" s="9" t="str">
        <x:v>0</x:v>
      </x:c>
      <x:c r="F310" s="9" t="str">
        <x:v>Initial agreement</x:v>
      </x:c>
      <x:c r="G310" s="9" t="str">
        <x:v>No same-stimulus ≥3-cycle stability or retention endpoint was identified.</x:v>
      </x:c>
      <x:c r="H310" s="9" t="str">
        <x:v>PDF pp. 2–7; Figs. 1–5</x:v>
      </x:c>
      <x:c r="I310" s="43" t="str">
        <x:v>No qualifying repeated-stability evidence located</x:v>
      </x:c>
      <x:c r="J310" s="43" t="str">
        <x:v>No experimental sequence satisfying the L5 unit, repetition and stability-endpoint rule was located.</x:v>
      </x:c>
    </x:row>
    <x:row r="311" ht="15" hidden="0" customHeight="1">
      <x:c r="A311" s="9" t="n">
        <x:v>39</x:v>
      </x:c>
      <x:c r="B311" s="9" t="str">
        <x:v>S051</x:v>
      </x:c>
      <x:c r="C311" s="9" t="str">
        <x:v>Ota et al. (2017)</x:v>
      </x:c>
      <x:c r="D311" s="9" t="str">
        <x:v>L6</x:v>
      </x:c>
      <x:c r="E311" s="9" t="str">
        <x:v>1</x:v>
      </x:c>
      <x:c r="F311" s="9" t="str">
        <x:v>L6 subtype audit</x:v>
      </x:c>
      <x:c r="G311" s="9" t="str">
        <x:v>In-exposure cross-sensitivity only: The device response was measured in rooms from 6 to 40 °C.</x:v>
      </x:c>
      <x:c r="H311" s="9" t="str">
        <x:v>PDF pp. 2–7; Figs. 1–5</x:v>
      </x:c>
      <x:c r="I311" s="43" t="str"/>
      <x:c r="J311" s="43" t="str"/>
    </x:row>
    <x:row r="312" ht="26.399999618530273" hidden="0" customHeight="1">
      <x:c r="A312" s="9" t="n">
        <x:v>39</x:v>
      </x:c>
      <x:c r="B312" s="9" t="str">
        <x:v>S051</x:v>
      </x:c>
      <x:c r="C312" s="9" t="str">
        <x:v>Ota et al. (2017)</x:v>
      </x:c>
      <x:c r="D312" s="9" t="str">
        <x:v>L7</x:v>
      </x:c>
      <x:c r="E312" s="9" t="str">
        <x:v>0</x:v>
      </x:c>
      <x:c r="F312" s="9" t="str">
        <x:v>Complete L7 audit—not qualifying</x:v>
      </x:c>
      <x:c r="G312" s="9" t="str">
        <x:v>No qualifying interface-integrity test or repeated final monolithic wearable-assembly test with a retention/failure endpoint was located.</x:v>
      </x:c>
      <x:c r="H312" s="9" t="str">
        <x:v>PDF pp. 2–7; Figs. 1–5</x:v>
      </x:c>
      <x:c r="I312" s="43" t="str">
        <x:v>No qualifying interface/final-assembly endpoint located</x:v>
      </x:c>
      <x:c r="J312" s="43" t="str">
        <x:v>Neither a Route A interface endpoint nor a Route B repeated final-assembly retention/failure endpoint was located.</x:v>
      </x:c>
    </x:row>
    <x:row r="313" ht="26.399999618530273" hidden="0" customHeight="1">
      <x:c r="A313" s="9" t="n">
        <x:v>39</x:v>
      </x:c>
      <x:c r="B313" s="9" t="str">
        <x:v>S051</x:v>
      </x:c>
      <x:c r="C313" s="9" t="str">
        <x:v>Ota et al. (2017)</x:v>
      </x:c>
      <x:c r="D313" s="9" t="str">
        <x:v>L8</x:v>
      </x:c>
      <x:c r="E313" s="9" t="str">
        <x:v>0</x:v>
      </x:c>
      <x:c r="F313" s="9" t="str">
        <x:v>Initial agreement</x:v>
      </x:c>
      <x:c r="G313" s="9" t="str">
        <x:v>No quantitative comparison of ≥3 separately fabricated complete earables was reported.</x:v>
      </x:c>
      <x:c r="H313" s="9" t="str">
        <x:v>PDF pp. 2–7; Figs. 1–5</x:v>
      </x:c>
      <x:c r="I313" s="43" t="str">
        <x:v>No qualifying between-device evidence located</x:v>
      </x:c>
      <x:c r="J313" s="43" t="str">
        <x:v>No quantitative same-condition comparison of at least three independently fabricated complete devices was located.</x:v>
      </x:c>
    </x:row>
    <x:row r="314" ht="36" hidden="0" customHeight="1">
      <x:c r="A314" s="9" t="n">
        <x:v>40</x:v>
      </x:c>
      <x:c r="B314" s="9" t="str">
        <x:v>S052</x:v>
      </x:c>
      <x:c r="C314" s="9" t="str">
        <x:v>Li et al. (2026)</x:v>
      </x:c>
      <x:c r="D314" s="9" t="str">
        <x:v>L1</x:v>
      </x:c>
      <x:c r="E314" s="9" t="str">
        <x:v>0</x:v>
      </x:c>
      <x:c r="F314" s="9" t="str">
        <x:v>Initial agreement</x:v>
      </x:c>
      <x:c r="G314" s="9" t="str">
        <x:v>The main article reports the F430 NX printer and 225/130 °C nozzle/base temperatures, and Supplementary Table S1 gives device geometry; nozzle diameter, layer height, print speed, infill and orientation/toolpath remain unreported.</x:v>
      </x:c>
      <x:c r="H314" s="9" t="str">
        <x:v>Main article p. 2; Supplementary Table S1</x:v>
      </x:c>
      <x:c r="I314" s="43" t="str">
        <x:v>Applicable fabrication information incomplete</x:v>
      </x:c>
      <x:c r="J314" s="43" t="str">
        <x:v>One or more architecture-relevant fabrication fields needed to reconstruct the tested printed component were not located.</x:v>
      </x:c>
    </x:row>
    <x:row r="315" ht="24" hidden="0" customHeight="1">
      <x:c r="A315" s="9" t="n">
        <x:v>40</x:v>
      </x:c>
      <x:c r="B315" s="9" t="str">
        <x:v>S052</x:v>
      </x:c>
      <x:c r="C315" s="9" t="str">
        <x:v>Li et al. (2026)</x:v>
      </x:c>
      <x:c r="D315" s="9" t="str">
        <x:v>L2</x:v>
      </x:c>
      <x:c r="E315" s="9" t="str">
        <x:v>1</x:v>
      </x:c>
      <x:c r="F315" s="9" t="str">
        <x:v>Initial agreement</x:v>
      </x:c>
      <x:c r="G315" s="9" t="str">
        <x:v>PVDF grade, MMT loadings, filament preparation and device role are described.</x:v>
      </x:c>
      <x:c r="H315" s="9" t="str">
        <x:v>PDF pp. 2–12; Figs. 1–6; cited Supplementary Table S1 and Figs. S1–S21</x:v>
      </x:c>
      <x:c r="I315" s="43" t="str"/>
      <x:c r="J315" s="43" t="str"/>
    </x:row>
    <x:row r="316" ht="24" hidden="0" customHeight="1">
      <x:c r="A316" s="9" t="n">
        <x:v>40</x:v>
      </x:c>
      <x:c r="B316" s="9" t="str">
        <x:v>S052</x:v>
      </x:c>
      <x:c r="C316" s="9" t="str">
        <x:v>Li et al. (2026)</x:v>
      </x:c>
      <x:c r="D316" s="9" t="str">
        <x:v>L3</x:v>
      </x:c>
      <x:c r="E316" s="9" t="str">
        <x:v>1</x:v>
      </x:c>
      <x:c r="F316" s="9" t="str">
        <x:v>Initial agreement</x:v>
      </x:c>
      <x:c r="G316" s="9" t="str">
        <x:v>Mechanical/electrical tests use stated loading and instruments.</x:v>
      </x:c>
      <x:c r="H316" s="9" t="str">
        <x:v>PDF pp. 2–12; Figs. 1–6; cited Supplementary Table S1 and Figs. S1–S21</x:v>
      </x:c>
      <x:c r="I316" s="43" t="str"/>
      <x:c r="J316" s="43" t="str"/>
    </x:row>
    <x:row r="317" ht="24" hidden="0" customHeight="1">
      <x:c r="A317" s="9" t="n">
        <x:v>40</x:v>
      </x:c>
      <x:c r="B317" s="9" t="str">
        <x:v>S052</x:v>
      </x:c>
      <x:c r="C317" s="9" t="str">
        <x:v>Li et al. (2026)</x:v>
      </x:c>
      <x:c r="D317" s="9" t="str">
        <x:v>L4</x:v>
      </x:c>
      <x:c r="E317" s="9" t="str">
        <x:v>1</x:v>
      </x:c>
      <x:c r="F317" s="9" t="str">
        <x:v>Initial agreement</x:v>
      </x:c>
      <x:c r="G317" s="9" t="str">
        <x:v>Mechanical, piezoelectric, timing and classification outcomes are quantified over stated ranges.</x:v>
      </x:c>
      <x:c r="H317" s="9" t="str">
        <x:v>PDF pp. 2–12; Figs. 1–6; cited Supplementary Table S1 and Figs. S1–S21</x:v>
      </x:c>
      <x:c r="I317" s="43" t="str"/>
      <x:c r="J317" s="43" t="str"/>
    </x:row>
    <x:row r="318" ht="24" hidden="0" customHeight="1">
      <x:c r="A318" s="9" t="n">
        <x:v>40</x:v>
      </x:c>
      <x:c r="B318" s="9" t="str">
        <x:v>S052</x:v>
      </x:c>
      <x:c r="C318" s="9" t="str">
        <x:v>Li et al. (2026)</x:v>
      </x:c>
      <x:c r="D318" s="9" t="str">
        <x:v>L5</x:v>
      </x:c>
      <x:c r="E318" s="9" t="str">
        <x:v>1</x:v>
      </x:c>
      <x:c r="F318" s="9" t="str">
        <x:v>Initial agreement</x:v>
      </x:c>
      <x:c r="G318" s="9" t="str">
        <x:v>Two hundred mechanical cycles and 5000 sensor cycles report retained response.</x:v>
      </x:c>
      <x:c r="H318" s="9" t="str">
        <x:v>PDF pp. 2–12; Figs. 1–6; cited Supplementary Table S1 and Figs. S1–S21</x:v>
      </x:c>
      <x:c r="I318" s="43" t="str"/>
      <x:c r="J318" s="43" t="str"/>
    </x:row>
    <x:row r="319" ht="24" hidden="0" customHeight="1">
      <x:c r="A319" s="9" t="n">
        <x:v>40</x:v>
      </x:c>
      <x:c r="B319" s="9" t="str">
        <x:v>S052</x:v>
      </x:c>
      <x:c r="C319" s="9" t="str">
        <x:v>Li et al. (2026)</x:v>
      </x:c>
      <x:c r="D319" s="9" t="str">
        <x:v>L6</x:v>
      </x:c>
      <x:c r="E319" s="9" t="str">
        <x:v>1</x:v>
      </x:c>
      <x:c r="F319" s="9" t="str">
        <x:v>L6 subtype audit</x:v>
      </x:c>
      <x:c r="G319" s="9" t="str">
        <x:v>In-exposure cross-sensitivity only: Ambient humidity and temperature response are explicitly reported, with detail in cited supplementary figures.</x:v>
      </x:c>
      <x:c r="H319" s="9" t="str">
        <x:v>PDF pp. 2–12; Figs. 1–6; cited Supplementary Table S1 and Figs. S1–S21</x:v>
      </x:c>
      <x:c r="I319" s="43" t="str"/>
      <x:c r="J319" s="43" t="str"/>
    </x:row>
    <x:row r="320" ht="36" hidden="0" customHeight="1">
      <x:c r="A320" s="9" t="n">
        <x:v>40</x:v>
      </x:c>
      <x:c r="B320" s="9" t="str">
        <x:v>S052</x:v>
      </x:c>
      <x:c r="C320" s="9" t="str">
        <x:v>Li et al. (2026)</x:v>
      </x:c>
      <x:c r="D320" s="9" t="str">
        <x:v>L7</x:v>
      </x:c>
      <x:c r="E320" s="9" t="str">
        <x:v>0</x:v>
      </x:c>
      <x:c r="F320" s="9" t="str">
        <x:v>Complete L7 audit—not qualifying</x:v>
      </x:c>
      <x:c r="G320" s="9" t="str">
        <x:v>Does not qualify after the complete L7 audit: the report shows qualitative waveform repetition or a wearable demonstration, but no Route A direct-interface endpoint and no Route B defined retention or failure endpoint for the final assembly.</x:v>
      </x:c>
      <x:c r="H320" s="9" t="str">
        <x:v>PDF pp. 10-12; Fig. 6</x:v>
      </x:c>
      <x:c r="I320" s="43" t="str">
        <x:v>No qualifying interface/final-assembly endpoint located</x:v>
      </x:c>
      <x:c r="J320" s="43" t="str">
        <x:v>Neither a Route A interface endpoint nor a Route B repeated final-assembly retention/failure endpoint was located.</x:v>
      </x:c>
    </x:row>
    <x:row r="321" ht="26.399999618530273" hidden="0" customHeight="1">
      <x:c r="A321" s="9" t="n">
        <x:v>40</x:v>
      </x:c>
      <x:c r="B321" s="9" t="str">
        <x:v>S052</x:v>
      </x:c>
      <x:c r="C321" s="9" t="str">
        <x:v>Li et al. (2026)</x:v>
      </x:c>
      <x:c r="D321" s="9" t="str">
        <x:v>L8</x:v>
      </x:c>
      <x:c r="E321" s="9" t="str">
        <x:v>0</x:v>
      </x:c>
      <x:c r="F321" s="9" t="str">
        <x:v>Unclear resolved</x:v>
      </x:c>
      <x:c r="G321" s="9" t="str">
        <x:v>A ±6% batch variation is stated, but the number of separately fabricated complete sensors is not identified.</x:v>
      </x:c>
      <x:c r="H321" s="9" t="str">
        <x:v>PDF pp. 2–12; Figs. 1–6; cited Supplementary Table S1 and Figs. S1–S21</x:v>
      </x:c>
      <x:c r="I321" s="43" t="str">
        <x:v>Replication count unreported or unclear</x:v>
      </x:c>
      <x:c r="J321" s="43" t="str">
        <x:v>The report did not establish the number of independently fabricated complete devices under the same condition.</x:v>
      </x:c>
    </x:row>
    <x:row r="322" ht="26.399999618530273" hidden="0" customHeight="1">
      <x:c r="A322" s="9" t="n">
        <x:v>41</x:v>
      </x:c>
      <x:c r="B322" s="9" t="str">
        <x:v>S053</x:v>
      </x:c>
      <x:c r="C322" s="9" t="str">
        <x:v>Li et al. (2023)</x:v>
      </x:c>
      <x:c r="D322" s="9" t="str">
        <x:v>L1</x:v>
      </x:c>
      <x:c r="E322" s="9" t="str">
        <x:v>0</x:v>
      </x:c>
      <x:c r="F322" s="9" t="str">
        <x:v>Initial agreement</x:v>
      </x:c>
      <x:c r="G322" s="9" t="str">
        <x:v>FDM, composition, nozzle temperature, layer height, infill and geometry are stated, but the printer model is not reported.</x:v>
      </x:c>
      <x:c r="H322" s="9" t="str">
        <x:v>PDF pp. 3–13; Figs. 1–9</x:v>
      </x:c>
      <x:c r="I322" s="43" t="str">
        <x:v>Applicable fabrication information incomplete</x:v>
      </x:c>
      <x:c r="J322" s="43" t="str">
        <x:v>One or more architecture-relevant fabrication fields needed to reconstruct the tested printed component were not located.</x:v>
      </x:c>
    </x:row>
    <x:row r="323" ht="15" hidden="0" customHeight="1">
      <x:c r="A323" s="9" t="n">
        <x:v>41</x:v>
      </x:c>
      <x:c r="B323" s="9" t="str">
        <x:v>S053</x:v>
      </x:c>
      <x:c r="C323" s="9" t="str">
        <x:v>Li et al. (2023)</x:v>
      </x:c>
      <x:c r="D323" s="9" t="str">
        <x:v>L2</x:v>
      </x:c>
      <x:c r="E323" s="9" t="str">
        <x:v>1</x:v>
      </x:c>
      <x:c r="F323" s="9" t="str">
        <x:v>Initial agreement</x:v>
      </x:c>
      <x:c r="G323" s="9" t="str">
        <x:v>Hybrid-filler ratios, TPU matrix and porosity variants are described.</x:v>
      </x:c>
      <x:c r="H323" s="9" t="str">
        <x:v>PDF pp. 3–13; Figs. 1–9</x:v>
      </x:c>
      <x:c r="I323" s="43" t="str"/>
      <x:c r="J323" s="43" t="str"/>
    </x:row>
    <x:row r="324" ht="15" hidden="0" customHeight="1">
      <x:c r="A324" s="9" t="n">
        <x:v>41</x:v>
      </x:c>
      <x:c r="B324" s="9" t="str">
        <x:v>S053</x:v>
      </x:c>
      <x:c r="C324" s="9" t="str">
        <x:v>Li et al. (2023)</x:v>
      </x:c>
      <x:c r="D324" s="9" t="str">
        <x:v>L3</x:v>
      </x:c>
      <x:c r="E324" s="9" t="str">
        <x:v>1</x:v>
      </x:c>
      <x:c r="F324" s="9" t="str">
        <x:v>Initial agreement</x:v>
      </x:c>
      <x:c r="G324" s="9" t="str">
        <x:v>Controlled compression and body-action protocols are reported.</x:v>
      </x:c>
      <x:c r="H324" s="9" t="str">
        <x:v>PDF pp. 3–13; Figs. 1–9</x:v>
      </x:c>
      <x:c r="I324" s="43" t="str"/>
      <x:c r="J324" s="43" t="str"/>
    </x:row>
    <x:row r="325" ht="15" hidden="0" customHeight="1">
      <x:c r="A325" s="9" t="n">
        <x:v>41</x:v>
      </x:c>
      <x:c r="B325" s="9" t="str">
        <x:v>S053</x:v>
      </x:c>
      <x:c r="C325" s="9" t="str">
        <x:v>Li et al. (2023)</x:v>
      </x:c>
      <x:c r="D325" s="9" t="str">
        <x:v>L4</x:v>
      </x:c>
      <x:c r="E325" s="9" t="str">
        <x:v>1</x:v>
      </x:c>
      <x:c r="F325" s="9" t="str">
        <x:v>Initial agreement</x:v>
      </x:c>
      <x:c r="G325" s="9" t="str">
        <x:v>Sensitivity, range, timing and durability outcomes are quantitative.</x:v>
      </x:c>
      <x:c r="H325" s="9" t="str">
        <x:v>PDF pp. 3–13; Figs. 1–9</x:v>
      </x:c>
      <x:c r="I325" s="43" t="str"/>
      <x:c r="J325" s="43" t="str"/>
    </x:row>
    <x:row r="326" ht="15" hidden="0" customHeight="1">
      <x:c r="A326" s="9" t="n">
        <x:v>41</x:v>
      </x:c>
      <x:c r="B326" s="9" t="str">
        <x:v>S053</x:v>
      </x:c>
      <x:c r="C326" s="9" t="str">
        <x:v>Li et al. (2023)</x:v>
      </x:c>
      <x:c r="D326" s="9" t="str">
        <x:v>L5</x:v>
      </x:c>
      <x:c r="E326" s="9" t="str">
        <x:v>1</x:v>
      </x:c>
      <x:c r="F326" s="9" t="str">
        <x:v>Initial agreement</x:v>
      </x:c>
      <x:c r="G326" s="9" t="str">
        <x:v>The selected sensor completed 1000 cycles and a 10,000 s loading test.</x:v>
      </x:c>
      <x:c r="H326" s="9" t="str">
        <x:v>PDF pp. 3–13; Figs. 1–9</x:v>
      </x:c>
      <x:c r="I326" s="43" t="str"/>
      <x:c r="J326" s="43" t="str"/>
    </x:row>
    <x:row r="327" ht="26.399999618530273" hidden="0" customHeight="1">
      <x:c r="A327" s="9" t="n">
        <x:v>41</x:v>
      </x:c>
      <x:c r="B327" s="9" t="str">
        <x:v>S053</x:v>
      </x:c>
      <x:c r="C327" s="9" t="str">
        <x:v>Li et al. (2023)</x:v>
      </x:c>
      <x:c r="D327" s="9" t="str">
        <x:v>L6</x:v>
      </x:c>
      <x:c r="E327" s="9" t="str">
        <x:v>0</x:v>
      </x:c>
      <x:c r="F327" s="9" t="str">
        <x:v>Initial agreement</x:v>
      </x:c>
      <x:c r="G327" s="9" t="str">
        <x:v>No distinct qualifying environmental or use-related exposure was identified.</x:v>
      </x:c>
      <x:c r="H327" s="9" t="str">
        <x:v>PDF pp. 3–13; Figs. 1–9</x:v>
      </x:c>
      <x:c r="I327" s="43" t="str">
        <x:v>No qualifying extrinsic-exposure evidence located</x:v>
      </x:c>
      <x:c r="J327" s="43" t="str">
        <x:v>No response was located during or after a deliberately applied condition extrinsic to the intended measurand.</x:v>
      </x:c>
    </x:row>
    <x:row r="328" ht="26.399999618530273" hidden="0" customHeight="1">
      <x:c r="A328" s="9" t="n">
        <x:v>41</x:v>
      </x:c>
      <x:c r="B328" s="9" t="str">
        <x:v>S053</x:v>
      </x:c>
      <x:c r="C328" s="9" t="str">
        <x:v>Li et al. (2023)</x:v>
      </x:c>
      <x:c r="D328" s="9" t="str">
        <x:v>L7</x:v>
      </x:c>
      <x:c r="E328" s="9" t="str">
        <x:v>0</x:v>
      </x:c>
      <x:c r="F328" s="9" t="str">
        <x:v>Complete L7 audit—not qualifying</x:v>
      </x:c>
      <x:c r="G328" s="9" t="str">
        <x:v>No qualifying interface-integrity test or repeated final monolithic wearable-assembly test with a retention/failure endpoint was located.</x:v>
      </x:c>
      <x:c r="H328" s="9" t="str">
        <x:v>PDF pp. 3–13; Figs. 1–9</x:v>
      </x:c>
      <x:c r="I328" s="43" t="str">
        <x:v>No qualifying interface/final-assembly endpoint located</x:v>
      </x:c>
      <x:c r="J328" s="43" t="str">
        <x:v>Neither a Route A interface endpoint nor a Route B repeated final-assembly retention/failure endpoint was located.</x:v>
      </x:c>
    </x:row>
    <x:row r="329" ht="26.399999618530273" hidden="0" customHeight="1">
      <x:c r="A329" s="9" t="n">
        <x:v>41</x:v>
      </x:c>
      <x:c r="B329" s="9" t="str">
        <x:v>S053</x:v>
      </x:c>
      <x:c r="C329" s="9" t="str">
        <x:v>Li et al. (2023)</x:v>
      </x:c>
      <x:c r="D329" s="9" t="str">
        <x:v>L8</x:v>
      </x:c>
      <x:c r="E329" s="9" t="str">
        <x:v>0</x:v>
      </x:c>
      <x:c r="F329" s="9" t="str">
        <x:v>Initial agreement</x:v>
      </x:c>
      <x:c r="G329" s="9" t="str">
        <x:v>No comparison of ≥3 separately fabricated complete sensors was identified.</x:v>
      </x:c>
      <x:c r="H329" s="9" t="str">
        <x:v>PDF pp. 3–13; Figs. 1–9</x:v>
      </x:c>
      <x:c r="I329" s="43" t="str">
        <x:v>No qualifying between-device evidence located</x:v>
      </x:c>
      <x:c r="J329" s="43" t="str">
        <x:v>No quantitative same-condition comparison of at least three independently fabricated complete devices was located.</x:v>
      </x:c>
    </x:row>
    <x:row r="330" ht="26.399999618530273" hidden="0" customHeight="1">
      <x:c r="A330" s="9" t="n">
        <x:v>42</x:v>
      </x:c>
      <x:c r="B330" s="9" t="str">
        <x:v>S054</x:v>
      </x:c>
      <x:c r="C330" s="9" t="str">
        <x:v>Chatzistergos et al. (2021)</x:v>
      </x:c>
      <x:c r="D330" s="9" t="str">
        <x:v>L1</x:v>
      </x:c>
      <x:c r="E330" s="9" t="str">
        <x:v>0</x:v>
      </x:c>
      <x:c r="F330" s="9" t="str">
        <x:v>Initial agreement</x:v>
      </x:c>
      <x:c r="G330" s="9" t="str">
        <x:v>FDM and Filaflex geometry are stated, but printer and essential processing settings are absent.</x:v>
      </x:c>
      <x:c r="H330" s="9" t="str">
        <x:v>PDF pp. 3–9; Figs. 1–7; Appendix 1</x:v>
      </x:c>
      <x:c r="I330" s="43" t="str">
        <x:v>Applicable fabrication information incomplete</x:v>
      </x:c>
      <x:c r="J330" s="43" t="str">
        <x:v>One or more architecture-relevant fabrication fields needed to reconstruct the tested printed component were not located.</x:v>
      </x:c>
    </x:row>
    <x:row r="331" ht="15" hidden="0" customHeight="1">
      <x:c r="A331" s="9" t="n">
        <x:v>42</x:v>
      </x:c>
      <x:c r="B331" s="9" t="str">
        <x:v>S054</x:v>
      </x:c>
      <x:c r="C331" s="9" t="str">
        <x:v>Chatzistergos et al. (2021)</x:v>
      </x:c>
      <x:c r="D331" s="9" t="str">
        <x:v>L2</x:v>
      </x:c>
      <x:c r="E331" s="9" t="str">
        <x:v>1</x:v>
      </x:c>
      <x:c r="F331" s="9" t="str">
        <x:v>Initial agreement</x:v>
      </x:c>
      <x:c r="G331" s="9" t="str">
        <x:v>Filaflex grade and complete thin-wall geometry are described.</x:v>
      </x:c>
      <x:c r="H331" s="9" t="str">
        <x:v>PDF pp. 3–9; Figs. 1–7; Appendix 1</x:v>
      </x:c>
      <x:c r="I331" s="43" t="str"/>
      <x:c r="J331" s="43" t="str"/>
    </x:row>
    <x:row r="332" ht="15" hidden="0" customHeight="1">
      <x:c r="A332" s="9" t="n">
        <x:v>42</x:v>
      </x:c>
      <x:c r="B332" s="9" t="str">
        <x:v>S054</x:v>
      </x:c>
      <x:c r="C332" s="9" t="str">
        <x:v>Chatzistergos et al. (2021)</x:v>
      </x:c>
      <x:c r="D332" s="9" t="str">
        <x:v>L3</x:v>
      </x:c>
      <x:c r="E332" s="9" t="str">
        <x:v>1</x:v>
      </x:c>
      <x:c r="F332" s="9" t="str">
        <x:v>Initial agreement</x:v>
      </x:c>
      <x:c r="G332" s="9" t="str">
        <x:v>Randomized mechanical ageing magnitudes and controlled cycling are reported.</x:v>
      </x:c>
      <x:c r="H332" s="9" t="str">
        <x:v>PDF pp. 3–9; Figs. 1–7; Appendix 1</x:v>
      </x:c>
      <x:c r="I332" s="43" t="str"/>
      <x:c r="J332" s="43" t="str"/>
    </x:row>
    <x:row r="333" ht="15" hidden="0" customHeight="1">
      <x:c r="A333" s="9" t="n">
        <x:v>42</x:v>
      </x:c>
      <x:c r="B333" s="9" t="str">
        <x:v>S054</x:v>
      </x:c>
      <x:c r="C333" s="9" t="str">
        <x:v>Chatzistergos et al. (2021)</x:v>
      </x:c>
      <x:c r="D333" s="9" t="str">
        <x:v>L4</x:v>
      </x:c>
      <x:c r="E333" s="9" t="str">
        <x:v>1</x:v>
      </x:c>
      <x:c r="F333" s="9" t="str">
        <x:v>Initial agreement</x:v>
      </x:c>
      <x:c r="G333" s="9" t="str">
        <x:v>Pmax, stiffness, threshold, AUC, sensitivity and specificity are defined and quantified.</x:v>
      </x:c>
      <x:c r="H333" s="9" t="str">
        <x:v>PDF pp. 3–9; Figs. 1–7; Appendix 1</x:v>
      </x:c>
      <x:c r="I333" s="43" t="str"/>
      <x:c r="J333" s="43" t="str"/>
    </x:row>
    <x:row r="334" ht="15" hidden="0" customHeight="1">
      <x:c r="A334" s="9" t="n">
        <x:v>42</x:v>
      </x:c>
      <x:c r="B334" s="9" t="str">
        <x:v>S054</x:v>
      </x:c>
      <x:c r="C334" s="9" t="str">
        <x:v>Chatzistergos et al. (2021)</x:v>
      </x:c>
      <x:c r="D334" s="9" t="str">
        <x:v>L5</x:v>
      </x:c>
      <x:c r="E334" s="9" t="str">
        <x:v>1</x:v>
      </x:c>
      <x:c r="F334" s="9" t="str">
        <x:v>Initial agreement</x:v>
      </x:c>
      <x:c r="G334" s="9" t="str">
        <x:v>Specimens completed 2000 or 14,000 repeated compression cycles with pre/post outcomes.</x:v>
      </x:c>
      <x:c r="H334" s="9" t="str">
        <x:v>PDF pp. 3–9; Figs. 1–7; Appendix 1</x:v>
      </x:c>
      <x:c r="I334" s="43" t="str"/>
      <x:c r="J334" s="43" t="str"/>
    </x:row>
    <x:row r="335" ht="26.399999618530273" hidden="0" customHeight="1">
      <x:c r="A335" s="9" t="n">
        <x:v>42</x:v>
      </x:c>
      <x:c r="B335" s="9" t="str">
        <x:v>S054</x:v>
      </x:c>
      <x:c r="C335" s="9" t="str">
        <x:v>Chatzistergos et al. (2021)</x:v>
      </x:c>
      <x:c r="D335" s="9" t="str">
        <x:v>L6</x:v>
      </x:c>
      <x:c r="E335" s="9" t="str">
        <x:v>0</x:v>
      </x:c>
      <x:c r="F335" s="9" t="str">
        <x:v>Initial agreement</x:v>
      </x:c>
      <x:c r="G335" s="9" t="str">
        <x:v>Only room-temperature cyclic loading was used; temperature/humidity were explicitly left for future work.</x:v>
      </x:c>
      <x:c r="H335" s="9" t="str">
        <x:v>PDF pp. 3–9; Figs. 1–7; Appendix 1</x:v>
      </x:c>
      <x:c r="I335" s="43" t="str">
        <x:v>No qualifying extrinsic-exposure evidence located</x:v>
      </x:c>
      <x:c r="J335" s="43" t="str">
        <x:v>No response was located during or after a deliberately applied condition extrinsic to the intended measurand.</x:v>
      </x:c>
    </x:row>
    <x:row r="336" ht="26.399999618530273" hidden="0" customHeight="1">
      <x:c r="A336" s="9" t="n">
        <x:v>42</x:v>
      </x:c>
      <x:c r="B336" s="9" t="str">
        <x:v>S054</x:v>
      </x:c>
      <x:c r="C336" s="9" t="str">
        <x:v>Chatzistergos et al. (2021)</x:v>
      </x:c>
      <x:c r="D336" s="9" t="str">
        <x:v>L7</x:v>
      </x:c>
      <x:c r="E336" s="9" t="str">
        <x:v>0</x:v>
      </x:c>
      <x:c r="F336" s="9" t="str">
        <x:v>Complete L7 audit—not qualifying</x:v>
      </x:c>
      <x:c r="G336" s="9" t="str">
        <x:v>No qualifying interface-integrity test or repeated final monolithic wearable-assembly test with a retention/failure endpoint was located.</x:v>
      </x:c>
      <x:c r="H336" s="9" t="str">
        <x:v>PDF pp. 3–9; Figs. 1–7; Appendix 1</x:v>
      </x:c>
      <x:c r="I336" s="43" t="str">
        <x:v>No qualifying interface/final-assembly endpoint located</x:v>
      </x:c>
      <x:c r="J336" s="43" t="str">
        <x:v>Neither a Route A interface endpoint nor a Route B repeated final-assembly retention/failure endpoint was located.</x:v>
      </x:c>
    </x:row>
    <x:row r="337" ht="15" hidden="0" customHeight="1">
      <x:c r="A337" s="9" t="n">
        <x:v>42</x:v>
      </x:c>
      <x:c r="B337" s="9" t="str">
        <x:v>S054</x:v>
      </x:c>
      <x:c r="C337" s="9" t="str">
        <x:v>Chatzistergos et al. (2021)</x:v>
      </x:c>
      <x:c r="D337" s="9" t="str">
        <x:v>L8</x:v>
      </x:c>
      <x:c r="E337" s="9" t="str">
        <x:v>1</x:v>
      </x:c>
      <x:c r="F337" s="9" t="str">
        <x:v>Adjudicated to Reviewer 1</x:v>
      </x:c>
      <x:c r="G337" s="9" t="str">
        <x:v>Twenty-six independently printed specimens were quantitatively compared.</x:v>
      </x:c>
      <x:c r="H337" s="9" t="str">
        <x:v>PDF pp. 3–9; Figs. 1–7; Appendix 1</x:v>
      </x:c>
      <x:c r="I337" s="43" t="str"/>
      <x:c r="J337" s="43" t="str"/>
    </x:row>
    <x:row r="338" ht="24" hidden="0" customHeight="1">
      <x:c r="A338" s="9" t="n">
        <x:v>43</x:v>
      </x:c>
      <x:c r="B338" s="9" t="str">
        <x:v>S055</x:v>
      </x:c>
      <x:c r="C338" s="9" t="str">
        <x:v>Ben Harrath et al. (2026)</x:v>
      </x:c>
      <x:c r="D338" s="9" t="str">
        <x:v>L1</x:v>
      </x:c>
      <x:c r="E338" s="9" t="str">
        <x:v>1</x:v>
      </x:c>
      <x:c r="F338" s="9" t="str">
        <x:v>Initial agreement</x:v>
      </x:c>
      <x:c r="G338" s="9" t="str">
        <x:v>Modified printer, PVDF, nozzle, temperatures, speed, layer height, infill, orientation and electric-field settings are reported.</x:v>
      </x:c>
      <x:c r="H338" s="9" t="str">
        <x:v>PDF pp. 3–9; Figs. 1–10</x:v>
      </x:c>
      <x:c r="I338" s="43" t="str"/>
      <x:c r="J338" s="43" t="str"/>
    </x:row>
    <x:row r="339" ht="15" hidden="0" customHeight="1">
      <x:c r="A339" s="9" t="n">
        <x:v>43</x:v>
      </x:c>
      <x:c r="B339" s="9" t="str">
        <x:v>S055</x:v>
      </x:c>
      <x:c r="C339" s="9" t="str">
        <x:v>Ben Harrath et al. (2026)</x:v>
      </x:c>
      <x:c r="D339" s="9" t="str">
        <x:v>L2</x:v>
      </x:c>
      <x:c r="E339" s="9" t="str">
        <x:v>1</x:v>
      </x:c>
      <x:c r="F339" s="9" t="str">
        <x:v>Initial agreement</x:v>
      </x:c>
      <x:c r="G339" s="9" t="str">
        <x:v>PVDF, layer variants, copper electrodes and PET are described.</x:v>
      </x:c>
      <x:c r="H339" s="9" t="str">
        <x:v>PDF pp. 3–9; Figs. 1–10</x:v>
      </x:c>
      <x:c r="I339" s="43" t="str"/>
      <x:c r="J339" s="43" t="str"/>
    </x:row>
    <x:row r="340" ht="15" hidden="0" customHeight="1">
      <x:c r="A340" s="9" t="n">
        <x:v>43</x:v>
      </x:c>
      <x:c r="B340" s="9" t="str">
        <x:v>S055</x:v>
      </x:c>
      <x:c r="C340" s="9" t="str">
        <x:v>Ben Harrath et al. (2026)</x:v>
      </x:c>
      <x:c r="D340" s="9" t="str">
        <x:v>L3</x:v>
      </x:c>
      <x:c r="E340" s="9" t="str">
        <x:v>1</x:v>
      </x:c>
      <x:c r="F340" s="9" t="str">
        <x:v>Initial agreement</x:v>
      </x:c>
      <x:c r="G340" s="9" t="str">
        <x:v>Controlled force, frequency and motion tests are reported.</x:v>
      </x:c>
      <x:c r="H340" s="9" t="str">
        <x:v>PDF pp. 3–9; Figs. 1–10</x:v>
      </x:c>
      <x:c r="I340" s="43" t="str"/>
      <x:c r="J340" s="43" t="str"/>
    </x:row>
    <x:row r="341" ht="15" hidden="0" customHeight="1">
      <x:c r="A341" s="9" t="n">
        <x:v>43</x:v>
      </x:c>
      <x:c r="B341" s="9" t="str">
        <x:v>S055</x:v>
      </x:c>
      <x:c r="C341" s="9" t="str">
        <x:v>Ben Harrath et al. (2026)</x:v>
      </x:c>
      <x:c r="D341" s="9" t="str">
        <x:v>L4</x:v>
      </x:c>
      <x:c r="E341" s="9" t="str">
        <x:v>1</x:v>
      </x:c>
      <x:c r="F341" s="9" t="str">
        <x:v>Initial agreement</x:v>
      </x:c>
      <x:c r="G341" s="9" t="str">
        <x:v>Sensitivity, linearity, voltage and cycle outcomes are quantitative.</x:v>
      </x:c>
      <x:c r="H341" s="9" t="str">
        <x:v>PDF pp. 3–9; Figs. 1–10</x:v>
      </x:c>
      <x:c r="I341" s="43" t="str"/>
      <x:c r="J341" s="43" t="str"/>
    </x:row>
    <x:row r="342" ht="15" hidden="0" customHeight="1">
      <x:c r="A342" s="9" t="n">
        <x:v>43</x:v>
      </x:c>
      <x:c r="B342" s="9" t="str">
        <x:v>S055</x:v>
      </x:c>
      <x:c r="C342" s="9" t="str">
        <x:v>Ben Harrath et al. (2026)</x:v>
      </x:c>
      <x:c r="D342" s="9" t="str">
        <x:v>L5</x:v>
      </x:c>
      <x:c r="E342" s="9" t="str">
        <x:v>1</x:v>
      </x:c>
      <x:c r="F342" s="9" t="str">
        <x:v>Initial agreement</x:v>
      </x:c>
      <x:c r="G342" s="9" t="str">
        <x:v>The sensor was tested beyond 11,600 cycles with a reported stable response.</x:v>
      </x:c>
      <x:c r="H342" s="9" t="str">
        <x:v>PDF pp. 3–9; Figs. 1–10</x:v>
      </x:c>
      <x:c r="I342" s="43" t="str"/>
      <x:c r="J342" s="43" t="str"/>
    </x:row>
    <x:row r="343" ht="26.399999618530273" hidden="0" customHeight="1">
      <x:c r="A343" s="9" t="n">
        <x:v>43</x:v>
      </x:c>
      <x:c r="B343" s="9" t="str">
        <x:v>S055</x:v>
      </x:c>
      <x:c r="C343" s="9" t="str">
        <x:v>Ben Harrath et al. (2026)</x:v>
      </x:c>
      <x:c r="D343" s="9" t="str">
        <x:v>L6</x:v>
      </x:c>
      <x:c r="E343" s="9" t="str">
        <x:v>0</x:v>
      </x:c>
      <x:c r="F343" s="9" t="str">
        <x:v>Initial agreement</x:v>
      </x:c>
      <x:c r="G343" s="9" t="str">
        <x:v>No separate qualifying environmental/use exposure was identified.</x:v>
      </x:c>
      <x:c r="H343" s="9" t="str">
        <x:v>PDF pp. 3–9; Figs. 1–10</x:v>
      </x:c>
      <x:c r="I343" s="43" t="str">
        <x:v>No qualifying extrinsic-exposure evidence located</x:v>
      </x:c>
      <x:c r="J343" s="43" t="str">
        <x:v>No response was located during or after a deliberately applied condition extrinsic to the intended measurand.</x:v>
      </x:c>
    </x:row>
    <x:row r="344" ht="36" hidden="0" customHeight="1">
      <x:c r="A344" s="9" t="n">
        <x:v>43</x:v>
      </x:c>
      <x:c r="B344" s="9" t="str">
        <x:v>S055</x:v>
      </x:c>
      <x:c r="C344" s="9" t="str">
        <x:v>Ben Harrath et al. (2026)</x:v>
      </x:c>
      <x:c r="D344" s="9" t="str">
        <x:v>L7</x:v>
      </x:c>
      <x:c r="E344" s="9" t="str">
        <x:v>0</x:v>
      </x:c>
      <x:c r="F344" s="9" t="str">
        <x:v>Complete L7 audit—not qualifying</x:v>
      </x:c>
      <x:c r="G344" s="9" t="str">
        <x:v>Does not qualify after the complete L7 audit: the report shows qualitative waveform repetition or a wearable demonstration, but no Route A direct-interface endpoint and no Route B defined retention or failure endpoint for the final assembly.</x:v>
      </x:c>
      <x:c r="H344" s="9" t="str">
        <x:v>S055_Main.pdf, physical p. 7, section 2.6; p. 9, Fig. 6a. Fig. 5g concerns bench durability.</x:v>
      </x:c>
      <x:c r="I344" s="43" t="str">
        <x:v>No qualifying interface/final-assembly endpoint located</x:v>
      </x:c>
      <x:c r="J344" s="43" t="str">
        <x:v>Neither a Route A interface endpoint nor a Route B repeated final-assembly retention/failure endpoint was located.</x:v>
      </x:c>
    </x:row>
    <x:row r="345" ht="26.399999618530273" hidden="0" customHeight="1">
      <x:c r="A345" s="9" t="n">
        <x:v>43</x:v>
      </x:c>
      <x:c r="B345" s="9" t="str">
        <x:v>S055</x:v>
      </x:c>
      <x:c r="C345" s="9" t="str">
        <x:v>Ben Harrath et al. (2026)</x:v>
      </x:c>
      <x:c r="D345" s="9" t="str">
        <x:v>L8</x:v>
      </x:c>
      <x:c r="E345" s="9" t="str">
        <x:v>0</x:v>
      </x:c>
      <x:c r="F345" s="9" t="str">
        <x:v>Initial agreement</x:v>
      </x:c>
      <x:c r="G345" s="9" t="str">
        <x:v>Layer-count variants were compared, but ≥3 replicate complete sensors were not identified.</x:v>
      </x:c>
      <x:c r="H345" s="9" t="str">
        <x:v>PDF pp. 3–9; Figs. 1–10</x:v>
      </x:c>
      <x:c r="I345" s="43" t="str">
        <x:v>Replication count unreported or unclear</x:v>
      </x:c>
      <x:c r="J345" s="43" t="str">
        <x:v>The report did not establish the number of independently fabricated complete devices under the same condition.</x:v>
      </x:c>
    </x:row>
    <x:row r="346" ht="24" hidden="0" customHeight="1">
      <x:c r="A346" s="9" t="n">
        <x:v>44</x:v>
      </x:c>
      <x:c r="B346" s="9" t="str">
        <x:v>S056</x:v>
      </x:c>
      <x:c r="C346" s="9" t="str">
        <x:v>Wei et al. (2026)</x:v>
      </x:c>
      <x:c r="D346" s="9" t="str">
        <x:v>L1</x:v>
      </x:c>
      <x:c r="E346" s="9" t="str">
        <x:v>1</x:v>
      </x:c>
      <x:c r="F346" s="9" t="str">
        <x:v>Initial agreement</x:v>
      </x:c>
      <x:c r="G346" s="9" t="str">
        <x:v>Printer, selected functional composition, nozzle/bed temperatures, speed, layer height, infill and geometries are reported.</x:v>
      </x:c>
      <x:c r="H346" s="9" t="str">
        <x:v>PDF pp. 3–15; Figs. 1–9; Tables 1–2</x:v>
      </x:c>
      <x:c r="I346" s="43" t="str"/>
      <x:c r="J346" s="43" t="str"/>
    </x:row>
    <x:row r="347" ht="15" hidden="0" customHeight="1">
      <x:c r="A347" s="9" t="n">
        <x:v>44</x:v>
      </x:c>
      <x:c r="B347" s="9" t="str">
        <x:v>S056</x:v>
      </x:c>
      <x:c r="C347" s="9" t="str">
        <x:v>Wei et al. (2026)</x:v>
      </x:c>
      <x:c r="D347" s="9" t="str">
        <x:v>L2</x:v>
      </x:c>
      <x:c r="E347" s="9" t="str">
        <x:v>1</x:v>
      </x:c>
      <x:c r="F347" s="9" t="str">
        <x:v>Initial agreement</x:v>
      </x:c>
      <x:c r="G347" s="9" t="str">
        <x:v>MWCNT/CB loadings, TPU matrix and electrode/device roles are described.</x:v>
      </x:c>
      <x:c r="H347" s="9" t="str">
        <x:v>PDF pp. 3–15; Figs. 1–9; Tables 1–2</x:v>
      </x:c>
      <x:c r="I347" s="43" t="str"/>
      <x:c r="J347" s="43" t="str"/>
    </x:row>
    <x:row r="348" ht="15" hidden="0" customHeight="1">
      <x:c r="A348" s="9" t="n">
        <x:v>44</x:v>
      </x:c>
      <x:c r="B348" s="9" t="str">
        <x:v>S056</x:v>
      </x:c>
      <x:c r="C348" s="9" t="str">
        <x:v>Wei et al. (2026)</x:v>
      </x:c>
      <x:c r="D348" s="9" t="str">
        <x:v>L3</x:v>
      </x:c>
      <x:c r="E348" s="9" t="str">
        <x:v>1</x:v>
      </x:c>
      <x:c r="F348" s="9" t="str">
        <x:v>Initial agreement</x:v>
      </x:c>
      <x:c r="G348" s="9" t="str">
        <x:v>Controlled mechanical/electrical protocols and declared environmental tests are reported.</x:v>
      </x:c>
      <x:c r="H348" s="9" t="str">
        <x:v>PDF pp. 3–15; Figs. 1–9; Tables 1–2</x:v>
      </x:c>
      <x:c r="I348" s="43" t="str"/>
      <x:c r="J348" s="43" t="str"/>
    </x:row>
    <x:row r="349" ht="15" hidden="0" customHeight="1">
      <x:c r="A349" s="9" t="n">
        <x:v>44</x:v>
      </x:c>
      <x:c r="B349" s="9" t="str">
        <x:v>S056</x:v>
      </x:c>
      <x:c r="C349" s="9" t="str">
        <x:v>Wei et al. (2026)</x:v>
      </x:c>
      <x:c r="D349" s="9" t="str">
        <x:v>L4</x:v>
      </x:c>
      <x:c r="E349" s="9" t="str">
        <x:v>1</x:v>
      </x:c>
      <x:c r="F349" s="9" t="str">
        <x:v>Initial agreement</x:v>
      </x:c>
      <x:c r="G349" s="9" t="str">
        <x:v>Sensitivity, range, timing and cycle response are quantitative.</x:v>
      </x:c>
      <x:c r="H349" s="9" t="str">
        <x:v>PDF pp. 3–15; Figs. 1–9; Tables 1–2</x:v>
      </x:c>
      <x:c r="I349" s="43" t="str"/>
      <x:c r="J349" s="43" t="str"/>
    </x:row>
    <x:row r="350" ht="15" hidden="0" customHeight="1">
      <x:c r="A350" s="9" t="n">
        <x:v>44</x:v>
      </x:c>
      <x:c r="B350" s="9" t="str">
        <x:v>S056</x:v>
      </x:c>
      <x:c r="C350" s="9" t="str">
        <x:v>Wei et al. (2026)</x:v>
      </x:c>
      <x:c r="D350" s="9" t="str">
        <x:v>L5</x:v>
      </x:c>
      <x:c r="E350" s="9" t="str">
        <x:v>1</x:v>
      </x:c>
      <x:c r="F350" s="9" t="str">
        <x:v>Initial agreement</x:v>
      </x:c>
      <x:c r="G350" s="9" t="str">
        <x:v>Pressure and strain devices underwent 20-cycle tests.</x:v>
      </x:c>
      <x:c r="H350" s="9" t="str">
        <x:v>PDF pp. 3–15; Figs. 1–9; Tables 1–2</x:v>
      </x:c>
      <x:c r="I350" s="43" t="str"/>
      <x:c r="J350" s="43" t="str"/>
    </x:row>
    <x:row r="351" ht="15" hidden="0" customHeight="1">
      <x:c r="A351" s="9" t="n">
        <x:v>44</x:v>
      </x:c>
      <x:c r="B351" s="9" t="str">
        <x:v>S056</x:v>
      </x:c>
      <x:c r="C351" s="9" t="str">
        <x:v>Wei et al. (2026)</x:v>
      </x:c>
      <x:c r="D351" s="9" t="str">
        <x:v>L6</x:v>
      </x:c>
      <x:c r="E351" s="9" t="str">
        <x:v>1</x:v>
      </x:c>
      <x:c r="F351" s="9" t="str">
        <x:v>L6 subtype audit</x:v>
      </x:c>
      <x:c r="G351" s="9" t="str">
        <x:v>In-exposure cross-sensitivity only: Liquids, humidity and sweat-related responses were measured.</x:v>
      </x:c>
      <x:c r="H351" s="9" t="str">
        <x:v>PDF pp. 3–15; Figs. 1–9; Tables 1–2</x:v>
      </x:c>
      <x:c r="I351" s="43" t="str"/>
      <x:c r="J351" s="43" t="str"/>
    </x:row>
    <x:row r="352" ht="36" hidden="0" customHeight="1">
      <x:c r="A352" s="9" t="n">
        <x:v>44</x:v>
      </x:c>
      <x:c r="B352" s="9" t="str">
        <x:v>S056</x:v>
      </x:c>
      <x:c r="C352" s="9" t="str">
        <x:v>Wei et al. (2026)</x:v>
      </x:c>
      <x:c r="D352" s="9" t="str">
        <x:v>L7</x:v>
      </x:c>
      <x:c r="E352" s="9" t="str">
        <x:v>0</x:v>
      </x:c>
      <x:c r="F352" s="9" t="str">
        <x:v>Complete L7 audit—not qualifying</x:v>
      </x:c>
      <x:c r="G352" s="9" t="str">
        <x:v>Does not qualify after the complete L7 audit: the report shows qualitative waveform repetition or a wearable demonstration, but no Route A direct-interface endpoint and no Route B defined retention or failure endpoint for the final assembly.</x:v>
      </x:c>
      <x:c r="H352" s="9" t="str">
        <x:v>S056_Main.pdf, physical p. 13, Fig. 11a-h; p. 14, accompanying interpretation and Fig. 12b-c.</x:v>
      </x:c>
      <x:c r="I352" s="43" t="str">
        <x:v>No qualifying interface/final-assembly endpoint located</x:v>
      </x:c>
      <x:c r="J352" s="43" t="str">
        <x:v>Neither a Route A interface endpoint nor a Route B repeated final-assembly retention/failure endpoint was located.</x:v>
      </x:c>
    </x:row>
    <x:row r="353" ht="39.599998474121094" hidden="0" customHeight="1">
      <x:c r="A353" s="9" t="n">
        <x:v>44</x:v>
      </x:c>
      <x:c r="B353" s="9" t="str">
        <x:v>S056</x:v>
      </x:c>
      <x:c r="C353" s="9" t="str">
        <x:v>Wei et al. (2026)</x:v>
      </x:c>
      <x:c r="D353" s="9" t="str">
        <x:v>L8</x:v>
      </x:c>
      <x:c r="E353" s="9" t="str">
        <x:v>0</x:v>
      </x:c>
      <x:c r="F353" s="9" t="str">
        <x:v>Initial agreement</x:v>
      </x:c>
      <x:c r="G353" s="9" t="str">
        <x:v>Replicated material specimens were reported, but ≥3 separately fabricated complete sensors were not quantitatively compared.</x:v>
      </x:c>
      <x:c r="H353" s="9" t="str">
        <x:v>PDF pp. 3–15; Figs. 1–9; Tables 1–2</x:v>
      </x:c>
      <x:c r="I353" s="43" t="str">
        <x:v>Non-qualifying repeated unit or condition</x:v>
      </x:c>
      <x:c r="J353" s="43" t="str">
        <x:v>The repeated entities were people, channels, variants, material specimens, repeated measurements or devices tested under different conditions.</x:v>
      </x:c>
    </x:row>
    <x:row r="354" ht="24" hidden="0" customHeight="1">
      <x:c r="A354" s="9" t="n">
        <x:v>45</x:v>
      </x:c>
      <x:c r="B354" s="9" t="str">
        <x:v>S057</x:v>
      </x:c>
      <x:c r="C354" s="9" t="str">
        <x:v>Wei et al. (2026)</x:v>
      </x:c>
      <x:c r="D354" s="9" t="str">
        <x:v>L1</x:v>
      </x:c>
      <x:c r="E354" s="9" t="str">
        <x:v>1</x:v>
      </x:c>
      <x:c r="F354" s="9" t="str">
        <x:v>Initial agreement</x:v>
      </x:c>
      <x:c r="G354" s="9" t="str">
        <x:v>Custom FDM system, functional composition, nozzle, temperatures, speed, layer height, infill and TPMS geometry are reported.</x:v>
      </x:c>
      <x:c r="H354" s="9" t="str">
        <x:v>PDF pp. 3–15; Figs. 1–10</x:v>
      </x:c>
      <x:c r="I354" s="43" t="str"/>
      <x:c r="J354" s="43" t="str"/>
    </x:row>
    <x:row r="355" ht="15" hidden="0" customHeight="1">
      <x:c r="A355" s="9" t="n">
        <x:v>45</x:v>
      </x:c>
      <x:c r="B355" s="9" t="str">
        <x:v>S057</x:v>
      </x:c>
      <x:c r="C355" s="9" t="str">
        <x:v>Wei et al. (2026)</x:v>
      </x:c>
      <x:c r="D355" s="9" t="str">
        <x:v>L2</x:v>
      </x:c>
      <x:c r="E355" s="9" t="str">
        <x:v>1</x:v>
      </x:c>
      <x:c r="F355" s="9" t="str">
        <x:v>Initial agreement</x:v>
      </x:c>
      <x:c r="G355" s="9" t="str">
        <x:v>CNT loading series, TPU matrix and contacts are described.</x:v>
      </x:c>
      <x:c r="H355" s="9" t="str">
        <x:v>PDF pp. 3–15; Figs. 1–10</x:v>
      </x:c>
      <x:c r="I355" s="43" t="str"/>
      <x:c r="J355" s="43" t="str"/>
    </x:row>
    <x:row r="356" ht="15" hidden="0" customHeight="1">
      <x:c r="A356" s="9" t="n">
        <x:v>45</x:v>
      </x:c>
      <x:c r="B356" s="9" t="str">
        <x:v>S057</x:v>
      </x:c>
      <x:c r="C356" s="9" t="str">
        <x:v>Wei et al. (2026)</x:v>
      </x:c>
      <x:c r="D356" s="9" t="str">
        <x:v>L3</x:v>
      </x:c>
      <x:c r="E356" s="9" t="str">
        <x:v>1</x:v>
      </x:c>
      <x:c r="F356" s="9" t="str">
        <x:v>Initial agreement</x:v>
      </x:c>
      <x:c r="G356" s="9" t="str">
        <x:v>Controlled tensile and application protocols are reported.</x:v>
      </x:c>
      <x:c r="H356" s="9" t="str">
        <x:v>PDF pp. 3–15; Figs. 1–10</x:v>
      </x:c>
      <x:c r="I356" s="43" t="str"/>
      <x:c r="J356" s="43" t="str"/>
    </x:row>
    <x:row r="357" ht="15" hidden="0" customHeight="1">
      <x:c r="A357" s="9" t="n">
        <x:v>45</x:v>
      </x:c>
      <x:c r="B357" s="9" t="str">
        <x:v>S057</x:v>
      </x:c>
      <x:c r="C357" s="9" t="str">
        <x:v>Wei et al. (2026)</x:v>
      </x:c>
      <x:c r="D357" s="9" t="str">
        <x:v>L4</x:v>
      </x:c>
      <x:c r="E357" s="9" t="str">
        <x:v>1</x:v>
      </x:c>
      <x:c r="F357" s="9" t="str">
        <x:v>Initial agreement</x:v>
      </x:c>
      <x:c r="G357" s="9" t="str">
        <x:v>GF, range, response/recovery, drift and cycle outcomes are quantitative.</x:v>
      </x:c>
      <x:c r="H357" s="9" t="str">
        <x:v>PDF pp. 3–15; Figs. 1–10</x:v>
      </x:c>
      <x:c r="I357" s="43" t="str"/>
      <x:c r="J357" s="43" t="str"/>
    </x:row>
    <x:row r="358" ht="15" hidden="0" customHeight="1">
      <x:c r="A358" s="9" t="n">
        <x:v>45</x:v>
      </x:c>
      <x:c r="B358" s="9" t="str">
        <x:v>S057</x:v>
      </x:c>
      <x:c r="C358" s="9" t="str">
        <x:v>Wei et al. (2026)</x:v>
      </x:c>
      <x:c r="D358" s="9" t="str">
        <x:v>L5</x:v>
      </x:c>
      <x:c r="E358" s="9" t="str">
        <x:v>1</x:v>
      </x:c>
      <x:c r="F358" s="9" t="str">
        <x:v>Initial agreement</x:v>
      </x:c>
      <x:c r="G358" s="9" t="str">
        <x:v>Selected sensors completed 500 cycles at three strain levels.</x:v>
      </x:c>
      <x:c r="H358" s="9" t="str">
        <x:v>PDF pp. 3–15; Figs. 1–10</x:v>
      </x:c>
      <x:c r="I358" s="43" t="str"/>
      <x:c r="J358" s="43" t="str"/>
    </x:row>
    <x:row r="359" ht="26.399999618530273" hidden="0" customHeight="1">
      <x:c r="A359" s="9" t="n">
        <x:v>45</x:v>
      </x:c>
      <x:c r="B359" s="9" t="str">
        <x:v>S057</x:v>
      </x:c>
      <x:c r="C359" s="9" t="str">
        <x:v>Wei et al. (2026)</x:v>
      </x:c>
      <x:c r="D359" s="9" t="str">
        <x:v>L6</x:v>
      </x:c>
      <x:c r="E359" s="9" t="str">
        <x:v>0</x:v>
      </x:c>
      <x:c r="F359" s="9" t="str">
        <x:v>Initial agreement</x:v>
      </x:c>
      <x:c r="G359" s="9" t="str">
        <x:v>No distinct qualifying environmental/use exposure was identified.</x:v>
      </x:c>
      <x:c r="H359" s="9" t="str">
        <x:v>PDF pp. 3–15; Figs. 1–10</x:v>
      </x:c>
      <x:c r="I359" s="43" t="str">
        <x:v>No qualifying extrinsic-exposure evidence located</x:v>
      </x:c>
      <x:c r="J359" s="43" t="str">
        <x:v>No response was located during or after a deliberately applied condition extrinsic to the intended measurand.</x:v>
      </x:c>
    </x:row>
    <x:row r="360" ht="36" hidden="0" customHeight="1">
      <x:c r="A360" s="9" t="n">
        <x:v>45</x:v>
      </x:c>
      <x:c r="B360" s="9" t="str">
        <x:v>S057</x:v>
      </x:c>
      <x:c r="C360" s="9" t="str">
        <x:v>Wei et al. (2026)</x:v>
      </x:c>
      <x:c r="D360" s="9" t="str">
        <x:v>L7</x:v>
      </x:c>
      <x:c r="E360" s="9" t="str">
        <x:v>0</x:v>
      </x:c>
      <x:c r="F360" s="9" t="str">
        <x:v>Complete L7 audit—not qualifying</x:v>
      </x:c>
      <x:c r="G360" s="9" t="str">
        <x:v>Does not qualify after the complete L7 audit: the report shows qualitative waveform repetition or a wearable demonstration, but no Route A direct-interface endpoint and no Route B defined retention or failure endpoint for the final assembly.</x:v>
      </x:c>
      <x:c r="H360" s="9" t="str">
        <x:v>S057_Main.pdf, physical pp. 15-16, section 3.3/Fig. 15c-e, especially p. 16 opening paragraph.</x:v>
      </x:c>
      <x:c r="I360" s="43" t="str">
        <x:v>No qualifying interface/final-assembly endpoint located</x:v>
      </x:c>
      <x:c r="J360" s="43" t="str">
        <x:v>Neither a Route A interface endpoint nor a Route B repeated final-assembly retention/failure endpoint was located.</x:v>
      </x:c>
    </x:row>
    <x:row r="361" ht="26.399999618530273" hidden="0" customHeight="1">
      <x:c r="A361" s="9" t="n">
        <x:v>45</x:v>
      </x:c>
      <x:c r="B361" s="9" t="str">
        <x:v>S057</x:v>
      </x:c>
      <x:c r="C361" s="9" t="str">
        <x:v>Wei et al. (2026)</x:v>
      </x:c>
      <x:c r="D361" s="9" t="str">
        <x:v>L8</x:v>
      </x:c>
      <x:c r="E361" s="9" t="str">
        <x:v>0</x:v>
      </x:c>
      <x:c r="F361" s="9" t="str">
        <x:v>Initial agreement</x:v>
      </x:c>
      <x:c r="G361" s="9" t="str">
        <x:v>Five material-wire specimens were used, but ≥3 separately fabricated complete sensors were not compared.</x:v>
      </x:c>
      <x:c r="H361" s="9" t="str">
        <x:v>PDF pp. 3–15; Figs. 1–10</x:v>
      </x:c>
      <x:c r="I361" s="43" t="str">
        <x:v>No qualifying between-device evidence located</x:v>
      </x:c>
      <x:c r="J361" s="43" t="str">
        <x:v>No quantitative same-condition comparison of at least three independently fabricated complete devices was located.</x:v>
      </x:c>
    </x:row>
    <x:row r="362" ht="24" hidden="0" customHeight="1">
      <x:c r="A362" s="9" t="n">
        <x:v>46</x:v>
      </x:c>
      <x:c r="B362" s="9" t="str">
        <x:v>S058</x:v>
      </x:c>
      <x:c r="C362" s="9" t="str">
        <x:v>Yang et al. (2026)</x:v>
      </x:c>
      <x:c r="D362" s="9" t="str">
        <x:v>L1</x:v>
      </x:c>
      <x:c r="E362" s="9" t="str">
        <x:v>1</x:v>
      </x:c>
      <x:c r="F362" s="9" t="str">
        <x:v>Adjudicated to Reviewer 1</x:v>
      </x:c>
      <x:c r="G362" s="9" t="str">
        <x:v>The printer, TPE filament, 240 °C nozzle temperature, device dimensions and variant-specific nozzle diameter, layer height, first-layer height and thermal post-treatment are reported.</x:v>
      </x:c>
      <x:c r="H362" s="9" t="str">
        <x:v>Main article Experimental section 3.1; Supplementary Table S1</x:v>
      </x:c>
      <x:c r="I362" s="43" t="str"/>
      <x:c r="J362" s="43" t="str"/>
    </x:row>
    <x:row r="363" ht="15" hidden="0" customHeight="1">
      <x:c r="A363" s="9" t="n">
        <x:v>46</x:v>
      </x:c>
      <x:c r="B363" s="9" t="str">
        <x:v>S058</x:v>
      </x:c>
      <x:c r="C363" s="9" t="str">
        <x:v>Yang et al. (2026)</x:v>
      </x:c>
      <x:c r="D363" s="9" t="str">
        <x:v>L2</x:v>
      </x:c>
      <x:c r="E363" s="9" t="str">
        <x:v>1</x:v>
      </x:c>
      <x:c r="F363" s="9" t="str">
        <x:v>Initial agreement</x:v>
      </x:c>
      <x:c r="G363" s="9" t="str">
        <x:v>TPE structure, FPC electrodes and encapsulation are described.</x:v>
      </x:c>
      <x:c r="H363" s="9" t="str">
        <x:v>PDF pp. 3–13; Figs. 1–8; cited Supplementary Table S1</x:v>
      </x:c>
      <x:c r="I363" s="43" t="str"/>
      <x:c r="J363" s="43" t="str"/>
    </x:row>
    <x:row r="364" ht="15" hidden="0" customHeight="1">
      <x:c r="A364" s="9" t="n">
        <x:v>46</x:v>
      </x:c>
      <x:c r="B364" s="9" t="str">
        <x:v>S058</x:v>
      </x:c>
      <x:c r="C364" s="9" t="str">
        <x:v>Yang et al. (2026)</x:v>
      </x:c>
      <x:c r="D364" s="9" t="str">
        <x:v>L3</x:v>
      </x:c>
      <x:c r="E364" s="9" t="str">
        <x:v>1</x:v>
      </x:c>
      <x:c r="F364" s="9" t="str">
        <x:v>Initial agreement</x:v>
      </x:c>
      <x:c r="G364" s="9" t="str">
        <x:v>Controlled force, exposure, cycling and gait protocols are reported.</x:v>
      </x:c>
      <x:c r="H364" s="9" t="str">
        <x:v>PDF pp. 3–13; Figs. 1–8; cited Supplementary Table S1</x:v>
      </x:c>
      <x:c r="I364" s="43" t="str"/>
      <x:c r="J364" s="43" t="str"/>
    </x:row>
    <x:row r="365" ht="15" hidden="0" customHeight="1">
      <x:c r="A365" s="9" t="n">
        <x:v>46</x:v>
      </x:c>
      <x:c r="B365" s="9" t="str">
        <x:v>S058</x:v>
      </x:c>
      <x:c r="C365" s="9" t="str">
        <x:v>Yang et al. (2026)</x:v>
      </x:c>
      <x:c r="D365" s="9" t="str">
        <x:v>L4</x:v>
      </x:c>
      <x:c r="E365" s="9" t="str">
        <x:v>1</x:v>
      </x:c>
      <x:c r="F365" s="9" t="str">
        <x:v>Initial agreement</x:v>
      </x:c>
      <x:c r="G365" s="9" t="str">
        <x:v>Sensitivity, retention, CV and classification metrics are quantitative.</x:v>
      </x:c>
      <x:c r="H365" s="9" t="str">
        <x:v>PDF pp. 3–13; Figs. 1–8; cited Supplementary Table S1</x:v>
      </x:c>
      <x:c r="I365" s="43" t="str"/>
      <x:c r="J365" s="43" t="str"/>
    </x:row>
    <x:row r="366" ht="15" hidden="0" customHeight="1">
      <x:c r="A366" s="9" t="n">
        <x:v>46</x:v>
      </x:c>
      <x:c r="B366" s="9" t="str">
        <x:v>S058</x:v>
      </x:c>
      <x:c r="C366" s="9" t="str">
        <x:v>Yang et al. (2026)</x:v>
      </x:c>
      <x:c r="D366" s="9" t="str">
        <x:v>L5</x:v>
      </x:c>
      <x:c r="E366" s="9" t="str">
        <x:v>1</x:v>
      </x:c>
      <x:c r="F366" s="9" t="str">
        <x:v>Initial agreement</x:v>
      </x:c>
      <x:c r="G366" s="9" t="str">
        <x:v>20,000 loading and 5000 bending cycles report retained response.</x:v>
      </x:c>
      <x:c r="H366" s="9" t="str">
        <x:v>PDF pp. 3–13; Figs. 1–8; cited Supplementary Table S1</x:v>
      </x:c>
      <x:c r="I366" s="43" t="str"/>
      <x:c r="J366" s="43" t="str"/>
    </x:row>
    <x:row r="367" ht="15" hidden="0" customHeight="1">
      <x:c r="A367" s="9" t="n">
        <x:v>46</x:v>
      </x:c>
      <x:c r="B367" s="9" t="str">
        <x:v>S058</x:v>
      </x:c>
      <x:c r="C367" s="9" t="str">
        <x:v>Yang et al. (2026)</x:v>
      </x:c>
      <x:c r="D367" s="9" t="str">
        <x:v>L6</x:v>
      </x:c>
      <x:c r="E367" s="9" t="str">
        <x:v>1</x:v>
      </x:c>
      <x:c r="F367" s="9" t="str">
        <x:v>L6 subtype audit</x:v>
      </x:c>
      <x:c r="G367" s="9" t="str">
        <x:v>In-exposure cross-sensitivity only: Temperature, humidity and artificial-sweat responses were measured.</x:v>
      </x:c>
      <x:c r="H367" s="9" t="str">
        <x:v>PDF pp. 3–13; Figs. 1–8; cited Supplementary Table S1</x:v>
      </x:c>
      <x:c r="I367" s="43" t="str"/>
      <x:c r="J367" s="43" t="str"/>
    </x:row>
    <x:row r="368" ht="24" hidden="0" customHeight="1">
      <x:c r="A368" s="9" t="n">
        <x:v>46</x:v>
      </x:c>
      <x:c r="B368" s="9" t="str">
        <x:v>S058</x:v>
      </x:c>
      <x:c r="C368" s="9" t="str">
        <x:v>Yang et al. (2026)</x:v>
      </x:c>
      <x:c r="D368" s="9" t="str">
        <x:v>L7</x:v>
      </x:c>
      <x:c r="E368" s="9" t="str">
        <x:v>1</x:v>
      </x:c>
      <x:c r="F368" s="9" t="str">
        <x:v>Complete L7 audit—Route B</x:v>
      </x:c>
      <x:c r="G368" s="9" t="str">
        <x:v>Route B—integrated assembly: a seven-day wear trial was documented and the reliability assessment reported no structural damage, delamination or output failure.</x:v>
      </x:c>
      <x:c r="H368" s="9" t="str">
        <x:v>S058_Supplement_01.docx, Fig. S7c; S058_Main.pdf, physical pp. 8 and 12</x:v>
      </x:c>
      <x:c r="I368" s="43" t="str"/>
      <x:c r="J368" s="43" t="str"/>
    </x:row>
    <x:row r="369" ht="15" hidden="0" customHeight="1">
      <x:c r="A369" s="9" t="n">
        <x:v>46</x:v>
      </x:c>
      <x:c r="B369" s="9" t="str">
        <x:v>S058</x:v>
      </x:c>
      <x:c r="C369" s="9" t="str">
        <x:v>Yang et al. (2026)</x:v>
      </x:c>
      <x:c r="D369" s="9" t="str">
        <x:v>L8</x:v>
      </x:c>
      <x:c r="E369" s="9" t="str">
        <x:v>1</x:v>
      </x:c>
      <x:c r="F369" s="9" t="str">
        <x:v>Initial agreement</x:v>
      </x:c>
      <x:c r="G369" s="9" t="str">
        <x:v>Twenty-five sensors from five batches were quantitatively compared.</x:v>
      </x:c>
      <x:c r="H369" s="9" t="str">
        <x:v>PDF pp. 3–13; Figs. 1–8; cited Supplementary Table S1</x:v>
      </x:c>
      <x:c r="I369" s="43" t="str"/>
      <x:c r="J369" s="43" t="str"/>
    </x:row>
    <x:row r="370" ht="24" hidden="0" customHeight="1">
      <x:c r="A370" s="9" t="n">
        <x:v>47</x:v>
      </x:c>
      <x:c r="B370" s="9" t="str">
        <x:v>S059</x:v>
      </x:c>
      <x:c r="C370" s="9" t="str">
        <x:v>Saroli et al. (2026)</x:v>
      </x:c>
      <x:c r="D370" s="9" t="str">
        <x:v>L1</x:v>
      </x:c>
      <x:c r="E370" s="9" t="str">
        <x:v>1</x:v>
      </x:c>
      <x:c r="F370" s="9" t="str">
        <x:v>Initial agreement</x:v>
      </x:c>
      <x:c r="G370" s="9" t="str">
        <x:v>The Sovol SV04 IDEX process and material-specific extrusion/bed temperatures, speeds, layer thickness, line width, infill level/pattern and wall/top/bottom settings are reported.</x:v>
      </x:c>
      <x:c r="H370" s="9" t="str">
        <x:v>Main article pp. 3-4; Supplementary Table S1, SI pp. 3-4</x:v>
      </x:c>
      <x:c r="I370" s="43" t="str"/>
      <x:c r="J370" s="43" t="str"/>
    </x:row>
    <x:row r="371" ht="15" hidden="0" customHeight="1">
      <x:c r="A371" s="9" t="n">
        <x:v>47</x:v>
      </x:c>
      <x:c r="B371" s="9" t="str">
        <x:v>S059</x:v>
      </x:c>
      <x:c r="C371" s="9" t="str">
        <x:v>Saroli et al. (2026)</x:v>
      </x:c>
      <x:c r="D371" s="9" t="str">
        <x:v>L2</x:v>
      </x:c>
      <x:c r="E371" s="9" t="str">
        <x:v>1</x:v>
      </x:c>
      <x:c r="F371" s="9" t="str">
        <x:v>Initial agreement</x:v>
      </x:c>
      <x:c r="G371" s="9" t="str">
        <x:v>Conductive/insulating TPU, sensor/electrode geometries and integrated readout are described.</x:v>
      </x:c>
      <x:c r="H371" s="9" t="str">
        <x:v>PDF pp. 3–15; Figs. 1–9; cited Supplementary Table S1</x:v>
      </x:c>
      <x:c r="I371" s="43" t="str"/>
      <x:c r="J371" s="43" t="str"/>
    </x:row>
    <x:row r="372" ht="15" hidden="0" customHeight="1">
      <x:c r="A372" s="9" t="n">
        <x:v>47</x:v>
      </x:c>
      <x:c r="B372" s="9" t="str">
        <x:v>S059</x:v>
      </x:c>
      <x:c r="C372" s="9" t="str">
        <x:v>Saroli et al. (2026)</x:v>
      </x:c>
      <x:c r="D372" s="9" t="str">
        <x:v>L3</x:v>
      </x:c>
      <x:c r="E372" s="9" t="str">
        <x:v>1</x:v>
      </x:c>
      <x:c r="F372" s="9" t="str">
        <x:v>Initial agreement</x:v>
      </x:c>
      <x:c r="G372" s="9" t="str">
        <x:v>Controlled mechanical, impedance and human-reference protocols are reported.</x:v>
      </x:c>
      <x:c r="H372" s="9" t="str">
        <x:v>PDF pp. 3–15; Figs. 1–9; cited Supplementary Table S1</x:v>
      </x:c>
      <x:c r="I372" s="43" t="str"/>
      <x:c r="J372" s="43" t="str"/>
    </x:row>
    <x:row r="373" ht="15" hidden="0" customHeight="1">
      <x:c r="A373" s="9" t="n">
        <x:v>47</x:v>
      </x:c>
      <x:c r="B373" s="9" t="str">
        <x:v>S059</x:v>
      </x:c>
      <x:c r="C373" s="9" t="str">
        <x:v>Saroli et al. (2026)</x:v>
      </x:c>
      <x:c r="D373" s="9" t="str">
        <x:v>L4</x:v>
      </x:c>
      <x:c r="E373" s="9" t="str">
        <x:v>1</x:v>
      </x:c>
      <x:c r="F373" s="9" t="str">
        <x:v>Initial agreement</x:v>
      </x:c>
      <x:c r="G373" s="9" t="str">
        <x:v>GF, hysteresis, SNR, MAE and agreement outcomes are quantitative.</x:v>
      </x:c>
      <x:c r="H373" s="9" t="str">
        <x:v>PDF pp. 3–15; Figs. 1–9; cited Supplementary Table S1</x:v>
      </x:c>
      <x:c r="I373" s="43" t="str"/>
      <x:c r="J373" s="43" t="str"/>
    </x:row>
    <x:row r="374" ht="15" hidden="0" customHeight="1">
      <x:c r="A374" s="9" t="n">
        <x:v>47</x:v>
      </x:c>
      <x:c r="B374" s="9" t="str">
        <x:v>S059</x:v>
      </x:c>
      <x:c r="C374" s="9" t="str">
        <x:v>Saroli et al. (2026)</x:v>
      </x:c>
      <x:c r="D374" s="9" t="str">
        <x:v>L5</x:v>
      </x:c>
      <x:c r="E374" s="9" t="str">
        <x:v>1</x:v>
      </x:c>
      <x:c r="F374" s="9" t="str">
        <x:v>Initial agreement</x:v>
      </x:c>
      <x:c r="G374" s="9" t="str">
        <x:v>A 1000-cycle strain test reports stable performance.</x:v>
      </x:c>
      <x:c r="H374" s="9" t="str">
        <x:v>PDF pp. 3–15; Figs. 1–9; cited Supplementary Table S1</x:v>
      </x:c>
      <x:c r="I374" s="43" t="str"/>
      <x:c r="J374" s="43" t="str"/>
    </x:row>
    <x:row r="375" ht="24" hidden="0" customHeight="1">
      <x:c r="A375" s="9" t="n">
        <x:v>47</x:v>
      </x:c>
      <x:c r="B375" s="9" t="str">
        <x:v>S059</x:v>
      </x:c>
      <x:c r="C375" s="9" t="str">
        <x:v>Saroli et al. (2026)</x:v>
      </x:c>
      <x:c r="D375" s="9" t="str">
        <x:v>L6</x:v>
      </x:c>
      <x:c r="E375" s="9" t="str">
        <x:v>1</x:v>
      </x:c>
      <x:c r="F375" s="9" t="str">
        <x:v>L6 subtype audit</x:v>
      </x:c>
      <x:c r="G375" s="9" t="str">
        <x:v>In-exposure cross-sensitivity only: Electrodes were tested dry and after declared water moistening with quantitative impedance/SNR response.</x:v>
      </x:c>
      <x:c r="H375" s="9" t="str">
        <x:v>PDF pp. 3–15; Figs. 1–9; cited Supplementary Table S1</x:v>
      </x:c>
      <x:c r="I375" s="43" t="str"/>
      <x:c r="J375" s="43" t="str"/>
    </x:row>
    <x:row r="376" ht="36" hidden="0" customHeight="1">
      <x:c r="A376" s="9" t="n">
        <x:v>47</x:v>
      </x:c>
      <x:c r="B376" s="9" t="str">
        <x:v>S059</x:v>
      </x:c>
      <x:c r="C376" s="9" t="str">
        <x:v>Saroli et al. (2026)</x:v>
      </x:c>
      <x:c r="D376" s="9" t="str">
        <x:v>L7</x:v>
      </x:c>
      <x:c r="E376" s="9" t="str">
        <x:v>1</x:v>
      </x:c>
      <x:c r="F376" s="9" t="str">
        <x:v>Complete L7 audit—Route B</x:v>
      </x:c>
      <x:c r="G376" s="9" t="str">
        <x:v>Route B—integrated assembly: the encapsulated Int1 configuration completed 1000 loading cycles with continuous output, no spikes, signal loss or visible mechanical damage; baseline drift and retained structural integrity were explicitly reported.</x:v>
      </x:c>
      <x:c r="H376" s="9" t="str">
        <x:v>S059_Main.pdf, physical pp. 7–8, Fig. 3C</x:v>
      </x:c>
      <x:c r="I376" s="43" t="str"/>
      <x:c r="J376" s="43" t="str"/>
    </x:row>
    <x:row r="377" ht="39.599998474121094" hidden="0" customHeight="1">
      <x:c r="A377" s="9" t="n">
        <x:v>47</x:v>
      </x:c>
      <x:c r="B377" s="9" t="str">
        <x:v>S059</x:v>
      </x:c>
      <x:c r="C377" s="9" t="str">
        <x:v>Saroli et al. (2026)</x:v>
      </x:c>
      <x:c r="D377" s="9" t="str">
        <x:v>L8</x:v>
      </x:c>
      <x:c r="E377" s="9" t="str">
        <x:v>0</x:v>
      </x:c>
      <x:c r="F377" s="9" t="str">
        <x:v>Initial agreement</x:v>
      </x:c>
      <x:c r="G377" s="9" t="str">
        <x:v>Design variants, repetitions and participants were reported, but ≥3 replicate complete systems were not compared.</x:v>
      </x:c>
      <x:c r="H377" s="9" t="str">
        <x:v>PDF pp. 3–15; Figs. 1–9; cited Supplementary Table S1</x:v>
      </x:c>
      <x:c r="I377" s="43" t="str">
        <x:v>Non-qualifying repeated unit or condition</x:v>
      </x:c>
      <x:c r="J377" s="43" t="str">
        <x:v>The repeated entities were people, channels, variants, material specimens, repeated measurements or devices tested under different conditions.</x:v>
      </x:c>
    </x:row>
    <x:row r="378" ht="15" hidden="0" customHeight="1">
      <x:c r="A378" s="9" t="n">
        <x:v>48</x:v>
      </x:c>
      <x:c r="B378" s="9" t="str">
        <x:v>S060</x:v>
      </x:c>
      <x:c r="C378" s="9" t="str">
        <x:v>Porfyrakis et al. (2026)</x:v>
      </x:c>
      <x:c r="D378" s="9" t="str">
        <x:v>L1</x:v>
      </x:c>
      <x:c r="E378" s="9" t="str">
        <x:v>1</x:v>
      </x:c>
      <x:c r="F378" s="9" t="str">
        <x:v>Initial agreement</x:v>
      </x:c>
      <x:c r="G378" s="9" t="str">
        <x:v>Printer, active composite, nozzle, temperatures, speed, layer height and geometry are reported.</x:v>
      </x:c>
      <x:c r="H378" s="9" t="str">
        <x:v>PDF pp. 2–15; Figs. 1–10; Tables 1–4</x:v>
      </x:c>
      <x:c r="I378" s="43" t="str"/>
      <x:c r="J378" s="43" t="str"/>
    </x:row>
    <x:row r="379" ht="15" hidden="0" customHeight="1">
      <x:c r="A379" s="9" t="n">
        <x:v>48</x:v>
      </x:c>
      <x:c r="B379" s="9" t="str">
        <x:v>S060</x:v>
      </x:c>
      <x:c r="C379" s="9" t="str">
        <x:v>Porfyrakis et al. (2026)</x:v>
      </x:c>
      <x:c r="D379" s="9" t="str">
        <x:v>L2</x:v>
      </x:c>
      <x:c r="E379" s="9" t="str">
        <x:v>1</x:v>
      </x:c>
      <x:c r="F379" s="9" t="str">
        <x:v>Initial agreement</x:v>
      </x:c>
      <x:c r="G379" s="9" t="str">
        <x:v>Composition, filament preparation, sensor geometry, contacts and integration are described.</x:v>
      </x:c>
      <x:c r="H379" s="9" t="str">
        <x:v>PDF pp. 2–15; Figs. 1–10; Tables 1–4</x:v>
      </x:c>
      <x:c r="I379" s="43" t="str"/>
      <x:c r="J379" s="43" t="str"/>
    </x:row>
    <x:row r="380" ht="15" hidden="0" customHeight="1">
      <x:c r="A380" s="9" t="n">
        <x:v>48</x:v>
      </x:c>
      <x:c r="B380" s="9" t="str">
        <x:v>S060</x:v>
      </x:c>
      <x:c r="C380" s="9" t="str">
        <x:v>Porfyrakis et al. (2026)</x:v>
      </x:c>
      <x:c r="D380" s="9" t="str">
        <x:v>L3</x:v>
      </x:c>
      <x:c r="E380" s="9" t="str">
        <x:v>1</x:v>
      </x:c>
      <x:c r="F380" s="9" t="str">
        <x:v>Initial agreement</x:v>
      </x:c>
      <x:c r="G380" s="9" t="str">
        <x:v>Controlled compression and a step demonstration are reported.</x:v>
      </x:c>
      <x:c r="H380" s="9" t="str">
        <x:v>PDF pp. 2–15; Figs. 1–10; Tables 1–4</x:v>
      </x:c>
      <x:c r="I380" s="43" t="str"/>
      <x:c r="J380" s="43" t="str"/>
    </x:row>
    <x:row r="381" ht="15" hidden="0" customHeight="1">
      <x:c r="A381" s="9" t="n">
        <x:v>48</x:v>
      </x:c>
      <x:c r="B381" s="9" t="str">
        <x:v>S060</x:v>
      </x:c>
      <x:c r="C381" s="9" t="str">
        <x:v>Porfyrakis et al. (2026)</x:v>
      </x:c>
      <x:c r="D381" s="9" t="str">
        <x:v>L4</x:v>
      </x:c>
      <x:c r="E381" s="9" t="str">
        <x:v>1</x:v>
      </x:c>
      <x:c r="F381" s="9" t="str">
        <x:v>Initial agreement</x:v>
      </x:c>
      <x:c r="G381" s="9" t="str">
        <x:v>GF, hysteresis, linearity and tested displacement ranges are quantified.</x:v>
      </x:c>
      <x:c r="H381" s="9" t="str">
        <x:v>PDF pp. 2–15; Figs. 1–10; Tables 1–4</x:v>
      </x:c>
      <x:c r="I381" s="43" t="str"/>
      <x:c r="J381" s="43" t="str"/>
    </x:row>
    <x:row r="382" ht="15" hidden="0" customHeight="1">
      <x:c r="A382" s="9" t="n">
        <x:v>48</x:v>
      </x:c>
      <x:c r="B382" s="9" t="str">
        <x:v>S060</x:v>
      </x:c>
      <x:c r="C382" s="9" t="str">
        <x:v>Porfyrakis et al. (2026)</x:v>
      </x:c>
      <x:c r="D382" s="9" t="str">
        <x:v>L5</x:v>
      </x:c>
      <x:c r="E382" s="9" t="str">
        <x:v>1</x:v>
      </x:c>
      <x:c r="F382" s="9" t="str">
        <x:v>Initial agreement</x:v>
      </x:c>
      <x:c r="G382" s="9" t="str">
        <x:v>Four initial cycles and a 100-cycle endurance test report repeated response.</x:v>
      </x:c>
      <x:c r="H382" s="9" t="str">
        <x:v>PDF pp. 2–15; Figs. 1–10; Tables 1–4</x:v>
      </x:c>
      <x:c r="I382" s="43" t="str"/>
      <x:c r="J382" s="43" t="str"/>
    </x:row>
    <x:row r="383" ht="26.399999618530273" hidden="0" customHeight="1">
      <x:c r="A383" s="9" t="n">
        <x:v>48</x:v>
      </x:c>
      <x:c r="B383" s="9" t="str">
        <x:v>S060</x:v>
      </x:c>
      <x:c r="C383" s="9" t="str">
        <x:v>Porfyrakis et al. (2026)</x:v>
      </x:c>
      <x:c r="D383" s="9" t="str">
        <x:v>L6</x:v>
      </x:c>
      <x:c r="E383" s="9" t="str">
        <x:v>0</x:v>
      </x:c>
      <x:c r="F383" s="9" t="str">
        <x:v>Initial agreement</x:v>
      </x:c>
      <x:c r="G383" s="9" t="str">
        <x:v>No distinct environmental or use-related exposure was tested.</x:v>
      </x:c>
      <x:c r="H383" s="9" t="str">
        <x:v>PDF pp. 2–15; Figs. 1–10; Tables 1–4</x:v>
      </x:c>
      <x:c r="I383" s="43" t="str">
        <x:v>No qualifying extrinsic-exposure evidence located</x:v>
      </x:c>
      <x:c r="J383" s="43" t="str">
        <x:v>No response was located during or after a deliberately applied condition extrinsic to the intended measurand.</x:v>
      </x:c>
    </x:row>
    <x:row r="384" ht="26.399999618530273" hidden="0" customHeight="1">
      <x:c r="A384" s="9" t="n">
        <x:v>48</x:v>
      </x:c>
      <x:c r="B384" s="9" t="str">
        <x:v>S060</x:v>
      </x:c>
      <x:c r="C384" s="9" t="str">
        <x:v>Porfyrakis et al. (2026)</x:v>
      </x:c>
      <x:c r="D384" s="9" t="str">
        <x:v>L7</x:v>
      </x:c>
      <x:c r="E384" s="9" t="str">
        <x:v>0</x:v>
      </x:c>
      <x:c r="F384" s="9" t="str">
        <x:v>Complete L7 audit—not qualifying</x:v>
      </x:c>
      <x:c r="G384" s="9" t="str">
        <x:v>No qualifying interface-integrity test or repeated final monolithic wearable-assembly test with a retention/failure endpoint was located.</x:v>
      </x:c>
      <x:c r="H384" s="9" t="str">
        <x:v>PDF pp. 2–15; Figs. 1–10; Tables 1–4</x:v>
      </x:c>
      <x:c r="I384" s="43" t="str">
        <x:v>No qualifying interface/final-assembly endpoint located</x:v>
      </x:c>
      <x:c r="J384" s="43" t="str">
        <x:v>Neither a Route A interface endpoint nor a Route B repeated final-assembly retention/failure endpoint was located.</x:v>
      </x:c>
    </x:row>
    <x:row r="385" ht="26.399999618530273" hidden="0" customHeight="1">
      <x:c r="A385" s="9" t="n">
        <x:v>48</x:v>
      </x:c>
      <x:c r="B385" s="9" t="str">
        <x:v>S060</x:v>
      </x:c>
      <x:c r="C385" s="9" t="str">
        <x:v>Porfyrakis et al. (2026)</x:v>
      </x:c>
      <x:c r="D385" s="9" t="str">
        <x:v>L8</x:v>
      </x:c>
      <x:c r="E385" s="9" t="str">
        <x:v>0</x:v>
      </x:c>
      <x:c r="F385" s="9" t="str">
        <x:v>Initial agreement</x:v>
      </x:c>
      <x:c r="G385" s="9" t="str">
        <x:v>Each composition/cell-size configuration used one sensor; no ≥3-device same-condition comparison was reported.</x:v>
      </x:c>
      <x:c r="H385" s="9" t="str">
        <x:v>PDF pp. 2–15; Figs. 1–10; Tables 1–4</x:v>
      </x:c>
      <x:c r="I385" s="43" t="str">
        <x:v>Insufficient experimental replication</x:v>
      </x:c>
      <x:c r="J385" s="43" t="str">
        <x:v>The reported complete-device count was below the three-device minimum.</x:v>
      </x:c>
    </x:row>
    <x:row r="386" ht="26.399999618530273" hidden="0" customHeight="1">
      <x:c r="A386" s="9" t="n">
        <x:v>49</x:v>
      </x:c>
      <x:c r="B386" s="9" t="str">
        <x:v>S061</x:v>
      </x:c>
      <x:c r="C386" s="9" t="str">
        <x:v>Kumar et al. (2026)</x:v>
      </x:c>
      <x:c r="D386" s="9" t="str">
        <x:v>L1</x:v>
      </x:c>
      <x:c r="E386" s="9" t="str">
        <x:v>0</x:v>
      </x:c>
      <x:c r="F386" s="9" t="str">
        <x:v>Initial agreement</x:v>
      </x:c>
      <x:c r="G386" s="9" t="str">
        <x:v>FFF and several settings are stated, but printer model, nozzle diameter and layer height were not identified.</x:v>
      </x:c>
      <x:c r="H386" s="9" t="str">
        <x:v>PDF pp. 2–11; Figs. 1–13; Table 1</x:v>
      </x:c>
      <x:c r="I386" s="43" t="str">
        <x:v>Applicable fabrication information incomplete</x:v>
      </x:c>
      <x:c r="J386" s="43" t="str">
        <x:v>One or more architecture-relevant fabrication fields needed to reconstruct the tested printed component were not located.</x:v>
      </x:c>
    </x:row>
    <x:row r="387" ht="15" hidden="0" customHeight="1">
      <x:c r="A387" s="9" t="n">
        <x:v>49</x:v>
      </x:c>
      <x:c r="B387" s="9" t="str">
        <x:v>S061</x:v>
      </x:c>
      <x:c r="C387" s="9" t="str">
        <x:v>Kumar et al. (2026)</x:v>
      </x:c>
      <x:c r="D387" s="9" t="str">
        <x:v>L2</x:v>
      </x:c>
      <x:c r="E387" s="9" t="str">
        <x:v>1</x:v>
      </x:c>
      <x:c r="F387" s="9" t="str">
        <x:v>Initial agreement</x:v>
      </x:c>
      <x:c r="G387" s="9" t="str">
        <x:v>PLA substrate, copper elements, connector and splint integration are described.</x:v>
      </x:c>
      <x:c r="H387" s="9" t="str">
        <x:v>PDF pp. 2–11; Figs. 1–13; Table 1</x:v>
      </x:c>
      <x:c r="I387" s="43" t="str"/>
      <x:c r="J387" s="43" t="str"/>
    </x:row>
    <x:row r="388" ht="15" hidden="0" customHeight="1">
      <x:c r="A388" s="9" t="n">
        <x:v>49</x:v>
      </x:c>
      <x:c r="B388" s="9" t="str">
        <x:v>S061</x:v>
      </x:c>
      <x:c r="C388" s="9" t="str">
        <x:v>Kumar et al. (2026)</x:v>
      </x:c>
      <x:c r="D388" s="9" t="str">
        <x:v>L3</x:v>
      </x:c>
      <x:c r="E388" s="9" t="str">
        <x:v>1</x:v>
      </x:c>
      <x:c r="F388" s="9" t="str">
        <x:v>Adjudicated to Reviewer 1</x:v>
      </x:c>
      <x:c r="G388" s="9" t="str">
        <x:v>Controlled loads and VNA measurements are reported.</x:v>
      </x:c>
      <x:c r="H388" s="9" t="str">
        <x:v>PDF pp. 2–11; Figs. 1–13; Table 1</x:v>
      </x:c>
      <x:c r="I388" s="43" t="str"/>
      <x:c r="J388" s="43" t="str"/>
    </x:row>
    <x:row r="389" ht="15" hidden="0" customHeight="1">
      <x:c r="A389" s="9" t="n">
        <x:v>49</x:v>
      </x:c>
      <x:c r="B389" s="9" t="str">
        <x:v>S061</x:v>
      </x:c>
      <x:c r="C389" s="9" t="str">
        <x:v>Kumar et al. (2026)</x:v>
      </x:c>
      <x:c r="D389" s="9" t="str">
        <x:v>L4</x:v>
      </x:c>
      <x:c r="E389" s="9" t="str">
        <x:v>1</x:v>
      </x:c>
      <x:c r="F389" s="9" t="str">
        <x:v>Adjudicated to Reviewer 1</x:v>
      </x:c>
      <x:c r="G389" s="9" t="str">
        <x:v>Frequency/S11 values and applied-load range are quantitative.</x:v>
      </x:c>
      <x:c r="H389" s="9" t="str">
        <x:v>PDF pp. 2–11; Figs. 1–13; Table 1</x:v>
      </x:c>
      <x:c r="I389" s="43" t="str"/>
      <x:c r="J389" s="43" t="str"/>
    </x:row>
    <x:row r="390" ht="26.399999618530273" hidden="0" customHeight="1">
      <x:c r="A390" s="9" t="n">
        <x:v>49</x:v>
      </x:c>
      <x:c r="B390" s="9" t="str">
        <x:v>S061</x:v>
      </x:c>
      <x:c r="C390" s="9" t="str">
        <x:v>Kumar et al. (2026)</x:v>
      </x:c>
      <x:c r="D390" s="9" t="str">
        <x:v>L5</x:v>
      </x:c>
      <x:c r="E390" s="9" t="str">
        <x:v>0</x:v>
      </x:c>
      <x:c r="F390" s="9" t="str">
        <x:v>Initial agreement</x:v>
      </x:c>
      <x:c r="G390" s="9" t="str">
        <x:v>The million-cycle result is a simulation; no experimental ≥3-cycle retention test was identified.</x:v>
      </x:c>
      <x:c r="H390" s="9" t="str">
        <x:v>PDF pp. 2–11; Figs. 1–13; Table 1</x:v>
      </x:c>
      <x:c r="I390" s="43" t="str">
        <x:v>No qualifying repeated-stability evidence located</x:v>
      </x:c>
      <x:c r="J390" s="43" t="str">
        <x:v>No experimental sequence satisfying the L5 unit, repetition and stability-endpoint rule was located.</x:v>
      </x:c>
    </x:row>
    <x:row r="391" ht="24" hidden="0" customHeight="1">
      <x:c r="A391" s="9" t="n">
        <x:v>49</x:v>
      </x:c>
      <x:c r="B391" s="9" t="str">
        <x:v>S061</x:v>
      </x:c>
      <x:c r="C391" s="9" t="str">
        <x:v>Kumar et al. (2026)</x:v>
      </x:c>
      <x:c r="D391" s="9" t="str">
        <x:v>L6</x:v>
      </x:c>
      <x:c r="E391" s="9" t="str">
        <x:v>1</x:v>
      </x:c>
      <x:c r="F391" s="9" t="str">
        <x:v>L6 subtype audit</x:v>
      </x:c>
      <x:c r="G391" s="9" t="str">
        <x:v>In-exposure cross-sensitivity only: Response was compared between stated with-wear/without-wear assembly-loading states.</x:v>
      </x:c>
      <x:c r="H391" s="9" t="str">
        <x:v>PDF pp. 2–11; Figs. 1–13; Table 1</x:v>
      </x:c>
      <x:c r="I391" s="43" t="str"/>
      <x:c r="J391" s="43" t="str"/>
    </x:row>
    <x:row r="392" ht="26.399999618530273" hidden="0" customHeight="1">
      <x:c r="A392" s="9" t="n">
        <x:v>49</x:v>
      </x:c>
      <x:c r="B392" s="9" t="str">
        <x:v>S061</x:v>
      </x:c>
      <x:c r="C392" s="9" t="str">
        <x:v>Kumar et al. (2026)</x:v>
      </x:c>
      <x:c r="D392" s="9" t="str">
        <x:v>L7</x:v>
      </x:c>
      <x:c r="E392" s="9" t="str">
        <x:v>0</x:v>
      </x:c>
      <x:c r="F392" s="9" t="str">
        <x:v>Complete L7 audit—not qualifying</x:v>
      </x:c>
      <x:c r="G392" s="9" t="str">
        <x:v>The million-cycle fatigue result is an ANSYS prediction. The worn measurements concern static pressure/antenna response.</x:v>
      </x:c>
      <x:c r="H392" s="9" t="str">
        <x:v>S061_Main.pdf, physical p. 6, fatigue simulation; pp. 7-8, Fig. 11/Table 2.</x:v>
      </x:c>
      <x:c r="I392" s="43" t="str">
        <x:v>No qualifying interface/final-assembly endpoint located</x:v>
      </x:c>
      <x:c r="J392" s="43" t="str">
        <x:v>Neither a Route A interface endpoint nor a Route B repeated final-assembly retention/failure endpoint was located.</x:v>
      </x:c>
    </x:row>
    <x:row r="393" ht="26.399999618530273" hidden="0" customHeight="1">
      <x:c r="A393" s="9" t="n">
        <x:v>49</x:v>
      </x:c>
      <x:c r="B393" s="9" t="str">
        <x:v>S061</x:v>
      </x:c>
      <x:c r="C393" s="9" t="str">
        <x:v>Kumar et al. (2026)</x:v>
      </x:c>
      <x:c r="D393" s="9" t="str">
        <x:v>L8</x:v>
      </x:c>
      <x:c r="E393" s="9" t="str">
        <x:v>0</x:v>
      </x:c>
      <x:c r="F393" s="9" t="str">
        <x:v>Initial agreement</x:v>
      </x:c>
      <x:c r="G393" s="9" t="str">
        <x:v>No ≥3 separately fabricated complete antennas were quantitatively compared.</x:v>
      </x:c>
      <x:c r="H393" s="9" t="str">
        <x:v>PDF pp. 2–11; Figs. 1–13; Table 1</x:v>
      </x:c>
      <x:c r="I393" s="43" t="str">
        <x:v>No qualifying between-device evidence located</x:v>
      </x:c>
      <x:c r="J393" s="43" t="str">
        <x:v>No quantitative same-condition comparison of at least three independently fabricated complete devices was located.</x:v>
      </x:c>
    </x:row>
    <x:row r="394" ht="15" hidden="0" customHeight="1">
      <x:c r="A394" s="9" t="n">
        <x:v>50</x:v>
      </x:c>
      <x:c r="B394" s="9" t="str">
        <x:v>S063</x:v>
      </x:c>
      <x:c r="C394" s="9" t="str">
        <x:v>Wu et al. (2026)</x:v>
      </x:c>
      <x:c r="D394" s="9" t="str">
        <x:v>L1</x:v>
      </x:c>
      <x:c r="E394" s="9" t="str">
        <x:v>1</x:v>
      </x:c>
      <x:c r="F394" s="9" t="str">
        <x:v>Initial agreement</x:v>
      </x:c>
      <x:c r="G394" s="9" t="str">
        <x:v>Printer, TPU/CNT system, nozzle, temperatures, speed, layer height, infill and geometry are reported.</x:v>
      </x:c>
      <x:c r="H394" s="9" t="str">
        <x:v>PDF pp. 2–12; Figs. 1–9; Tables 1–2</x:v>
      </x:c>
      <x:c r="I394" s="43" t="str"/>
      <x:c r="J394" s="43" t="str"/>
    </x:row>
    <x:row r="395" ht="15" hidden="0" customHeight="1">
      <x:c r="A395" s="9" t="n">
        <x:v>50</x:v>
      </x:c>
      <x:c r="B395" s="9" t="str">
        <x:v>S063</x:v>
      </x:c>
      <x:c r="C395" s="9" t="str">
        <x:v>Wu et al. (2026)</x:v>
      </x:c>
      <x:c r="D395" s="9" t="str">
        <x:v>L2</x:v>
      </x:c>
      <x:c r="E395" s="9" t="str">
        <x:v>1</x:v>
      </x:c>
      <x:c r="F395" s="9" t="str">
        <x:v>Initial agreement</x:v>
      </x:c>
      <x:c r="G395" s="9" t="str">
        <x:v>TPU grades, CNT treatment and electrical role are described.</x:v>
      </x:c>
      <x:c r="H395" s="9" t="str">
        <x:v>PDF pp. 2–12; Figs. 1–9; Tables 1–2</x:v>
      </x:c>
      <x:c r="I395" s="43" t="str"/>
      <x:c r="J395" s="43" t="str"/>
    </x:row>
    <x:row r="396" ht="15" hidden="0" customHeight="1">
      <x:c r="A396" s="9" t="n">
        <x:v>50</x:v>
      </x:c>
      <x:c r="B396" s="9" t="str">
        <x:v>S063</x:v>
      </x:c>
      <x:c r="C396" s="9" t="str">
        <x:v>Wu et al. (2026)</x:v>
      </x:c>
      <x:c r="D396" s="9" t="str">
        <x:v>L3</x:v>
      </x:c>
      <x:c r="E396" s="9" t="str">
        <x:v>1</x:v>
      </x:c>
      <x:c r="F396" s="9" t="str">
        <x:v>Initial agreement</x:v>
      </x:c>
      <x:c r="G396" s="9" t="str">
        <x:v>Controlled compression and body-action protocols are reported.</x:v>
      </x:c>
      <x:c r="H396" s="9" t="str">
        <x:v>PDF pp. 2–12; Figs. 1–9; Tables 1–2</x:v>
      </x:c>
      <x:c r="I396" s="43" t="str"/>
      <x:c r="J396" s="43" t="str"/>
    </x:row>
    <x:row r="397" ht="15" hidden="0" customHeight="1">
      <x:c r="A397" s="9" t="n">
        <x:v>50</x:v>
      </x:c>
      <x:c r="B397" s="9" t="str">
        <x:v>S063</x:v>
      </x:c>
      <x:c r="C397" s="9" t="str">
        <x:v>Wu et al. (2026)</x:v>
      </x:c>
      <x:c r="D397" s="9" t="str">
        <x:v>L4</x:v>
      </x:c>
      <x:c r="E397" s="9" t="str">
        <x:v>1</x:v>
      </x:c>
      <x:c r="F397" s="9" t="str">
        <x:v>Initial agreement</x:v>
      </x:c>
      <x:c r="G397" s="9" t="str">
        <x:v>Sensitivity, range and cycle behavior are quantitative.</x:v>
      </x:c>
      <x:c r="H397" s="9" t="str">
        <x:v>PDF pp. 2–12; Figs. 1–9; Tables 1–2</x:v>
      </x:c>
      <x:c r="I397" s="43" t="str"/>
      <x:c r="J397" s="43" t="str"/>
    </x:row>
    <x:row r="398" ht="15" hidden="0" customHeight="1">
      <x:c r="A398" s="9" t="n">
        <x:v>50</x:v>
      </x:c>
      <x:c r="B398" s="9" t="str">
        <x:v>S063</x:v>
      </x:c>
      <x:c r="C398" s="9" t="str">
        <x:v>Wu et al. (2026)</x:v>
      </x:c>
      <x:c r="D398" s="9" t="str">
        <x:v>L5</x:v>
      </x:c>
      <x:c r="E398" s="9" t="str">
        <x:v>1</x:v>
      </x:c>
      <x:c r="F398" s="9" t="str">
        <x:v>Initial agreement</x:v>
      </x:c>
      <x:c r="G398" s="9" t="str">
        <x:v>Ten-cycle tests and a 1000-cycle endurance test report repeated response.</x:v>
      </x:c>
      <x:c r="H398" s="9" t="str">
        <x:v>PDF pp. 2–12; Figs. 1–9; Tables 1–2</x:v>
      </x:c>
      <x:c r="I398" s="43" t="str"/>
      <x:c r="J398" s="43" t="str"/>
    </x:row>
    <x:row r="399" ht="26.399999618530273" hidden="0" customHeight="1">
      <x:c r="A399" s="9" t="n">
        <x:v>50</x:v>
      </x:c>
      <x:c r="B399" s="9" t="str">
        <x:v>S063</x:v>
      </x:c>
      <x:c r="C399" s="9" t="str">
        <x:v>Wu et al. (2026)</x:v>
      </x:c>
      <x:c r="D399" s="9" t="str">
        <x:v>L6</x:v>
      </x:c>
      <x:c r="E399" s="9" t="str">
        <x:v>0</x:v>
      </x:c>
      <x:c r="F399" s="9" t="str">
        <x:v>Initial agreement</x:v>
      </x:c>
      <x:c r="G399" s="9" t="str">
        <x:v>Humidity, sweat, washing and temperature were explicitly not investigated.</x:v>
      </x:c>
      <x:c r="H399" s="9" t="str">
        <x:v>PDF pp. 2–12; Figs. 1–9; Tables 1–2</x:v>
      </x:c>
      <x:c r="I399" s="43" t="str">
        <x:v>No qualifying extrinsic-exposure evidence located</x:v>
      </x:c>
      <x:c r="J399" s="43" t="str">
        <x:v>No response was located during or after a deliberately applied condition extrinsic to the intended measurand.</x:v>
      </x:c>
    </x:row>
    <x:row r="400" ht="26.399999618530273" hidden="0" customHeight="1">
      <x:c r="A400" s="9" t="n">
        <x:v>50</x:v>
      </x:c>
      <x:c r="B400" s="9" t="str">
        <x:v>S063</x:v>
      </x:c>
      <x:c r="C400" s="9" t="str">
        <x:v>Wu et al. (2026)</x:v>
      </x:c>
      <x:c r="D400" s="9" t="str">
        <x:v>L7</x:v>
      </x:c>
      <x:c r="E400" s="9" t="str">
        <x:v>0</x:v>
      </x:c>
      <x:c r="F400" s="9" t="str">
        <x:v>Complete L7 audit—not qualifying</x:v>
      </x:c>
      <x:c r="G400" s="9" t="str">
        <x:v>No qualifying interface-integrity test or repeated final monolithic wearable-assembly test with a retention/failure endpoint was located.</x:v>
      </x:c>
      <x:c r="H400" s="9" t="str">
        <x:v>PDF pp. 2–12; Figs. 1–9; Tables 1–2</x:v>
      </x:c>
      <x:c r="I400" s="43" t="str">
        <x:v>No qualifying interface/final-assembly endpoint located</x:v>
      </x:c>
      <x:c r="J400" s="43" t="str">
        <x:v>Neither a Route A interface endpoint nor a Route B repeated final-assembly retention/failure endpoint was located.</x:v>
      </x:c>
    </x:row>
    <x:row r="401" ht="26.399999618530273" hidden="0" customHeight="1">
      <x:c r="A401" s="9" t="n">
        <x:v>50</x:v>
      </x:c>
      <x:c r="B401" s="9" t="str">
        <x:v>S063</x:v>
      </x:c>
      <x:c r="C401" s="9" t="str">
        <x:v>Wu et al. (2026)</x:v>
      </x:c>
      <x:c r="D401" s="9" t="str">
        <x:v>L8</x:v>
      </x:c>
      <x:c r="E401" s="9" t="str">
        <x:v>0</x:v>
      </x:c>
      <x:c r="F401" s="9" t="str">
        <x:v>Initial agreement</x:v>
      </x:c>
      <x:c r="G401" s="9" t="str">
        <x:v>No ≥3 separately fabricated complete sensors were quantitatively compared.</x:v>
      </x:c>
      <x:c r="H401" s="9" t="str">
        <x:v>PDF pp. 2–12; Figs. 1–9; Tables 1–2</x:v>
      </x:c>
      <x:c r="I401" s="43" t="str">
        <x:v>No qualifying between-device evidence located</x:v>
      </x:c>
      <x:c r="J401" s="43" t="str">
        <x:v>No quantitative same-condition comparison of at least three independently fabricated complete devices was located.</x:v>
      </x:c>
    </x:row>
    <x:row r="402" ht="15" hidden="0" customHeight="1">
      <x:c r="A402" s="9" t="n">
        <x:v>51</x:v>
      </x:c>
      <x:c r="B402" s="9" t="str">
        <x:v>S064</x:v>
      </x:c>
      <x:c r="C402" s="9" t="str">
        <x:v>Tao et al. (2026)</x:v>
      </x:c>
      <x:c r="D402" s="9" t="str">
        <x:v>L1</x:v>
      </x:c>
      <x:c r="E402" s="9" t="str">
        <x:v>1</x:v>
      </x:c>
      <x:c r="F402" s="9" t="str">
        <x:v>Initial agreement</x:v>
      </x:c>
      <x:c r="G402" s="9" t="str">
        <x:v>Printer, TPE, temperatures, speed, layer height, infill, raster and hybrid sequence are reported.</x:v>
      </x:c>
      <x:c r="H402" s="9" t="str">
        <x:v>PDF pp. 2–12; Figs. 1–10; Table 1</x:v>
      </x:c>
      <x:c r="I402" s="43" t="str"/>
      <x:c r="J402" s="43" t="str"/>
    </x:row>
    <x:row r="403" ht="15" hidden="0" customHeight="1">
      <x:c r="A403" s="9" t="n">
        <x:v>51</x:v>
      </x:c>
      <x:c r="B403" s="9" t="str">
        <x:v>S064</x:v>
      </x:c>
      <x:c r="C403" s="9" t="str">
        <x:v>Tao et al. (2026)</x:v>
      </x:c>
      <x:c r="D403" s="9" t="str">
        <x:v>L2</x:v>
      </x:c>
      <x:c r="E403" s="9" t="str">
        <x:v>1</x:v>
      </x:c>
      <x:c r="F403" s="9" t="str">
        <x:v>Initial agreement</x:v>
      </x:c>
      <x:c r="G403" s="9" t="str">
        <x:v>Host, conductive filament, conductors, insulation and embedded geometry are described.</x:v>
      </x:c>
      <x:c r="H403" s="9" t="str">
        <x:v>PDF pp. 2–12; Figs. 1–10; Table 1</x:v>
      </x:c>
      <x:c r="I403" s="43" t="str"/>
      <x:c r="J403" s="43" t="str"/>
    </x:row>
    <x:row r="404" ht="15" hidden="0" customHeight="1">
      <x:c r="A404" s="9" t="n">
        <x:v>51</x:v>
      </x:c>
      <x:c r="B404" s="9" t="str">
        <x:v>S064</x:v>
      </x:c>
      <x:c r="C404" s="9" t="str">
        <x:v>Tao et al. (2026)</x:v>
      </x:c>
      <x:c r="D404" s="9" t="str">
        <x:v>L3</x:v>
      </x:c>
      <x:c r="E404" s="9" t="str">
        <x:v>1</x:v>
      </x:c>
      <x:c r="F404" s="9" t="str">
        <x:v>Initial agreement</x:v>
      </x:c>
      <x:c r="G404" s="9" t="str">
        <x:v>Controlled impact and application protocols are reported.</x:v>
      </x:c>
      <x:c r="H404" s="9" t="str">
        <x:v>PDF pp. 2–12; Figs. 1–10; Table 1</x:v>
      </x:c>
      <x:c r="I404" s="43" t="str"/>
      <x:c r="J404" s="43" t="str"/>
    </x:row>
    <x:row r="405" ht="15" hidden="0" customHeight="1">
      <x:c r="A405" s="9" t="n">
        <x:v>51</x:v>
      </x:c>
      <x:c r="B405" s="9" t="str">
        <x:v>S064</x:v>
      </x:c>
      <x:c r="C405" s="9" t="str">
        <x:v>Tao et al. (2026)</x:v>
      </x:c>
      <x:c r="D405" s="9" t="str">
        <x:v>L4</x:v>
      </x:c>
      <x:c r="E405" s="9" t="str">
        <x:v>1</x:v>
      </x:c>
      <x:c r="F405" s="9" t="str">
        <x:v>Initial agreement</x:v>
      </x:c>
      <x:c r="G405" s="9" t="str">
        <x:v>Impact strain/resistance outputs and comparison with simulation are quantitative.</x:v>
      </x:c>
      <x:c r="H405" s="9" t="str">
        <x:v>PDF pp. 2–12; Figs. 1–10; Table 1</x:v>
      </x:c>
      <x:c r="I405" s="43" t="str"/>
      <x:c r="J405" s="43" t="str"/>
    </x:row>
    <x:row r="406" ht="15" hidden="0" customHeight="1">
      <x:c r="A406" s="9" t="n">
        <x:v>51</x:v>
      </x:c>
      <x:c r="B406" s="9" t="str">
        <x:v>S064</x:v>
      </x:c>
      <x:c r="C406" s="9" t="str">
        <x:v>Tao et al. (2026)</x:v>
      </x:c>
      <x:c r="D406" s="9" t="str">
        <x:v>L5</x:v>
      </x:c>
      <x:c r="E406" s="9" t="str">
        <x:v>1</x:v>
      </x:c>
      <x:c r="F406" s="9" t="str">
        <x:v>Adjudicated to Reviewer 1</x:v>
      </x:c>
      <x:c r="G406" s="9" t="str">
        <x:v>Repeated impacts provide ≥3 observations and expose irreversible baseline change.</x:v>
      </x:c>
      <x:c r="H406" s="9" t="str">
        <x:v>PDF pp. 2–12; Figs. 1–10; Table 1</x:v>
      </x:c>
      <x:c r="I406" s="43" t="str"/>
      <x:c r="J406" s="43" t="str"/>
    </x:row>
    <x:row r="407" ht="26.399999618530273" hidden="0" customHeight="1">
      <x:c r="A407" s="9" t="n">
        <x:v>51</x:v>
      </x:c>
      <x:c r="B407" s="9" t="str">
        <x:v>S064</x:v>
      </x:c>
      <x:c r="C407" s="9" t="str">
        <x:v>Tao et al. (2026)</x:v>
      </x:c>
      <x:c r="D407" s="9" t="str">
        <x:v>L6</x:v>
      </x:c>
      <x:c r="E407" s="9" t="str">
        <x:v>0</x:v>
      </x:c>
      <x:c r="F407" s="9" t="str">
        <x:v>Initial agreement</x:v>
      </x:c>
      <x:c r="G407" s="9" t="str">
        <x:v>Impact is the intended measurand; no separate environmental/use exposure was tested.</x:v>
      </x:c>
      <x:c r="H407" s="9" t="str">
        <x:v>PDF pp. 2–12; Figs. 1–10; Table 1</x:v>
      </x:c>
      <x:c r="I407" s="43" t="str">
        <x:v>No qualifying extrinsic-exposure evidence located</x:v>
      </x:c>
      <x:c r="J407" s="43" t="str">
        <x:v>No response was located during or after a deliberately applied condition extrinsic to the intended measurand.</x:v>
      </x:c>
    </x:row>
    <x:row r="408" ht="36" hidden="0" customHeight="1">
      <x:c r="A408" s="9" t="n">
        <x:v>51</x:v>
      </x:c>
      <x:c r="B408" s="9" t="str">
        <x:v>S064</x:v>
      </x:c>
      <x:c r="C408" s="9" t="str">
        <x:v>Tao et al. (2026)</x:v>
      </x:c>
      <x:c r="D408" s="9" t="str">
        <x:v>L7</x:v>
      </x:c>
      <x:c r="E408" s="9" t="str">
        <x:v>1</x:v>
      </x:c>
      <x:c r="F408" s="9" t="str">
        <x:v>Complete L7 audit—Route A</x:v>
      </x:c>
      <x:c r="G408" s="9" t="str">
        <x:v>Route A—direct integration: repeated impact testing compared surface-mounted and embedded sensors; the surface-mounted layer crushed, fragmented and peeled, whereas the embedded sensor survived and retained functional stability.</x:v>
      </x:c>
      <x:c r="H408" s="9" t="str">
        <x:v>S064_Main.pdf, physical pp. 6–8, Figs. 4–6</x:v>
      </x:c>
      <x:c r="I408" s="43" t="str"/>
      <x:c r="J408" s="43" t="str"/>
    </x:row>
    <x:row r="409" ht="39.599998474121094" hidden="0" customHeight="1">
      <x:c r="A409" s="9" t="n">
        <x:v>51</x:v>
      </x:c>
      <x:c r="B409" s="9" t="str">
        <x:v>S064</x:v>
      </x:c>
      <x:c r="C409" s="9" t="str">
        <x:v>Tao et al. (2026)</x:v>
      </x:c>
      <x:c r="D409" s="9" t="str">
        <x:v>L8</x:v>
      </x:c>
      <x:c r="E409" s="9" t="str">
        <x:v>0</x:v>
      </x:c>
      <x:c r="F409" s="9" t="str">
        <x:v>Adjudicated to Reviewer 1</x:v>
      </x:c>
      <x:c r="G409" s="9" t="str">
        <x:v>Five specimens were assigned different velocities; same-condition between-device variation was not reported.</x:v>
      </x:c>
      <x:c r="H409" s="9" t="str">
        <x:v>PDF pp. 2–12; Figs. 1–10; Table 1</x:v>
      </x:c>
      <x:c r="I409" s="43" t="str">
        <x:v>Non-qualifying repeated unit or condition</x:v>
      </x:c>
      <x:c r="J409" s="43" t="str">
        <x:v>The repeated entities were people, channels, variants, material specimens, repeated measurements or devices tested under different conditions.</x:v>
      </x:c>
    </x:row>
    <x:row r="410" ht="26.399999618530273" hidden="0" customHeight="1">
      <x:c r="A410" s="9" t="n">
        <x:v>52</x:v>
      </x:c>
      <x:c r="B410" s="9" t="str">
        <x:v>S065</x:v>
      </x:c>
      <x:c r="C410" s="9" t="str">
        <x:v>Han et al. (2026)</x:v>
      </x:c>
      <x:c r="D410" s="9" t="str">
        <x:v>L1</x:v>
      </x:c>
      <x:c r="E410" s="9" t="str">
        <x:v>0</x:v>
      </x:c>
      <x:c r="F410" s="9" t="str">
        <x:v>Initial agreement</x:v>
      </x:c>
      <x:c r="G410" s="9" t="str">
        <x:v>Direct FDM, material and nozzle are reported, but printer model, temperature, speed and layer height are absent.</x:v>
      </x:c>
      <x:c r="H410" s="9" t="str">
        <x:v>PDF pp. 2–9; Figs. 1–7</x:v>
      </x:c>
      <x:c r="I410" s="43" t="str">
        <x:v>Applicable fabrication information incomplete</x:v>
      </x:c>
      <x:c r="J410" s="43" t="str">
        <x:v>One or more architecture-relevant fabrication fields needed to reconstruct the tested printed component were not located.</x:v>
      </x:c>
    </x:row>
    <x:row r="411" ht="15" hidden="0" customHeight="1">
      <x:c r="A411" s="9" t="n">
        <x:v>52</x:v>
      </x:c>
      <x:c r="B411" s="9" t="str">
        <x:v>S065</x:v>
      </x:c>
      <x:c r="C411" s="9" t="str">
        <x:v>Han et al. (2026)</x:v>
      </x:c>
      <x:c r="D411" s="9" t="str">
        <x:v>L2</x:v>
      </x:c>
      <x:c r="E411" s="9" t="str">
        <x:v>1</x:v>
      </x:c>
      <x:c r="F411" s="9" t="str">
        <x:v>Initial agreement</x:v>
      </x:c>
      <x:c r="G411" s="9" t="str">
        <x:v>TPE substrate, surface microstructure, PEDOT:PSS treatment and contacts are described.</x:v>
      </x:c>
      <x:c r="H411" s="9" t="str">
        <x:v>PDF pp. 2–9; Figs. 1–7</x:v>
      </x:c>
      <x:c r="I411" s="43" t="str"/>
      <x:c r="J411" s="43" t="str"/>
    </x:row>
    <x:row r="412" ht="15" hidden="0" customHeight="1">
      <x:c r="A412" s="9" t="n">
        <x:v>52</x:v>
      </x:c>
      <x:c r="B412" s="9" t="str">
        <x:v>S065</x:v>
      </x:c>
      <x:c r="C412" s="9" t="str">
        <x:v>Han et al. (2026)</x:v>
      </x:c>
      <x:c r="D412" s="9" t="str">
        <x:v>L3</x:v>
      </x:c>
      <x:c r="E412" s="9" t="str">
        <x:v>1</x:v>
      </x:c>
      <x:c r="F412" s="9" t="str">
        <x:v>Initial agreement</x:v>
      </x:c>
      <x:c r="G412" s="9" t="str">
        <x:v>Controlled pressure and application protocols are reported.</x:v>
      </x:c>
      <x:c r="H412" s="9" t="str">
        <x:v>PDF pp. 2–9; Figs. 1–7</x:v>
      </x:c>
      <x:c r="I412" s="43" t="str"/>
      <x:c r="J412" s="43" t="str"/>
    </x:row>
    <x:row r="413" ht="15" hidden="0" customHeight="1">
      <x:c r="A413" s="9" t="n">
        <x:v>52</x:v>
      </x:c>
      <x:c r="B413" s="9" t="str">
        <x:v>S065</x:v>
      </x:c>
      <x:c r="C413" s="9" t="str">
        <x:v>Han et al. (2026)</x:v>
      </x:c>
      <x:c r="D413" s="9" t="str">
        <x:v>L4</x:v>
      </x:c>
      <x:c r="E413" s="9" t="str">
        <x:v>1</x:v>
      </x:c>
      <x:c r="F413" s="9" t="str">
        <x:v>Initial agreement</x:v>
      </x:c>
      <x:c r="G413" s="9" t="str">
        <x:v>Sensitivity, range, response time and SNR are quantitative.</x:v>
      </x:c>
      <x:c r="H413" s="9" t="str">
        <x:v>PDF pp. 2–9; Figs. 1–7</x:v>
      </x:c>
      <x:c r="I413" s="43" t="str"/>
      <x:c r="J413" s="43" t="str"/>
    </x:row>
    <x:row r="414" ht="15" hidden="0" customHeight="1">
      <x:c r="A414" s="9" t="n">
        <x:v>52</x:v>
      </x:c>
      <x:c r="B414" s="9" t="str">
        <x:v>S065</x:v>
      </x:c>
      <x:c r="C414" s="9" t="str">
        <x:v>Han et al. (2026)</x:v>
      </x:c>
      <x:c r="D414" s="9" t="str">
        <x:v>L5</x:v>
      </x:c>
      <x:c r="E414" s="9" t="str">
        <x:v>1</x:v>
      </x:c>
      <x:c r="F414" s="9" t="str">
        <x:v>Initial agreement</x:v>
      </x:c>
      <x:c r="G414" s="9" t="str">
        <x:v>Ten loading cycles report repeated response.</x:v>
      </x:c>
      <x:c r="H414" s="9" t="str">
        <x:v>PDF pp. 2–9; Figs. 1–7</x:v>
      </x:c>
      <x:c r="I414" s="43" t="str"/>
      <x:c r="J414" s="43" t="str"/>
    </x:row>
    <x:row r="415" ht="26.399999618530273" hidden="0" customHeight="1">
      <x:c r="A415" s="9" t="n">
        <x:v>52</x:v>
      </x:c>
      <x:c r="B415" s="9" t="str">
        <x:v>S065</x:v>
      </x:c>
      <x:c r="C415" s="9" t="str">
        <x:v>Han et al. (2026)</x:v>
      </x:c>
      <x:c r="D415" s="9" t="str">
        <x:v>L6</x:v>
      </x:c>
      <x:c r="E415" s="9" t="str">
        <x:v>0</x:v>
      </x:c>
      <x:c r="F415" s="9" t="str">
        <x:v>Initial agreement</x:v>
      </x:c>
      <x:c r="G415" s="9" t="str">
        <x:v>No qualifying environmental or separate use-related exposure was reported.</x:v>
      </x:c>
      <x:c r="H415" s="9" t="str">
        <x:v>PDF pp. 2–9; Figs. 1–7</x:v>
      </x:c>
      <x:c r="I415" s="43" t="str">
        <x:v>No qualifying extrinsic-exposure evidence located</x:v>
      </x:c>
      <x:c r="J415" s="43" t="str">
        <x:v>No response was located during or after a deliberately applied condition extrinsic to the intended measurand.</x:v>
      </x:c>
    </x:row>
    <x:row r="416" ht="24" hidden="0" customHeight="1">
      <x:c r="A416" s="9" t="n">
        <x:v>52</x:v>
      </x:c>
      <x:c r="B416" s="9" t="str">
        <x:v>S065</x:v>
      </x:c>
      <x:c r="C416" s="9" t="str">
        <x:v>Han et al. (2026)</x:v>
      </x:c>
      <x:c r="D416" s="9" t="str">
        <x:v>L7</x:v>
      </x:c>
      <x:c r="E416" s="9" t="str">
        <x:v>1</x:v>
      </x:c>
      <x:c r="F416" s="9" t="str">
        <x:v>Complete L7 audit—Route B</x:v>
      </x:c>
      <x:c r="G416" s="9" t="str">
        <x:v>Route B—integrated assembly: repeated attached-sensor bending was evaluated with no delamination or loss of sensitivity, consistent cycle responses and SNR of 34.12 ± 0.72.</x:v>
      </x:c>
      <x:c r="H416" s="9" t="str">
        <x:v>S065_Main.pdf, physical pp. 8–9, section 3.4 and Fig. 7c–d</x:v>
      </x:c>
      <x:c r="I416" s="43" t="str"/>
      <x:c r="J416" s="43" t="str"/>
    </x:row>
    <x:row r="417" ht="15" hidden="0" customHeight="1">
      <x:c r="A417" s="9" t="n">
        <x:v>52</x:v>
      </x:c>
      <x:c r="B417" s="9" t="str">
        <x:v>S065</x:v>
      </x:c>
      <x:c r="C417" s="9" t="str">
        <x:v>Han et al. (2026)</x:v>
      </x:c>
      <x:c r="D417" s="9" t="str">
        <x:v>L8</x:v>
      </x:c>
      <x:c r="E417" s="9" t="str">
        <x:v>1</x:v>
      </x:c>
      <x:c r="F417" s="9" t="str">
        <x:v>Adjudicated to Reviewer 1</x:v>
      </x:c>
      <x:c r="G417" s="9" t="str">
        <x:v>Four separately fabricated devices were quantitatively compared with cycle statistics.</x:v>
      </x:c>
      <x:c r="H417" s="9" t="str">
        <x:v>PDF pp. 2–9; Figs. 1–7</x:v>
      </x:c>
      <x:c r="I417" s="43" t="str"/>
      <x:c r="J417" s="43" t="str"/>
    </x:row>
    <x:row r="418" ht="26.399999618530273" hidden="0" customHeight="1">
      <x:c r="A418" s="9" t="n">
        <x:v>53</x:v>
      </x:c>
      <x:c r="B418" s="9" t="str">
        <x:v>S066</x:v>
      </x:c>
      <x:c r="C418" s="9" t="str">
        <x:v>Saroli et al. (2026)</x:v>
      </x:c>
      <x:c r="D418" s="9" t="str">
        <x:v>L1</x:v>
      </x:c>
      <x:c r="E418" s="9" t="str">
        <x:v>0</x:v>
      </x:c>
      <x:c r="F418" s="9" t="str">
        <x:v>Initial agreement</x:v>
      </x:c>
      <x:c r="G418" s="9" t="str">
        <x:v>Printer, active filament and geometry are stated, but essential settings are referred to prior work rather than reported here.</x:v>
      </x:c>
      <x:c r="H418" s="9" t="str">
        <x:v>PDF pp. 2–8; Figs. 1–8; Table I</x:v>
      </x:c>
      <x:c r="I418" s="43" t="str">
        <x:v>Applicable fabrication information incomplete</x:v>
      </x:c>
      <x:c r="J418" s="43" t="str">
        <x:v>One or more architecture-relevant fabrication fields needed to reconstruct the tested printed component were not located.</x:v>
      </x:c>
    </x:row>
    <x:row r="419" ht="15" hidden="0" customHeight="1">
      <x:c r="A419" s="9" t="n">
        <x:v>53</x:v>
      </x:c>
      <x:c r="B419" s="9" t="str">
        <x:v>S066</x:v>
      </x:c>
      <x:c r="C419" s="9" t="str">
        <x:v>Saroli et al. (2026)</x:v>
      </x:c>
      <x:c r="D419" s="9" t="str">
        <x:v>L2</x:v>
      </x:c>
      <x:c r="E419" s="9" t="str">
        <x:v>1</x:v>
      </x:c>
      <x:c r="F419" s="9" t="str">
        <x:v>Initial agreement</x:v>
      </x:c>
      <x:c r="G419" s="9" t="str">
        <x:v>CB-TPU sensor, conditioning circuits, PCB and wearable assembly are described.</x:v>
      </x:c>
      <x:c r="H419" s="9" t="str">
        <x:v>PDF pp. 2–8; Figs. 1–8; Table I</x:v>
      </x:c>
      <x:c r="I419" s="43" t="str"/>
      <x:c r="J419" s="43" t="str"/>
    </x:row>
    <x:row r="420" ht="15" hidden="0" customHeight="1">
      <x:c r="A420" s="9" t="n">
        <x:v>53</x:v>
      </x:c>
      <x:c r="B420" s="9" t="str">
        <x:v>S066</x:v>
      </x:c>
      <x:c r="C420" s="9" t="str">
        <x:v>Saroli et al. (2026)</x:v>
      </x:c>
      <x:c r="D420" s="9" t="str">
        <x:v>L3</x:v>
      </x:c>
      <x:c r="E420" s="9" t="str">
        <x:v>1</x:v>
      </x:c>
      <x:c r="F420" s="9" t="str">
        <x:v>Initial agreement</x:v>
      </x:c>
      <x:c r="G420" s="9" t="str">
        <x:v>Defined breathing/activity protocols and a commercial reference are reported.</x:v>
      </x:c>
      <x:c r="H420" s="9" t="str">
        <x:v>PDF pp. 2–8; Figs. 1–8; Table I</x:v>
      </x:c>
      <x:c r="I420" s="43" t="str"/>
      <x:c r="J420" s="43" t="str"/>
    </x:row>
    <x:row r="421" ht="15" hidden="0" customHeight="1">
      <x:c r="A421" s="9" t="n">
        <x:v>53</x:v>
      </x:c>
      <x:c r="B421" s="9" t="str">
        <x:v>S066</x:v>
      </x:c>
      <x:c r="C421" s="9" t="str">
        <x:v>Saroli et al. (2026)</x:v>
      </x:c>
      <x:c r="D421" s="9" t="str">
        <x:v>L4</x:v>
      </x:c>
      <x:c r="E421" s="9" t="str">
        <x:v>1</x:v>
      </x:c>
      <x:c r="F421" s="9" t="str">
        <x:v>Initial agreement</x:v>
      </x:c>
      <x:c r="G421" s="9" t="str">
        <x:v>MAE, mean differences and condition-specific values are quantitative.</x:v>
      </x:c>
      <x:c r="H421" s="9" t="str">
        <x:v>PDF pp. 2–8; Figs. 1–8; Table I</x:v>
      </x:c>
      <x:c r="I421" s="43" t="str"/>
      <x:c r="J421" s="43" t="str"/>
    </x:row>
    <x:row r="422" ht="15" hidden="0" customHeight="1">
      <x:c r="A422" s="9" t="n">
        <x:v>53</x:v>
      </x:c>
      <x:c r="B422" s="9" t="str">
        <x:v>S066</x:v>
      </x:c>
      <x:c r="C422" s="9" t="str">
        <x:v>Saroli et al. (2026)</x:v>
      </x:c>
      <x:c r="D422" s="9" t="str">
        <x:v>L5</x:v>
      </x:c>
      <x:c r="E422" s="9" t="str">
        <x:v>1</x:v>
      </x:c>
      <x:c r="F422" s="9" t="str">
        <x:v>Initial agreement</x:v>
      </x:c>
      <x:c r="G422" s="9" t="str">
        <x:v>Repeated breathing/activity traces and a 42-min use trace report stability.</x:v>
      </x:c>
      <x:c r="H422" s="9" t="str">
        <x:v>PDF pp. 2–8; Figs. 1–8; Table I</x:v>
      </x:c>
      <x:c r="I422" s="43" t="str"/>
      <x:c r="J422" s="43" t="str"/>
    </x:row>
    <x:row r="423" ht="24" hidden="0" customHeight="1">
      <x:c r="A423" s="9" t="n">
        <x:v>53</x:v>
      </x:c>
      <x:c r="B423" s="9" t="str">
        <x:v>S066</x:v>
      </x:c>
      <x:c r="C423" s="9" t="str">
        <x:v>Saroli et al. (2026)</x:v>
      </x:c>
      <x:c r="D423" s="9" t="str">
        <x:v>L6</x:v>
      </x:c>
      <x:c r="E423" s="9" t="str">
        <x:v>1</x:v>
      </x:c>
      <x:c r="F423" s="9" t="str">
        <x:v>L6 subtype audit</x:v>
      </x:c>
      <x:c r="G423" s="9" t="str">
        <x:v>In-exposure cross-sensitivity only: Walking, jogging and stair use provide declared use-related activity exposure with quantified response.</x:v>
      </x:c>
      <x:c r="H423" s="9" t="str">
        <x:v>PDF pp. 2–8; Figs. 1–8; Table I</x:v>
      </x:c>
      <x:c r="I423" s="43" t="str"/>
      <x:c r="J423" s="43" t="str"/>
    </x:row>
    <x:row r="424" ht="24" hidden="0" customHeight="1">
      <x:c r="A424" s="9" t="n">
        <x:v>53</x:v>
      </x:c>
      <x:c r="B424" s="9" t="str">
        <x:v>S066</x:v>
      </x:c>
      <x:c r="C424" s="9" t="str">
        <x:v>Saroli et al. (2026)</x:v>
      </x:c>
      <x:c r="D424" s="9" t="str">
        <x:v>L7</x:v>
      </x:c>
      <x:c r="E424" s="9" t="str">
        <x:v>1</x:v>
      </x:c>
      <x:c r="F424" s="9" t="str">
        <x:v>Complete L7 audit—Route B</x:v>
      </x:c>
      <x:c r="G424" s="9" t="str">
        <x:v>Route B—integrated assembly: the complete chest-strap system was monitored for approximately 42 minutes; stable amplitude, no evident drift and no loss of periodicity were reported.</x:v>
      </x:c>
      <x:c r="H424" s="9" t="str">
        <x:v>S066_Main.pdf, physical p. 5, assembly; pp. 7–8, section V.C and Fig. 6</x:v>
      </x:c>
      <x:c r="I424" s="43" t="str"/>
      <x:c r="J424" s="43" t="str"/>
    </x:row>
    <x:row r="425" ht="39.599998474121094" hidden="0" customHeight="1">
      <x:c r="A425" s="9" t="n">
        <x:v>53</x:v>
      </x:c>
      <x:c r="B425" s="9" t="str">
        <x:v>S066</x:v>
      </x:c>
      <x:c r="C425" s="9" t="str">
        <x:v>Saroli et al. (2026)</x:v>
      </x:c>
      <x:c r="D425" s="9" t="str">
        <x:v>L8</x:v>
      </x:c>
      <x:c r="E425" s="9" t="str">
        <x:v>0</x:v>
      </x:c>
      <x:c r="F425" s="9" t="str">
        <x:v>Initial agreement</x:v>
      </x:c>
      <x:c r="G425" s="9" t="str">
        <x:v>Participants are not independent devices; ≥3 separately fabricated systems were not compared.</x:v>
      </x:c>
      <x:c r="H425" s="9" t="str">
        <x:v>PDF pp. 2–8; Figs. 1–8; Table I</x:v>
      </x:c>
      <x:c r="I425" s="43" t="str">
        <x:v>Non-qualifying repeated unit or condition</x:v>
      </x:c>
      <x:c r="J425" s="43" t="str">
        <x:v>The repeated entities were people, channels, variants, material specimens, repeated measurements or devices tested under different conditions.</x:v>
      </x:c>
    </x:row>
    <x:row r="426" ht="26.399999618530273" hidden="0" customHeight="1">
      <x:c r="A426" s="9" t="n">
        <x:v>54</x:v>
      </x:c>
      <x:c r="B426" s="9" t="str">
        <x:v>S067</x:v>
      </x:c>
      <x:c r="C426" s="9" t="str">
        <x:v>Yang et al. (2026)</x:v>
      </x:c>
      <x:c r="D426" s="9" t="str">
        <x:v>L1</x:v>
      </x:c>
      <x:c r="E426" s="9" t="str">
        <x:v>0</x:v>
      </x:c>
      <x:c r="F426" s="9" t="str">
        <x:v>Initial agreement</x:v>
      </x:c>
      <x:c r="G426" s="9" t="str">
        <x:v>FDM, printer, material and geometry are stated, but nozzle temperature, speed and layer height were not identified.</x:v>
      </x:c>
      <x:c r="H426" s="9" t="str">
        <x:v>PDF pp. 2–9; Figs. 1–8</x:v>
      </x:c>
      <x:c r="I426" s="43" t="str">
        <x:v>Applicable fabrication information incomplete</x:v>
      </x:c>
      <x:c r="J426" s="43" t="str">
        <x:v>One or more architecture-relevant fabrication fields needed to reconstruct the tested printed component were not located.</x:v>
      </x:c>
    </x:row>
    <x:row r="427" ht="15" hidden="0" customHeight="1">
      <x:c r="A427" s="9" t="n">
        <x:v>54</x:v>
      </x:c>
      <x:c r="B427" s="9" t="str">
        <x:v>S067</x:v>
      </x:c>
      <x:c r="C427" s="9" t="str">
        <x:v>Yang et al. (2026)</x:v>
      </x:c>
      <x:c r="D427" s="9" t="str">
        <x:v>L2</x:v>
      </x:c>
      <x:c r="E427" s="9" t="str">
        <x:v>1</x:v>
      </x:c>
      <x:c r="F427" s="9" t="str">
        <x:v>Initial agreement</x:v>
      </x:c>
      <x:c r="G427" s="9" t="str">
        <x:v>TPE structures, Ecoflex, conductive fabric and device architecture are described.</x:v>
      </x:c>
      <x:c r="H427" s="9" t="str">
        <x:v>PDF pp. 2–9; Figs. 1–8</x:v>
      </x:c>
      <x:c r="I427" s="43" t="str"/>
      <x:c r="J427" s="43" t="str"/>
    </x:row>
    <x:row r="428" ht="15" hidden="0" customHeight="1">
      <x:c r="A428" s="9" t="n">
        <x:v>54</x:v>
      </x:c>
      <x:c r="B428" s="9" t="str">
        <x:v>S067</x:v>
      </x:c>
      <x:c r="C428" s="9" t="str">
        <x:v>Yang et al. (2026)</x:v>
      </x:c>
      <x:c r="D428" s="9" t="str">
        <x:v>L3</x:v>
      </x:c>
      <x:c r="E428" s="9" t="str">
        <x:v>1</x:v>
      </x:c>
      <x:c r="F428" s="9" t="str">
        <x:v>Initial agreement</x:v>
      </x:c>
      <x:c r="G428" s="9" t="str">
        <x:v>Controlled force/frequency/exposure and activity protocols are reported.</x:v>
      </x:c>
      <x:c r="H428" s="9" t="str">
        <x:v>PDF pp. 2–9; Figs. 1–8</x:v>
      </x:c>
      <x:c r="I428" s="43" t="str"/>
      <x:c r="J428" s="43" t="str"/>
    </x:row>
    <x:row r="429" ht="15" hidden="0" customHeight="1">
      <x:c r="A429" s="9" t="n">
        <x:v>54</x:v>
      </x:c>
      <x:c r="B429" s="9" t="str">
        <x:v>S067</x:v>
      </x:c>
      <x:c r="C429" s="9" t="str">
        <x:v>Yang et al. (2026)</x:v>
      </x:c>
      <x:c r="D429" s="9" t="str">
        <x:v>L4</x:v>
      </x:c>
      <x:c r="E429" s="9" t="str">
        <x:v>1</x:v>
      </x:c>
      <x:c r="F429" s="9" t="str">
        <x:v>Initial agreement</x:v>
      </x:c>
      <x:c r="G429" s="9" t="str">
        <x:v>Voltage, current, cycle response and classification accuracy are quantitative.</x:v>
      </x:c>
      <x:c r="H429" s="9" t="str">
        <x:v>PDF pp. 2–9; Figs. 1–8</x:v>
      </x:c>
      <x:c r="I429" s="43" t="str"/>
      <x:c r="J429" s="43" t="str"/>
    </x:row>
    <x:row r="430" ht="15" hidden="0" customHeight="1">
      <x:c r="A430" s="9" t="n">
        <x:v>54</x:v>
      </x:c>
      <x:c r="B430" s="9" t="str">
        <x:v>S067</x:v>
      </x:c>
      <x:c r="C430" s="9" t="str">
        <x:v>Yang et al. (2026)</x:v>
      </x:c>
      <x:c r="D430" s="9" t="str">
        <x:v>L5</x:v>
      </x:c>
      <x:c r="E430" s="9" t="str">
        <x:v>1</x:v>
      </x:c>
      <x:c r="F430" s="9" t="str">
        <x:v>Initial agreement</x:v>
      </x:c>
      <x:c r="G430" s="9" t="str">
        <x:v>Nearly 10,000 impacts report long-duration response.</x:v>
      </x:c>
      <x:c r="H430" s="9" t="str">
        <x:v>PDF pp. 2–9; Figs. 1–8</x:v>
      </x:c>
      <x:c r="I430" s="43" t="str"/>
      <x:c r="J430" s="43" t="str"/>
    </x:row>
    <x:row r="431" ht="24" hidden="0" customHeight="1">
      <x:c r="A431" s="9" t="n">
        <x:v>54</x:v>
      </x:c>
      <x:c r="B431" s="9" t="str">
        <x:v>S067</x:v>
      </x:c>
      <x:c r="C431" s="9" t="str">
        <x:v>Yang et al. (2026)</x:v>
      </x:c>
      <x:c r="D431" s="9" t="str">
        <x:v>L6</x:v>
      </x:c>
      <x:c r="E431" s="9" t="str">
        <x:v>1</x:v>
      </x:c>
      <x:c r="F431" s="9" t="str">
        <x:v>L6 subtype audit</x:v>
      </x:c>
      <x:c r="G431" s="9" t="str">
        <x:v>In-exposure cross-sensitivity only: Temperature and humidity were deliberately varied and the output was reported.</x:v>
      </x:c>
      <x:c r="H431" s="9" t="str">
        <x:v>PDF pp. 2–9; Figs. 1–8</x:v>
      </x:c>
      <x:c r="I431" s="43" t="str"/>
      <x:c r="J431" s="43" t="str"/>
    </x:row>
    <x:row r="432" ht="36" hidden="0" customHeight="1">
      <x:c r="A432" s="9" t="n">
        <x:v>54</x:v>
      </x:c>
      <x:c r="B432" s="9" t="str">
        <x:v>S067</x:v>
      </x:c>
      <x:c r="C432" s="9" t="str">
        <x:v>Yang et al. (2026)</x:v>
      </x:c>
      <x:c r="D432" s="9" t="str">
        <x:v>L7</x:v>
      </x:c>
      <x:c r="E432" s="9" t="str">
        <x:v>0</x:v>
      </x:c>
      <x:c r="F432" s="9" t="str">
        <x:v>Complete L7 audit—not qualifying</x:v>
      </x:c>
      <x:c r="G432" s="9" t="str">
        <x:v>Does not qualify after the complete L7 audit: the report shows qualitative waveform repetition or a wearable demonstration, but no Route A direct-interface endpoint and no Route B defined retention or failure endpoint for the final assembly.</x:v>
      </x:c>
      <x:c r="H432" s="9" t="str">
        <x:v>S067_Main.pdf, physical pp. 7-9, Fig. 4e-f and environmental robustness discussion referring to Fig. S6.</x:v>
      </x:c>
      <x:c r="I432" s="43" t="str">
        <x:v>No qualifying interface/final-assembly endpoint located</x:v>
      </x:c>
      <x:c r="J432" s="43" t="str">
        <x:v>Neither a Route A interface endpoint nor a Route B repeated final-assembly retention/failure endpoint was located.</x:v>
      </x:c>
    </x:row>
    <x:row r="433" ht="26.399999618530273" hidden="0" customHeight="1">
      <x:c r="A433" s="9" t="n">
        <x:v>54</x:v>
      </x:c>
      <x:c r="B433" s="9" t="str">
        <x:v>S067</x:v>
      </x:c>
      <x:c r="C433" s="9" t="str">
        <x:v>Yang et al. (2026)</x:v>
      </x:c>
      <x:c r="D433" s="9" t="str">
        <x:v>L8</x:v>
      </x:c>
      <x:c r="E433" s="9" t="str">
        <x:v>0</x:v>
      </x:c>
      <x:c r="F433" s="9" t="str">
        <x:v>Initial agreement</x:v>
      </x:c>
      <x:c r="G433" s="9" t="str">
        <x:v>No ≥3 separately fabricated complete insoles were quantitatively compared.</x:v>
      </x:c>
      <x:c r="H433" s="9" t="str">
        <x:v>PDF pp. 2–9; Figs. 1–8</x:v>
      </x:c>
      <x:c r="I433" s="43" t="str">
        <x:v>No qualifying between-device evidence located</x:v>
      </x:c>
      <x:c r="J433" s="43" t="str">
        <x:v>No quantitative same-condition comparison of at least three independently fabricated complete devices was located.</x:v>
      </x:c>
    </x:row>
    <x:row r="434" ht="24" hidden="0" customHeight="1">
      <x:c r="A434" s="9" t="n">
        <x:v>55</x:v>
      </x:c>
      <x:c r="B434" s="9" t="str">
        <x:v>S068</x:v>
      </x:c>
      <x:c r="C434" s="9" t="str">
        <x:v>Sánchez et al. (2025)</x:v>
      </x:c>
      <x:c r="D434" s="9" t="str">
        <x:v>L1</x:v>
      </x:c>
      <x:c r="E434" s="9" t="str">
        <x:v>1</x:v>
      </x:c>
      <x:c r="F434" s="9" t="str">
        <x:v>Initial agreement</x:v>
      </x:c>
      <x:c r="G434" s="9" t="str">
        <x:v>Printer, functional filament, nozzle, temperatures, speed, layer height, infill, orientation and DIW settings are reported.</x:v>
      </x:c>
      <x:c r="H434" s="9" t="str">
        <x:v>PDF pp. 2–10; Figs. 1–7; Table 1</x:v>
      </x:c>
      <x:c r="I434" s="43" t="str"/>
      <x:c r="J434" s="43" t="str"/>
    </x:row>
    <x:row r="435" ht="15" hidden="0" customHeight="1">
      <x:c r="A435" s="9" t="n">
        <x:v>55</x:v>
      </x:c>
      <x:c r="B435" s="9" t="str">
        <x:v>S068</x:v>
      </x:c>
      <x:c r="C435" s="9" t="str">
        <x:v>Sánchez et al. (2025)</x:v>
      </x:c>
      <x:c r="D435" s="9" t="str">
        <x:v>L2</x:v>
      </x:c>
      <x:c r="E435" s="9" t="str">
        <x:v>1</x:v>
      </x:c>
      <x:c r="F435" s="9" t="str">
        <x:v>Initial agreement</x:v>
      </x:c>
      <x:c r="G435" s="9" t="str">
        <x:v>TPU/CB, silver IDE, curing and contact arrangement are described.</x:v>
      </x:c>
      <x:c r="H435" s="9" t="str">
        <x:v>PDF pp. 2–10; Figs. 1–7; Table 1</x:v>
      </x:c>
      <x:c r="I435" s="43" t="str"/>
      <x:c r="J435" s="43" t="str"/>
    </x:row>
    <x:row r="436" ht="15" hidden="0" customHeight="1">
      <x:c r="A436" s="9" t="n">
        <x:v>55</x:v>
      </x:c>
      <x:c r="B436" s="9" t="str">
        <x:v>S068</x:v>
      </x:c>
      <x:c r="C436" s="9" t="str">
        <x:v>Sánchez et al. (2025)</x:v>
      </x:c>
      <x:c r="D436" s="9" t="str">
        <x:v>L3</x:v>
      </x:c>
      <x:c r="E436" s="9" t="str">
        <x:v>1</x:v>
      </x:c>
      <x:c r="F436" s="9" t="str">
        <x:v>Initial agreement</x:v>
      </x:c>
      <x:c r="G436" s="9" t="str">
        <x:v>Controlled tensile, cyclic and application protocols are reported.</x:v>
      </x:c>
      <x:c r="H436" s="9" t="str">
        <x:v>PDF pp. 2–10; Figs. 1–7; Table 1</x:v>
      </x:c>
      <x:c r="I436" s="43" t="str"/>
      <x:c r="J436" s="43" t="str"/>
    </x:row>
    <x:row r="437" ht="15" hidden="0" customHeight="1">
      <x:c r="A437" s="9" t="n">
        <x:v>55</x:v>
      </x:c>
      <x:c r="B437" s="9" t="str">
        <x:v>S068</x:v>
      </x:c>
      <x:c r="C437" s="9" t="str">
        <x:v>Sánchez et al. (2025)</x:v>
      </x:c>
      <x:c r="D437" s="9" t="str">
        <x:v>L4</x:v>
      </x:c>
      <x:c r="E437" s="9" t="str">
        <x:v>1</x:v>
      </x:c>
      <x:c r="F437" s="9" t="str">
        <x:v>Initial agreement</x:v>
      </x:c>
      <x:c r="G437" s="9" t="str">
        <x:v>GF, drift, fitting and endurance outcomes are quantitative.</x:v>
      </x:c>
      <x:c r="H437" s="9" t="str">
        <x:v>PDF pp. 2–10; Figs. 1–7; Table 1</x:v>
      </x:c>
      <x:c r="I437" s="43" t="str"/>
      <x:c r="J437" s="43" t="str"/>
    </x:row>
    <x:row r="438" ht="15" hidden="0" customHeight="1">
      <x:c r="A438" s="9" t="n">
        <x:v>55</x:v>
      </x:c>
      <x:c r="B438" s="9" t="str">
        <x:v>S068</x:v>
      </x:c>
      <x:c r="C438" s="9" t="str">
        <x:v>Sánchez et al. (2025)</x:v>
      </x:c>
      <x:c r="D438" s="9" t="str">
        <x:v>L5</x:v>
      </x:c>
      <x:c r="E438" s="9" t="str">
        <x:v>1</x:v>
      </x:c>
      <x:c r="F438" s="9" t="str">
        <x:v>Initial agreement</x:v>
      </x:c>
      <x:c r="G438" s="9" t="str">
        <x:v>Twenty cycles and 500-cycle endurance tests report repeated response.</x:v>
      </x:c>
      <x:c r="H438" s="9" t="str">
        <x:v>PDF pp. 2–10; Figs. 1–7; Table 1</x:v>
      </x:c>
      <x:c r="I438" s="43" t="str"/>
      <x:c r="J438" s="43" t="str"/>
    </x:row>
    <x:row r="439" ht="26.399999618530273" hidden="0" customHeight="1">
      <x:c r="A439" s="9" t="n">
        <x:v>55</x:v>
      </x:c>
      <x:c r="B439" s="9" t="str">
        <x:v>S068</x:v>
      </x:c>
      <x:c r="C439" s="9" t="str">
        <x:v>Sánchez et al. (2025)</x:v>
      </x:c>
      <x:c r="D439" s="9" t="str">
        <x:v>L6</x:v>
      </x:c>
      <x:c r="E439" s="9" t="str">
        <x:v>0</x:v>
      </x:c>
      <x:c r="F439" s="9" t="str">
        <x:v>Initial agreement</x:v>
      </x:c>
      <x:c r="G439" s="9" t="str">
        <x:v>No distinct qualifying environmental/use exposure was tested.</x:v>
      </x:c>
      <x:c r="H439" s="9" t="str">
        <x:v>PDF pp. 2–10; Figs. 1–7; Table 1</x:v>
      </x:c>
      <x:c r="I439" s="43" t="str">
        <x:v>No qualifying extrinsic-exposure evidence located</x:v>
      </x:c>
      <x:c r="J439" s="43" t="str">
        <x:v>No response was located during or after a deliberately applied condition extrinsic to the intended measurand.</x:v>
      </x:c>
    </x:row>
    <x:row r="440" ht="36" hidden="0" customHeight="1">
      <x:c r="A440" s="9" t="n">
        <x:v>55</x:v>
      </x:c>
      <x:c r="B440" s="9" t="str">
        <x:v>S068</x:v>
      </x:c>
      <x:c r="C440" s="9" t="str">
        <x:v>Sánchez et al. (2025)</x:v>
      </x:c>
      <x:c r="D440" s="9" t="str">
        <x:v>L7</x:v>
      </x:c>
      <x:c r="E440" s="9" t="str">
        <x:v>0</x:v>
      </x:c>
      <x:c r="F440" s="9" t="str">
        <x:v>Complete L7 audit—not qualifying</x:v>
      </x:c>
      <x:c r="G440" s="9" t="str">
        <x:v>Does not qualify after the complete L7 audit: the report shows qualitative waveform repetition or a wearable demonstration, but no Route A direct-interface endpoint and no Route B defined retention or failure endpoint for the final assembly.</x:v>
      </x:c>
      <x:c r="H440" s="9" t="str">
        <x:v>S068_Main.pdf, physical pp. 8-9, section 3.8/Fig. 7c,e.</x:v>
      </x:c>
      <x:c r="I440" s="43" t="str">
        <x:v>No qualifying interface/final-assembly endpoint located</x:v>
      </x:c>
      <x:c r="J440" s="43" t="str">
        <x:v>Neither a Route A interface endpoint nor a Route B repeated final-assembly retention/failure endpoint was located.</x:v>
      </x:c>
    </x:row>
    <x:row r="441" ht="39.599998474121094" hidden="0" customHeight="1">
      <x:c r="A441" s="9" t="n">
        <x:v>55</x:v>
      </x:c>
      <x:c r="B441" s="9" t="str">
        <x:v>S068</x:v>
      </x:c>
      <x:c r="C441" s="9" t="str">
        <x:v>Sánchez et al. (2025)</x:v>
      </x:c>
      <x:c r="D441" s="9" t="str">
        <x:v>L8</x:v>
      </x:c>
      <x:c r="E441" s="9" t="str">
        <x:v>0</x:v>
      </x:c>
      <x:c r="F441" s="9" t="str">
        <x:v>Adjudicated to Reviewer 1</x:v>
      </x:c>
      <x:c r="G441" s="9" t="str">
        <x:v>The three GF tests were repeated on the same sample; no ≥3-device comparison was reported.</x:v>
      </x:c>
      <x:c r="H441" s="9" t="str">
        <x:v>PDF pp. 2–10; Figs. 1–7; Table 1</x:v>
      </x:c>
      <x:c r="I441" s="43" t="str">
        <x:v>Non-qualifying repeated unit or condition</x:v>
      </x:c>
      <x:c r="J441" s="43" t="str">
        <x:v>The repeated entities were people, channels, variants, material specimens, repeated measurements or devices tested under different conditions.</x:v>
      </x:c>
    </x:row>
    <x:row r="442" ht="24" hidden="0" customHeight="1">
      <x:c r="A442" s="9" t="n">
        <x:v>56</x:v>
      </x:c>
      <x:c r="B442" s="9" t="str">
        <x:v>S069</x:v>
      </x:c>
      <x:c r="C442" s="9" t="str">
        <x:v>Babu et al. (2025)</x:v>
      </x:c>
      <x:c r="D442" s="9" t="str">
        <x:v>L1</x:v>
      </x:c>
      <x:c r="E442" s="9" t="str">
        <x:v>1</x:v>
      </x:c>
      <x:c r="F442" s="9" t="str">
        <x:v>Initial agreement</x:v>
      </x:c>
      <x:c r="G442" s="9" t="str">
        <x:v>FFF printers, PP, nozzle, temperature, layer height, geometry and Z offset are reported; speed is in cited SI but sufficient core/application settings are present.</x:v>
      </x:c>
      <x:c r="H442" s="9" t="str">
        <x:v>PDF pp. 2–12; Figs. 1–11; Table 1; cited SI</x:v>
      </x:c>
      <x:c r="I442" s="43" t="str"/>
      <x:c r="J442" s="43" t="str"/>
    </x:row>
    <x:row r="443" ht="15" hidden="0" customHeight="1">
      <x:c r="A443" s="9" t="n">
        <x:v>56</x:v>
      </x:c>
      <x:c r="B443" s="9" t="str">
        <x:v>S069</x:v>
      </x:c>
      <x:c r="C443" s="9" t="str">
        <x:v>Babu et al. (2025)</x:v>
      </x:c>
      <x:c r="D443" s="9" t="str">
        <x:v>L2</x:v>
      </x:c>
      <x:c r="E443" s="9" t="str">
        <x:v>1</x:v>
      </x:c>
      <x:c r="F443" s="9" t="str">
        <x:v>Initial agreement</x:v>
      </x:c>
      <x:c r="G443" s="9" t="str">
        <x:v>Printed PP, conductive fabric, Ecoflex counterlayer and electrical roles are described.</x:v>
      </x:c>
      <x:c r="H443" s="9" t="str">
        <x:v>PDF pp. 2–12; Figs. 1–11; Table 1; cited SI</x:v>
      </x:c>
      <x:c r="I443" s="43" t="str"/>
      <x:c r="J443" s="43" t="str"/>
    </x:row>
    <x:row r="444" ht="15" hidden="0" customHeight="1">
      <x:c r="A444" s="9" t="n">
        <x:v>56</x:v>
      </x:c>
      <x:c r="B444" s="9" t="str">
        <x:v>S069</x:v>
      </x:c>
      <x:c r="C444" s="9" t="str">
        <x:v>Babu et al. (2025)</x:v>
      </x:c>
      <x:c r="D444" s="9" t="str">
        <x:v>L3</x:v>
      </x:c>
      <x:c r="E444" s="9" t="str">
        <x:v>1</x:v>
      </x:c>
      <x:c r="F444" s="9" t="str">
        <x:v>Initial agreement</x:v>
      </x:c>
      <x:c r="G444" s="9" t="str">
        <x:v>Controlled force/frequency/load and touch protocols are reported.</x:v>
      </x:c>
      <x:c r="H444" s="9" t="str">
        <x:v>PDF pp. 2–12; Figs. 1–11; Table 1; cited SI</x:v>
      </x:c>
      <x:c r="I444" s="43" t="str"/>
      <x:c r="J444" s="43" t="str"/>
    </x:row>
    <x:row r="445" ht="15" hidden="0" customHeight="1">
      <x:c r="A445" s="9" t="n">
        <x:v>56</x:v>
      </x:c>
      <x:c r="B445" s="9" t="str">
        <x:v>S069</x:v>
      </x:c>
      <x:c r="C445" s="9" t="str">
        <x:v>Babu et al. (2025)</x:v>
      </x:c>
      <x:c r="D445" s="9" t="str">
        <x:v>L4</x:v>
      </x:c>
      <x:c r="E445" s="9" t="str">
        <x:v>1</x:v>
      </x:c>
      <x:c r="F445" s="9" t="str">
        <x:v>Initial agreement</x:v>
      </x:c>
      <x:c r="G445" s="9" t="str">
        <x:v>Voltage, current, charge density, power density and tested conditions are quantitative.</x:v>
      </x:c>
      <x:c r="H445" s="9" t="str">
        <x:v>PDF pp. 2–12; Figs. 1–11; Table 1; cited SI</x:v>
      </x:c>
      <x:c r="I445" s="43" t="str"/>
      <x:c r="J445" s="43" t="str"/>
    </x:row>
    <x:row r="446" ht="15" hidden="0" customHeight="1">
      <x:c r="A446" s="9" t="n">
        <x:v>56</x:v>
      </x:c>
      <x:c r="B446" s="9" t="str">
        <x:v>S069</x:v>
      </x:c>
      <x:c r="C446" s="9" t="str">
        <x:v>Babu et al. (2025)</x:v>
      </x:c>
      <x:c r="D446" s="9" t="str">
        <x:v>L5</x:v>
      </x:c>
      <x:c r="E446" s="9" t="str">
        <x:v>1</x:v>
      </x:c>
      <x:c r="F446" s="9" t="str">
        <x:v>Initial agreement</x:v>
      </x:c>
      <x:c r="G446" s="9" t="str">
        <x:v>A 20,000-cycle test reports retained output.</x:v>
      </x:c>
      <x:c r="H446" s="9" t="str">
        <x:v>PDF pp. 2–12; Figs. 1–11; Table 1; cited SI</x:v>
      </x:c>
      <x:c r="I446" s="43" t="str"/>
      <x:c r="J446" s="43" t="str"/>
    </x:row>
    <x:row r="447" ht="36" hidden="0" customHeight="1">
      <x:c r="A447" s="9" t="n">
        <x:v>56</x:v>
      </x:c>
      <x:c r="B447" s="9" t="str">
        <x:v>S069</x:v>
      </x:c>
      <x:c r="C447" s="9" t="str">
        <x:v>Babu et al. (2025)</x:v>
      </x:c>
      <x:c r="D447" s="9" t="str">
        <x:v>L6</x:v>
      </x:c>
      <x:c r="E447" s="9" t="str">
        <x:v>1</x:v>
      </x:c>
      <x:c r="F447" s="9" t="str">
        <x:v>L6 subtype audit</x:v>
      </x:c>
      <x:c r="G447" s="9" t="str">
        <x:v>Post-exposure retention only; defined reference/recovery not reported: Output after 30 minutes of hand washing was reported without a stated drying or recovery interval. Evidence: Water/detergent washing for 30 min was followed by output measurement.</x:v>
      </x:c>
      <x:c r="H447" s="9" t="str">
        <x:v>PDF pp. 2–12; Figs. 1–11; Table 1; cited SI</x:v>
      </x:c>
      <x:c r="I447" s="43" t="str"/>
      <x:c r="J447" s="43" t="str"/>
    </x:row>
    <x:row r="448" ht="36" hidden="0" customHeight="1">
      <x:c r="A448" s="9" t="n">
        <x:v>56</x:v>
      </x:c>
      <x:c r="B448" s="9" t="str">
        <x:v>S069</x:v>
      </x:c>
      <x:c r="C448" s="9" t="str">
        <x:v>Babu et al. (2025)</x:v>
      </x:c>
      <x:c r="D448" s="9" t="str">
        <x:v>L7</x:v>
      </x:c>
      <x:c r="E448" s="9" t="str">
        <x:v>1</x:v>
      </x:c>
      <x:c r="F448" s="9" t="str">
        <x:v>Complete L7 audit—Route A</x:v>
      </x:c>
      <x:c r="G448" s="9" t="str">
        <x:v>Route A—direct interface: the printed-polypropylene/conductive-fabric bond was evaluated using the DIN EN ISO 11339 T-peel method. The study also reported stable output over 20,000 cycles and no delamination during repeated operation.</x:v>
      </x:c>
      <x:c r="H448" s="9" t="str">
        <x:v>S069_Main.pdf, physical pp. 11–13, Fig. 10f–g; Supplementary Fig. S11</x:v>
      </x:c>
      <x:c r="I448" s="43" t="str"/>
      <x:c r="J448" s="43" t="str"/>
    </x:row>
    <x:row r="449" ht="26.399999618530273" hidden="0" customHeight="1">
      <x:c r="A449" s="9" t="n">
        <x:v>56</x:v>
      </x:c>
      <x:c r="B449" s="9" t="str">
        <x:v>S069</x:v>
      </x:c>
      <x:c r="C449" s="9" t="str">
        <x:v>Babu et al. (2025)</x:v>
      </x:c>
      <x:c r="D449" s="9" t="str">
        <x:v>L8</x:v>
      </x:c>
      <x:c r="E449" s="9" t="str">
        <x:v>0</x:v>
      </x:c>
      <x:c r="F449" s="9" t="str">
        <x:v>Initial agreement</x:v>
      </x:c>
      <x:c r="G449" s="9" t="str">
        <x:v>Material/geometry variants were compared, but ≥3 separately fabricated optimized devices were not identified.</x:v>
      </x:c>
      <x:c r="H449" s="9" t="str">
        <x:v>PDF pp. 2–12; Figs. 1–11; Table 1; cited SI</x:v>
      </x:c>
      <x:c r="I449" s="43" t="str">
        <x:v>Replication count unreported or unclear</x:v>
      </x:c>
      <x:c r="J449" s="43" t="str">
        <x:v>The report did not establish the number of independently fabricated complete devices under the same condition.</x:v>
      </x:c>
    </x:row>
    <x:row r="450" ht="24" hidden="0" customHeight="1">
      <x:c r="A450" s="9" t="n">
        <x:v>57</x:v>
      </x:c>
      <x:c r="B450" s="9" t="str">
        <x:v>S070</x:v>
      </x:c>
      <x:c r="C450" s="9" t="str">
        <x:v>Dimo et al. (2026)</x:v>
      </x:c>
      <x:c r="D450" s="9" t="str">
        <x:v>L1</x:v>
      </x:c>
      <x:c r="E450" s="9" t="str">
        <x:v>1</x:v>
      </x:c>
      <x:c r="F450" s="9" t="str">
        <x:v>Initial agreement</x:v>
      </x:c>
      <x:c r="G450" s="9" t="str">
        <x:v>Printer, TPU grade, nozzle, temperatures, speed, layer height, infill, geometry and optical-fiber integration are reported.</x:v>
      </x:c>
      <x:c r="H450" s="9" t="str">
        <x:v>PDF pp. 3–9; Figs. 1–12; Tables I–III</x:v>
      </x:c>
      <x:c r="I450" s="43" t="str"/>
      <x:c r="J450" s="43" t="str"/>
    </x:row>
    <x:row r="451" ht="15" hidden="0" customHeight="1">
      <x:c r="A451" s="9" t="n">
        <x:v>57</x:v>
      </x:c>
      <x:c r="B451" s="9" t="str">
        <x:v>S070</x:v>
      </x:c>
      <x:c r="C451" s="9" t="str">
        <x:v>Dimo et al. (2026)</x:v>
      </x:c>
      <x:c r="D451" s="9" t="str">
        <x:v>L2</x:v>
      </x:c>
      <x:c r="E451" s="9" t="str">
        <x:v>1</x:v>
      </x:c>
      <x:c r="F451" s="9" t="str">
        <x:v>Initial agreement</x:v>
      </x:c>
      <x:c r="G451" s="9" t="str">
        <x:v>TPU grade, embedded FBG, coating and sensor geometry are described.</x:v>
      </x:c>
      <x:c r="H451" s="9" t="str">
        <x:v>PDF pp. 3–9; Figs. 1–12; Tables I–III</x:v>
      </x:c>
      <x:c r="I451" s="43" t="str"/>
      <x:c r="J451" s="43" t="str"/>
    </x:row>
    <x:row r="452" ht="15" hidden="0" customHeight="1">
      <x:c r="A452" s="9" t="n">
        <x:v>57</x:v>
      </x:c>
      <x:c r="B452" s="9" t="str">
        <x:v>S070</x:v>
      </x:c>
      <x:c r="C452" s="9" t="str">
        <x:v>Dimo et al. (2026)</x:v>
      </x:c>
      <x:c r="D452" s="9" t="str">
        <x:v>L3</x:v>
      </x:c>
      <x:c r="E452" s="9" t="str">
        <x:v>1</x:v>
      </x:c>
      <x:c r="F452" s="9" t="str">
        <x:v>Initial agreement</x:v>
      </x:c>
      <x:c r="G452" s="9" t="str">
        <x:v>Controlled strain, temperature, RH and body-motion inputs are linked to wavelength response.</x:v>
      </x:c>
      <x:c r="H452" s="9" t="str">
        <x:v>PDF pp. 3–9; Figs. 1–12; Tables I–III</x:v>
      </x:c>
      <x:c r="I452" s="43" t="str"/>
      <x:c r="J452" s="43" t="str"/>
    </x:row>
    <x:row r="453" ht="15" hidden="0" customHeight="1">
      <x:c r="A453" s="9" t="n">
        <x:v>57</x:v>
      </x:c>
      <x:c r="B453" s="9" t="str">
        <x:v>S070</x:v>
      </x:c>
      <x:c r="C453" s="9" t="str">
        <x:v>Dimo et al. (2026)</x:v>
      </x:c>
      <x:c r="D453" s="9" t="str">
        <x:v>L4</x:v>
      </x:c>
      <x:c r="E453" s="9" t="str">
        <x:v>1</x:v>
      </x:c>
      <x:c r="F453" s="9" t="str">
        <x:v>Initial agreement</x:v>
      </x:c>
      <x:c r="G453" s="9" t="str">
        <x:v>Sensitivities, hysteresis and tested ranges are quantitative.</x:v>
      </x:c>
      <x:c r="H453" s="9" t="str">
        <x:v>PDF pp. 3–9; Figs. 1–12; Tables I–III</x:v>
      </x:c>
      <x:c r="I453" s="43" t="str"/>
      <x:c r="J453" s="43" t="str"/>
    </x:row>
    <x:row r="454" ht="15" hidden="0" customHeight="1">
      <x:c r="A454" s="9" t="n">
        <x:v>57</x:v>
      </x:c>
      <x:c r="B454" s="9" t="str">
        <x:v>S070</x:v>
      </x:c>
      <x:c r="C454" s="9" t="str">
        <x:v>Dimo et al. (2026)</x:v>
      </x:c>
      <x:c r="D454" s="9" t="str">
        <x:v>L5</x:v>
      </x:c>
      <x:c r="E454" s="9" t="str">
        <x:v>1</x:v>
      </x:c>
      <x:c r="F454" s="9" t="str">
        <x:v>Initial agreement</x:v>
      </x:c>
      <x:c r="G454" s="9" t="str">
        <x:v>Ten strain repetitions and 100 loading cycles report repeated response.</x:v>
      </x:c>
      <x:c r="H454" s="9" t="str">
        <x:v>PDF pp. 3–9; Figs. 1–12; Tables I–III</x:v>
      </x:c>
      <x:c r="I454" s="43" t="str"/>
      <x:c r="J454" s="43" t="str"/>
    </x:row>
    <x:row r="455" ht="15" hidden="0" customHeight="1">
      <x:c r="A455" s="9" t="n">
        <x:v>57</x:v>
      </x:c>
      <x:c r="B455" s="9" t="str">
        <x:v>S070</x:v>
      </x:c>
      <x:c r="C455" s="9" t="str">
        <x:v>Dimo et al. (2026)</x:v>
      </x:c>
      <x:c r="D455" s="9" t="str">
        <x:v>L6</x:v>
      </x:c>
      <x:c r="E455" s="9" t="str">
        <x:v>1</x:v>
      </x:c>
      <x:c r="F455" s="9" t="str">
        <x:v>L6 subtype audit</x:v>
      </x:c>
      <x:c r="G455" s="9" t="str">
        <x:v>In-exposure cross-sensitivity only: Temperature and RH were deliberately varied with sensor response reported.</x:v>
      </x:c>
      <x:c r="H455" s="9" t="str">
        <x:v>PDF pp. 3–9; Figs. 1–12; Tables I–III</x:v>
      </x:c>
      <x:c r="I455" s="43" t="str"/>
      <x:c r="J455" s="43" t="str"/>
    </x:row>
    <x:row r="456" ht="36" hidden="0" customHeight="1">
      <x:c r="A456" s="9" t="n">
        <x:v>57</x:v>
      </x:c>
      <x:c r="B456" s="9" t="str">
        <x:v>S070</x:v>
      </x:c>
      <x:c r="C456" s="9" t="str">
        <x:v>Dimo et al. (2026)</x:v>
      </x:c>
      <x:c r="D456" s="9" t="str">
        <x:v>L7</x:v>
      </x:c>
      <x:c r="E456" s="9" t="str">
        <x:v>0</x:v>
      </x:c>
      <x:c r="F456" s="9" t="str">
        <x:v>Complete L7 audit—not qualifying</x:v>
      </x:c>
      <x:c r="G456" s="9" t="str">
        <x:v>Does not qualify after the complete L7 audit: the report shows qualitative waveform repetition or a wearable demonstration, but no Route A direct-interface endpoint and no Route B defined retention or failure endpoint for the final assembly.</x:v>
      </x:c>
      <x:c r="H456" s="9" t="str">
        <x:v>S070_Main.pdf, physical p. 8, section V; p. 9, Fig. 9; p. 10, wearable-validation conclusion.</x:v>
      </x:c>
      <x:c r="I456" s="43" t="str">
        <x:v>No qualifying interface/final-assembly endpoint located</x:v>
      </x:c>
      <x:c r="J456" s="43" t="str">
        <x:v>Neither a Route A interface endpoint nor a Route B repeated final-assembly retention/failure endpoint was located.</x:v>
      </x:c>
    </x:row>
    <x:row r="457" ht="26.399999618530273" hidden="0" customHeight="1">
      <x:c r="A457" s="9" t="n">
        <x:v>57</x:v>
      </x:c>
      <x:c r="B457" s="9" t="str">
        <x:v>S070</x:v>
      </x:c>
      <x:c r="C457" s="9" t="str">
        <x:v>Dimo et al. (2026)</x:v>
      </x:c>
      <x:c r="D457" s="9" t="str">
        <x:v>L8</x:v>
      </x:c>
      <x:c r="E457" s="9" t="str">
        <x:v>0</x:v>
      </x:c>
      <x:c r="F457" s="9" t="str">
        <x:v>Initial agreement</x:v>
      </x:c>
      <x:c r="G457" s="9" t="str">
        <x:v>Each material/speed configuration used one sensor; no ≥3-device same-condition comparison was reported.</x:v>
      </x:c>
      <x:c r="H457" s="9" t="str">
        <x:v>PDF pp. 3–9; Figs. 1–12; Tables I–III</x:v>
      </x:c>
      <x:c r="I457" s="43" t="str">
        <x:v>Insufficient experimental replication</x:v>
      </x:c>
      <x:c r="J457" s="43" t="str">
        <x:v>The reported complete-device count was below the three-device minimum.</x:v>
      </x:c>
    </x:row>
    <x:row r="458" ht="26.399999618530273" hidden="0" customHeight="1">
      <x:c r="A458" s="9" t="n">
        <x:v>58</x:v>
      </x:c>
      <x:c r="B458" s="9" t="str">
        <x:v>S071</x:v>
      </x:c>
      <x:c r="C458" s="9" t="str">
        <x:v>Luo et al. (2025)</x:v>
      </x:c>
      <x:c r="D458" s="9" t="str">
        <x:v>L1</x:v>
      </x:c>
      <x:c r="E458" s="9" t="str">
        <x:v>0</x:v>
      </x:c>
      <x:c r="F458" s="9" t="str">
        <x:v>Initial agreement</x:v>
      </x:c>
      <x:c r="G458" s="9" t="str">
        <x:v>FDM and thermal conditions are stated, but printer model, nozzle diameter, speed and layer height were not identified.</x:v>
      </x:c>
      <x:c r="H458" s="9" t="str">
        <x:v>PDF pp. 2–10; Figs. 1–12; Tables 1–2</x:v>
      </x:c>
      <x:c r="I458" s="43" t="str">
        <x:v>Applicable fabrication information incomplete</x:v>
      </x:c>
      <x:c r="J458" s="43" t="str">
        <x:v>One or more architecture-relevant fabrication fields needed to reconstruct the tested printed component were not located.</x:v>
      </x:c>
    </x:row>
    <x:row r="459" ht="15" hidden="0" customHeight="1">
      <x:c r="A459" s="9" t="n">
        <x:v>58</x:v>
      </x:c>
      <x:c r="B459" s="9" t="str">
        <x:v>S071</x:v>
      </x:c>
      <x:c r="C459" s="9" t="str">
        <x:v>Luo et al. (2025)</x:v>
      </x:c>
      <x:c r="D459" s="9" t="str">
        <x:v>L2</x:v>
      </x:c>
      <x:c r="E459" s="9" t="str">
        <x:v>1</x:v>
      </x:c>
      <x:c r="F459" s="9" t="str">
        <x:v>Initial agreement</x:v>
      </x:c>
      <x:c r="G459" s="9" t="str">
        <x:v>TPU, graphene/PVP coating, TPMS geometry and electrical role are described.</x:v>
      </x:c>
      <x:c r="H459" s="9" t="str">
        <x:v>PDF pp. 2–10; Figs. 1–12; Tables 1–2</x:v>
      </x:c>
      <x:c r="I459" s="43" t="str"/>
      <x:c r="J459" s="43" t="str"/>
    </x:row>
    <x:row r="460" ht="15" hidden="0" customHeight="1">
      <x:c r="A460" s="9" t="n">
        <x:v>58</x:v>
      </x:c>
      <x:c r="B460" s="9" t="str">
        <x:v>S071</x:v>
      </x:c>
      <x:c r="C460" s="9" t="str">
        <x:v>Luo et al. (2025)</x:v>
      </x:c>
      <x:c r="D460" s="9" t="str">
        <x:v>L3</x:v>
      </x:c>
      <x:c r="E460" s="9" t="str">
        <x:v>1</x:v>
      </x:c>
      <x:c r="F460" s="9" t="str">
        <x:v>Initial agreement</x:v>
      </x:c>
      <x:c r="G460" s="9" t="str">
        <x:v>Controlled compression and speed-defined gait protocols are reported.</x:v>
      </x:c>
      <x:c r="H460" s="9" t="str">
        <x:v>PDF pp. 2–10; Figs. 1–12; Tables 1–2</x:v>
      </x:c>
      <x:c r="I460" s="43" t="str"/>
      <x:c r="J460" s="43" t="str"/>
    </x:row>
    <x:row r="461" ht="15" hidden="0" customHeight="1">
      <x:c r="A461" s="9" t="n">
        <x:v>58</x:v>
      </x:c>
      <x:c r="B461" s="9" t="str">
        <x:v>S071</x:v>
      </x:c>
      <x:c r="C461" s="9" t="str">
        <x:v>Luo et al. (2025)</x:v>
      </x:c>
      <x:c r="D461" s="9" t="str">
        <x:v>L4</x:v>
      </x:c>
      <x:c r="E461" s="9" t="str">
        <x:v>1</x:v>
      </x:c>
      <x:c r="F461" s="9" t="str">
        <x:v>Initial agreement</x:v>
      </x:c>
      <x:c r="G461" s="9" t="str">
        <x:v>Sensitivity, range and endurance loss are quantitative.</x:v>
      </x:c>
      <x:c r="H461" s="9" t="str">
        <x:v>PDF pp. 2–10; Figs. 1–12; Tables 1–2</x:v>
      </x:c>
      <x:c r="I461" s="43" t="str"/>
      <x:c r="J461" s="43" t="str"/>
    </x:row>
    <x:row r="462" ht="15" hidden="0" customHeight="1">
      <x:c r="A462" s="9" t="n">
        <x:v>58</x:v>
      </x:c>
      <x:c r="B462" s="9" t="str">
        <x:v>S071</x:v>
      </x:c>
      <x:c r="C462" s="9" t="str">
        <x:v>Luo et al. (2025)</x:v>
      </x:c>
      <x:c r="D462" s="9" t="str">
        <x:v>L5</x:v>
      </x:c>
      <x:c r="E462" s="9" t="str">
        <x:v>1</x:v>
      </x:c>
      <x:c r="F462" s="9" t="str">
        <x:v>Initial agreement</x:v>
      </x:c>
      <x:c r="G462" s="9" t="str">
        <x:v>A 1000-cycle compression test reports retained response.</x:v>
      </x:c>
      <x:c r="H462" s="9" t="str">
        <x:v>PDF pp. 2–10; Figs. 1–12; Tables 1–2</x:v>
      </x:c>
      <x:c r="I462" s="43" t="str"/>
      <x:c r="J462" s="43" t="str"/>
    </x:row>
    <x:row r="463" ht="26.399999618530273" hidden="0" customHeight="1">
      <x:c r="A463" s="9" t="n">
        <x:v>58</x:v>
      </x:c>
      <x:c r="B463" s="9" t="str">
        <x:v>S071</x:v>
      </x:c>
      <x:c r="C463" s="9" t="str">
        <x:v>Luo et al. (2025)</x:v>
      </x:c>
      <x:c r="D463" s="9" t="str">
        <x:v>L6</x:v>
      </x:c>
      <x:c r="E463" s="9" t="str">
        <x:v>0</x:v>
      </x:c>
      <x:c r="F463" s="9" t="str">
        <x:v>Initial agreement</x:v>
      </x:c>
      <x:c r="G463" s="9" t="str">
        <x:v>The intended pressure/gait measurands were tested, but no distinct environmental/use exposure was reported.</x:v>
      </x:c>
      <x:c r="H463" s="9" t="str">
        <x:v>PDF pp. 2–10; Figs. 1–12; Tables 1–2</x:v>
      </x:c>
      <x:c r="I463" s="43" t="str">
        <x:v>No qualifying extrinsic-exposure evidence located</x:v>
      </x:c>
      <x:c r="J463" s="43" t="str">
        <x:v>No response was located during or after a deliberately applied condition extrinsic to the intended measurand.</x:v>
      </x:c>
    </x:row>
    <x:row r="464" ht="24" hidden="0" customHeight="1">
      <x:c r="A464" s="9" t="n">
        <x:v>58</x:v>
      </x:c>
      <x:c r="B464" s="9" t="str">
        <x:v>S071</x:v>
      </x:c>
      <x:c r="C464" s="9" t="str">
        <x:v>Luo et al. (2025)</x:v>
      </x:c>
      <x:c r="D464" s="9" t="str">
        <x:v>L7</x:v>
      </x:c>
      <x:c r="E464" s="9" t="str">
        <x:v>1</x:v>
      </x:c>
      <x:c r="F464" s="9" t="str">
        <x:v>Complete L7 audit—Route A</x:v>
      </x:c>
      <x:c r="G464" s="9" t="str">
        <x:v>Route A—direct interface: after 1000 compression cycles, coating integrity was inspected by SEM; the graphene layer remained attached to the TPU substrate without large-scale delamination, peeling or shedding.</x:v>
      </x:c>
      <x:c r="H464" s="9" t="str">
        <x:v>S071_Main.pdf, physical pp. 5–6, Fig. 6f–g</x:v>
      </x:c>
      <x:c r="I464" s="43" t="str"/>
      <x:c r="J464" s="43" t="str"/>
    </x:row>
    <x:row r="465" ht="39.599998474121094" hidden="0" customHeight="1">
      <x:c r="A465" s="9" t="n">
        <x:v>58</x:v>
      </x:c>
      <x:c r="B465" s="9" t="str">
        <x:v>S071</x:v>
      </x:c>
      <x:c r="C465" s="9" t="str">
        <x:v>Luo et al. (2025)</x:v>
      </x:c>
      <x:c r="D465" s="9" t="str">
        <x:v>L8</x:v>
      </x:c>
      <x:c r="E465" s="9" t="str">
        <x:v>0</x:v>
      </x:c>
      <x:c r="F465" s="9" t="str">
        <x:v>Initial agreement</x:v>
      </x:c>
      <x:c r="G465" s="9" t="str">
        <x:v>Configuration variants and volunteers are not replicate devices; no qualifying ≥3-device comparison was reported.</x:v>
      </x:c>
      <x:c r="H465" s="9" t="str">
        <x:v>PDF pp. 2–10; Figs. 1–12; Tables 1–2</x:v>
      </x:c>
      <x:c r="I465" s="43" t="str">
        <x:v>Non-qualifying repeated unit or condition</x:v>
      </x:c>
      <x:c r="J465" s="43" t="str">
        <x:v>The repeated entities were people, channels, variants, material specimens, repeated measurements or devices tested under different conditions.</x:v>
      </x:c>
    </x:row>
    <x:row r="466" ht="26.399999618530273" hidden="0" customHeight="1">
      <x:c r="A466" s="9" t="n">
        <x:v>59</x:v>
      </x:c>
      <x:c r="B466" s="9" t="str">
        <x:v>S073</x:v>
      </x:c>
      <x:c r="C466" s="9" t="str">
        <x:v>Han et al. (2025)</x:v>
      </x:c>
      <x:c r="D466" s="9" t="str">
        <x:v>L1</x:v>
      </x:c>
      <x:c r="E466" s="9" t="str">
        <x:v>0</x:v>
      </x:c>
      <x:c r="F466" s="9" t="str">
        <x:v>Adjudicated to Reviewer 1</x:v>
      </x:c>
      <x:c r="G466" s="9" t="str">
        <x:v>FDM, temperatures, speed and layer height are stated, but the printer/model and nozzle diameter were not identified.</x:v>
      </x:c>
      <x:c r="H466" s="9" t="str">
        <x:v>PDF pp. 2–13; Figs. 1–10; Tables 1–2</x:v>
      </x:c>
      <x:c r="I466" s="43" t="str">
        <x:v>Applicable fabrication information incomplete</x:v>
      </x:c>
      <x:c r="J466" s="43" t="str">
        <x:v>One or more architecture-relevant fabrication fields needed to reconstruct the tested printed component were not located.</x:v>
      </x:c>
    </x:row>
    <x:row r="467" ht="15" hidden="0" customHeight="1">
      <x:c r="A467" s="9" t="n">
        <x:v>59</x:v>
      </x:c>
      <x:c r="B467" s="9" t="str">
        <x:v>S073</x:v>
      </x:c>
      <x:c r="C467" s="9" t="str">
        <x:v>Han et al. (2025)</x:v>
      </x:c>
      <x:c r="D467" s="9" t="str">
        <x:v>L2</x:v>
      </x:c>
      <x:c r="E467" s="9" t="str">
        <x:v>1</x:v>
      </x:c>
      <x:c r="F467" s="9" t="str">
        <x:v>Initial agreement</x:v>
      </x:c>
      <x:c r="G467" s="9" t="str">
        <x:v>CCF, TPU matrix, star architecture and sensing role are described.</x:v>
      </x:c>
      <x:c r="H467" s="9" t="str">
        <x:v>PDF pp. 2–13; Figs. 1–10; Tables 1–2</x:v>
      </x:c>
      <x:c r="I467" s="43" t="str"/>
      <x:c r="J467" s="43" t="str"/>
    </x:row>
    <x:row r="468" ht="15" hidden="0" customHeight="1">
      <x:c r="A468" s="9" t="n">
        <x:v>59</x:v>
      </x:c>
      <x:c r="B468" s="9" t="str">
        <x:v>S073</x:v>
      </x:c>
      <x:c r="C468" s="9" t="str">
        <x:v>Han et al. (2025)</x:v>
      </x:c>
      <x:c r="D468" s="9" t="str">
        <x:v>L3</x:v>
      </x:c>
      <x:c r="E468" s="9" t="str">
        <x:v>1</x:v>
      </x:c>
      <x:c r="F468" s="9" t="str">
        <x:v>Initial agreement</x:v>
      </x:c>
      <x:c r="G468" s="9" t="str">
        <x:v>Strain, stress, temperature and joint-angle inputs are linked to resistance response.</x:v>
      </x:c>
      <x:c r="H468" s="9" t="str">
        <x:v>PDF pp. 2–13; Figs. 1–10; Tables 1–2</x:v>
      </x:c>
      <x:c r="I468" s="43" t="str"/>
      <x:c r="J468" s="43" t="str"/>
    </x:row>
    <x:row r="469" ht="15" hidden="0" customHeight="1">
      <x:c r="A469" s="9" t="n">
        <x:v>59</x:v>
      </x:c>
      <x:c r="B469" s="9" t="str">
        <x:v>S073</x:v>
      </x:c>
      <x:c r="C469" s="9" t="str">
        <x:v>Han et al. (2025)</x:v>
      </x:c>
      <x:c r="D469" s="9" t="str">
        <x:v>L4</x:v>
      </x:c>
      <x:c r="E469" s="9" t="str">
        <x:v>1</x:v>
      </x:c>
      <x:c r="F469" s="9" t="str">
        <x:v>Initial agreement</x:v>
      </x:c>
      <x:c r="G469" s="9" t="str">
        <x:v>Test ranges and response values/curves are quantitative.</x:v>
      </x:c>
      <x:c r="H469" s="9" t="str">
        <x:v>PDF pp. 2–13; Figs. 1–10; Tables 1–2</x:v>
      </x:c>
      <x:c r="I469" s="43" t="str"/>
      <x:c r="J469" s="43" t="str"/>
    </x:row>
    <x:row r="470" ht="15" hidden="0" customHeight="1">
      <x:c r="A470" s="9" t="n">
        <x:v>59</x:v>
      </x:c>
      <x:c r="B470" s="9" t="str">
        <x:v>S073</x:v>
      </x:c>
      <x:c r="C470" s="9" t="str">
        <x:v>Han et al. (2025)</x:v>
      </x:c>
      <x:c r="D470" s="9" t="str">
        <x:v>L5</x:v>
      </x:c>
      <x:c r="E470" s="9" t="str">
        <x:v>1</x:v>
      </x:c>
      <x:c r="F470" s="9" t="str">
        <x:v>Initial agreement</x:v>
      </x:c>
      <x:c r="G470" s="9" t="str">
        <x:v>Repeated loading traces and stabilization over multiple cycles are reported.</x:v>
      </x:c>
      <x:c r="H470" s="9" t="str">
        <x:v>PDF pp. 2–13; Figs. 1–10; Tables 1–2</x:v>
      </x:c>
      <x:c r="I470" s="43" t="str"/>
      <x:c r="J470" s="43" t="str"/>
    </x:row>
    <x:row r="471" ht="26.399999618530273" hidden="0" customHeight="1">
      <x:c r="A471" s="9" t="n">
        <x:v>59</x:v>
      </x:c>
      <x:c r="B471" s="9" t="str">
        <x:v>S073</x:v>
      </x:c>
      <x:c r="C471" s="9" t="str">
        <x:v>Han et al. (2025)</x:v>
      </x:c>
      <x:c r="D471" s="9" t="str">
        <x:v>L6</x:v>
      </x:c>
      <x:c r="E471" s="9" t="str">
        <x:v>0</x:v>
      </x:c>
      <x:c r="F471" s="9" t="str">
        <x:v>Adjudicated to Reviewer 1</x:v>
      </x:c>
      <x:c r="G471" s="9" t="str">
        <x:v>Temperature is an intended sensing modality here; no separate environmental/use exposure was reported.</x:v>
      </x:c>
      <x:c r="H471" s="9" t="str">
        <x:v>PDF pp. 2–13; Figs. 1–10; Tables 1–2</x:v>
      </x:c>
      <x:c r="I471" s="43" t="str">
        <x:v>No qualifying extrinsic-exposure evidence located</x:v>
      </x:c>
      <x:c r="J471" s="43" t="str">
        <x:v>No response was located during or after a deliberately applied condition extrinsic to the intended measurand.</x:v>
      </x:c>
    </x:row>
    <x:row r="472" ht="36" hidden="0" customHeight="1">
      <x:c r="A472" s="9" t="n">
        <x:v>59</x:v>
      </x:c>
      <x:c r="B472" s="9" t="str">
        <x:v>S073</x:v>
      </x:c>
      <x:c r="C472" s="9" t="str">
        <x:v>Han et al. (2025)</x:v>
      </x:c>
      <x:c r="D472" s="9" t="str">
        <x:v>L7</x:v>
      </x:c>
      <x:c r="E472" s="9" t="str">
        <x:v>0</x:v>
      </x:c>
      <x:c r="F472" s="9" t="str">
        <x:v>Complete L7 audit—not qualifying</x:v>
      </x:c>
      <x:c r="G472" s="9" t="str">
        <x:v>Does not qualify after the complete L7 audit: the report shows qualitative waveform repetition or a wearable demonstration, but no Route A direct-interface endpoint and no Route B defined retention or failure endpoint for the final assembly.</x:v>
      </x:c>
      <x:c r="H472" s="9" t="str">
        <x:v>S073_Main.pdf, physical pp. 7-8, section 3.2/Fig. 7, especially p. 8 first two paragraphs.</x:v>
      </x:c>
      <x:c r="I472" s="43" t="str">
        <x:v>No qualifying interface/final-assembly endpoint located</x:v>
      </x:c>
      <x:c r="J472" s="43" t="str">
        <x:v>Neither a Route A interface endpoint nor a Route B repeated final-assembly retention/failure endpoint was located.</x:v>
      </x:c>
    </x:row>
    <x:row r="473" ht="39.599998474121094" hidden="0" customHeight="1">
      <x:c r="A473" s="9" t="n">
        <x:v>59</x:v>
      </x:c>
      <x:c r="B473" s="9" t="str">
        <x:v>S073</x:v>
      </x:c>
      <x:c r="C473" s="9" t="str">
        <x:v>Han et al. (2025)</x:v>
      </x:c>
      <x:c r="D473" s="9" t="str">
        <x:v>L8</x:v>
      </x:c>
      <x:c r="E473" s="9" t="str">
        <x:v>0</x:v>
      </x:c>
      <x:c r="F473" s="9" t="str">
        <x:v>Initial agreement</x:v>
      </x:c>
      <x:c r="G473" s="9" t="str">
        <x:v>Structure/loading variants were compared, but ≥3 separately fabricated same-condition devices were not.</x:v>
      </x:c>
      <x:c r="H473" s="9" t="str">
        <x:v>PDF pp. 2–13; Figs. 1–10; Tables 1–2</x:v>
      </x:c>
      <x:c r="I473" s="43" t="str">
        <x:v>Non-qualifying repeated unit or condition</x:v>
      </x:c>
      <x:c r="J473" s="43" t="str">
        <x:v>The repeated entities were people, channels, variants, material specimens, repeated measurements or devices tested under different conditions.</x:v>
      </x:c>
    </x:row>
    <x:row r="474" ht="26.399999618530273" hidden="0" customHeight="1">
      <x:c r="A474" s="9" t="n">
        <x:v>60</x:v>
      </x:c>
      <x:c r="B474" s="9" t="str">
        <x:v>S074</x:v>
      </x:c>
      <x:c r="C474" s="9" t="str">
        <x:v>Lavorgna et al. (2025)</x:v>
      </x:c>
      <x:c r="D474" s="9" t="str">
        <x:v>L1</x:v>
      </x:c>
      <x:c r="E474" s="9" t="str">
        <x:v>0</x:v>
      </x:c>
      <x:c r="F474" s="9" t="str">
        <x:v>Initial agreement</x:v>
      </x:c>
      <x:c r="G474" s="9" t="str">
        <x:v>Printer, materials, temperatures, speed, infill and integration sequence are stated, but nozzle diameter and layer height were not identified.</x:v>
      </x:c>
      <x:c r="H474" s="9" t="str">
        <x:v>PDF pp. 3–9; Figs. 1–13</x:v>
      </x:c>
      <x:c r="I474" s="43" t="str">
        <x:v>Applicable fabrication information incomplete</x:v>
      </x:c>
      <x:c r="J474" s="43" t="str">
        <x:v>One or more architecture-relevant fabrication fields needed to reconstruct the tested printed component were not located.</x:v>
      </x:c>
    </x:row>
    <x:row r="475" ht="15" hidden="0" customHeight="1">
      <x:c r="A475" s="9" t="n">
        <x:v>60</x:v>
      </x:c>
      <x:c r="B475" s="9" t="str">
        <x:v>S074</x:v>
      </x:c>
      <x:c r="C475" s="9" t="str">
        <x:v>Lavorgna et al. (2025)</x:v>
      </x:c>
      <x:c r="D475" s="9" t="str">
        <x:v>L2</x:v>
      </x:c>
      <x:c r="E475" s="9" t="str">
        <x:v>1</x:v>
      </x:c>
      <x:c r="F475" s="9" t="str">
        <x:v>Initial agreement</x:v>
      </x:c>
      <x:c r="G475" s="9" t="str">
        <x:v>TPU/PLA body, embedded FBG, geometry and optical/readout roles are described.</x:v>
      </x:c>
      <x:c r="H475" s="9" t="str">
        <x:v>PDF pp. 3–9; Figs. 1–13</x:v>
      </x:c>
      <x:c r="I475" s="43" t="str"/>
      <x:c r="J475" s="43" t="str"/>
    </x:row>
    <x:row r="476" ht="15" hidden="0" customHeight="1">
      <x:c r="A476" s="9" t="n">
        <x:v>60</x:v>
      </x:c>
      <x:c r="B476" s="9" t="str">
        <x:v>S074</x:v>
      </x:c>
      <x:c r="C476" s="9" t="str">
        <x:v>Lavorgna et al. (2025)</x:v>
      </x:c>
      <x:c r="D476" s="9" t="str">
        <x:v>L3</x:v>
      </x:c>
      <x:c r="E476" s="9" t="str">
        <x:v>1</x:v>
      </x:c>
      <x:c r="F476" s="9" t="str">
        <x:v>Initial agreement</x:v>
      </x:c>
      <x:c r="G476" s="9" t="str">
        <x:v>Controlled temperature/strain protocols and reference-based volunteer tests are reported.</x:v>
      </x:c>
      <x:c r="H476" s="9" t="str">
        <x:v>PDF pp. 3–9; Figs. 1–13</x:v>
      </x:c>
      <x:c r="I476" s="43" t="str"/>
      <x:c r="J476" s="43" t="str"/>
    </x:row>
    <x:row r="477" ht="15" hidden="0" customHeight="1">
      <x:c r="A477" s="9" t="n">
        <x:v>60</x:v>
      </x:c>
      <x:c r="B477" s="9" t="str">
        <x:v>S074</x:v>
      </x:c>
      <x:c r="C477" s="9" t="str">
        <x:v>Lavorgna et al. (2025)</x:v>
      </x:c>
      <x:c r="D477" s="9" t="str">
        <x:v>L4</x:v>
      </x:c>
      <x:c r="E477" s="9" t="str">
        <x:v>1</x:v>
      </x:c>
      <x:c r="F477" s="9" t="str">
        <x:v>Initial agreement</x:v>
      </x:c>
      <x:c r="G477" s="9" t="str">
        <x:v>Sensitivity, hysteresis, MAE/MAPE and test ranges are quantitative.</x:v>
      </x:c>
      <x:c r="H477" s="9" t="str">
        <x:v>PDF pp. 3–9; Figs. 1–13</x:v>
      </x:c>
      <x:c r="I477" s="43" t="str"/>
      <x:c r="J477" s="43" t="str"/>
    </x:row>
    <x:row r="478" ht="15" hidden="0" customHeight="1">
      <x:c r="A478" s="9" t="n">
        <x:v>60</x:v>
      </x:c>
      <x:c r="B478" s="9" t="str">
        <x:v>S074</x:v>
      </x:c>
      <x:c r="C478" s="9" t="str">
        <x:v>Lavorgna et al. (2025)</x:v>
      </x:c>
      <x:c r="D478" s="9" t="str">
        <x:v>L5</x:v>
      </x:c>
      <x:c r="E478" s="9" t="str">
        <x:v>1</x:v>
      </x:c>
      <x:c r="F478" s="9" t="str">
        <x:v>Initial agreement</x:v>
      </x:c>
      <x:c r="G478" s="9" t="str">
        <x:v>Nine strain repetitions, repeated dynamic cycles and 110-cycle tests are reported.</x:v>
      </x:c>
      <x:c r="H478" s="9" t="str">
        <x:v>PDF pp. 3–9; Figs. 1–13</x:v>
      </x:c>
      <x:c r="I478" s="43" t="str"/>
      <x:c r="J478" s="43" t="str"/>
    </x:row>
    <x:row r="479" ht="24" hidden="0" customHeight="1">
      <x:c r="A479" s="9" t="n">
        <x:v>60</x:v>
      </x:c>
      <x:c r="B479" s="9" t="str">
        <x:v>S074</x:v>
      </x:c>
      <x:c r="C479" s="9" t="str">
        <x:v>Lavorgna et al. (2025)</x:v>
      </x:c>
      <x:c r="D479" s="9" t="str">
        <x:v>L6</x:v>
      </x:c>
      <x:c r="E479" s="9" t="str">
        <x:v>1</x:v>
      </x:c>
      <x:c r="F479" s="9" t="str">
        <x:v>L6 subtype audit</x:v>
      </x:c>
      <x:c r="G479" s="9" t="str">
        <x:v>In-exposure cross-sensitivity only: Temperature was deliberately varied as a cross-sensitivity condition for the strain/wearable sensor.</x:v>
      </x:c>
      <x:c r="H479" s="9" t="str">
        <x:v>PDF pp. 3–9; Figs. 1–13</x:v>
      </x:c>
      <x:c r="I479" s="43" t="str"/>
      <x:c r="J479" s="43" t="str"/>
    </x:row>
    <x:row r="480" ht="26.399999618530273" hidden="0" customHeight="1">
      <x:c r="A480" s="9" t="n">
        <x:v>60</x:v>
      </x:c>
      <x:c r="B480" s="9" t="str">
        <x:v>S074</x:v>
      </x:c>
      <x:c r="C480" s="9" t="str">
        <x:v>Lavorgna et al. (2025)</x:v>
      </x:c>
      <x:c r="D480" s="9" t="str">
        <x:v>L7</x:v>
      </x:c>
      <x:c r="E480" s="9" t="str">
        <x:v>0</x:v>
      </x:c>
      <x:c r="F480" s="9" t="str">
        <x:v>Complete L7 audit—not qualifying</x:v>
      </x:c>
      <x:c r="G480" s="9" t="str">
        <x:v>No qualifying interface-integrity test or repeated final monolithic wearable-assembly test with a retention/failure endpoint was located.</x:v>
      </x:c>
      <x:c r="H480" s="9" t="str">
        <x:v>PDF pp. 3–9; Figs. 1–13</x:v>
      </x:c>
      <x:c r="I480" s="43" t="str">
        <x:v>No qualifying interface/final-assembly endpoint located</x:v>
      </x:c>
      <x:c r="J480" s="43" t="str">
        <x:v>Neither a Route A interface endpoint nor a Route B repeated final-assembly retention/failure endpoint was located.</x:v>
      </x:c>
    </x:row>
    <x:row r="481" ht="26.399999618530273" hidden="0" customHeight="1">
      <x:c r="A481" s="9" t="n">
        <x:v>60</x:v>
      </x:c>
      <x:c r="B481" s="9" t="str">
        <x:v>S074</x:v>
      </x:c>
      <x:c r="C481" s="9" t="str">
        <x:v>Lavorgna et al. (2025)</x:v>
      </x:c>
      <x:c r="D481" s="9" t="str">
        <x:v>L8</x:v>
      </x:c>
      <x:c r="E481" s="9" t="str">
        <x:v>0</x:v>
      </x:c>
      <x:c r="F481" s="9" t="str">
        <x:v>Initial agreement</x:v>
      </x:c>
      <x:c r="G481" s="9" t="str">
        <x:v>Only two devices were fabricated and one was characterized; the ≥3-device criterion was not met.</x:v>
      </x:c>
      <x:c r="H481" s="9" t="str">
        <x:v>PDF pp. 3–9; Figs. 1–13</x:v>
      </x:c>
      <x:c r="I481" s="43" t="str">
        <x:v>Insufficient experimental replication</x:v>
      </x:c>
      <x:c r="J481" s="43" t="str">
        <x:v>The reported complete-device count was below the three-device minimum.</x:v>
      </x:c>
    </x:row>
    <x:row r="482" ht="24" hidden="0" customHeight="1">
      <x:c r="A482" s="9" t="n">
        <x:v>61</x:v>
      </x:c>
      <x:c r="B482" s="9" t="str">
        <x:v>S075</x:v>
      </x:c>
      <x:c r="C482" s="9" t="str">
        <x:v>Saroli et al. (2025)</x:v>
      </x:c>
      <x:c r="D482" s="9" t="str">
        <x:v>L1</x:v>
      </x:c>
      <x:c r="E482" s="9" t="str">
        <x:v>1</x:v>
      </x:c>
      <x:c r="F482" s="9" t="str">
        <x:v>Adjudicated to Reviewer 1</x:v>
      </x:c>
      <x:c r="G482" s="9" t="str">
        <x:v>Printer, functional filament, nozzle/line width, temperatures, speed, layer height, raster, infill and geometry are reported.</x:v>
      </x:c>
      <x:c r="H482" s="9" t="str">
        <x:v>PDF pp. 2–8; Figs. 1–7</x:v>
      </x:c>
      <x:c r="I482" s="43" t="str"/>
      <x:c r="J482" s="43" t="str"/>
    </x:row>
    <x:row r="483" ht="15" hidden="0" customHeight="1">
      <x:c r="A483" s="9" t="n">
        <x:v>61</x:v>
      </x:c>
      <x:c r="B483" s="9" t="str">
        <x:v>S075</x:v>
      </x:c>
      <x:c r="C483" s="9" t="str">
        <x:v>Saroli et al. (2025)</x:v>
      </x:c>
      <x:c r="D483" s="9" t="str">
        <x:v>L2</x:v>
      </x:c>
      <x:c r="E483" s="9" t="str">
        <x:v>1</x:v>
      </x:c>
      <x:c r="F483" s="9" t="str">
        <x:v>Initial agreement</x:v>
      </x:c>
      <x:c r="G483" s="9" t="str">
        <x:v>CB-TPU, contacts, tape/silicone integration and dimensions are described.</x:v>
      </x:c>
      <x:c r="H483" s="9" t="str">
        <x:v>PDF pp. 2–8; Figs. 1–7</x:v>
      </x:c>
      <x:c r="I483" s="43" t="str"/>
      <x:c r="J483" s="43" t="str"/>
    </x:row>
    <x:row r="484" ht="15" hidden="0" customHeight="1">
      <x:c r="A484" s="9" t="n">
        <x:v>61</x:v>
      </x:c>
      <x:c r="B484" s="9" t="str">
        <x:v>S075</x:v>
      </x:c>
      <x:c r="C484" s="9" t="str">
        <x:v>Saroli et al. (2025)</x:v>
      </x:c>
      <x:c r="D484" s="9" t="str">
        <x:v>L3</x:v>
      </x:c>
      <x:c r="E484" s="9" t="str">
        <x:v>1</x:v>
      </x:c>
      <x:c r="F484" s="9" t="str">
        <x:v>Initial agreement</x:v>
      </x:c>
      <x:c r="G484" s="9" t="str">
        <x:v>Controlled strain, climate-chamber and body-motion protocols are reported.</x:v>
      </x:c>
      <x:c r="H484" s="9" t="str">
        <x:v>PDF pp. 2–8; Figs. 1–7</x:v>
      </x:c>
      <x:c r="I484" s="43" t="str"/>
      <x:c r="J484" s="43" t="str"/>
    </x:row>
    <x:row r="485" ht="15" hidden="0" customHeight="1">
      <x:c r="A485" s="9" t="n">
        <x:v>61</x:v>
      </x:c>
      <x:c r="B485" s="9" t="str">
        <x:v>S075</x:v>
      </x:c>
      <x:c r="C485" s="9" t="str">
        <x:v>Saroli et al. (2025)</x:v>
      </x:c>
      <x:c r="D485" s="9" t="str">
        <x:v>L4</x:v>
      </x:c>
      <x:c r="E485" s="9" t="str">
        <x:v>1</x:v>
      </x:c>
      <x:c r="F485" s="9" t="str">
        <x:v>Initial agreement</x:v>
      </x:c>
      <x:c r="G485" s="9" t="str">
        <x:v>GF, hysteresis, response time and environmental response are quantitative.</x:v>
      </x:c>
      <x:c r="H485" s="9" t="str">
        <x:v>PDF pp. 2–8; Figs. 1–7</x:v>
      </x:c>
      <x:c r="I485" s="43" t="str"/>
      <x:c r="J485" s="43" t="str"/>
    </x:row>
    <x:row r="486" ht="15" hidden="0" customHeight="1">
      <x:c r="A486" s="9" t="n">
        <x:v>61</x:v>
      </x:c>
      <x:c r="B486" s="9" t="str">
        <x:v>S075</x:v>
      </x:c>
      <x:c r="C486" s="9" t="str">
        <x:v>Saroli et al. (2025)</x:v>
      </x:c>
      <x:c r="D486" s="9" t="str">
        <x:v>L5</x:v>
      </x:c>
      <x:c r="E486" s="9" t="str">
        <x:v>1</x:v>
      </x:c>
      <x:c r="F486" s="9" t="str">
        <x:v>Initial agreement</x:v>
      </x:c>
      <x:c r="G486" s="9" t="str">
        <x:v>Five-cycle, 20-cycle/rate and 1000-cycle tests report repeated response.</x:v>
      </x:c>
      <x:c r="H486" s="9" t="str">
        <x:v>PDF pp. 2–8; Figs. 1–7</x:v>
      </x:c>
      <x:c r="I486" s="43" t="str"/>
      <x:c r="J486" s="43" t="str"/>
    </x:row>
    <x:row r="487" ht="24" hidden="0" customHeight="1">
      <x:c r="A487" s="9" t="n">
        <x:v>61</x:v>
      </x:c>
      <x:c r="B487" s="9" t="str">
        <x:v>S075</x:v>
      </x:c>
      <x:c r="C487" s="9" t="str">
        <x:v>Saroli et al. (2025)</x:v>
      </x:c>
      <x:c r="D487" s="9" t="str">
        <x:v>L6</x:v>
      </x:c>
      <x:c r="E487" s="9" t="str">
        <x:v>1</x:v>
      </x:c>
      <x:c r="F487" s="9" t="str">
        <x:v>L6 subtype audit</x:v>
      </x:c>
      <x:c r="G487" s="9" t="str">
        <x:v>In-exposure cross-sensitivity only: Controlled temperature and RH cycles report response for all three configurations.</x:v>
      </x:c>
      <x:c r="H487" s="9" t="str">
        <x:v>PDF pp. 2–8; Figs. 1–7</x:v>
      </x:c>
      <x:c r="I487" s="43" t="str"/>
      <x:c r="J487" s="43" t="str"/>
    </x:row>
    <x:row r="488" ht="36" hidden="0" customHeight="1">
      <x:c r="A488" s="9" t="n">
        <x:v>61</x:v>
      </x:c>
      <x:c r="B488" s="9" t="str">
        <x:v>S075</x:v>
      </x:c>
      <x:c r="C488" s="9" t="str">
        <x:v>Saroli et al. (2025)</x:v>
      </x:c>
      <x:c r="D488" s="9" t="str">
        <x:v>L7</x:v>
      </x:c>
      <x:c r="E488" s="9" t="str">
        <x:v>0</x:v>
      </x:c>
      <x:c r="F488" s="9" t="str">
        <x:v>Complete L7 audit—not qualifying</x:v>
      </x:c>
      <x:c r="G488" s="9" t="str">
        <x:v>Does not qualify after the complete L7 audit: the report shows qualitative waveform repetition or a wearable demonstration, but no Route A direct-interface endpoint and no Route B defined retention or failure endpoint for the final assembly.</x:v>
      </x:c>
      <x:c r="H488" s="9" t="str">
        <x:v>S075_Main.pdf, physical pp. 7-8, section V; p. 8, Fig. 7c and final controlled-movement paragraph.</x:v>
      </x:c>
      <x:c r="I488" s="43" t="str">
        <x:v>No qualifying interface/final-assembly endpoint located</x:v>
      </x:c>
      <x:c r="J488" s="43" t="str">
        <x:v>Neither a Route A interface endpoint nor a Route B repeated final-assembly retention/failure endpoint was located.</x:v>
      </x:c>
    </x:row>
    <x:row r="489" ht="39.599998474121094" hidden="0" customHeight="1">
      <x:c r="A489" s="9" t="n">
        <x:v>61</x:v>
      </x:c>
      <x:c r="B489" s="9" t="str">
        <x:v>S075</x:v>
      </x:c>
      <x:c r="C489" s="9" t="str">
        <x:v>Saroli et al. (2025)</x:v>
      </x:c>
      <x:c r="D489" s="9" t="str">
        <x:v>L8</x:v>
      </x:c>
      <x:c r="E489" s="9" t="str">
        <x:v>0</x:v>
      </x:c>
      <x:c r="F489" s="9" t="str">
        <x:v>Initial agreement</x:v>
      </x:c>
      <x:c r="G489" s="9" t="str">
        <x:v>Three printed sensors were assigned to different integration conditions; same-condition between-device variation was not reported.</x:v>
      </x:c>
      <x:c r="H489" s="9" t="str">
        <x:v>PDF pp. 2–8; Figs. 1–7</x:v>
      </x:c>
      <x:c r="I489" s="43" t="str">
        <x:v>Non-qualifying repeated unit or condition</x:v>
      </x:c>
      <x:c r="J489" s="43" t="str">
        <x:v>The repeated entities were people, channels, variants, material specimens, repeated measurements or devices tested under different conditions.</x:v>
      </x:c>
    </x:row>
    <x:row r="490" ht="24" hidden="0" customHeight="1">
      <x:c r="A490" s="9" t="n">
        <x:v>62</x:v>
      </x:c>
      <x:c r="B490" s="9" t="str">
        <x:v>S076</x:v>
      </x:c>
      <x:c r="C490" s="9" t="str">
        <x:v>Meena et al. (2025)</x:v>
      </x:c>
      <x:c r="D490" s="9" t="str">
        <x:v>L1</x:v>
      </x:c>
      <x:c r="E490" s="9" t="str">
        <x:v>1</x:v>
      </x:c>
      <x:c r="F490" s="9" t="str">
        <x:v>Initial agreement</x:v>
      </x:c>
      <x:c r="G490" s="9" t="str">
        <x:v>Printer platforms, PVDF, nozzle, temperatures, speed, layer height and film geometry are reported, although printer naming is internally inconsistent.</x:v>
      </x:c>
      <x:c r="H490" s="9" t="str">
        <x:v>PDF pp. 3–8; Figs. 1–6; cited Supplementary Figs. S1–S10</x:v>
      </x:c>
      <x:c r="I490" s="43" t="str"/>
      <x:c r="J490" s="43" t="str"/>
    </x:row>
    <x:row r="491" ht="15" hidden="0" customHeight="1">
      <x:c r="A491" s="9" t="n">
        <x:v>62</x:v>
      </x:c>
      <x:c r="B491" s="9" t="str">
        <x:v>S076</x:v>
      </x:c>
      <x:c r="C491" s="9" t="str">
        <x:v>Meena et al. (2025)</x:v>
      </x:c>
      <x:c r="D491" s="9" t="str">
        <x:v>L2</x:v>
      </x:c>
      <x:c r="E491" s="9" t="str">
        <x:v>1</x:v>
      </x:c>
      <x:c r="F491" s="9" t="str">
        <x:v>Initial agreement</x:v>
      </x:c>
      <x:c r="G491" s="9" t="str">
        <x:v>PVDF preparation, film thickness, electrode assembly and electrical role are described.</x:v>
      </x:c>
      <x:c r="H491" s="9" t="str">
        <x:v>PDF pp. 3–8; Figs. 1–6; cited Supplementary Figs. S1–S10</x:v>
      </x:c>
      <x:c r="I491" s="43" t="str"/>
      <x:c r="J491" s="43" t="str"/>
    </x:row>
    <x:row r="492" ht="15" hidden="0" customHeight="1">
      <x:c r="A492" s="9" t="n">
        <x:v>62</x:v>
      </x:c>
      <x:c r="B492" s="9" t="str">
        <x:v>S076</x:v>
      </x:c>
      <x:c r="C492" s="9" t="str">
        <x:v>Meena et al. (2025)</x:v>
      </x:c>
      <x:c r="D492" s="9" t="str">
        <x:v>L3</x:v>
      </x:c>
      <x:c r="E492" s="9" t="str">
        <x:v>1</x:v>
      </x:c>
      <x:c r="F492" s="9" t="str">
        <x:v>Initial agreement</x:v>
      </x:c>
      <x:c r="G492" s="9" t="str">
        <x:v>Applied force/frequency and tactile/body-motion inputs are linked to voltage/current output.</x:v>
      </x:c>
      <x:c r="H492" s="9" t="str">
        <x:v>PDF pp. 3–8; Figs. 1–6; cited Supplementary Figs. S1–S10</x:v>
      </x:c>
      <x:c r="I492" s="43" t="str"/>
      <x:c r="J492" s="43" t="str"/>
    </x:row>
    <x:row r="493" ht="15" hidden="0" customHeight="1">
      <x:c r="A493" s="9" t="n">
        <x:v>62</x:v>
      </x:c>
      <x:c r="B493" s="9" t="str">
        <x:v>S076</x:v>
      </x:c>
      <x:c r="C493" s="9" t="str">
        <x:v>Meena et al. (2025)</x:v>
      </x:c>
      <x:c r="D493" s="9" t="str">
        <x:v>L4</x:v>
      </x:c>
      <x:c r="E493" s="9" t="str">
        <x:v>1</x:v>
      </x:c>
      <x:c r="F493" s="9" t="str">
        <x:v>Initial agreement</x:v>
      </x:c>
      <x:c r="G493" s="9" t="str">
        <x:v>Voltage, current, power, force/frequency and cycle-retention values are quantitative.</x:v>
      </x:c>
      <x:c r="H493" s="9" t="str">
        <x:v>PDF pp. 3–8; Figs. 1–6; cited Supplementary Figs. S1–S10</x:v>
      </x:c>
      <x:c r="I493" s="43" t="str"/>
      <x:c r="J493" s="43" t="str"/>
    </x:row>
    <x:row r="494" ht="15" hidden="0" customHeight="1">
      <x:c r="A494" s="9" t="n">
        <x:v>62</x:v>
      </x:c>
      <x:c r="B494" s="9" t="str">
        <x:v>S076</x:v>
      </x:c>
      <x:c r="C494" s="9" t="str">
        <x:v>Meena et al. (2025)</x:v>
      </x:c>
      <x:c r="D494" s="9" t="str">
        <x:v>L5</x:v>
      </x:c>
      <x:c r="E494" s="9" t="str">
        <x:v>1</x:v>
      </x:c>
      <x:c r="F494" s="9" t="str">
        <x:v>Initial agreement</x:v>
      </x:c>
      <x:c r="G494" s="9" t="str">
        <x:v>A 1000-cycle test and a cited approximately 5000-cycle test report retained output.</x:v>
      </x:c>
      <x:c r="H494" s="9" t="str">
        <x:v>PDF pp. 3–8; Figs. 1–6; cited Supplementary Figs. S1–S10</x:v>
      </x:c>
      <x:c r="I494" s="43" t="str"/>
      <x:c r="J494" s="43" t="str"/>
    </x:row>
    <x:row r="495" ht="26.399999618530273" hidden="0" customHeight="1">
      <x:c r="A495" s="9" t="n">
        <x:v>62</x:v>
      </x:c>
      <x:c r="B495" s="9" t="str">
        <x:v>S076</x:v>
      </x:c>
      <x:c r="C495" s="9" t="str">
        <x:v>Meena et al. (2025)</x:v>
      </x:c>
      <x:c r="D495" s="9" t="str">
        <x:v>L6</x:v>
      </x:c>
      <x:c r="E495" s="9" t="str">
        <x:v>0</x:v>
      </x:c>
      <x:c r="F495" s="9" t="str">
        <x:v>Initial agreement</x:v>
      </x:c>
      <x:c r="G495" s="9" t="str">
        <x:v>No distinct temperature, humidity, wash, abrasion or other declared use exposure was tested.</x:v>
      </x:c>
      <x:c r="H495" s="9" t="str">
        <x:v>PDF pp. 3–8; Figs. 1–6; cited Supplementary Figs. S1–S10</x:v>
      </x:c>
      <x:c r="I495" s="43" t="str">
        <x:v>No qualifying extrinsic-exposure evidence located</x:v>
      </x:c>
      <x:c r="J495" s="43" t="str">
        <x:v>No response was located during or after a deliberately applied condition extrinsic to the intended measurand.</x:v>
      </x:c>
    </x:row>
    <x:row r="496" ht="24" hidden="0" customHeight="1">
      <x:c r="A496" s="9" t="n">
        <x:v>62</x:v>
      </x:c>
      <x:c r="B496" s="9" t="str">
        <x:v>S076</x:v>
      </x:c>
      <x:c r="C496" s="9" t="str">
        <x:v>Meena et al. (2025)</x:v>
      </x:c>
      <x:c r="D496" s="9" t="str">
        <x:v>L7</x:v>
      </x:c>
      <x:c r="E496" s="9" t="str">
        <x:v>1</x:v>
      </x:c>
      <x:c r="F496" s="9" t="str">
        <x:v>Complete L7 audit—Route B</x:v>
      </x:c>
      <x:c r="G496" s="9" t="str">
        <x:v>Route B—integrated assembly: the assembled nanogenerator completed 1000 cycles with peak voltage retained within 95% ± 3% of its initial value; supplementary testing extended the stability observation to about 5000 cycles.</x:v>
      </x:c>
      <x:c r="H496" s="9" t="str">
        <x:v>S076_Main.pdf, physical pp. 6–7, Fig. 5g; Supplementary Fig. S9</x:v>
      </x:c>
      <x:c r="I496" s="43" t="str"/>
      <x:c r="J496" s="43" t="str"/>
    </x:row>
    <x:row r="497" ht="39.599998474121094" hidden="0" customHeight="1">
      <x:c r="A497" s="9" t="n">
        <x:v>62</x:v>
      </x:c>
      <x:c r="B497" s="9" t="str">
        <x:v>S076</x:v>
      </x:c>
      <x:c r="C497" s="9" t="str">
        <x:v>Meena et al. (2025)</x:v>
      </x:c>
      <x:c r="D497" s="9" t="str">
        <x:v>L8</x:v>
      </x:c>
      <x:c r="E497" s="9" t="str">
        <x:v>0</x:v>
      </x:c>
      <x:c r="F497" s="9" t="str">
        <x:v>Initial agreement</x:v>
      </x:c>
      <x:c r="G497" s="9" t="str">
        <x:v>Three poled films were averaged only for d33 characterization; ≥3 complete nanogenerators were not quantitatively compared.</x:v>
      </x:c>
      <x:c r="H497" s="9" t="str">
        <x:v>PDF pp. 3–8; Figs. 1–6; cited Supplementary Figs. S1–S10</x:v>
      </x:c>
      <x:c r="I497" s="43" t="str">
        <x:v>Non-qualifying repeated unit or condition</x:v>
      </x:c>
      <x:c r="J497" s="43" t="str">
        <x:v>The repeated entities were people, channels, variants, material specimens, repeated measurements or devices tested under different conditions.</x:v>
      </x:c>
    </x:row>
    <x:row r="498" ht="26.399999618530273" hidden="0" customHeight="1">
      <x:c r="A498" s="9" t="n">
        <x:v>63</x:v>
      </x:c>
      <x:c r="B498" s="9" t="str">
        <x:v>S077</x:v>
      </x:c>
      <x:c r="C498" s="9" t="str">
        <x:v>Farid et al. (2025)</x:v>
      </x:c>
      <x:c r="D498" s="9" t="str">
        <x:v>L1</x:v>
      </x:c>
      <x:c r="E498" s="9" t="str">
        <x:v>0</x:v>
      </x:c>
      <x:c r="F498" s="9" t="str">
        <x:v>Adjudicated to Reviewer 1</x:v>
      </x:c>
      <x:c r="G498" s="9" t="str">
        <x:v>FDM, functional material, nozzle, temperature, speed, layer height, infill, geometry and coating sequence are reported, but the printer model or an equivalent platform identifier is absent.</x:v>
      </x:c>
      <x:c r="H498" s="9" t="str">
        <x:v>PDF pp. 3–15; Figs. 1–7; Table 1</x:v>
      </x:c>
      <x:c r="I498" s="43" t="str">
        <x:v>Applicable fabrication information incomplete</x:v>
      </x:c>
      <x:c r="J498" s="43" t="str">
        <x:v>One or more architecture-relevant fabrication fields needed to reconstruct the tested printed component were not located.</x:v>
      </x:c>
    </x:row>
    <x:row r="499" ht="15" hidden="0" customHeight="1">
      <x:c r="A499" s="9" t="n">
        <x:v>63</x:v>
      </x:c>
      <x:c r="B499" s="9" t="str">
        <x:v>S077</x:v>
      </x:c>
      <x:c r="C499" s="9" t="str">
        <x:v>Farid et al. (2025)</x:v>
      </x:c>
      <x:c r="D499" s="9" t="str">
        <x:v>L2</x:v>
      </x:c>
      <x:c r="E499" s="9" t="str">
        <x:v>1</x:v>
      </x:c>
      <x:c r="F499" s="9" t="str">
        <x:v>Initial agreement</x:v>
      </x:c>
      <x:c r="G499" s="9" t="str">
        <x:v>TPU, graphene, PEDOT:PSS, electrodes and multilayer roles are described.</x:v>
      </x:c>
      <x:c r="H499" s="9" t="str">
        <x:v>PDF pp. 3–15; Figs. 1–7; Table 1</x:v>
      </x:c>
      <x:c r="I499" s="43" t="str"/>
      <x:c r="J499" s="43" t="str"/>
    </x:row>
    <x:row r="500" ht="15" hidden="0" customHeight="1">
      <x:c r="A500" s="9" t="n">
        <x:v>63</x:v>
      </x:c>
      <x:c r="B500" s="9" t="str">
        <x:v>S077</x:v>
      </x:c>
      <x:c r="C500" s="9" t="str">
        <x:v>Farid et al. (2025)</x:v>
      </x:c>
      <x:c r="D500" s="9" t="str">
        <x:v>L3</x:v>
      </x:c>
      <x:c r="E500" s="9" t="str">
        <x:v>1</x:v>
      </x:c>
      <x:c r="F500" s="9" t="str">
        <x:v>Initial agreement</x:v>
      </x:c>
      <x:c r="G500" s="9" t="str">
        <x:v>Controlled tensile, pressure and temperature protocols and body-motion demonstrations are reported.</x:v>
      </x:c>
      <x:c r="H500" s="9" t="str">
        <x:v>PDF pp. 3–15; Figs. 1–7; Table 1</x:v>
      </x:c>
      <x:c r="I500" s="43" t="str"/>
      <x:c r="J500" s="43" t="str"/>
    </x:row>
    <x:row r="501" ht="15" hidden="0" customHeight="1">
      <x:c r="A501" s="9" t="n">
        <x:v>63</x:v>
      </x:c>
      <x:c r="B501" s="9" t="str">
        <x:v>S077</x:v>
      </x:c>
      <x:c r="C501" s="9" t="str">
        <x:v>Farid et al. (2025)</x:v>
      </x:c>
      <x:c r="D501" s="9" t="str">
        <x:v>L4</x:v>
      </x:c>
      <x:c r="E501" s="9" t="str">
        <x:v>1</x:v>
      </x:c>
      <x:c r="F501" s="9" t="str">
        <x:v>Initial agreement</x:v>
      </x:c>
      <x:c r="G501" s="9" t="str">
        <x:v>GF, pressure range, response time and durability are quantitative.</x:v>
      </x:c>
      <x:c r="H501" s="9" t="str">
        <x:v>PDF pp. 3–15; Figs. 1–7; Table 1</x:v>
      </x:c>
      <x:c r="I501" s="43" t="str"/>
      <x:c r="J501" s="43" t="str"/>
    </x:row>
    <x:row r="502" ht="15" hidden="0" customHeight="1">
      <x:c r="A502" s="9" t="n">
        <x:v>63</x:v>
      </x:c>
      <x:c r="B502" s="9" t="str">
        <x:v>S077</x:v>
      </x:c>
      <x:c r="C502" s="9" t="str">
        <x:v>Farid et al. (2025)</x:v>
      </x:c>
      <x:c r="D502" s="9" t="str">
        <x:v>L5</x:v>
      </x:c>
      <x:c r="E502" s="9" t="str">
        <x:v>1</x:v>
      </x:c>
      <x:c r="F502" s="9" t="str">
        <x:v>Initial agreement</x:v>
      </x:c>
      <x:c r="G502" s="9" t="str">
        <x:v>Dynamic loading and a 6000-cycle endurance result are reported.</x:v>
      </x:c>
      <x:c r="H502" s="9" t="str">
        <x:v>PDF pp. 3–15; Figs. 1–7; Table 1</x:v>
      </x:c>
      <x:c r="I502" s="43" t="str"/>
      <x:c r="J502" s="43" t="str"/>
    </x:row>
    <x:row r="503" ht="26.399999618530273" hidden="0" customHeight="1">
      <x:c r="A503" s="9" t="n">
        <x:v>63</x:v>
      </x:c>
      <x:c r="B503" s="9" t="str">
        <x:v>S077</x:v>
      </x:c>
      <x:c r="C503" s="9" t="str">
        <x:v>Farid et al. (2025)</x:v>
      </x:c>
      <x:c r="D503" s="9" t="str">
        <x:v>L6</x:v>
      </x:c>
      <x:c r="E503" s="9" t="str">
        <x:v>0</x:v>
      </x:c>
      <x:c r="F503" s="9" t="str">
        <x:v>Adjudicated to Reviewer 1</x:v>
      </x:c>
      <x:c r="G503" s="9" t="str">
        <x:v>Temperature is an intended sensing modality, not a separate environmental challenge; no other qualifying exposure was identified.</x:v>
      </x:c>
      <x:c r="H503" s="9" t="str">
        <x:v>PDF pp. 3–15; Figs. 1–7; Table 1</x:v>
      </x:c>
      <x:c r="I503" s="43" t="str">
        <x:v>No qualifying extrinsic-exposure evidence located</x:v>
      </x:c>
      <x:c r="J503" s="43" t="str">
        <x:v>No response was located during or after a deliberately applied condition extrinsic to the intended measurand.</x:v>
      </x:c>
    </x:row>
    <x:row r="504" ht="36" hidden="0" customHeight="1">
      <x:c r="A504" s="9" t="n">
        <x:v>63</x:v>
      </x:c>
      <x:c r="B504" s="9" t="str">
        <x:v>S077</x:v>
      </x:c>
      <x:c r="C504" s="9" t="str">
        <x:v>Farid et al. (2025)</x:v>
      </x:c>
      <x:c r="D504" s="9" t="str">
        <x:v>L7</x:v>
      </x:c>
      <x:c r="E504" s="9" t="str">
        <x:v>0</x:v>
      </x:c>
      <x:c r="F504" s="9" t="str">
        <x:v>Complete L7 audit—not qualifying</x:v>
      </x:c>
      <x:c r="G504" s="9" t="str">
        <x:v>Does not qualify after the complete L7 audit: the report shows qualitative waveform repetition or a wearable demonstration, but no Route A direct-interface endpoint and no Route B defined retention or failure endpoint for the final assembly.</x:v>
      </x:c>
      <x:c r="H504" s="9" t="str">
        <x:v>S077_Main.pdf, physical p. 4, section 2.4 attachment; pp. 11-12, section 3.4/Fig. 6, especially chewing comparison.</x:v>
      </x:c>
      <x:c r="I504" s="43" t="str">
        <x:v>No qualifying interface/final-assembly endpoint located</x:v>
      </x:c>
      <x:c r="J504" s="43" t="str">
        <x:v>Neither a Route A interface endpoint nor a Route B repeated final-assembly retention/failure endpoint was located.</x:v>
      </x:c>
    </x:row>
    <x:row r="505" ht="39.599998474121094" hidden="0" customHeight="1">
      <x:c r="A505" s="9" t="n">
        <x:v>63</x:v>
      </x:c>
      <x:c r="B505" s="9" t="str">
        <x:v>S077</x:v>
      </x:c>
      <x:c r="C505" s="9" t="str">
        <x:v>Farid et al. (2025)</x:v>
      </x:c>
      <x:c r="D505" s="9" t="str">
        <x:v>L8</x:v>
      </x:c>
      <x:c r="E505" s="9" t="str">
        <x:v>0</x:v>
      </x:c>
      <x:c r="F505" s="9" t="str">
        <x:v>Initial agreement</x:v>
      </x:c>
      <x:c r="G505" s="9" t="str">
        <x:v>Measurements were repeated three times, but separate fabrication and device-level results/dispersion are not stated.</x:v>
      </x:c>
      <x:c r="H505" s="9" t="str">
        <x:v>PDF pp. 3–15; Figs. 1–7; Table 1</x:v>
      </x:c>
      <x:c r="I505" s="43" t="str">
        <x:v>Non-qualifying repeated unit or condition</x:v>
      </x:c>
      <x:c r="J505" s="43" t="str">
        <x:v>The repeated entities were people, channels, variants, material specimens, repeated measurements or devices tested under different conditions.</x:v>
      </x:c>
    </x:row>
    <x:row r="506" ht="24" hidden="0" customHeight="1">
      <x:c r="A506" s="9" t="n">
        <x:v>64</x:v>
      </x:c>
      <x:c r="B506" s="9" t="str">
        <x:v>S078</x:v>
      </x:c>
      <x:c r="C506" s="9" t="str">
        <x:v>Hu et al. (2024)</x:v>
      </x:c>
      <x:c r="D506" s="9" t="str">
        <x:v>L1</x:v>
      </x:c>
      <x:c r="E506" s="9" t="str">
        <x:v>1</x:v>
      </x:c>
      <x:c r="F506" s="9" t="str">
        <x:v>Adjudicated to Reviewer 1</x:v>
      </x:c>
      <x:c r="G506" s="9" t="str">
        <x:v>The Mori M3145K process, geometry, raster/infill and post-treatment are reported with a 0.6 mm nozzle, 200 °C nozzle, 50 °C bed, 0.4 mm layer height, 50% infill and 10 mm s^-1 speed.</x:v>
      </x:c>
      <x:c r="H506" s="9" t="str">
        <x:v>Main article Experimental section; Supplementary Table S1</x:v>
      </x:c>
      <x:c r="I506" s="43" t="str"/>
      <x:c r="J506" s="43" t="str"/>
    </x:row>
    <x:row r="507" ht="15" hidden="0" customHeight="1">
      <x:c r="A507" s="9" t="n">
        <x:v>64</x:v>
      </x:c>
      <x:c r="B507" s="9" t="str">
        <x:v>S078</x:v>
      </x:c>
      <x:c r="C507" s="9" t="str">
        <x:v>Hu et al. (2024)</x:v>
      </x:c>
      <x:c r="D507" s="9" t="str">
        <x:v>L2</x:v>
      </x:c>
      <x:c r="E507" s="9" t="str">
        <x:v>1</x:v>
      </x:c>
      <x:c r="F507" s="9" t="str">
        <x:v>Initial agreement</x:v>
      </x:c>
      <x:c r="G507" s="9" t="str">
        <x:v>TPU, CNT/PVP coating, microwave embedding, geometry and contacts are described.</x:v>
      </x:c>
      <x:c r="H507" s="9" t="str">
        <x:v>PDF pp. 3–8; Figs. 1–6; Supporting Table S1 cited</x:v>
      </x:c>
      <x:c r="I507" s="43" t="str"/>
      <x:c r="J507" s="43" t="str"/>
    </x:row>
    <x:row r="508" ht="15" hidden="0" customHeight="1">
      <x:c r="A508" s="9" t="n">
        <x:v>64</x:v>
      </x:c>
      <x:c r="B508" s="9" t="str">
        <x:v>S078</x:v>
      </x:c>
      <x:c r="C508" s="9" t="str">
        <x:v>Hu et al. (2024)</x:v>
      </x:c>
      <x:c r="D508" s="9" t="str">
        <x:v>L3</x:v>
      </x:c>
      <x:c r="E508" s="9" t="str">
        <x:v>1</x:v>
      </x:c>
      <x:c r="F508" s="9" t="str">
        <x:v>Initial agreement</x:v>
      </x:c>
      <x:c r="G508" s="9" t="str">
        <x:v>Controlled pressure, tensile/compression strain and wearable motions are linked to resistance response.</x:v>
      </x:c>
      <x:c r="H508" s="9" t="str">
        <x:v>PDF pp. 3–8; Figs. 1–6; Supporting Table S1 cited</x:v>
      </x:c>
      <x:c r="I508" s="43" t="str"/>
      <x:c r="J508" s="43" t="str"/>
    </x:row>
    <x:row r="509" ht="15" hidden="0" customHeight="1">
      <x:c r="A509" s="9" t="n">
        <x:v>64</x:v>
      </x:c>
      <x:c r="B509" s="9" t="str">
        <x:v>S078</x:v>
      </x:c>
      <x:c r="C509" s="9" t="str">
        <x:v>Hu et al. (2024)</x:v>
      </x:c>
      <x:c r="D509" s="9" t="str">
        <x:v>L4</x:v>
      </x:c>
      <x:c r="E509" s="9" t="str">
        <x:v>1</x:v>
      </x:c>
      <x:c r="F509" s="9" t="str">
        <x:v>Initial agreement</x:v>
      </x:c>
      <x:c r="G509" s="9" t="str">
        <x:v>Sensitivity, GF, strain/rate and wearable-response values are quantitative.</x:v>
      </x:c>
      <x:c r="H509" s="9" t="str">
        <x:v>PDF pp. 3–8; Figs. 1–6; Supporting Table S1 cited</x:v>
      </x:c>
      <x:c r="I509" s="43" t="str"/>
      <x:c r="J509" s="43" t="str"/>
    </x:row>
    <x:row r="510" ht="15" hidden="0" customHeight="1">
      <x:c r="A510" s="9" t="n">
        <x:v>64</x:v>
      </x:c>
      <x:c r="B510" s="9" t="str">
        <x:v>S078</x:v>
      </x:c>
      <x:c r="C510" s="9" t="str">
        <x:v>Hu et al. (2024)</x:v>
      </x:c>
      <x:c r="D510" s="9" t="str">
        <x:v>L5</x:v>
      </x:c>
      <x:c r="E510" s="9" t="str">
        <x:v>1</x:v>
      </x:c>
      <x:c r="F510" s="9" t="str">
        <x:v>Initial agreement</x:v>
      </x:c>
      <x:c r="G510" s="9" t="str">
        <x:v>Five-cycle protocols and a 200-cycle tensile test report repeated response.</x:v>
      </x:c>
      <x:c r="H510" s="9" t="str">
        <x:v>PDF pp. 3–8; Figs. 1–6; Supporting Table S1 cited</x:v>
      </x:c>
      <x:c r="I510" s="43" t="str"/>
      <x:c r="J510" s="43" t="str"/>
    </x:row>
    <x:row r="511" ht="26.399999618530273" hidden="0" customHeight="1">
      <x:c r="A511" s="9" t="n">
        <x:v>64</x:v>
      </x:c>
      <x:c r="B511" s="9" t="str">
        <x:v>S078</x:v>
      </x:c>
      <x:c r="C511" s="9" t="str">
        <x:v>Hu et al. (2024)</x:v>
      </x:c>
      <x:c r="D511" s="9" t="str">
        <x:v>L6</x:v>
      </x:c>
      <x:c r="E511" s="9" t="str">
        <x:v>0</x:v>
      </x:c>
      <x:c r="F511" s="9" t="str">
        <x:v>Initial agreement</x:v>
      </x:c>
      <x:c r="G511" s="9" t="str">
        <x:v>No distinct qualifying environmental or use-related exposure was reported.</x:v>
      </x:c>
      <x:c r="H511" s="9" t="str">
        <x:v>PDF pp. 3–8; Figs. 1–6; Supporting Table S1 cited</x:v>
      </x:c>
      <x:c r="I511" s="43" t="str">
        <x:v>No qualifying extrinsic-exposure evidence located</x:v>
      </x:c>
      <x:c r="J511" s="43" t="str">
        <x:v>No response was located during or after a deliberately applied condition extrinsic to the intended measurand.</x:v>
      </x:c>
    </x:row>
    <x:row r="512" ht="36" hidden="0" customHeight="1">
      <x:c r="A512" s="9" t="n">
        <x:v>64</x:v>
      </x:c>
      <x:c r="B512" s="9" t="str">
        <x:v>S078</x:v>
      </x:c>
      <x:c r="C512" s="9" t="str">
        <x:v>Hu et al. (2024)</x:v>
      </x:c>
      <x:c r="D512" s="9" t="str">
        <x:v>L7</x:v>
      </x:c>
      <x:c r="E512" s="9" t="str">
        <x:v>0</x:v>
      </x:c>
      <x:c r="F512" s="9" t="str">
        <x:v>Complete L7 audit—not qualifying</x:v>
      </x:c>
      <x:c r="G512" s="9" t="str">
        <x:v>Does not qualify after the complete L7 audit: the report shows qualitative waveform repetition or a wearable demonstration, but no Route A direct-interface endpoint and no Route B defined retention or failure endpoint for the final assembly.</x:v>
      </x:c>
      <x:c r="H512" s="9" t="str">
        <x:v>S078_Main.pdf, physical p. 7, section 2.3/Fig. 6a-b; S078_Supplement_01.docx.</x:v>
      </x:c>
      <x:c r="I512" s="43" t="str">
        <x:v>No qualifying interface/final-assembly endpoint located</x:v>
      </x:c>
      <x:c r="J512" s="43" t="str">
        <x:v>Neither a Route A interface endpoint nor a Route B repeated final-assembly retention/failure endpoint was located.</x:v>
      </x:c>
    </x:row>
    <x:row r="513" ht="39.599998474121094" hidden="0" customHeight="1">
      <x:c r="A513" s="9" t="n">
        <x:v>64</x:v>
      </x:c>
      <x:c r="B513" s="9" t="str">
        <x:v>S078</x:v>
      </x:c>
      <x:c r="C513" s="9" t="str">
        <x:v>Hu et al. (2024)</x:v>
      </x:c>
      <x:c r="D513" s="9" t="str">
        <x:v>L8</x:v>
      </x:c>
      <x:c r="E513" s="9" t="str">
        <x:v>0</x:v>
      </x:c>
      <x:c r="F513" s="9" t="str">
        <x:v>Initial agreement</x:v>
      </x:c>
      <x:c r="G513" s="9" t="str">
        <x:v>Material/process variants were tested, but ≥3 separately fabricated complete sensors were not quantitatively compared.</x:v>
      </x:c>
      <x:c r="H513" s="9" t="str">
        <x:v>PDF pp. 3–8; Figs. 1–6; Supporting Table S1 cited</x:v>
      </x:c>
      <x:c r="I513" s="43" t="str">
        <x:v>Non-qualifying repeated unit or condition</x:v>
      </x:c>
      <x:c r="J513" s="43" t="str">
        <x:v>The repeated entities were people, channels, variants, material specimens, repeated measurements or devices tested under different conditions.</x:v>
      </x:c>
    </x:row>
    <x:row r="514" ht="26.399999618530273" hidden="0" customHeight="1">
      <x:c r="A514" s="9" t="n">
        <x:v>65</x:v>
      </x:c>
      <x:c r="B514" s="9" t="str">
        <x:v>S079</x:v>
      </x:c>
      <x:c r="C514" s="9" t="str">
        <x:v>Han et al. (2024)</x:v>
      </x:c>
      <x:c r="D514" s="9" t="str">
        <x:v>L1</x:v>
      </x:c>
      <x:c r="E514" s="9" t="str">
        <x:v>0</x:v>
      </x:c>
      <x:c r="F514" s="9" t="str">
        <x:v>Initial agreement</x:v>
      </x:c>
      <x:c r="G514" s="9" t="str">
        <x:v>FDM, active composite, nozzle temperature, layer height, infill and geometry are reported, but printer model, nozzle diameter and print speed were not identified.</x:v>
      </x:c>
      <x:c r="H514" s="9" t="str">
        <x:v>PDF pp. 2–12; Figs. 1–8; Supplementary Figs. S1–S15 cited</x:v>
      </x:c>
      <x:c r="I514" s="43" t="str">
        <x:v>Applicable fabrication information incomplete</x:v>
      </x:c>
      <x:c r="J514" s="43" t="str">
        <x:v>One or more architecture-relevant fabrication fields needed to reconstruct the tested printed component were not located.</x:v>
      </x:c>
    </x:row>
    <x:row r="515" ht="24" hidden="0" customHeight="1">
      <x:c r="A515" s="9" t="n">
        <x:v>65</x:v>
      </x:c>
      <x:c r="B515" s="9" t="str">
        <x:v>S079</x:v>
      </x:c>
      <x:c r="C515" s="9" t="str">
        <x:v>Han et al. (2024)</x:v>
      </x:c>
      <x:c r="D515" s="9" t="str">
        <x:v>L2</x:v>
      </x:c>
      <x:c r="E515" s="9" t="str">
        <x:v>1</x:v>
      </x:c>
      <x:c r="F515" s="9" t="str">
        <x:v>Initial agreement</x:v>
      </x:c>
      <x:c r="G515" s="9" t="str">
        <x:v>TPU/MXene-SA/MWCNT composition, TPMS geometry, electrodes and array integration are described.</x:v>
      </x:c>
      <x:c r="H515" s="9" t="str">
        <x:v>PDF pp. 2–12; Figs. 1–8; Supplementary Figs. S1–S15 cited</x:v>
      </x:c>
      <x:c r="I515" s="43" t="str"/>
      <x:c r="J515" s="43" t="str"/>
    </x:row>
    <x:row r="516" ht="24" hidden="0" customHeight="1">
      <x:c r="A516" s="9" t="n">
        <x:v>65</x:v>
      </x:c>
      <x:c r="B516" s="9" t="str">
        <x:v>S079</x:v>
      </x:c>
      <x:c r="C516" s="9" t="str">
        <x:v>Han et al. (2024)</x:v>
      </x:c>
      <x:c r="D516" s="9" t="str">
        <x:v>L3</x:v>
      </x:c>
      <x:c r="E516" s="9" t="str">
        <x:v>1</x:v>
      </x:c>
      <x:c r="F516" s="9" t="str">
        <x:v>Initial agreement</x:v>
      </x:c>
      <x:c r="G516" s="9" t="str">
        <x:v>Controlled compression, environmental and wearable protocols are reported.</x:v>
      </x:c>
      <x:c r="H516" s="9" t="str">
        <x:v>PDF pp. 2–12; Figs. 1–8; Supplementary Figs. S1–S15 cited</x:v>
      </x:c>
      <x:c r="I516" s="43" t="str"/>
      <x:c r="J516" s="43" t="str"/>
    </x:row>
    <x:row r="517" ht="24" hidden="0" customHeight="1">
      <x:c r="A517" s="9" t="n">
        <x:v>65</x:v>
      </x:c>
      <x:c r="B517" s="9" t="str">
        <x:v>S079</x:v>
      </x:c>
      <x:c r="C517" s="9" t="str">
        <x:v>Han et al. (2024)</x:v>
      </x:c>
      <x:c r="D517" s="9" t="str">
        <x:v>L4</x:v>
      </x:c>
      <x:c r="E517" s="9" t="str">
        <x:v>1</x:v>
      </x:c>
      <x:c r="F517" s="9" t="str">
        <x:v>Initial agreement</x:v>
      </x:c>
      <x:c r="G517" s="9" t="str">
        <x:v>Sensitivity, range, response/recovery, endurance and exposure-retention values are quantitative.</x:v>
      </x:c>
      <x:c r="H517" s="9" t="str">
        <x:v>PDF pp. 2–12; Figs. 1–8; Supplementary Figs. S1–S15 cited</x:v>
      </x:c>
      <x:c r="I517" s="43" t="str"/>
      <x:c r="J517" s="43" t="str"/>
    </x:row>
    <x:row r="518" ht="24" hidden="0" customHeight="1">
      <x:c r="A518" s="9" t="n">
        <x:v>65</x:v>
      </x:c>
      <x:c r="B518" s="9" t="str">
        <x:v>S079</x:v>
      </x:c>
      <x:c r="C518" s="9" t="str">
        <x:v>Han et al. (2024)</x:v>
      </x:c>
      <x:c r="D518" s="9" t="str">
        <x:v>L5</x:v>
      </x:c>
      <x:c r="E518" s="9" t="str">
        <x:v>1</x:v>
      </x:c>
      <x:c r="F518" s="9" t="str">
        <x:v>Initial agreement</x:v>
      </x:c>
      <x:c r="G518" s="9" t="str">
        <x:v>Five rapid cycles and repeated loading for 10,000 s report response and baseline change.</x:v>
      </x:c>
      <x:c r="H518" s="9" t="str">
        <x:v>PDF pp. 2–12; Figs. 1–8; Supplementary Figs. S1–S15 cited</x:v>
      </x:c>
      <x:c r="I518" s="43" t="str"/>
      <x:c r="J518" s="43" t="str"/>
    </x:row>
    <x:row r="519" ht="36" hidden="0" customHeight="1">
      <x:c r="A519" s="9" t="n">
        <x:v>65</x:v>
      </x:c>
      <x:c r="B519" s="9" t="str">
        <x:v>S079</x:v>
      </x:c>
      <x:c r="C519" s="9" t="str">
        <x:v>Han et al. (2024)</x:v>
      </x:c>
      <x:c r="D519" s="9" t="str">
        <x:v>L6</x:v>
      </x:c>
      <x:c r="E519" s="9" t="str">
        <x:v>1</x:v>
      </x:c>
      <x:c r="F519" s="9" t="str">
        <x:v>L6 subtype audit</x:v>
      </x:c>
      <x:c r="G519" s="9" t="str">
        <x:v>Post-exposure retention only; defined reference/recovery not reported: Post-exposure response followed temperature, water-immersion and rubbing challenges without a stated return-to-reference or recovery period. Evidence: Performance was measured after 40 °C, −35 °C and 24-h water immersion/rubbing exposures.</x:v>
      </x:c>
      <x:c r="H519" s="9" t="str">
        <x:v>PDF pp. 2–12; Figs. 1–8; Supplementary Figs. S1–S15 cited</x:v>
      </x:c>
      <x:c r="I519" s="43" t="str"/>
      <x:c r="J519" s="43" t="str"/>
    </x:row>
    <x:row r="520" ht="36" hidden="0" customHeight="1">
      <x:c r="A520" s="9" t="n">
        <x:v>65</x:v>
      </x:c>
      <x:c r="B520" s="9" t="str">
        <x:v>S079</x:v>
      </x:c>
      <x:c r="C520" s="9" t="str">
        <x:v>Han et al. (2024)</x:v>
      </x:c>
      <x:c r="D520" s="9" t="str">
        <x:v>L7</x:v>
      </x:c>
      <x:c r="E520" s="9" t="str">
        <x:v>1</x:v>
      </x:c>
      <x:c r="F520" s="9" t="str">
        <x:v>Complete L7 audit—Route B</x:v>
      </x:c>
      <x:c r="G520" s="9" t="str">
        <x:v>Route B—integrated assembly: the sensor retained approximately 70% ± 5% resistance change during the same bending motion after high-temperature, low-temperature and water-conditioning procedures, with minimal response change.</x:v>
      </x:c>
      <x:c r="H520" s="9" t="str">
        <x:v>S079_Main.pdf, physical pp. 10–11, Fig. 7b and discussion of Supplementary Fig. S15</x:v>
      </x:c>
      <x:c r="I520" s="43" t="str"/>
      <x:c r="J520" s="43" t="str"/>
    </x:row>
    <x:row r="521" ht="26.399999618530273" hidden="0" customHeight="1">
      <x:c r="A521" s="9" t="n">
        <x:v>65</x:v>
      </x:c>
      <x:c r="B521" s="9" t="str">
        <x:v>S079</x:v>
      </x:c>
      <x:c r="C521" s="9" t="str">
        <x:v>Han et al. (2024)</x:v>
      </x:c>
      <x:c r="D521" s="9" t="str">
        <x:v>L8</x:v>
      </x:c>
      <x:c r="E521" s="9" t="str">
        <x:v>0</x:v>
      </x:c>
      <x:c r="F521" s="9" t="str">
        <x:v>Initial agreement</x:v>
      </x:c>
      <x:c r="G521" s="9" t="str">
        <x:v>Repeated samples are mentioned, but individual results or between-device dispersion for ≥3 complete sensors are not shown.</x:v>
      </x:c>
      <x:c r="H521" s="9" t="str">
        <x:v>PDF pp. 2–12; Figs. 1–8; Supplementary Figs. S1–S15 cited</x:v>
      </x:c>
      <x:c r="I521" s="43" t="str">
        <x:v>Replication count unreported or unclear</x:v>
      </x:c>
      <x:c r="J521" s="43" t="str">
        <x:v>The report did not establish the number of independently fabricated complete devices under the same condition.</x:v>
      </x:c>
    </x:row>
    <x:row r="522" ht="26.399999618530273" hidden="0" customHeight="1">
      <x:c r="A522" s="9" t="n">
        <x:v>66</x:v>
      </x:c>
      <x:c r="B522" s="9" t="str">
        <x:v>S080</x:v>
      </x:c>
      <x:c r="C522" s="9" t="str">
        <x:v>Imanian et al. (2023)</x:v>
      </x:c>
      <x:c r="D522" s="9" t="str">
        <x:v>L1</x:v>
      </x:c>
      <x:c r="E522" s="9" t="str">
        <x:v>0</x:v>
      </x:c>
      <x:c r="F522" s="9" t="str">
        <x:v>Initial agreement</x:v>
      </x:c>
      <x:c r="G522" s="9" t="str">
        <x:v>Functional filament, nozzle, temperature, speed, infill and geometry are stated, but printer/model and layer height are not reported.</x:v>
      </x:c>
      <x:c r="H522" s="9" t="str">
        <x:v>PDF pp. 2, 4–12; Figs. 1–8</x:v>
      </x:c>
      <x:c r="I522" s="43" t="str">
        <x:v>Applicable fabrication information incomplete</x:v>
      </x:c>
      <x:c r="J522" s="43" t="str">
        <x:v>One or more architecture-relevant fabrication fields needed to reconstruct the tested printed component were not located.</x:v>
      </x:c>
    </x:row>
    <x:row r="523" ht="15" hidden="0" customHeight="1">
      <x:c r="A523" s="9" t="n">
        <x:v>66</x:v>
      </x:c>
      <x:c r="B523" s="9" t="str">
        <x:v>S080</x:v>
      </x:c>
      <x:c r="C523" s="9" t="str">
        <x:v>Imanian et al. (2023)</x:v>
      </x:c>
      <x:c r="D523" s="9" t="str">
        <x:v>L2</x:v>
      </x:c>
      <x:c r="E523" s="9" t="str">
        <x:v>1</x:v>
      </x:c>
      <x:c r="F523" s="9" t="str">
        <x:v>Initial agreement</x:v>
      </x:c>
      <x:c r="G523" s="9" t="str">
        <x:v>TPU, graphene coating/binder, TPMS geometry and electrical readout are described.</x:v>
      </x:c>
      <x:c r="H523" s="9" t="str">
        <x:v>PDF pp. 2, 4–12; Figs. 1–8</x:v>
      </x:c>
      <x:c r="I523" s="43" t="str"/>
      <x:c r="J523" s="43" t="str"/>
    </x:row>
    <x:row r="524" ht="15" hidden="0" customHeight="1">
      <x:c r="A524" s="9" t="n">
        <x:v>66</x:v>
      </x:c>
      <x:c r="B524" s="9" t="str">
        <x:v>S080</x:v>
      </x:c>
      <x:c r="C524" s="9" t="str">
        <x:v>Imanian et al. (2023)</x:v>
      </x:c>
      <x:c r="D524" s="9" t="str">
        <x:v>L3</x:v>
      </x:c>
      <x:c r="E524" s="9" t="str">
        <x:v>1</x:v>
      </x:c>
      <x:c r="F524" s="9" t="str">
        <x:v>Initial agreement</x:v>
      </x:c>
      <x:c r="G524" s="9" t="str">
        <x:v>Controlled compressive strains and direct body-motion inputs are linked to resistance response.</x:v>
      </x:c>
      <x:c r="H524" s="9" t="str">
        <x:v>PDF pp. 2, 4–12; Figs. 1–8</x:v>
      </x:c>
      <x:c r="I524" s="43" t="str"/>
      <x:c r="J524" s="43" t="str"/>
    </x:row>
    <x:row r="525" ht="15" hidden="0" customHeight="1">
      <x:c r="A525" s="9" t="n">
        <x:v>66</x:v>
      </x:c>
      <x:c r="B525" s="9" t="str">
        <x:v>S080</x:v>
      </x:c>
      <x:c r="C525" s="9" t="str">
        <x:v>Imanian et al. (2023)</x:v>
      </x:c>
      <x:c r="D525" s="9" t="str">
        <x:v>L4</x:v>
      </x:c>
      <x:c r="E525" s="9" t="str">
        <x:v>1</x:v>
      </x:c>
      <x:c r="F525" s="9" t="str">
        <x:v>Initial agreement</x:v>
      </x:c>
      <x:c r="G525" s="9" t="str">
        <x:v>GF/detection-limit and application traces are reported with stated conditions.</x:v>
      </x:c>
      <x:c r="H525" s="9" t="str">
        <x:v>PDF pp. 2, 4–12; Figs. 1–8</x:v>
      </x:c>
      <x:c r="I525" s="43" t="str"/>
      <x:c r="J525" s="43" t="str"/>
    </x:row>
    <x:row r="526" ht="15" hidden="0" customHeight="1">
      <x:c r="A526" s="9" t="n">
        <x:v>66</x:v>
      </x:c>
      <x:c r="B526" s="9" t="str">
        <x:v>S080</x:v>
      </x:c>
      <x:c r="C526" s="9" t="str">
        <x:v>Imanian et al. (2023)</x:v>
      </x:c>
      <x:c r="D526" s="9" t="str">
        <x:v>L5</x:v>
      </x:c>
      <x:c r="E526" s="9" t="str">
        <x:v>1</x:v>
      </x:c>
      <x:c r="F526" s="9" t="str">
        <x:v>Initial agreement</x:v>
      </x:c>
      <x:c r="G526" s="9" t="str">
        <x:v>Response is shown across 300 controlled compression cycles.</x:v>
      </x:c>
      <x:c r="H526" s="9" t="str">
        <x:v>PDF pp. 2, 4–12; Figs. 1–8</x:v>
      </x:c>
      <x:c r="I526" s="43" t="str"/>
      <x:c r="J526" s="43" t="str"/>
    </x:row>
    <x:row r="527" ht="26.399999618530273" hidden="0" customHeight="1">
      <x:c r="A527" s="9" t="n">
        <x:v>66</x:v>
      </x:c>
      <x:c r="B527" s="9" t="str">
        <x:v>S080</x:v>
      </x:c>
      <x:c r="C527" s="9" t="str">
        <x:v>Imanian et al. (2023)</x:v>
      </x:c>
      <x:c r="D527" s="9" t="str">
        <x:v>L6</x:v>
      </x:c>
      <x:c r="E527" s="9" t="str">
        <x:v>0</x:v>
      </x:c>
      <x:c r="F527" s="9" t="str">
        <x:v>Initial agreement</x:v>
      </x:c>
      <x:c r="G527" s="9" t="str">
        <x:v>No distinct declared temperature, humidity, perspiration, water, washing, abrasion, mounting-pressure or comparable use exposure was tested.</x:v>
      </x:c>
      <x:c r="H527" s="9" t="str">
        <x:v>PDF pp. 2, 4–12; Figs. 1–8</x:v>
      </x:c>
      <x:c r="I527" s="43" t="str">
        <x:v>No qualifying extrinsic-exposure evidence located</x:v>
      </x:c>
      <x:c r="J527" s="43" t="str">
        <x:v>No response was located during or after a deliberately applied condition extrinsic to the intended measurand.</x:v>
      </x:c>
    </x:row>
    <x:row r="528" ht="26.399999618530273" hidden="0" customHeight="1">
      <x:c r="A528" s="9" t="n">
        <x:v>66</x:v>
      </x:c>
      <x:c r="B528" s="9" t="str">
        <x:v>S080</x:v>
      </x:c>
      <x:c r="C528" s="9" t="str">
        <x:v>Imanian et al. (2023)</x:v>
      </x:c>
      <x:c r="D528" s="9" t="str">
        <x:v>L7</x:v>
      </x:c>
      <x:c r="E528" s="9" t="str">
        <x:v>0</x:v>
      </x:c>
      <x:c r="F528" s="9" t="str">
        <x:v>Complete L7 audit—not qualifying</x:v>
      </x:c>
      <x:c r="G528" s="9" t="str">
        <x:v>No qualifying interface-integrity test or repeated final monolithic wearable-assembly test with a retention/failure endpoint was located.</x:v>
      </x:c>
      <x:c r="H528" s="9" t="str">
        <x:v>PDF pp. 2, 4–12; Figs. 1–8</x:v>
      </x:c>
      <x:c r="I528" s="43" t="str">
        <x:v>No qualifying interface/final-assembly endpoint located</x:v>
      </x:c>
      <x:c r="J528" s="43" t="str">
        <x:v>Neither a Route A interface endpoint nor a Route B repeated final-assembly retention/failure endpoint was located.</x:v>
      </x:c>
    </x:row>
    <x:row r="529" ht="39.599998474121094" hidden="0" customHeight="1">
      <x:c r="A529" s="9" t="n">
        <x:v>66</x:v>
      </x:c>
      <x:c r="B529" s="9" t="str">
        <x:v>S080</x:v>
      </x:c>
      <x:c r="C529" s="9" t="str">
        <x:v>Imanian et al. (2023)</x:v>
      </x:c>
      <x:c r="D529" s="9" t="str">
        <x:v>L8</x:v>
      </x:c>
      <x:c r="E529" s="9" t="str">
        <x:v>0</x:v>
      </x:c>
      <x:c r="F529" s="9" t="str">
        <x:v>Initial agreement</x:v>
      </x:c>
      <x:c r="G529" s="9" t="str">
        <x:v>Topology variants and repeated cycles were reported, but no ≥3 separately fabricated same-condition complete-device comparison was identified.</x:v>
      </x:c>
      <x:c r="H529" s="9" t="str">
        <x:v>PDF pp. 2, 4–12; Figs. 1–8</x:v>
      </x:c>
      <x:c r="I529" s="43" t="str">
        <x:v>Non-qualifying repeated unit or condition</x:v>
      </x:c>
      <x:c r="J529" s="43" t="str">
        <x:v>The repeated entities were people, channels, variants, material specimens, repeated measurements or devices tested under different conditions.</x:v>
      </x:c>
    </x:row>
    <x:row r="530" ht="26.399999618530273" hidden="0" customHeight="1">
      <x:c r="A530" s="9" t="n">
        <x:v>67</x:v>
      </x:c>
      <x:c r="B530" s="9" t="str">
        <x:v>S081</x:v>
      </x:c>
      <x:c r="C530" s="9" t="str">
        <x:v>De Tommasi et al. (2023)</x:v>
      </x:c>
      <x:c r="D530" s="9" t="str">
        <x:v>L1</x:v>
      </x:c>
      <x:c r="E530" s="9" t="str">
        <x:v>0</x:v>
      </x:c>
      <x:c r="F530" s="9" t="str">
        <x:v>Initial agreement</x:v>
      </x:c>
      <x:c r="G530" s="9" t="str">
        <x:v>Printer, FDM term, TPU identity, temperature, infill, pattern and geometry are reported, but nozzle diameter and layer height are absent; speed is given only as a 15% printer setting.</x:v>
      </x:c>
      <x:c r="H530" s="9" t="str">
        <x:v>PDF pp. 3–7; Figs. 1–8; Table I</x:v>
      </x:c>
      <x:c r="I530" s="43" t="str">
        <x:v>Applicable fabrication information incomplete</x:v>
      </x:c>
      <x:c r="J530" s="43" t="str">
        <x:v>One or more architecture-relevant fabrication fields needed to reconstruct the tested printed component were not located.</x:v>
      </x:c>
    </x:row>
    <x:row r="531" ht="15" hidden="0" customHeight="1">
      <x:c r="A531" s="9" t="n">
        <x:v>67</x:v>
      </x:c>
      <x:c r="B531" s="9" t="str">
        <x:v>S081</x:v>
      </x:c>
      <x:c r="C531" s="9" t="str">
        <x:v>De Tommasi et al. (2023)</x:v>
      </x:c>
      <x:c r="D531" s="9" t="str">
        <x:v>L2</x:v>
      </x:c>
      <x:c r="E531" s="9" t="str">
        <x:v>1</x:v>
      </x:c>
      <x:c r="F531" s="9" t="str">
        <x:v>Initial agreement</x:v>
      </x:c>
      <x:c r="G531" s="9" t="str">
        <x:v>TPU body, FBG, channels, protective tube, band and optical readout are described.</x:v>
      </x:c>
      <x:c r="H531" s="9" t="str">
        <x:v>PDF pp. 3–7; Figs. 1–8; Table I</x:v>
      </x:c>
      <x:c r="I531" s="43" t="str"/>
      <x:c r="J531" s="43" t="str"/>
    </x:row>
    <x:row r="532" ht="15" hidden="0" customHeight="1">
      <x:c r="A532" s="9" t="n">
        <x:v>67</x:v>
      </x:c>
      <x:c r="B532" s="9" t="str">
        <x:v>S081</x:v>
      </x:c>
      <x:c r="C532" s="9" t="str">
        <x:v>De Tommasi et al. (2023)</x:v>
      </x:c>
      <x:c r="D532" s="9" t="str">
        <x:v>L3</x:v>
      </x:c>
      <x:c r="E532" s="9" t="str">
        <x:v>1</x:v>
      </x:c>
      <x:c r="F532" s="9" t="str">
        <x:v>Initial agreement</x:v>
      </x:c>
      <x:c r="G532" s="9" t="str">
        <x:v>Applied force and clinical loss-of-resistance events are linked to FBG wavelength response and reference signals.</x:v>
      </x:c>
      <x:c r="H532" s="9" t="str">
        <x:v>PDF pp. 3–7; Figs. 1–8; Table I</x:v>
      </x:c>
      <x:c r="I532" s="43" t="str"/>
      <x:c r="J532" s="43" t="str"/>
    </x:row>
    <x:row r="533" ht="15" hidden="0" customHeight="1">
      <x:c r="A533" s="9" t="n">
        <x:v>67</x:v>
      </x:c>
      <x:c r="B533" s="9" t="str">
        <x:v>S081</x:v>
      </x:c>
      <x:c r="C533" s="9" t="str">
        <x:v>De Tommasi et al. (2023)</x:v>
      </x:c>
      <x:c r="D533" s="9" t="str">
        <x:v>L4</x:v>
      </x:c>
      <x:c r="E533" s="9" t="str">
        <x:v>1</x:v>
      </x:c>
      <x:c r="F533" s="9" t="str">
        <x:v>Initial agreement</x:v>
      </x:c>
      <x:c r="G533" s="9" t="str">
        <x:v>Sensitivity, uncertainty method, force range and clinical timing are quantitative.</x:v>
      </x:c>
      <x:c r="H533" s="9" t="str">
        <x:v>PDF pp. 3–7; Figs. 1–8; Table I</x:v>
      </x:c>
      <x:c r="I533" s="43" t="str"/>
      <x:c r="J533" s="43" t="str"/>
    </x:row>
    <x:row r="534" ht="15" hidden="0" customHeight="1">
      <x:c r="A534" s="9" t="n">
        <x:v>67</x:v>
      </x:c>
      <x:c r="B534" s="9" t="str">
        <x:v>S081</x:v>
      </x:c>
      <x:c r="C534" s="9" t="str">
        <x:v>De Tommasi et al. (2023)</x:v>
      </x:c>
      <x:c r="D534" s="9" t="str">
        <x:v>L5</x:v>
      </x:c>
      <x:c r="E534" s="9" t="str">
        <x:v>1</x:v>
      </x:c>
      <x:c r="F534" s="9" t="str">
        <x:v>Adjudicated to Reviewer 1</x:v>
      </x:c>
      <x:c r="G534" s="9" t="str">
        <x:v>Seven compression tests provide repeated same-device evidence.</x:v>
      </x:c>
      <x:c r="H534" s="9" t="str">
        <x:v>PDF pp. 3–7; Figs. 1–8; Table I</x:v>
      </x:c>
      <x:c r="I534" s="43" t="str"/>
      <x:c r="J534" s="43" t="str"/>
    </x:row>
    <x:row r="535" ht="26.399999618530273" hidden="0" customHeight="1">
      <x:c r="A535" s="9" t="n">
        <x:v>67</x:v>
      </x:c>
      <x:c r="B535" s="9" t="str">
        <x:v>S081</x:v>
      </x:c>
      <x:c r="C535" s="9" t="str">
        <x:v>De Tommasi et al. (2023)</x:v>
      </x:c>
      <x:c r="D535" s="9" t="str">
        <x:v>L6</x:v>
      </x:c>
      <x:c r="E535" s="9" t="str">
        <x:v>0</x:v>
      </x:c>
      <x:c r="F535" s="9" t="str">
        <x:v>Initial agreement</x:v>
      </x:c>
      <x:c r="G535" s="9" t="str">
        <x:v>Use under a glove is demonstrated, but no declared environmental/use exposure distinct from the intended procedure is tested.</x:v>
      </x:c>
      <x:c r="H535" s="9" t="str">
        <x:v>PDF pp. 3–7; Figs. 1–8; Table I</x:v>
      </x:c>
      <x:c r="I535" s="43" t="str">
        <x:v>No qualifying extrinsic-exposure evidence located</x:v>
      </x:c>
      <x:c r="J535" s="43" t="str">
        <x:v>No response was located during or after a deliberately applied condition extrinsic to the intended measurand.</x:v>
      </x:c>
    </x:row>
    <x:row r="536" ht="26.399999618530273" hidden="0" customHeight="1">
      <x:c r="A536" s="9" t="n">
        <x:v>67</x:v>
      </x:c>
      <x:c r="B536" s="9" t="str">
        <x:v>S081</x:v>
      </x:c>
      <x:c r="C536" s="9" t="str">
        <x:v>De Tommasi et al. (2023)</x:v>
      </x:c>
      <x:c r="D536" s="9" t="str">
        <x:v>L7</x:v>
      </x:c>
      <x:c r="E536" s="9" t="str">
        <x:v>0</x:v>
      </x:c>
      <x:c r="F536" s="9" t="str">
        <x:v>Complete L7 audit—not qualifying</x:v>
      </x:c>
      <x:c r="G536" s="9" t="str">
        <x:v>The measured endpoint is timing between sensor response and the clinician's perception in each procedure. Seven compression tests separately characterize sensitivity.</x:v>
      </x:c>
      <x:c r="H536" s="9" t="str">
        <x:v>S081_Main.pdf, physical pp. 4-5, calibration; pp. 5-7, section IV/Figs. 7-8 and Conclusions.</x:v>
      </x:c>
      <x:c r="I536" s="43" t="str">
        <x:v>No qualifying interface/final-assembly endpoint located</x:v>
      </x:c>
      <x:c r="J536" s="43" t="str">
        <x:v>Neither a Route A interface endpoint nor a Route B repeated final-assembly retention/failure endpoint was located.</x:v>
      </x:c>
    </x:row>
    <x:row r="537" ht="26.399999618530273" hidden="0" customHeight="1">
      <x:c r="A537" s="9" t="n">
        <x:v>67</x:v>
      </x:c>
      <x:c r="B537" s="9" t="str">
        <x:v>S081</x:v>
      </x:c>
      <x:c r="C537" s="9" t="str">
        <x:v>De Tommasi et al. (2023)</x:v>
      </x:c>
      <x:c r="D537" s="9" t="str">
        <x:v>L8</x:v>
      </x:c>
      <x:c r="E537" s="9" t="str">
        <x:v>0</x:v>
      </x:c>
      <x:c r="F537" s="9" t="str">
        <x:v>Initial agreement</x:v>
      </x:c>
      <x:c r="G537" s="9" t="str">
        <x:v>Seven tests and two patients are not separately fabricated devices; a ≥3-device comparison was not reported.</x:v>
      </x:c>
      <x:c r="H537" s="9" t="str">
        <x:v>PDF pp. 3–7; Figs. 1–8; Table I</x:v>
      </x:c>
      <x:c r="I537" s="43" t="str">
        <x:v>No qualifying between-device evidence located</x:v>
      </x:c>
      <x:c r="J537" s="43" t="str">
        <x:v>No quantitative same-condition comparison of at least three independently fabricated complete devices was located.</x:v>
      </x:c>
    </x:row>
    <x:row r="538" ht="26.399999618530273" hidden="0" customHeight="1">
      <x:c r="A538" s="9" t="n">
        <x:v>68</x:v>
      </x:c>
      <x:c r="B538" s="9" t="str">
        <x:v>S082</x:v>
      </x:c>
      <x:c r="C538" s="9" t="str">
        <x:v>Xiang et al. (2023)</x:v>
      </x:c>
      <x:c r="D538" s="9" t="str">
        <x:v>L1</x:v>
      </x:c>
      <x:c r="E538" s="9" t="str">
        <x:v>0</x:v>
      </x:c>
      <x:c r="F538" s="9" t="str">
        <x:v>Initial agreement</x:v>
      </x:c>
      <x:c r="G538" s="9" t="str">
        <x:v>FFF, printer, functional filament, processing temperature and fibre/sensor geometry are stated, but nozzle diameter and layer height are not reported.</x:v>
      </x:c>
      <x:c r="H538" s="9" t="str">
        <x:v>PDF pp. 4–12; Figs. 1–7; Supplementary Figs. S1–S5 cited</x:v>
      </x:c>
      <x:c r="I538" s="43" t="str">
        <x:v>Applicable fabrication information incomplete</x:v>
      </x:c>
      <x:c r="J538" s="43" t="str">
        <x:v>One or more architecture-relevant fabrication fields needed to reconstruct the tested printed component were not located.</x:v>
      </x:c>
    </x:row>
    <x:row r="539" ht="15" hidden="0" customHeight="1">
      <x:c r="A539" s="9" t="n">
        <x:v>68</x:v>
      </x:c>
      <x:c r="B539" s="9" t="str">
        <x:v>S082</x:v>
      </x:c>
      <x:c r="C539" s="9" t="str">
        <x:v>Xiang et al. (2023)</x:v>
      </x:c>
      <x:c r="D539" s="9" t="str">
        <x:v>L2</x:v>
      </x:c>
      <x:c r="E539" s="9" t="str">
        <x:v>1</x:v>
      </x:c>
      <x:c r="F539" s="9" t="str">
        <x:v>Initial agreement</x:v>
      </x:c>
      <x:c r="G539" s="9" t="str">
        <x:v>CNT/SBS/TPU composition, conductive/insulating roles, electrodes and fibre dimensions are described.</x:v>
      </x:c>
      <x:c r="H539" s="9" t="str">
        <x:v>PDF pp. 4–12; Figs. 1–7; Supplementary Figs. S1–S5 cited</x:v>
      </x:c>
      <x:c r="I539" s="43" t="str"/>
      <x:c r="J539" s="43" t="str"/>
    </x:row>
    <x:row r="540" ht="15" hidden="0" customHeight="1">
      <x:c r="A540" s="9" t="n">
        <x:v>68</x:v>
      </x:c>
      <x:c r="B540" s="9" t="str">
        <x:v>S082</x:v>
      </x:c>
      <x:c r="C540" s="9" t="str">
        <x:v>Xiang et al. (2023)</x:v>
      </x:c>
      <x:c r="D540" s="9" t="str">
        <x:v>L3</x:v>
      </x:c>
      <x:c r="E540" s="9" t="str">
        <x:v>1</x:v>
      </x:c>
      <x:c r="F540" s="9" t="str">
        <x:v>Initial agreement</x:v>
      </x:c>
      <x:c r="G540" s="9" t="str">
        <x:v>Controlled strain/frequency and body/tactile inputs are linked to relative resistance.</x:v>
      </x:c>
      <x:c r="H540" s="9" t="str">
        <x:v>PDF pp. 4–12; Figs. 1–7; Supplementary Figs. S1–S5 cited</x:v>
      </x:c>
      <x:c r="I540" s="43" t="str"/>
      <x:c r="J540" s="43" t="str"/>
    </x:row>
    <x:row r="541" ht="15" hidden="0" customHeight="1">
      <x:c r="A541" s="9" t="n">
        <x:v>68</x:v>
      </x:c>
      <x:c r="B541" s="9" t="str">
        <x:v>S082</x:v>
      </x:c>
      <x:c r="C541" s="9" t="str">
        <x:v>Xiang et al. (2023)</x:v>
      </x:c>
      <x:c r="D541" s="9" t="str">
        <x:v>L4</x:v>
      </x:c>
      <x:c r="E541" s="9" t="str">
        <x:v>1</x:v>
      </x:c>
      <x:c r="F541" s="9" t="str">
        <x:v>Initial agreement</x:v>
      </x:c>
      <x:c r="G541" s="9" t="str">
        <x:v>GF, linearity, range, response time, detection limit and cycling conditions are quantitative.</x:v>
      </x:c>
      <x:c r="H541" s="9" t="str">
        <x:v>PDF pp. 4–12; Figs. 1–7; Supplementary Figs. S1–S5 cited</x:v>
      </x:c>
      <x:c r="I541" s="43" t="str"/>
      <x:c r="J541" s="43" t="str"/>
    </x:row>
    <x:row r="542" ht="15" hidden="0" customHeight="1">
      <x:c r="A542" s="9" t="n">
        <x:v>68</x:v>
      </x:c>
      <x:c r="B542" s="9" t="str">
        <x:v>S082</x:v>
      </x:c>
      <x:c r="C542" s="9" t="str">
        <x:v>Xiang et al. (2023)</x:v>
      </x:c>
      <x:c r="D542" s="9" t="str">
        <x:v>L5</x:v>
      </x:c>
      <x:c r="E542" s="9" t="str">
        <x:v>1</x:v>
      </x:c>
      <x:c r="F542" s="9" t="str">
        <x:v>Initial agreement</x:v>
      </x:c>
      <x:c r="G542" s="9" t="str">
        <x:v>A 2000-cycle test and repeated frequency/strain protocols are reported.</x:v>
      </x:c>
      <x:c r="H542" s="9" t="str">
        <x:v>PDF pp. 4–12; Figs. 1–7; Supplementary Figs. S1–S5 cited</x:v>
      </x:c>
      <x:c r="I542" s="43" t="str"/>
      <x:c r="J542" s="43" t="str"/>
    </x:row>
    <x:row r="543" ht="26.399999618530273" hidden="0" customHeight="1">
      <x:c r="A543" s="9" t="n">
        <x:v>68</x:v>
      </x:c>
      <x:c r="B543" s="9" t="str">
        <x:v>S082</x:v>
      </x:c>
      <x:c r="C543" s="9" t="str">
        <x:v>Xiang et al. (2023)</x:v>
      </x:c>
      <x:c r="D543" s="9" t="str">
        <x:v>L6</x:v>
      </x:c>
      <x:c r="E543" s="9" t="str">
        <x:v>0</x:v>
      </x:c>
      <x:c r="F543" s="9" t="str">
        <x:v>Initial agreement</x:v>
      </x:c>
      <x:c r="G543" s="9" t="str">
        <x:v>No distinct qualifying environmental or use-related exposure was identified.</x:v>
      </x:c>
      <x:c r="H543" s="9" t="str">
        <x:v>PDF pp. 4–12; Figs. 1–7; Supplementary Figs. S1–S5 cited</x:v>
      </x:c>
      <x:c r="I543" s="43" t="str">
        <x:v>No qualifying extrinsic-exposure evidence located</x:v>
      </x:c>
      <x:c r="J543" s="43" t="str">
        <x:v>No response was located during or after a deliberately applied condition extrinsic to the intended measurand.</x:v>
      </x:c>
    </x:row>
    <x:row r="544" ht="26.399999618530273" hidden="0" customHeight="1">
      <x:c r="A544" s="9" t="n">
        <x:v>68</x:v>
      </x:c>
      <x:c r="B544" s="9" t="str">
        <x:v>S082</x:v>
      </x:c>
      <x:c r="C544" s="9" t="str">
        <x:v>Xiang et al. (2023)</x:v>
      </x:c>
      <x:c r="D544" s="9" t="str">
        <x:v>L7</x:v>
      </x:c>
      <x:c r="E544" s="9" t="str">
        <x:v>0</x:v>
      </x:c>
      <x:c r="F544" s="9" t="str">
        <x:v>Complete L7 audit—not qualifying</x:v>
      </x:c>
      <x:c r="G544" s="9" t="str">
        <x:v>No qualifying interface-integrity test or repeated final monolithic wearable-assembly test with a retention/failure endpoint was located.</x:v>
      </x:c>
      <x:c r="H544" s="9" t="str">
        <x:v>PDF pp. 4–12; Figs. 1–7; Supplementary Figs. S1–S5 cited</x:v>
      </x:c>
      <x:c r="I544" s="43" t="str">
        <x:v>No qualifying interface/final-assembly endpoint located</x:v>
      </x:c>
      <x:c r="J544" s="43" t="str">
        <x:v>Neither a Route A interface endpoint nor a Route B repeated final-assembly retention/failure endpoint was located.</x:v>
      </x:c>
    </x:row>
    <x:row r="545" ht="39.599998474121094" hidden="0" customHeight="1">
      <x:c r="A545" s="9" t="n">
        <x:v>68</x:v>
      </x:c>
      <x:c r="B545" s="9" t="str">
        <x:v>S082</x:v>
      </x:c>
      <x:c r="C545" s="9" t="str">
        <x:v>Xiang et al. (2023)</x:v>
      </x:c>
      <x:c r="D545" s="9" t="str">
        <x:v>L8</x:v>
      </x:c>
      <x:c r="E545" s="9" t="str">
        <x:v>0</x:v>
      </x:c>
      <x:c r="F545" s="9" t="str">
        <x:v>Initial agreement</x:v>
      </x:c>
      <x:c r="G545" s="9" t="str">
        <x:v>Composition variants and repeated cycles were reported, but no ≥3 separately fabricated same-condition complete-device comparison was identified.</x:v>
      </x:c>
      <x:c r="H545" s="9" t="str">
        <x:v>PDF pp. 4–12; Figs. 1–7; Supplementary Figs. S1–S5 cited</x:v>
      </x:c>
      <x:c r="I545" s="43" t="str">
        <x:v>Non-qualifying repeated unit or condition</x:v>
      </x:c>
      <x:c r="J545" s="43" t="str">
        <x:v>The repeated entities were people, channels, variants, material specimens, repeated measurements or devices tested under different conditions.</x:v>
      </x:c>
    </x:row>
    <x:row r="546" ht="26.399999618530273" hidden="0" customHeight="1">
      <x:c r="A546" s="9" t="n">
        <x:v>69</x:v>
      </x:c>
      <x:c r="B546" s="9" t="str">
        <x:v>S084</x:v>
      </x:c>
      <x:c r="C546" s="9" t="str">
        <x:v>Liu et al. (2023)</x:v>
      </x:c>
      <x:c r="D546" s="9" t="str">
        <x:v>L1</x:v>
      </x:c>
      <x:c r="E546" s="9" t="str">
        <x:v>0</x:v>
      </x:c>
      <x:c r="F546" s="9" t="str">
        <x:v>Initial agreement</x:v>
      </x:c>
      <x:c r="G546" s="9" t="str">
        <x:v>FFF, printer, functional filament, temperature, feed speed and fibre geometry are reported, but nozzle diameter and layer height are absent.</x:v>
      </x:c>
      <x:c r="H546" s="9" t="str">
        <x:v>PDF pp. 4–11; Figs. 1–8; Supplementary Figs. S1–S5 cited</x:v>
      </x:c>
      <x:c r="I546" s="43" t="str">
        <x:v>Applicable fabrication information incomplete</x:v>
      </x:c>
      <x:c r="J546" s="43" t="str">
        <x:v>One or more architecture-relevant fabrication fields needed to reconstruct the tested printed component were not located.</x:v>
      </x:c>
    </x:row>
    <x:row r="547" ht="15" hidden="0" customHeight="1">
      <x:c r="A547" s="9" t="n">
        <x:v>69</x:v>
      </x:c>
      <x:c r="B547" s="9" t="str">
        <x:v>S084</x:v>
      </x:c>
      <x:c r="C547" s="9" t="str">
        <x:v>Liu et al. (2023)</x:v>
      </x:c>
      <x:c r="D547" s="9" t="str">
        <x:v>L2</x:v>
      </x:c>
      <x:c r="E547" s="9" t="str">
        <x:v>1</x:v>
      </x:c>
      <x:c r="F547" s="9" t="str">
        <x:v>Initial agreement</x:v>
      </x:c>
      <x:c r="G547" s="9" t="str">
        <x:v>CNT/SBS/TPU composition, controls, electrodes and fibre geometry are described.</x:v>
      </x:c>
      <x:c r="H547" s="9" t="str">
        <x:v>PDF pp. 4–11; Figs. 1–8; Supplementary Figs. S1–S5 cited</x:v>
      </x:c>
      <x:c r="I547" s="43" t="str"/>
      <x:c r="J547" s="43" t="str"/>
    </x:row>
    <x:row r="548" ht="15" hidden="0" customHeight="1">
      <x:c r="A548" s="9" t="n">
        <x:v>69</x:v>
      </x:c>
      <x:c r="B548" s="9" t="str">
        <x:v>S084</x:v>
      </x:c>
      <x:c r="C548" s="9" t="str">
        <x:v>Liu et al. (2023)</x:v>
      </x:c>
      <x:c r="D548" s="9" t="str">
        <x:v>L3</x:v>
      </x:c>
      <x:c r="E548" s="9" t="str">
        <x:v>1</x:v>
      </x:c>
      <x:c r="F548" s="9" t="str">
        <x:v>Initial agreement</x:v>
      </x:c>
      <x:c r="G548" s="9" t="str">
        <x:v>Controlled strain/frequency and human/tactile inputs are linked to relative resistance.</x:v>
      </x:c>
      <x:c r="H548" s="9" t="str">
        <x:v>PDF pp. 4–11; Figs. 1–8; Supplementary Figs. S1–S5 cited</x:v>
      </x:c>
      <x:c r="I548" s="43" t="str"/>
      <x:c r="J548" s="43" t="str"/>
    </x:row>
    <x:row r="549" ht="15" hidden="0" customHeight="1">
      <x:c r="A549" s="9" t="n">
        <x:v>69</x:v>
      </x:c>
      <x:c r="B549" s="9" t="str">
        <x:v>S084</x:v>
      </x:c>
      <x:c r="C549" s="9" t="str">
        <x:v>Liu et al. (2023)</x:v>
      </x:c>
      <x:c r="D549" s="9" t="str">
        <x:v>L4</x:v>
      </x:c>
      <x:c r="E549" s="9" t="str">
        <x:v>1</x:v>
      </x:c>
      <x:c r="F549" s="9" t="str">
        <x:v>Initial agreement</x:v>
      </x:c>
      <x:c r="G549" s="9" t="str">
        <x:v>GF, linearity, range, response time, detection limit and cycle conditions are quantitative.</x:v>
      </x:c>
      <x:c r="H549" s="9" t="str">
        <x:v>PDF pp. 4–11; Figs. 1–8; Supplementary Figs. S1–S5 cited</x:v>
      </x:c>
      <x:c r="I549" s="43" t="str"/>
      <x:c r="J549" s="43" t="str"/>
    </x:row>
    <x:row r="550" ht="15" hidden="0" customHeight="1">
      <x:c r="A550" s="9" t="n">
        <x:v>69</x:v>
      </x:c>
      <x:c r="B550" s="9" t="str">
        <x:v>S084</x:v>
      </x:c>
      <x:c r="C550" s="9" t="str">
        <x:v>Liu et al. (2023)</x:v>
      </x:c>
      <x:c r="D550" s="9" t="str">
        <x:v>L5</x:v>
      </x:c>
      <x:c r="E550" s="9" t="str">
        <x:v>1</x:v>
      </x:c>
      <x:c r="F550" s="9" t="str">
        <x:v>Initial agreement</x:v>
      </x:c>
      <x:c r="G550" s="9" t="str">
        <x:v>A 2000-cycle endurance test and repeated frequency/strain protocols are reported.</x:v>
      </x:c>
      <x:c r="H550" s="9" t="str">
        <x:v>PDF pp. 4–11; Figs. 1–8; Supplementary Figs. S1–S5 cited</x:v>
      </x:c>
      <x:c r="I550" s="43" t="str"/>
      <x:c r="J550" s="43" t="str"/>
    </x:row>
    <x:row r="551" ht="26.399999618530273" hidden="0" customHeight="1">
      <x:c r="A551" s="9" t="n">
        <x:v>69</x:v>
      </x:c>
      <x:c r="B551" s="9" t="str">
        <x:v>S084</x:v>
      </x:c>
      <x:c r="C551" s="9" t="str">
        <x:v>Liu et al. (2023)</x:v>
      </x:c>
      <x:c r="D551" s="9" t="str">
        <x:v>L6</x:v>
      </x:c>
      <x:c r="E551" s="9" t="str">
        <x:v>0</x:v>
      </x:c>
      <x:c r="F551" s="9" t="str">
        <x:v>Initial agreement</x:v>
      </x:c>
      <x:c r="G551" s="9" t="str">
        <x:v>No distinct qualifying environmental or use-related exposure was identified.</x:v>
      </x:c>
      <x:c r="H551" s="9" t="str">
        <x:v>PDF pp. 4–11; Figs. 1–8; Supplementary Figs. S1–S5 cited</x:v>
      </x:c>
      <x:c r="I551" s="43" t="str">
        <x:v>No qualifying extrinsic-exposure evidence located</x:v>
      </x:c>
      <x:c r="J551" s="43" t="str">
        <x:v>No response was located during or after a deliberately applied condition extrinsic to the intended measurand.</x:v>
      </x:c>
    </x:row>
    <x:row r="552" ht="26.399999618530273" hidden="0" customHeight="1">
      <x:c r="A552" s="9" t="n">
        <x:v>69</x:v>
      </x:c>
      <x:c r="B552" s="9" t="str">
        <x:v>S084</x:v>
      </x:c>
      <x:c r="C552" s="9" t="str">
        <x:v>Liu et al. (2023)</x:v>
      </x:c>
      <x:c r="D552" s="9" t="str">
        <x:v>L7</x:v>
      </x:c>
      <x:c r="E552" s="9" t="str">
        <x:v>0</x:v>
      </x:c>
      <x:c r="F552" s="9" t="str">
        <x:v>Complete L7 audit—not qualifying</x:v>
      </x:c>
      <x:c r="G552" s="9" t="str">
        <x:v>No qualifying interface-integrity test or repeated final monolithic wearable-assembly test with a retention/failure endpoint was located.</x:v>
      </x:c>
      <x:c r="H552" s="9" t="str">
        <x:v>PDF pp. 4–11; Figs. 1–8; Supplementary Figs. S1–S5 cited</x:v>
      </x:c>
      <x:c r="I552" s="43" t="str">
        <x:v>No qualifying interface/final-assembly endpoint located</x:v>
      </x:c>
      <x:c r="J552" s="43" t="str">
        <x:v>Neither a Route A interface endpoint nor a Route B repeated final-assembly retention/failure endpoint was located.</x:v>
      </x:c>
    </x:row>
    <x:row r="553" ht="39.599998474121094" hidden="0" customHeight="1">
      <x:c r="A553" s="9" t="n">
        <x:v>69</x:v>
      </x:c>
      <x:c r="B553" s="9" t="str">
        <x:v>S084</x:v>
      </x:c>
      <x:c r="C553" s="9" t="str">
        <x:v>Liu et al. (2023)</x:v>
      </x:c>
      <x:c r="D553" s="9" t="str">
        <x:v>L8</x:v>
      </x:c>
      <x:c r="E553" s="9" t="str">
        <x:v>0</x:v>
      </x:c>
      <x:c r="F553" s="9" t="str">
        <x:v>Initial agreement</x:v>
      </x:c>
      <x:c r="G553" s="9" t="str">
        <x:v>Material variants and repeated cycles were reported, but no ≥3 separately fabricated same-condition complete-device comparison was identified.</x:v>
      </x:c>
      <x:c r="H553" s="9" t="str">
        <x:v>PDF pp. 4–11; Figs. 1–8; Supplementary Figs. S1–S5 cited</x:v>
      </x:c>
      <x:c r="I553" s="43" t="str">
        <x:v>Non-qualifying repeated unit or condition</x:v>
      </x:c>
      <x:c r="J553" s="43" t="str">
        <x:v>The repeated entities were people, channels, variants, material specimens, repeated measurements or devices tested under different conditions.</x:v>
      </x:c>
    </x:row>
    <x:row r="554" ht="24" hidden="0" customHeight="1">
      <x:c r="A554" s="9" t="n">
        <x:v>70</x:v>
      </x:c>
      <x:c r="B554" s="9" t="str">
        <x:v>S085</x:v>
      </x:c>
      <x:c r="C554" s="9" t="str">
        <x:v>Li et al. (2022)</x:v>
      </x:c>
      <x:c r="D554" s="9" t="str">
        <x:v>L1</x:v>
      </x:c>
      <x:c r="E554" s="9" t="str">
        <x:v>1</x:v>
      </x:c>
      <x:c r="F554" s="9" t="str">
        <x:v>Adjudicated to Reviewer 1</x:v>
      </x:c>
      <x:c r="G554" s="9" t="str">
        <x:v>A customized FDM platform, functional filament, nozzle, extrusion temperature, speed, layer height, line interval, deposited layers, geometry and substrate procedure are stated.</x:v>
      </x:c>
      <x:c r="H554" s="9" t="str">
        <x:v>PDF pp. 2–4, 8–12; Figs. 1–18; Tables 1–2</x:v>
      </x:c>
      <x:c r="I554" s="43" t="str"/>
      <x:c r="J554" s="43" t="str"/>
    </x:row>
    <x:row r="555" ht="15" hidden="0" customHeight="1">
      <x:c r="A555" s="9" t="n">
        <x:v>70</x:v>
      </x:c>
      <x:c r="B555" s="9" t="str">
        <x:v>S085</x:v>
      </x:c>
      <x:c r="C555" s="9" t="str">
        <x:v>Li et al. (2022)</x:v>
      </x:c>
      <x:c r="D555" s="9" t="str">
        <x:v>L2</x:v>
      </x:c>
      <x:c r="E555" s="9" t="str">
        <x:v>1</x:v>
      </x:c>
      <x:c r="F555" s="9" t="str">
        <x:v>Initial agreement</x:v>
      </x:c>
      <x:c r="G555" s="9" t="str">
        <x:v>CB/TPU composition, TPU substrate, conductive path geometry and test contacts are described.</x:v>
      </x:c>
      <x:c r="H555" s="9" t="str">
        <x:v>PDF pp. 2–4, 8–12; Figs. 1–18; Tables 1–2</x:v>
      </x:c>
      <x:c r="I555" s="43" t="str"/>
      <x:c r="J555" s="43" t="str"/>
    </x:row>
    <x:row r="556" ht="15" hidden="0" customHeight="1">
      <x:c r="A556" s="9" t="n">
        <x:v>70</x:v>
      </x:c>
      <x:c r="B556" s="9" t="str">
        <x:v>S085</x:v>
      </x:c>
      <x:c r="C556" s="9" t="str">
        <x:v>Li et al. (2022)</x:v>
      </x:c>
      <x:c r="D556" s="9" t="str">
        <x:v>L3</x:v>
      </x:c>
      <x:c r="E556" s="9" t="str">
        <x:v>1</x:v>
      </x:c>
      <x:c r="F556" s="9" t="str">
        <x:v>Initial agreement</x:v>
      </x:c>
      <x:c r="G556" s="9" t="str">
        <x:v>Controlled strain/hold/rate protocols and lumbar motion are linked to resistance response.</x:v>
      </x:c>
      <x:c r="H556" s="9" t="str">
        <x:v>PDF pp. 2–4, 8–12; Figs. 1–18; Tables 1–2</x:v>
      </x:c>
      <x:c r="I556" s="43" t="str"/>
      <x:c r="J556" s="43" t="str"/>
    </x:row>
    <x:row r="557" ht="15" hidden="0" customHeight="1">
      <x:c r="A557" s="9" t="n">
        <x:v>70</x:v>
      </x:c>
      <x:c r="B557" s="9" t="str">
        <x:v>S085</x:v>
      </x:c>
      <x:c r="C557" s="9" t="str">
        <x:v>Li et al. (2022)</x:v>
      </x:c>
      <x:c r="D557" s="9" t="str">
        <x:v>L4</x:v>
      </x:c>
      <x:c r="E557" s="9" t="str">
        <x:v>1</x:v>
      </x:c>
      <x:c r="F557" s="9" t="str">
        <x:v>Initial agreement</x:v>
      </x:c>
      <x:c r="G557" s="9" t="str">
        <x:v>Configuration-specific GF, hysteresis, response/recovery, detection and endurance values are quantitative.</x:v>
      </x:c>
      <x:c r="H557" s="9" t="str">
        <x:v>PDF pp. 2–4, 8–12; Figs. 1–18; Tables 1–2</x:v>
      </x:c>
      <x:c r="I557" s="43" t="str"/>
      <x:c r="J557" s="43" t="str"/>
    </x:row>
    <x:row r="558" ht="15" hidden="0" customHeight="1">
      <x:c r="A558" s="9" t="n">
        <x:v>70</x:v>
      </x:c>
      <x:c r="B558" s="9" t="str">
        <x:v>S085</x:v>
      </x:c>
      <x:c r="C558" s="9" t="str">
        <x:v>Li et al. (2022)</x:v>
      </x:c>
      <x:c r="D558" s="9" t="str">
        <x:v>L5</x:v>
      </x:c>
      <x:c r="E558" s="9" t="str">
        <x:v>1</x:v>
      </x:c>
      <x:c r="F558" s="9" t="str">
        <x:v>Initial agreement</x:v>
      </x:c>
      <x:c r="G558" s="9" t="str">
        <x:v>Repeated dynamic tests and a 3000-cycle endurance test are reported.</x:v>
      </x:c>
      <x:c r="H558" s="9" t="str">
        <x:v>PDF pp. 2–4, 8–12; Figs. 1–18; Tables 1–2</x:v>
      </x:c>
      <x:c r="I558" s="43" t="str"/>
      <x:c r="J558" s="43" t="str"/>
    </x:row>
    <x:row r="559" ht="26.399999618530273" hidden="0" customHeight="1">
      <x:c r="A559" s="9" t="n">
        <x:v>70</x:v>
      </x:c>
      <x:c r="B559" s="9" t="str">
        <x:v>S085</x:v>
      </x:c>
      <x:c r="C559" s="9" t="str">
        <x:v>Li et al. (2022)</x:v>
      </x:c>
      <x:c r="D559" s="9" t="str">
        <x:v>L6</x:v>
      </x:c>
      <x:c r="E559" s="9" t="str">
        <x:v>0</x:v>
      </x:c>
      <x:c r="F559" s="9" t="str">
        <x:v>Initial agreement</x:v>
      </x:c>
      <x:c r="G559" s="9" t="str">
        <x:v>Rate and static-hold tests characterize the intended mechanical input; no distinct qualifying environmental/use exposure was reported.</x:v>
      </x:c>
      <x:c r="H559" s="9" t="str">
        <x:v>PDF pp. 2–4, 8–12; Figs. 1–18; Tables 1–2</x:v>
      </x:c>
      <x:c r="I559" s="43" t="str">
        <x:v>No qualifying extrinsic-exposure evidence located</x:v>
      </x:c>
      <x:c r="J559" s="43" t="str">
        <x:v>No response was located during or after a deliberately applied condition extrinsic to the intended measurand.</x:v>
      </x:c>
    </x:row>
    <x:row r="560" ht="24" hidden="0" customHeight="1">
      <x:c r="A560" s="9" t="n">
        <x:v>70</x:v>
      </x:c>
      <x:c r="B560" s="9" t="str">
        <x:v>S085</x:v>
      </x:c>
      <x:c r="C560" s="9" t="str">
        <x:v>Li et al. (2022)</x:v>
      </x:c>
      <x:c r="D560" s="9" t="str">
        <x:v>L7</x:v>
      </x:c>
      <x:c r="E560" s="9" t="str">
        <x:v>1</x:v>
      </x:c>
      <x:c r="F560" s="9" t="str">
        <x:v>Complete L7 audit—Route A</x:v>
      </x:c>
      <x:c r="G560" s="9" t="str">
        <x:v>Route A—direct interface: after 3000 tensile cycles, the printed CBP/TPU sensing structure remained intact and fitted to the TPU-film substrate while the response maxima remained approximately steady.</x:v>
      </x:c>
      <x:c r="H560" s="9" t="str">
        <x:v>S085_Main.pdf, physical pp. 9–10, Figs. 15–16</x:v>
      </x:c>
      <x:c r="I560" s="43" t="str"/>
      <x:c r="J560" s="43" t="str"/>
    </x:row>
    <x:row r="561" ht="39.599998474121094" hidden="0" customHeight="1">
      <x:c r="A561" s="9" t="n">
        <x:v>70</x:v>
      </x:c>
      <x:c r="B561" s="9" t="str">
        <x:v>S085</x:v>
      </x:c>
      <x:c r="C561" s="9" t="str">
        <x:v>Li et al. (2022)</x:v>
      </x:c>
      <x:c r="D561" s="9" t="str">
        <x:v>L8</x:v>
      </x:c>
      <x:c r="E561" s="9" t="str">
        <x:v>0</x:v>
      </x:c>
      <x:c r="F561" s="9" t="str">
        <x:v>Initial agreement</x:v>
      </x:c>
      <x:c r="G561" s="9" t="str">
        <x:v>Geometry variants and same-device cycling were reported, but no ≥3 separately fabricated same-condition complete-device comparison was identified.</x:v>
      </x:c>
      <x:c r="H561" s="9" t="str">
        <x:v>PDF pp. 2–4, 8–12; Figs. 1–18; Tables 1–2</x:v>
      </x:c>
      <x:c r="I561" s="43" t="str">
        <x:v>Non-qualifying repeated unit or condition</x:v>
      </x:c>
      <x:c r="J561" s="43" t="str">
        <x:v>The repeated entities were people, channels, variants, material specimens, repeated measurements or devices tested under different conditions.</x:v>
      </x:c>
    </x:row>
    <x:row r="562" ht="26.399999618530273" hidden="0" customHeight="1">
      <x:c r="A562" s="9" t="n">
        <x:v>71</x:v>
      </x:c>
      <x:c r="B562" s="9" t="str">
        <x:v>S086</x:v>
      </x:c>
      <x:c r="C562" s="9" t="str">
        <x:v>Li et al. (2022)</x:v>
      </x:c>
      <x:c r="D562" s="9" t="str">
        <x:v>L1</x:v>
      </x:c>
      <x:c r="E562" s="9" t="str">
        <x:v>0</x:v>
      </x:c>
      <x:c r="F562" s="9" t="str">
        <x:v>Initial agreement</x:v>
      </x:c>
      <x:c r="G562" s="9" t="str">
        <x:v>Printer, process, TPU filament, nozzle temperature, speed and nominal printed thickness are stated, but nozzle diameter and infill/toolpath are not reported.</x:v>
      </x:c>
      <x:c r="H562" s="9" t="str">
        <x:v>PDF pp. 2–9; Figs. 1–6; Supporting Figs. S1–S3 and Table S1 cited</x:v>
      </x:c>
      <x:c r="I562" s="43" t="str">
        <x:v>Applicable fabrication information incomplete</x:v>
      </x:c>
      <x:c r="J562" s="43" t="str">
        <x:v>One or more architecture-relevant fabrication fields needed to reconstruct the tested printed component were not located.</x:v>
      </x:c>
    </x:row>
    <x:row r="563" ht="24" hidden="0" customHeight="1">
      <x:c r="A563" s="9" t="n">
        <x:v>71</x:v>
      </x:c>
      <x:c r="B563" s="9" t="str">
        <x:v>S086</x:v>
      </x:c>
      <x:c r="C563" s="9" t="str">
        <x:v>Li et al. (2022)</x:v>
      </x:c>
      <x:c r="D563" s="9" t="str">
        <x:v>L2</x:v>
      </x:c>
      <x:c r="E563" s="9" t="str">
        <x:v>1</x:v>
      </x:c>
      <x:c r="F563" s="9" t="str">
        <x:v>Initial agreement</x:v>
      </x:c>
      <x:c r="G563" s="9" t="str">
        <x:v>TPU, silver paste, interlaminar deposition, microwave treatment and electrical role are described.</x:v>
      </x:c>
      <x:c r="H563" s="9" t="str">
        <x:v>PDF pp. 2–9; Figs. 1–6; Supporting Figs. S1–S3 and Table S1 cited</x:v>
      </x:c>
      <x:c r="I563" s="43" t="str"/>
      <x:c r="J563" s="43" t="str"/>
    </x:row>
    <x:row r="564" ht="24" hidden="0" customHeight="1">
      <x:c r="A564" s="9" t="n">
        <x:v>71</x:v>
      </x:c>
      <x:c r="B564" s="9" t="str">
        <x:v>S086</x:v>
      </x:c>
      <x:c r="C564" s="9" t="str">
        <x:v>Li et al. (2022)</x:v>
      </x:c>
      <x:c r="D564" s="9" t="str">
        <x:v>L3</x:v>
      </x:c>
      <x:c r="E564" s="9" t="str">
        <x:v>1</x:v>
      </x:c>
      <x:c r="F564" s="9" t="str">
        <x:v>Initial agreement</x:v>
      </x:c>
      <x:c r="G564" s="9" t="str">
        <x:v>Controlled strain/rate and human motions are linked to resistance response.</x:v>
      </x:c>
      <x:c r="H564" s="9" t="str">
        <x:v>PDF pp. 2–9; Figs. 1–6; Supporting Figs. S1–S3 and Table S1 cited</x:v>
      </x:c>
      <x:c r="I564" s="43" t="str"/>
      <x:c r="J564" s="43" t="str"/>
    </x:row>
    <x:row r="565" ht="24" hidden="0" customHeight="1">
      <x:c r="A565" s="9" t="n">
        <x:v>71</x:v>
      </x:c>
      <x:c r="B565" s="9" t="str">
        <x:v>S086</x:v>
      </x:c>
      <x:c r="C565" s="9" t="str">
        <x:v>Li et al. (2022)</x:v>
      </x:c>
      <x:c r="D565" s="9" t="str">
        <x:v>L4</x:v>
      </x:c>
      <x:c r="E565" s="9" t="str">
        <x:v>1</x:v>
      </x:c>
      <x:c r="F565" s="9" t="str">
        <x:v>Initial agreement</x:v>
      </x:c>
      <x:c r="G565" s="9" t="str">
        <x:v>GF, strain ranges, response/recovery and cycling duration are quantitative.</x:v>
      </x:c>
      <x:c r="H565" s="9" t="str">
        <x:v>PDF pp. 2–9; Figs. 1–6; Supporting Figs. S1–S3 and Table S1 cited</x:v>
      </x:c>
      <x:c r="I565" s="43" t="str"/>
      <x:c r="J565" s="43" t="str"/>
    </x:row>
    <x:row r="566" ht="24" hidden="0" customHeight="1">
      <x:c r="A566" s="9" t="n">
        <x:v>71</x:v>
      </x:c>
      <x:c r="B566" s="9" t="str">
        <x:v>S086</x:v>
      </x:c>
      <x:c r="C566" s="9" t="str">
        <x:v>Li et al. (2022)</x:v>
      </x:c>
      <x:c r="D566" s="9" t="str">
        <x:v>L5</x:v>
      </x:c>
      <x:c r="E566" s="9" t="str">
        <x:v>1</x:v>
      </x:c>
      <x:c r="F566" s="9" t="str">
        <x:v>Initial agreement</x:v>
      </x:c>
      <x:c r="G566" s="9" t="str">
        <x:v>Repeated cyclic traces at three strain amplitudes extend for 2000 s each.</x:v>
      </x:c>
      <x:c r="H566" s="9" t="str">
        <x:v>PDF pp. 2–9; Figs. 1–6; Supporting Figs. S1–S3 and Table S1 cited</x:v>
      </x:c>
      <x:c r="I566" s="43" t="str"/>
      <x:c r="J566" s="43" t="str"/>
    </x:row>
    <x:row r="567" ht="26.399999618530273" hidden="0" customHeight="1">
      <x:c r="A567" s="9" t="n">
        <x:v>71</x:v>
      </x:c>
      <x:c r="B567" s="9" t="str">
        <x:v>S086</x:v>
      </x:c>
      <x:c r="C567" s="9" t="str">
        <x:v>Li et al. (2022)</x:v>
      </x:c>
      <x:c r="D567" s="9" t="str">
        <x:v>L6</x:v>
      </x:c>
      <x:c r="E567" s="9" t="str">
        <x:v>0</x:v>
      </x:c>
      <x:c r="F567" s="9" t="str">
        <x:v>Initial agreement</x:v>
      </x:c>
      <x:c r="G567" s="9" t="str">
        <x:v>Microwave sintering is a fabrication treatment and rate is an intended loading variable; no distinct qualifying use exposure was tested.</x:v>
      </x:c>
      <x:c r="H567" s="9" t="str">
        <x:v>PDF pp. 2–9; Figs. 1–6; Supporting Figs. S1–S3 and Table S1 cited</x:v>
      </x:c>
      <x:c r="I567" s="43" t="str">
        <x:v>No qualifying extrinsic-exposure evidence located</x:v>
      </x:c>
      <x:c r="J567" s="43" t="str">
        <x:v>No response was located during or after a deliberately applied condition extrinsic to the intended measurand.</x:v>
      </x:c>
    </x:row>
    <x:row r="568" ht="26.399999618530273" hidden="0" customHeight="1">
      <x:c r="A568" s="9" t="n">
        <x:v>71</x:v>
      </x:c>
      <x:c r="B568" s="9" t="str">
        <x:v>S086</x:v>
      </x:c>
      <x:c r="C568" s="9" t="str">
        <x:v>Li et al. (2022)</x:v>
      </x:c>
      <x:c r="D568" s="9" t="str">
        <x:v>L7</x:v>
      </x:c>
      <x:c r="E568" s="9" t="str">
        <x:v>0</x:v>
      </x:c>
      <x:c r="F568" s="9" t="str">
        <x:v>Complete L7 audit—not qualifying</x:v>
      </x:c>
      <x:c r="G568" s="9" t="str">
        <x:v>No qualifying interface-integrity test or repeated final monolithic wearable-assembly test with a retention/failure endpoint was located.</x:v>
      </x:c>
      <x:c r="H568" s="9" t="str">
        <x:v>PDF pp. 2–9; Figs. 1–6; Supporting Figs. S1–S3 and Table S1 cited</x:v>
      </x:c>
      <x:c r="I568" s="43" t="str">
        <x:v>No qualifying interface/final-assembly endpoint located</x:v>
      </x:c>
      <x:c r="J568" s="43" t="str">
        <x:v>Neither a Route A interface endpoint nor a Route B repeated final-assembly retention/failure endpoint was located.</x:v>
      </x:c>
    </x:row>
    <x:row r="569" ht="39.599998474121094" hidden="0" customHeight="1">
      <x:c r="A569" s="9" t="n">
        <x:v>71</x:v>
      </x:c>
      <x:c r="B569" s="9" t="str">
        <x:v>S086</x:v>
      </x:c>
      <x:c r="C569" s="9" t="str">
        <x:v>Li et al. (2022)</x:v>
      </x:c>
      <x:c r="D569" s="9" t="str">
        <x:v>L8</x:v>
      </x:c>
      <x:c r="E569" s="9" t="str">
        <x:v>0</x:v>
      </x:c>
      <x:c r="F569" s="9" t="str">
        <x:v>Initial agreement</x:v>
      </x:c>
      <x:c r="G569" s="9" t="str">
        <x:v>Five trials quantify silver content, not complete-device response; ≥3 separately fabricated sensing units were not compared.</x:v>
      </x:c>
      <x:c r="H569" s="9" t="str">
        <x:v>PDF pp. 2–9; Figs. 1–6; Supporting Figs. S1–S3 and Table S1 cited</x:v>
      </x:c>
      <x:c r="I569" s="43" t="str">
        <x:v>Non-qualifying repeated unit or condition</x:v>
      </x:c>
      <x:c r="J569" s="43" t="str">
        <x:v>The repeated entities were people, channels, variants, material specimens, repeated measurements or devices tested under different conditions.</x:v>
      </x:c>
    </x:row>
    <x:row r="570" ht="26.399999618530273" hidden="0" customHeight="1">
      <x:c r="A570" s="9" t="n">
        <x:v>72</x:v>
      </x:c>
      <x:c r="B570" s="9" t="str">
        <x:v>S087</x:v>
      </x:c>
      <x:c r="C570" s="9" t="str">
        <x:v>Ma et al. (2021)</x:v>
      </x:c>
      <x:c r="D570" s="9" t="str">
        <x:v>L1</x:v>
      </x:c>
      <x:c r="E570" s="9" t="str">
        <x:v>0</x:v>
      </x:c>
      <x:c r="F570" s="9" t="str">
        <x:v>Initial agreement</x:v>
      </x:c>
      <x:c r="G570" s="9" t="str">
        <x:v>FDM platform supplier, material, nozzle diameters, axis speeds, layers and geometry are reported, but extrusion temperature and layer height are absent.</x:v>
      </x:c>
      <x:c r="H570" s="9" t="str">
        <x:v>PDF pp. 2–7; Figs. 1–5; Supplementary Figs. S1–S7 cited</x:v>
      </x:c>
      <x:c r="I570" s="43" t="str">
        <x:v>Applicable fabrication information incomplete</x:v>
      </x:c>
      <x:c r="J570" s="43" t="str">
        <x:v>One or more architecture-relevant fabrication fields needed to reconstruct the tested printed component were not located.</x:v>
      </x:c>
    </x:row>
    <x:row r="571" ht="24" hidden="0" customHeight="1">
      <x:c r="A571" s="9" t="n">
        <x:v>72</x:v>
      </x:c>
      <x:c r="B571" s="9" t="str">
        <x:v>S087</x:v>
      </x:c>
      <x:c r="C571" s="9" t="str">
        <x:v>Ma et al. (2021)</x:v>
      </x:c>
      <x:c r="D571" s="9" t="str">
        <x:v>L2</x:v>
      </x:c>
      <x:c r="E571" s="9" t="str">
        <x:v>1</x:v>
      </x:c>
      <x:c r="F571" s="9" t="str">
        <x:v>Initial agreement</x:v>
      </x:c>
      <x:c r="G571" s="9" t="str">
        <x:v>SEBS, graphene suspension/concentration, surface-filling treatment, geometry and copper electrodes are described.</x:v>
      </x:c>
      <x:c r="H571" s="9" t="str">
        <x:v>PDF pp. 2–7; Figs. 1–5; Supplementary Figs. S1–S7 cited</x:v>
      </x:c>
      <x:c r="I571" s="43" t="str"/>
      <x:c r="J571" s="43" t="str"/>
    </x:row>
    <x:row r="572" ht="15" hidden="0" customHeight="1">
      <x:c r="A572" s="9" t="n">
        <x:v>72</x:v>
      </x:c>
      <x:c r="B572" s="9" t="str">
        <x:v>S087</x:v>
      </x:c>
      <x:c r="C572" s="9" t="str">
        <x:v>Ma et al. (2021)</x:v>
      </x:c>
      <x:c r="D572" s="9" t="str">
        <x:v>L3</x:v>
      </x:c>
      <x:c r="E572" s="9" t="str">
        <x:v>1</x:v>
      </x:c>
      <x:c r="F572" s="9" t="str">
        <x:v>Initial agreement</x:v>
      </x:c>
      <x:c r="G572" s="9" t="str">
        <x:v>Controlled tensile/pressure inputs and body motions are linked to resistance response.</x:v>
      </x:c>
      <x:c r="H572" s="9" t="str">
        <x:v>PDF pp. 2–7; Figs. 1–5; Supplementary Figs. S1–S7 cited</x:v>
      </x:c>
      <x:c r="I572" s="43" t="str"/>
      <x:c r="J572" s="43" t="str"/>
    </x:row>
    <x:row r="573" ht="15" hidden="0" customHeight="1">
      <x:c r="A573" s="9" t="n">
        <x:v>72</x:v>
      </x:c>
      <x:c r="B573" s="9" t="str">
        <x:v>S087</x:v>
      </x:c>
      <x:c r="C573" s="9" t="str">
        <x:v>Ma et al. (2021)</x:v>
      </x:c>
      <x:c r="D573" s="9" t="str">
        <x:v>L4</x:v>
      </x:c>
      <x:c r="E573" s="9" t="str">
        <x:v>1</x:v>
      </x:c>
      <x:c r="F573" s="9" t="str">
        <x:v>Initial agreement</x:v>
      </x:c>
      <x:c r="G573" s="9" t="str">
        <x:v>GF, pressure sensitivity, response/recovery and endurance values are quantitative.</x:v>
      </x:c>
      <x:c r="H573" s="9" t="str">
        <x:v>PDF pp. 2–7; Figs. 1–5; Supplementary Figs. S1–S7 cited</x:v>
      </x:c>
      <x:c r="I573" s="43" t="str"/>
      <x:c r="J573" s="43" t="str"/>
    </x:row>
    <x:row r="574" ht="15" hidden="0" customHeight="1">
      <x:c r="A574" s="9" t="n">
        <x:v>72</x:v>
      </x:c>
      <x:c r="B574" s="9" t="str">
        <x:v>S087</x:v>
      </x:c>
      <x:c r="C574" s="9" t="str">
        <x:v>Ma et al. (2021)</x:v>
      </x:c>
      <x:c r="D574" s="9" t="str">
        <x:v>L5</x:v>
      </x:c>
      <x:c r="E574" s="9" t="str">
        <x:v>1</x:v>
      </x:c>
      <x:c r="F574" s="9" t="str">
        <x:v>Initial agreement</x:v>
      </x:c>
      <x:c r="G574" s="9" t="str">
        <x:v>Ten compression cycles and a 2000-cycle endurance test are reported.</x:v>
      </x:c>
      <x:c r="H574" s="9" t="str">
        <x:v>PDF pp. 2–7; Figs. 1–5; Supplementary Figs. S1–S7 cited</x:v>
      </x:c>
      <x:c r="I574" s="43" t="str"/>
      <x:c r="J574" s="43" t="str"/>
    </x:row>
    <x:row r="575" ht="26.399999618530273" hidden="0" customHeight="1">
      <x:c r="A575" s="9" t="n">
        <x:v>72</x:v>
      </x:c>
      <x:c r="B575" s="9" t="str">
        <x:v>S087</x:v>
      </x:c>
      <x:c r="C575" s="9" t="str">
        <x:v>Ma et al. (2021)</x:v>
      </x:c>
      <x:c r="D575" s="9" t="str">
        <x:v>L6</x:v>
      </x:c>
      <x:c r="E575" s="9" t="str">
        <x:v>0</x:v>
      </x:c>
      <x:c r="F575" s="9" t="str">
        <x:v>Initial agreement</x:v>
      </x:c>
      <x:c r="G575" s="9" t="str">
        <x:v>Peel testing assesses graphene adhesion, but sensor response after a declared abrasion/wash/environmental exposure was not reported.</x:v>
      </x:c>
      <x:c r="H575" s="9" t="str">
        <x:v>PDF pp. 2–7; Figs. 1–5; Supplementary Figs. S1–S7 cited</x:v>
      </x:c>
      <x:c r="I575" s="43" t="str">
        <x:v>No qualifying extrinsic-exposure evidence located</x:v>
      </x:c>
      <x:c r="J575" s="43" t="str">
        <x:v>No response was located during or after a deliberately applied condition extrinsic to the intended measurand.</x:v>
      </x:c>
    </x:row>
    <x:row r="576" ht="36" hidden="0" customHeight="1">
      <x:c r="A576" s="9" t="n">
        <x:v>72</x:v>
      </x:c>
      <x:c r="B576" s="9" t="str">
        <x:v>S087</x:v>
      </x:c>
      <x:c r="C576" s="9" t="str">
        <x:v>Ma et al. (2021)</x:v>
      </x:c>
      <x:c r="D576" s="9" t="str">
        <x:v>L7</x:v>
      </x:c>
      <x:c r="E576" s="9" t="str">
        <x:v>1</x:v>
      </x:c>
      <x:c r="F576" s="9" t="str">
        <x:v>Complete L7 audit—Route A</x:v>
      </x:c>
      <x:c r="G576" s="9" t="str">
        <x:v>Route A—direct interface: standardized tape peel testing measured peel force and graphene transfer, demonstrating stronger graphene–SEBS adhesion for the surface-filled structure than for the surface-coated comparator.</x:v>
      </x:c>
      <x:c r="H576" s="9" t="str">
        <x:v>S087_Main.pdf, physical pp. 3–4, Fig. 1 and Supplementary Figs. S3–S4</x:v>
      </x:c>
      <x:c r="I576" s="43" t="str"/>
      <x:c r="J576" s="43" t="str"/>
    </x:row>
    <x:row r="577" ht="39.599998474121094" hidden="0" customHeight="1">
      <x:c r="A577" s="9" t="n">
        <x:v>72</x:v>
      </x:c>
      <x:c r="B577" s="9" t="str">
        <x:v>S087</x:v>
      </x:c>
      <x:c r="C577" s="9" t="str">
        <x:v>Ma et al. (2021)</x:v>
      </x:c>
      <x:c r="D577" s="9" t="str">
        <x:v>L8</x:v>
      </x:c>
      <x:c r="E577" s="9" t="str">
        <x:v>0</x:v>
      </x:c>
      <x:c r="F577" s="9" t="str">
        <x:v>Initial agreement</x:v>
      </x:c>
      <x:c r="G577" s="9" t="str">
        <x:v>Process/geometry/material variants and repeated cycles were reported, but no ≥3 separately fabricated same-condition complete-device comparison was identified.</x:v>
      </x:c>
      <x:c r="H577" s="9" t="str">
        <x:v>PDF pp. 2–7; Figs. 1–5; Supplementary Figs. S1–S7 cited</x:v>
      </x:c>
      <x:c r="I577" s="43" t="str">
        <x:v>Non-qualifying repeated unit or condition</x:v>
      </x:c>
      <x:c r="J577" s="43" t="str">
        <x:v>The repeated entities were people, channels, variants, material specimens, repeated measurements or devices tested under different conditions.</x:v>
      </x:c>
    </x:row>
    <x:row r="578" ht="26.399999618530273" hidden="0" customHeight="1">
      <x:c r="A578" s="9" t="n">
        <x:v>73</x:v>
      </x:c>
      <x:c r="B578" s="9" t="str">
        <x:v>S088</x:v>
      </x:c>
      <x:c r="C578" s="9" t="str">
        <x:v>Cheng-Yu et al. (2021)</x:v>
      </x:c>
      <x:c r="D578" s="9" t="str">
        <x:v>L1</x:v>
      </x:c>
      <x:c r="E578" s="9" t="str">
        <x:v>0</x:v>
      </x:c>
      <x:c r="F578" s="9" t="str">
        <x:v>Initial agreement</x:v>
      </x:c>
      <x:c r="G578" s="9" t="str">
        <x:v>FDM, flexible PLA, temperature, speed, infill, pattern, geometry and embedding sequence are reported, but printer/model, nozzle diameter and layer height are absent.</x:v>
      </x:c>
      <x:c r="H578" s="9" t="str">
        <x:v>PDF pp. 4–12; Figs. 1–10; Table 1</x:v>
      </x:c>
      <x:c r="I578" s="43" t="str">
        <x:v>Applicable fabrication information incomplete</x:v>
      </x:c>
      <x:c r="J578" s="43" t="str">
        <x:v>One or more architecture-relevant fabrication fields needed to reconstruct the tested printed component were not located.</x:v>
      </x:c>
    </x:row>
    <x:row r="579" ht="15" hidden="0" customHeight="1">
      <x:c r="A579" s="9" t="n">
        <x:v>73</x:v>
      </x:c>
      <x:c r="B579" s="9" t="str">
        <x:v>S088</x:v>
      </x:c>
      <x:c r="C579" s="9" t="str">
        <x:v>Cheng-Yu et al. (2021)</x:v>
      </x:c>
      <x:c r="D579" s="9" t="str">
        <x:v>L2</x:v>
      </x:c>
      <x:c r="E579" s="9" t="str">
        <x:v>1</x:v>
      </x:c>
      <x:c r="F579" s="9" t="str">
        <x:v>Initial agreement</x:v>
      </x:c>
      <x:c r="G579" s="9" t="str">
        <x:v>PLA ring, FBG, embedding geometry, attachment and optical readout are described.</x:v>
      </x:c>
      <x:c r="H579" s="9" t="str">
        <x:v>PDF pp. 4–12; Figs. 1–10; Table 1</x:v>
      </x:c>
      <x:c r="I579" s="43" t="str"/>
      <x:c r="J579" s="43" t="str"/>
    </x:row>
    <x:row r="580" ht="15" hidden="0" customHeight="1">
      <x:c r="A580" s="9" t="n">
        <x:v>73</x:v>
      </x:c>
      <x:c r="B580" s="9" t="str">
        <x:v>S088</x:v>
      </x:c>
      <x:c r="C580" s="9" t="str">
        <x:v>Cheng-Yu et al. (2021)</x:v>
      </x:c>
      <x:c r="D580" s="9" t="str">
        <x:v>L3</x:v>
      </x:c>
      <x:c r="E580" s="9" t="str">
        <x:v>1</x:v>
      </x:c>
      <x:c r="F580" s="9" t="str">
        <x:v>Initial agreement</x:v>
      </x:c>
      <x:c r="G580" s="9" t="str">
        <x:v>Defined elbow/knee angles and walking speeds are linked to FBG wavelength response.</x:v>
      </x:c>
      <x:c r="H580" s="9" t="str">
        <x:v>PDF pp. 4–12; Figs. 1–10; Table 1</x:v>
      </x:c>
      <x:c r="I580" s="43" t="str"/>
      <x:c r="J580" s="43" t="str"/>
    </x:row>
    <x:row r="581" ht="15" hidden="0" customHeight="1">
      <x:c r="A581" s="9" t="n">
        <x:v>73</x:v>
      </x:c>
      <x:c r="B581" s="9" t="str">
        <x:v>S088</x:v>
      </x:c>
      <x:c r="C581" s="9" t="str">
        <x:v>Cheng-Yu et al. (2021)</x:v>
      </x:c>
      <x:c r="D581" s="9" t="str">
        <x:v>L4</x:v>
      </x:c>
      <x:c r="E581" s="9" t="str">
        <x:v>1</x:v>
      </x:c>
      <x:c r="F581" s="9" t="str">
        <x:v>Initial agreement</x:v>
      </x:c>
      <x:c r="G581" s="9" t="str">
        <x:v>Sensitivities, resolutions, angle ranges and maximum error are quantitative.</x:v>
      </x:c>
      <x:c r="H581" s="9" t="str">
        <x:v>PDF pp. 4–12; Figs. 1–10; Table 1</x:v>
      </x:c>
      <x:c r="I581" s="43" t="str"/>
      <x:c r="J581" s="43" t="str"/>
    </x:row>
    <x:row r="582" ht="15" hidden="0" customHeight="1">
      <x:c r="A582" s="9" t="n">
        <x:v>73</x:v>
      </x:c>
      <x:c r="B582" s="9" t="str">
        <x:v>S088</x:v>
      </x:c>
      <x:c r="C582" s="9" t="str">
        <x:v>Cheng-Yu et al. (2021)</x:v>
      </x:c>
      <x:c r="D582" s="9" t="str">
        <x:v>L5</x:v>
      </x:c>
      <x:c r="E582" s="9" t="str">
        <x:v>1</x:v>
      </x:c>
      <x:c r="F582" s="9" t="str">
        <x:v>Adjudicated to Reviewer 1</x:v>
      </x:c>
      <x:c r="G582" s="9" t="str">
        <x:v>Three repeat calibration tests and cyclic joint measurements are reported.</x:v>
      </x:c>
      <x:c r="H582" s="9" t="str">
        <x:v>PDF pp. 4–12; Figs. 1–10; Table 1</x:v>
      </x:c>
      <x:c r="I582" s="43" t="str"/>
      <x:c r="J582" s="43" t="str"/>
    </x:row>
    <x:row r="583" ht="26.399999618530273" hidden="0" customHeight="1">
      <x:c r="A583" s="9" t="n">
        <x:v>73</x:v>
      </x:c>
      <x:c r="B583" s="9" t="str">
        <x:v>S088</x:v>
      </x:c>
      <x:c r="C583" s="9" t="str">
        <x:v>Cheng-Yu et al. (2021)</x:v>
      </x:c>
      <x:c r="D583" s="9" t="str">
        <x:v>L6</x:v>
      </x:c>
      <x:c r="E583" s="9" t="str">
        <x:v>0</x:v>
      </x:c>
      <x:c r="F583" s="9" t="str">
        <x:v>Initial agreement</x:v>
      </x:c>
      <x:c r="G583" s="9" t="str">
        <x:v>A 10-min equilibration was used to reduce body-temperature influence, but sensor response under a declared environmental/use exposure was not reported.</x:v>
      </x:c>
      <x:c r="H583" s="9" t="str">
        <x:v>PDF pp. 4–12; Figs. 1–10; Table 1</x:v>
      </x:c>
      <x:c r="I583" s="43" t="str">
        <x:v>No qualifying extrinsic-exposure evidence located</x:v>
      </x:c>
      <x:c r="J583" s="43" t="str">
        <x:v>No response was located during or after a deliberately applied condition extrinsic to the intended measurand.</x:v>
      </x:c>
    </x:row>
    <x:row r="584" ht="36" hidden="0" customHeight="1">
      <x:c r="A584" s="9" t="n">
        <x:v>73</x:v>
      </x:c>
      <x:c r="B584" s="9" t="str">
        <x:v>S088</x:v>
      </x:c>
      <x:c r="C584" s="9" t="str">
        <x:v>Cheng-Yu et al. (2021)</x:v>
      </x:c>
      <x:c r="D584" s="9" t="str">
        <x:v>L7</x:v>
      </x:c>
      <x:c r="E584" s="9" t="str">
        <x:v>0</x:v>
      </x:c>
      <x:c r="F584" s="9" t="str">
        <x:v>Complete L7 audit—not qualifying</x:v>
      </x:c>
      <x:c r="G584" s="9" t="str">
        <x:v>Does not qualify after the complete L7 audit: the report shows qualitative waveform repetition or a wearable demonstration, but no Route A direct-interface endpoint and no Route B defined retention or failure endpoint for the final assembly.</x:v>
      </x:c>
      <x:c r="H584" s="9" t="str">
        <x:v>S088_Main.pdf, physical p. 7, cyclic-elbow paragraph; p. 10, Fig. 8 (the paragraph mislabels its figure reference as Fig. 7).</x:v>
      </x:c>
      <x:c r="I584" s="43" t="str">
        <x:v>No qualifying interface/final-assembly endpoint located</x:v>
      </x:c>
      <x:c r="J584" s="43" t="str">
        <x:v>Neither a Route A interface endpoint nor a Route B repeated final-assembly retention/failure endpoint was located.</x:v>
      </x:c>
    </x:row>
    <x:row r="585" ht="26.399999618530273" hidden="0" customHeight="1">
      <x:c r="A585" s="9" t="n">
        <x:v>73</x:v>
      </x:c>
      <x:c r="B585" s="9" t="str">
        <x:v>S088</x:v>
      </x:c>
      <x:c r="C585" s="9" t="str">
        <x:v>Cheng-Yu et al. (2021)</x:v>
      </x:c>
      <x:c r="D585" s="9" t="str">
        <x:v>L8</x:v>
      </x:c>
      <x:c r="E585" s="9" t="str">
        <x:v>0</x:v>
      </x:c>
      <x:c r="F585" s="9" t="str">
        <x:v>Initial agreement</x:v>
      </x:c>
      <x:c r="G585" s="9" t="str">
        <x:v>Two rings were fabricated for different joint applications; the ≥3 same-condition device criterion was not met.</x:v>
      </x:c>
      <x:c r="H585" s="9" t="str">
        <x:v>PDF pp. 4–12; Figs. 1–10; Table 1</x:v>
      </x:c>
      <x:c r="I585" s="43" t="str">
        <x:v>Insufficient experimental replication</x:v>
      </x:c>
      <x:c r="J585" s="43" t="str">
        <x:v>The reported complete-device count was below the three-device minimum.</x:v>
      </x:c>
    </x:row>
    <x:row r="586" ht="24" hidden="0" customHeight="1">
      <x:c r="A586" s="9" t="n">
        <x:v>74</x:v>
      </x:c>
      <x:c r="B586" s="9" t="str">
        <x:v>S089</x:v>
      </x:c>
      <x:c r="C586" s="9" t="str">
        <x:v>Xiang et al. (2020)</x:v>
      </x:c>
      <x:c r="D586" s="9" t="str">
        <x:v>L1</x:v>
      </x:c>
      <x:c r="E586" s="9" t="str">
        <x:v>1</x:v>
      </x:c>
      <x:c r="F586" s="9" t="str">
        <x:v>Initial agreement</x:v>
      </x:c>
      <x:c r="G586" s="9" t="str">
        <x:v>Printer, process, functional composite, nozzle, temperatures, speed, layer height, orientation, infill and specimen geometry are reported.</x:v>
      </x:c>
      <x:c r="H586" s="9" t="str">
        <x:v>PDF pp. 10–35 of available accepted manuscript; Figs. 1–10; Tables 1–2; Supplementary Tables S1–S2 cited</x:v>
      </x:c>
      <x:c r="I586" s="43" t="str"/>
      <x:c r="J586" s="43" t="str"/>
    </x:row>
    <x:row r="587" ht="24" hidden="0" customHeight="1">
      <x:c r="A587" s="9" t="n">
        <x:v>74</x:v>
      </x:c>
      <x:c r="B587" s="9" t="str">
        <x:v>S089</x:v>
      </x:c>
      <x:c r="C587" s="9" t="str">
        <x:v>Xiang et al. (2020)</x:v>
      </x:c>
      <x:c r="D587" s="9" t="str">
        <x:v>L2</x:v>
      </x:c>
      <x:c r="E587" s="9" t="str">
        <x:v>1</x:v>
      </x:c>
      <x:c r="F587" s="9" t="str">
        <x:v>Initial agreement</x:v>
      </x:c>
      <x:c r="G587" s="9" t="str">
        <x:v>TPU, CNT/GNP compositions, printed geometry, electrodes and electrical roles are described.</x:v>
      </x:c>
      <x:c r="H587" s="9" t="str">
        <x:v>PDF pp. 10–35 of available accepted manuscript; Figs. 1–10; Tables 1–2; Supplementary Tables S1–S2 cited</x:v>
      </x:c>
      <x:c r="I587" s="43" t="str"/>
      <x:c r="J587" s="43" t="str"/>
    </x:row>
    <x:row r="588" ht="24" hidden="0" customHeight="1">
      <x:c r="A588" s="9" t="n">
        <x:v>74</x:v>
      </x:c>
      <x:c r="B588" s="9" t="str">
        <x:v>S089</x:v>
      </x:c>
      <x:c r="C588" s="9" t="str">
        <x:v>Xiang et al. (2020)</x:v>
      </x:c>
      <x:c r="D588" s="9" t="str">
        <x:v>L3</x:v>
      </x:c>
      <x:c r="E588" s="9" t="str">
        <x:v>1</x:v>
      </x:c>
      <x:c r="F588" s="9" t="str">
        <x:v>Initial agreement</x:v>
      </x:c>
      <x:c r="G588" s="9" t="str">
        <x:v>Controlled strain/frequency/temperature and body-motion inputs are linked to electrical response.</x:v>
      </x:c>
      <x:c r="H588" s="9" t="str">
        <x:v>PDF pp. 10–35 of available accepted manuscript; Figs. 1–10; Tables 1–2; Supplementary Tables S1–S2 cited</x:v>
      </x:c>
      <x:c r="I588" s="43" t="str"/>
      <x:c r="J588" s="43" t="str"/>
    </x:row>
    <x:row r="589" ht="24" hidden="0" customHeight="1">
      <x:c r="A589" s="9" t="n">
        <x:v>74</x:v>
      </x:c>
      <x:c r="B589" s="9" t="str">
        <x:v>S089</x:v>
      </x:c>
      <x:c r="C589" s="9" t="str">
        <x:v>Xiang et al. (2020)</x:v>
      </x:c>
      <x:c r="D589" s="9" t="str">
        <x:v>L4</x:v>
      </x:c>
      <x:c r="E589" s="9" t="str">
        <x:v>1</x:v>
      </x:c>
      <x:c r="F589" s="9" t="str">
        <x:v>Initial agreement</x:v>
      </x:c>
      <x:c r="G589" s="9" t="str">
        <x:v>GF, linearity, strain range, conductivity and endurance conditions are quantitative.</x:v>
      </x:c>
      <x:c r="H589" s="9" t="str">
        <x:v>PDF pp. 10–35 of available accepted manuscript; Figs. 1–10; Tables 1–2; Supplementary Tables S1–S2 cited</x:v>
      </x:c>
      <x:c r="I589" s="43" t="str"/>
      <x:c r="J589" s="43" t="str"/>
    </x:row>
    <x:row r="590" ht="24" hidden="0" customHeight="1">
      <x:c r="A590" s="9" t="n">
        <x:v>74</x:v>
      </x:c>
      <x:c r="B590" s="9" t="str">
        <x:v>S089</x:v>
      </x:c>
      <x:c r="C590" s="9" t="str">
        <x:v>Xiang et al. (2020)</x:v>
      </x:c>
      <x:c r="D590" s="9" t="str">
        <x:v>L5</x:v>
      </x:c>
      <x:c r="E590" s="9" t="str">
        <x:v>1</x:v>
      </x:c>
      <x:c r="F590" s="9" t="str">
        <x:v>Initial agreement</x:v>
      </x:c>
      <x:c r="G590" s="9" t="str">
        <x:v>Cyclic protocols include 3000 cycles at 5% and 100% strain.</x:v>
      </x:c>
      <x:c r="H590" s="9" t="str">
        <x:v>PDF pp. 10–35 of available accepted manuscript; Figs. 1–10; Tables 1–2; Supplementary Tables S1–S2 cited</x:v>
      </x:c>
      <x:c r="I590" s="43" t="str"/>
      <x:c r="J590" s="43" t="str"/>
    </x:row>
    <x:row r="591" ht="24" hidden="0" customHeight="1">
      <x:c r="A591" s="9" t="n">
        <x:v>74</x:v>
      </x:c>
      <x:c r="B591" s="9" t="str">
        <x:v>S089</x:v>
      </x:c>
      <x:c r="C591" s="9" t="str">
        <x:v>Xiang et al. (2020)</x:v>
      </x:c>
      <x:c r="D591" s="9" t="str">
        <x:v>L6</x:v>
      </x:c>
      <x:c r="E591" s="9" t="str">
        <x:v>1</x:v>
      </x:c>
      <x:c r="F591" s="9" t="str">
        <x:v>L6 subtype audit</x:v>
      </x:c>
      <x:c r="G591" s="9" t="str">
        <x:v>In-exposure cross-sensitivity only: Conductivity was measured and reported across a stated 20–80 °C exposure.</x:v>
      </x:c>
      <x:c r="H591" s="9" t="str">
        <x:v>PDF pp. 10–35 of available accepted manuscript; Figs. 1–10; Tables 1–2; Supplementary Tables S1–S2 cited</x:v>
      </x:c>
      <x:c r="I591" s="43" t="str"/>
      <x:c r="J591" s="43" t="str"/>
    </x:row>
    <x:row r="592" ht="26.399999618530273" hidden="0" customHeight="1">
      <x:c r="A592" s="9" t="n">
        <x:v>74</x:v>
      </x:c>
      <x:c r="B592" s="9" t="str">
        <x:v>S089</x:v>
      </x:c>
      <x:c r="C592" s="9" t="str">
        <x:v>Xiang et al. (2020)</x:v>
      </x:c>
      <x:c r="D592" s="9" t="str">
        <x:v>L7</x:v>
      </x:c>
      <x:c r="E592" s="9" t="str">
        <x:v>0</x:v>
      </x:c>
      <x:c r="F592" s="9" t="str">
        <x:v>Complete L7 audit—not qualifying</x:v>
      </x:c>
      <x:c r="G592" s="9" t="str">
        <x:v>No qualifying interface-integrity test or repeated final monolithic wearable-assembly test with a retention/failure endpoint was located.</x:v>
      </x:c>
      <x:c r="H592" s="9" t="str">
        <x:v>PDF pp. 10–35 of available accepted manuscript; Figs. 1–10; Tables 1–2; Supplementary Tables S1–S2 cited</x:v>
      </x:c>
      <x:c r="I592" s="43" t="str">
        <x:v>No qualifying interface/final-assembly endpoint located</x:v>
      </x:c>
      <x:c r="J592" s="43" t="str">
        <x:v>Neither a Route A interface endpoint nor a Route B repeated final-assembly retention/failure endpoint was located.</x:v>
      </x:c>
    </x:row>
    <x:row r="593" ht="39.599998474121094" hidden="0" customHeight="1">
      <x:c r="A593" s="9" t="n">
        <x:v>74</x:v>
      </x:c>
      <x:c r="B593" s="9" t="str">
        <x:v>S089</x:v>
      </x:c>
      <x:c r="C593" s="9" t="str">
        <x:v>Xiang et al. (2020)</x:v>
      </x:c>
      <x:c r="D593" s="9" t="str">
        <x:v>L8</x:v>
      </x:c>
      <x:c r="E593" s="9" t="str">
        <x:v>0</x:v>
      </x:c>
      <x:c r="F593" s="9" t="str">
        <x:v>Initial agreement</x:v>
      </x:c>
      <x:c r="G593" s="9" t="str">
        <x:v>Material variants and repeated cycles were reported, but no ≥3 separately fabricated same-condition complete-device comparison was identified.</x:v>
      </x:c>
      <x:c r="H593" s="9" t="str">
        <x:v>PDF pp. 10–35 of available accepted manuscript; Figs. 1–10; Tables 1–2; Supplementary Tables S1–S2 cited</x:v>
      </x:c>
      <x:c r="I593" s="43" t="str">
        <x:v>Non-qualifying repeated unit or condition</x:v>
      </x:c>
      <x:c r="J593" s="43" t="str">
        <x:v>The repeated entities were people, channels, variants, material specimens, repeated measurements or devices tested under different conditions.</x:v>
      </x:c>
    </x:row>
    <x:row r="594" ht="26.399999618530273" hidden="0" customHeight="1">
      <x:c r="A594" s="9" t="n">
        <x:v>75</x:v>
      </x:c>
      <x:c r="B594" s="9" t="str">
        <x:v>S090</x:v>
      </x:c>
      <x:c r="C594" s="9" t="str">
        <x:v>Fan et al. (2019)</x:v>
      </x:c>
      <x:c r="D594" s="9" t="str">
        <x:v>L1</x:v>
      </x:c>
      <x:c r="E594" s="9" t="str">
        <x:v>0</x:v>
      </x:c>
      <x:c r="F594" s="9" t="str">
        <x:v>Initial agreement</x:v>
      </x:c>
      <x:c r="G594" s="9" t="str">
        <x:v>The FDM system, soft-PLA filament and role of the mask are stated, but FDM nozzle diameter, extrusion temperature, layer height, speed and infill are not reported.</x:v>
      </x:c>
      <x:c r="H594" s="9" t="str">
        <x:v>PDF pp. 2–7; Figs. 1, 3–4; Tables 1–2</x:v>
      </x:c>
      <x:c r="I594" s="43" t="str">
        <x:v>Applicable fabrication information incomplete</x:v>
      </x:c>
      <x:c r="J594" s="43" t="str">
        <x:v>One or more architecture-relevant fabrication fields needed to reconstruct the tested printed component were not located.</x:v>
      </x:c>
    </x:row>
    <x:row r="595" ht="24" hidden="0" customHeight="1">
      <x:c r="A595" s="9" t="n">
        <x:v>75</x:v>
      </x:c>
      <x:c r="B595" s="9" t="str">
        <x:v>S090</x:v>
      </x:c>
      <x:c r="C595" s="9" t="str">
        <x:v>Fan et al. (2019)</x:v>
      </x:c>
      <x:c r="D595" s="9" t="str">
        <x:v>L2</x:v>
      </x:c>
      <x:c r="E595" s="9" t="str">
        <x:v>1</x:v>
      </x:c>
      <x:c r="F595" s="9" t="str">
        <x:v>Initial agreement</x:v>
      </x:c>
      <x:c r="G595" s="9" t="str">
        <x:v>Soft PLA, PEDOT:PSS, silver contacts, substrates, electrolyte and the structural role of the insulating mask are described.</x:v>
      </x:c>
      <x:c r="H595" s="9" t="str">
        <x:v>PDF pp. 2–7; Figs. 1, 3–4; Tables 1–2</x:v>
      </x:c>
      <x:c r="I595" s="43" t="str"/>
      <x:c r="J595" s="43" t="str"/>
    </x:row>
    <x:row r="596" ht="24" hidden="0" customHeight="1">
      <x:c r="A596" s="9" t="n">
        <x:v>75</x:v>
      </x:c>
      <x:c r="B596" s="9" t="str">
        <x:v>S090</x:v>
      </x:c>
      <x:c r="C596" s="9" t="str">
        <x:v>Fan et al. (2019)</x:v>
      </x:c>
      <x:c r="D596" s="9" t="str">
        <x:v>L3</x:v>
      </x:c>
      <x:c r="E596" s="9" t="str">
        <x:v>1</x:v>
      </x:c>
      <x:c r="F596" s="9" t="str">
        <x:v>Initial agreement</x:v>
      </x:c>
      <x:c r="G596" s="9" t="str">
        <x:v>Electrical gate/drain inputs and ion/pH inputs are linked to OECT current, voltage shift and transconductance outputs.</x:v>
      </x:c>
      <x:c r="H596" s="9" t="str">
        <x:v>PDF pp. 2–7; Figs. 1, 3–4; Tables 1–2</x:v>
      </x:c>
      <x:c r="I596" s="43" t="str"/>
      <x:c r="J596" s="43" t="str"/>
    </x:row>
    <x:row r="597" ht="24" hidden="0" customHeight="1">
      <x:c r="A597" s="9" t="n">
        <x:v>75</x:v>
      </x:c>
      <x:c r="B597" s="9" t="str">
        <x:v>S090</x:v>
      </x:c>
      <x:c r="C597" s="9" t="str">
        <x:v>Fan et al. (2019)</x:v>
      </x:c>
      <x:c r="D597" s="9" t="str">
        <x:v>L4</x:v>
      </x:c>
      <x:c r="E597" s="9" t="str">
        <x:v>1</x:v>
      </x:c>
      <x:c r="F597" s="9" t="str">
        <x:v>Initial agreement</x:v>
      </x:c>
      <x:c r="G597" s="9" t="str">
        <x:v>Transconductance, threshold voltage, ON/OFF ratio and ion/pH sensitivities are quantitative with stated ranges or conditions.</x:v>
      </x:c>
      <x:c r="H597" s="9" t="str">
        <x:v>PDF pp. 2–7; Figs. 1, 3–4; Tables 1–2</x:v>
      </x:c>
      <x:c r="I597" s="43" t="str"/>
      <x:c r="J597" s="43" t="str"/>
    </x:row>
    <x:row r="598" ht="26.399999618530273" hidden="0" customHeight="1">
      <x:c r="A598" s="9" t="n">
        <x:v>75</x:v>
      </x:c>
      <x:c r="B598" s="9" t="str">
        <x:v>S090</x:v>
      </x:c>
      <x:c r="C598" s="9" t="str">
        <x:v>Fan et al. (2019)</x:v>
      </x:c>
      <x:c r="D598" s="9" t="str">
        <x:v>L5</x:v>
      </x:c>
      <x:c r="E598" s="9" t="str">
        <x:v>0</x:v>
      </x:c>
      <x:c r="F598" s="9" t="str">
        <x:v>Initial agreement</x:v>
      </x:c>
      <x:c r="G598" s="9" t="str">
        <x:v>The paper mentions measurement cycles and repeatability but does not report at least three complete same-device repetitions of a defined intended stimulus.</x:v>
      </x:c>
      <x:c r="H598" s="9" t="str">
        <x:v>PDF pp. 2–7; Figs. 1, 3–4; Tables 1–2</x:v>
      </x:c>
      <x:c r="I598" s="43" t="str">
        <x:v>Replication count unreported or unclear</x:v>
      </x:c>
      <x:c r="J598" s="43" t="str">
        <x:v>Repeated-response wording or a trace was present, but the qualifying repetition count was not reported clearly.</x:v>
      </x:c>
    </x:row>
    <x:row r="599" ht="26.399999618530273" hidden="0" customHeight="1">
      <x:c r="A599" s="9" t="n">
        <x:v>75</x:v>
      </x:c>
      <x:c r="B599" s="9" t="str">
        <x:v>S090</x:v>
      </x:c>
      <x:c r="C599" s="9" t="str">
        <x:v>Fan et al. (2019)</x:v>
      </x:c>
      <x:c r="D599" s="9" t="str">
        <x:v>L6</x:v>
      </x:c>
      <x:c r="E599" s="9" t="str">
        <x:v>0</x:v>
      </x:c>
      <x:c r="F599" s="9" t="str">
        <x:v>Initial agreement</x:v>
      </x:c>
      <x:c r="G599" s="9" t="str">
        <x:v>The aqueous electrolyte is the operating medium and ion/pH solutions are intended measurands; no distinct qualifying environmental or use-related exposure was tested.</x:v>
      </x:c>
      <x:c r="H599" s="9" t="str">
        <x:v>PDF pp. 2–7; Figs. 1, 3–4; Tables 1–2</x:v>
      </x:c>
      <x:c r="I599" s="43" t="str">
        <x:v>No qualifying extrinsic-exposure evidence located</x:v>
      </x:c>
      <x:c r="J599" s="43" t="str">
        <x:v>No response was located during or after a deliberately applied condition extrinsic to the intended measurand.</x:v>
      </x:c>
    </x:row>
    <x:row r="600" ht="26.399999618530273" hidden="0" customHeight="1">
      <x:c r="A600" s="9" t="n">
        <x:v>75</x:v>
      </x:c>
      <x:c r="B600" s="9" t="str">
        <x:v>S090</x:v>
      </x:c>
      <x:c r="C600" s="9" t="str">
        <x:v>Fan et al. (2019)</x:v>
      </x:c>
      <x:c r="D600" s="9" t="str">
        <x:v>L7</x:v>
      </x:c>
      <x:c r="E600" s="9" t="str">
        <x:v>0</x:v>
      </x:c>
      <x:c r="F600" s="9" t="str">
        <x:v>Complete L7 audit—not qualifying</x:v>
      </x:c>
      <x:c r="G600" s="9" t="str">
        <x:v>No qualifying interface-integrity test or repeated final monolithic wearable-assembly test with a retention/failure endpoint was located.</x:v>
      </x:c>
      <x:c r="H600" s="9" t="str">
        <x:v>PDF pp. 2–7; Figs. 1, 3–4; Tables 1–2</x:v>
      </x:c>
      <x:c r="I600" s="43" t="str">
        <x:v>No qualifying interface/final-assembly endpoint located</x:v>
      </x:c>
      <x:c r="J600" s="43" t="str">
        <x:v>Neither a Route A interface endpoint nor a Route B repeated final-assembly retention/failure endpoint was located.</x:v>
      </x:c>
    </x:row>
    <x:row r="601" ht="24" hidden="0" customHeight="1">
      <x:c r="A601" s="9" t="n">
        <x:v>75</x:v>
      </x:c>
      <x:c r="B601" s="9" t="str">
        <x:v>S090</x:v>
      </x:c>
      <x:c r="C601" s="9" t="str">
        <x:v>Fan et al. (2019)</x:v>
      </x:c>
      <x:c r="D601" s="9" t="str">
        <x:v>L8</x:v>
      </x:c>
      <x:c r="E601" s="9" t="str">
        <x:v>1</x:v>
      </x:c>
      <x:c r="F601" s="9" t="str">
        <x:v>Initial agreement</x:v>
      </x:c>
      <x:c r="G601" s="9" t="str">
        <x:v>Soft-PLA and PET device parameters are reported across n=4 or n=8 devices with dispersion, satisfying the locked between-device rule.</x:v>
      </x:c>
      <x:c r="H601" s="9" t="str">
        <x:v>PDF pp. 2–7; Figs. 1, 3–4; Tables 1–2</x:v>
      </x:c>
      <x:c r="I601" s="43" t="str"/>
      <x:c r="J601" s="43" t="str"/>
    </x:row>
    <x:row r="602" ht="24" hidden="0" customHeight="1">
      <x:c r="A602" s="9" t="n">
        <x:v>76</x:v>
      </x:c>
      <x:c r="B602" s="9" t="str">
        <x:v>S091</x:v>
      </x:c>
      <x:c r="C602" s="9" t="str">
        <x:v>Kennedy et al. (2017)</x:v>
      </x:c>
      <x:c r="D602" s="9" t="str">
        <x:v>L1</x:v>
      </x:c>
      <x:c r="E602" s="9" t="str">
        <x:v>1</x:v>
      </x:c>
      <x:c r="F602" s="9" t="str">
        <x:v>Adjudicated to Reviewer 1</x:v>
      </x:c>
      <x:c r="G602" s="9" t="str">
        <x:v>FDM, printer/model, functional filament, nozzle, print and bed temperatures, speed, layer height, raster direction and specimen geometry are reported.</x:v>
      </x:c>
      <x:c r="H602" s="9" t="str">
        <x:v>PDF pp. 1–8; Figs. 2, 6–11; Table 1; ESI Table S1 and Fig. S5 cited</x:v>
      </x:c>
      <x:c r="I602" s="43" t="str"/>
      <x:c r="J602" s="43" t="str"/>
    </x:row>
    <x:row r="603" ht="24" hidden="0" customHeight="1">
      <x:c r="A603" s="9" t="n">
        <x:v>76</x:v>
      </x:c>
      <x:c r="B603" s="9" t="str">
        <x:v>S091</x:v>
      </x:c>
      <x:c r="C603" s="9" t="str">
        <x:v>Kennedy et al. (2017)</x:v>
      </x:c>
      <x:c r="D603" s="9" t="str">
        <x:v>L2</x:v>
      </x:c>
      <x:c r="E603" s="9" t="str">
        <x:v>1</x:v>
      </x:c>
      <x:c r="F603" s="9" t="str">
        <x:v>Initial agreement</x:v>
      </x:c>
      <x:c r="G603" s="9" t="str">
        <x:v>PVDF grade, MWCNT dimensions/loading, composite preparation, printed geometry, contacts and electrical readout are described.</x:v>
      </x:c>
      <x:c r="H603" s="9" t="str">
        <x:v>PDF pp. 1–8; Figs. 2, 6–11; Table 1; ESI Table S1 and Fig. S5 cited</x:v>
      </x:c>
      <x:c r="I603" s="43" t="str"/>
      <x:c r="J603" s="43" t="str"/>
    </x:row>
    <x:row r="604" ht="24" hidden="0" customHeight="1">
      <x:c r="A604" s="9" t="n">
        <x:v>76</x:v>
      </x:c>
      <x:c r="B604" s="9" t="str">
        <x:v>S091</x:v>
      </x:c>
      <x:c r="C604" s="9" t="str">
        <x:v>Kennedy et al. (2017)</x:v>
      </x:c>
      <x:c r="D604" s="9" t="str">
        <x:v>L3</x:v>
      </x:c>
      <x:c r="E604" s="9" t="str">
        <x:v>1</x:v>
      </x:c>
      <x:c r="F604" s="9" t="str">
        <x:v>Adjudicated to Reviewer 1</x:v>
      </x:c>
      <x:c r="G604" s="9" t="str">
        <x:v>Controlled VOC exposure and vacuum recovery are linked to real-time relative resistance.</x:v>
      </x:c>
      <x:c r="H604" s="9" t="str">
        <x:v>PDF pp. 1–8; Figs. 2, 6–11; Table 1; ESI Table S1 and Fig. S5 cited</x:v>
      </x:c>
      <x:c r="I604" s="43" t="str"/>
      <x:c r="J604" s="43" t="str"/>
    </x:row>
    <x:row r="605" ht="24" hidden="0" customHeight="1">
      <x:c r="A605" s="9" t="n">
        <x:v>76</x:v>
      </x:c>
      <x:c r="B605" s="9" t="str">
        <x:v>S091</x:v>
      </x:c>
      <x:c r="C605" s="9" t="str">
        <x:v>Kennedy et al. (2017)</x:v>
      </x:c>
      <x:c r="D605" s="9" t="str">
        <x:v>L4</x:v>
      </x:c>
      <x:c r="E605" s="9" t="str">
        <x:v>1</x:v>
      </x:c>
      <x:c r="F605" s="9" t="str">
        <x:v>Initial agreement</x:v>
      </x:c>
      <x:c r="G605" s="9" t="str">
        <x:v>Resistance change, response time, baseline resistance, loading, geometry and cycle conditions are quantitatively reported.</x:v>
      </x:c>
      <x:c r="H605" s="9" t="str">
        <x:v>PDF pp. 1–8; Figs. 2, 6–11; Table 1; ESI Table S1 and Fig. S5 cited</x:v>
      </x:c>
      <x:c r="I605" s="43" t="str"/>
      <x:c r="J605" s="43" t="str"/>
    </x:row>
    <x:row r="606" ht="24" hidden="0" customHeight="1">
      <x:c r="A606" s="9" t="n">
        <x:v>76</x:v>
      </x:c>
      <x:c r="B606" s="9" t="str">
        <x:v>S091</x:v>
      </x:c>
      <x:c r="C606" s="9" t="str">
        <x:v>Kennedy et al. (2017)</x:v>
      </x:c>
      <x:c r="D606" s="9" t="str">
        <x:v>L5</x:v>
      </x:c>
      <x:c r="E606" s="9" t="str">
        <x:v>1</x:v>
      </x:c>
      <x:c r="F606" s="9" t="str">
        <x:v>Initial agreement</x:v>
      </x:c>
      <x:c r="G606" s="9" t="str">
        <x:v>Four-cycle VOC tests and a 25-cycle acetone–vacuum endurance test provide defined same-device repetition evidence.</x:v>
      </x:c>
      <x:c r="H606" s="9" t="str">
        <x:v>PDF pp. 1–8; Figs. 2, 6–11; Table 1; ESI Table S1 and Fig. S5 cited</x:v>
      </x:c>
      <x:c r="I606" s="43" t="str"/>
      <x:c r="J606" s="43" t="str"/>
    </x:row>
    <x:row r="607" ht="26.399999618530273" hidden="0" customHeight="1">
      <x:c r="A607" s="9" t="n">
        <x:v>76</x:v>
      </x:c>
      <x:c r="B607" s="9" t="str">
        <x:v>S091</x:v>
      </x:c>
      <x:c r="C607" s="9" t="str">
        <x:v>Kennedy et al. (2017)</x:v>
      </x:c>
      <x:c r="D607" s="9" t="str">
        <x:v>L6</x:v>
      </x:c>
      <x:c r="E607" s="9" t="str">
        <x:v>0</x:v>
      </x:c>
      <x:c r="F607" s="9" t="str">
        <x:v>Initial agreement</x:v>
      </x:c>
      <x:c r="G607" s="9" t="str">
        <x:v>VOC exposure is the intended measurand rather than a distinct environmental or use-related stress; no separate qualifying exposure was tested.</x:v>
      </x:c>
      <x:c r="H607" s="9" t="str">
        <x:v>PDF pp. 1–8; Figs. 2, 6–11; Table 1; ESI Table S1 and Fig. S5 cited</x:v>
      </x:c>
      <x:c r="I607" s="43" t="str">
        <x:v>No qualifying extrinsic-exposure evidence located</x:v>
      </x:c>
      <x:c r="J607" s="43" t="str">
        <x:v>No response was located during or after a deliberately applied condition extrinsic to the intended measurand.</x:v>
      </x:c>
    </x:row>
    <x:row r="608" ht="26.399999618530273" hidden="0" customHeight="1">
      <x:c r="A608" s="9" t="n">
        <x:v>76</x:v>
      </x:c>
      <x:c r="B608" s="9" t="str">
        <x:v>S091</x:v>
      </x:c>
      <x:c r="C608" s="9" t="str">
        <x:v>Kennedy et al. (2017)</x:v>
      </x:c>
      <x:c r="D608" s="9" t="str">
        <x:v>L7</x:v>
      </x:c>
      <x:c r="E608" s="9" t="str">
        <x:v>0</x:v>
      </x:c>
      <x:c r="F608" s="9" t="str">
        <x:v>Complete L7 audit—not qualifying</x:v>
      </x:c>
      <x:c r="G608" s="9" t="str">
        <x:v>No qualifying interface-integrity test or repeated final monolithic wearable-assembly test with a retention/failure endpoint was located.</x:v>
      </x:c>
      <x:c r="H608" s="9" t="str">
        <x:v>PDF pp. 1–8; Figs. 2, 6–11; Table 1; ESI Table S1 and Fig. S5 cited</x:v>
      </x:c>
      <x:c r="I608" s="43" t="str">
        <x:v>No qualifying interface/final-assembly endpoint located</x:v>
      </x:c>
      <x:c r="J608" s="43" t="str">
        <x:v>Neither a Route A interface endpoint nor a Route B repeated final-assembly retention/failure endpoint was located.</x:v>
      </x:c>
    </x:row>
    <x:row r="609" ht="24" hidden="0" customHeight="1">
      <x:c r="A609" s="10" t="n">
        <x:v>76</x:v>
      </x:c>
      <x:c r="B609" s="10" t="str">
        <x:v>S091</x:v>
      </x:c>
      <x:c r="C609" s="10" t="str">
        <x:v>Kennedy et al. (2017)</x:v>
      </x:c>
      <x:c r="D609" s="10" t="str">
        <x:v>L8</x:v>
      </x:c>
      <x:c r="E609" s="10" t="str">
        <x:v>1</x:v>
      </x:c>
      <x:c r="F609" s="10" t="str">
        <x:v>Adjudicated to Reviewer 1</x:v>
      </x:c>
      <x:c r="G609" s="10" t="str">
        <x:v>Baseline resistance was measured on three separately printed one-layer sensors per MWCNT ratio and reported with dispersion.</x:v>
      </x:c>
      <x:c r="H609" s="10" t="str">
        <x:v>PDF pp. 1–8; Figs. 2, 6–11; Table 1; ESI Table S1 and Fig. S5 cited</x:v>
      </x:c>
      <x:c r="I609" s="43" t="str"/>
      <x:c r="J609" s="43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24" hidden="0" customWidth="1"/>
    <x:col min="3" max="3" width="18" hidden="0" customWidth="1"/>
    <x:col min="4" max="4" width="14" hidden="0" customWidth="1"/>
  </x:cols>
  <x:sheetData>
    <x:row r="1" ht="34" customHeight="1">
      <x:c r="A1" s="7" t="str">
        <x:v>Statistic</x:v>
      </x:c>
      <x:c r="B1" s="7" t="str">
        <x:v>Category</x:v>
      </x:c>
      <x:c r="C1" s="7" t="str">
        <x:v>Value or count</x:v>
      </x:c>
      <x:c r="D1" s="7" t="str">
        <x:v>Proportion</x:v>
      </x:c>
    </x:row>
    <x:row r="2">
      <x:c r="A2" s="8" t="str">
        <x:v>Dimension prevalence</x:v>
      </x:c>
      <x:c r="B2" s="8" t="str">
        <x:v>L1</x:v>
      </x:c>
      <x:c r="C2" s="8" t="n">
        <x:f>SUM('REB Consensus Profiles'!E2:E77)</x:f>
        <x:v>33</x:v>
      </x:c>
      <x:c r="D2" s="11" t="n">
        <x:f>C2/76</x:f>
        <x:v>0.4342105263157895</x:v>
      </x:c>
    </x:row>
    <x:row r="3">
      <x:c r="A3" s="9" t="str">
        <x:v>Dimension prevalence</x:v>
      </x:c>
      <x:c r="B3" s="9" t="str">
        <x:v>L2</x:v>
      </x:c>
      <x:c r="C3" s="9" t="n">
        <x:f>SUM('REB Consensus Profiles'!F2:F77)</x:f>
        <x:v>75</x:v>
      </x:c>
      <x:c r="D3" s="12" t="n">
        <x:f>C3/76</x:f>
        <x:v>0.9868421052631579</x:v>
      </x:c>
    </x:row>
    <x:row r="4">
      <x:c r="A4" s="9" t="str">
        <x:v>Dimension prevalence</x:v>
      </x:c>
      <x:c r="B4" s="9" t="str">
        <x:v>L3</x:v>
      </x:c>
      <x:c r="C4" s="9" t="n">
        <x:f>SUM('REB Consensus Profiles'!G2:G77)</x:f>
        <x:v>76</x:v>
      </x:c>
      <x:c r="D4" s="12" t="n">
        <x:f>C4/76</x:f>
        <x:v>1</x:v>
      </x:c>
    </x:row>
    <x:row r="5">
      <x:c r="A5" s="9" t="str">
        <x:v>Dimension prevalence</x:v>
      </x:c>
      <x:c r="B5" s="9" t="str">
        <x:v>L4</x:v>
      </x:c>
      <x:c r="C5" s="9" t="n">
        <x:f>SUM('REB Consensus Profiles'!H2:H77)</x:f>
        <x:v>76</x:v>
      </x:c>
      <x:c r="D5" s="12" t="n">
        <x:f>C5/76</x:f>
        <x:v>1</x:v>
      </x:c>
    </x:row>
    <x:row r="6">
      <x:c r="A6" s="9" t="str">
        <x:v>Dimension prevalence</x:v>
      </x:c>
      <x:c r="B6" s="9" t="str">
        <x:v>L5</x:v>
      </x:c>
      <x:c r="C6" s="9" t="n">
        <x:f>SUM('REB Consensus Profiles'!I2:I77)</x:f>
        <x:v>62</x:v>
      </x:c>
      <x:c r="D6" s="12" t="n">
        <x:f>C6/76</x:f>
        <x:v>0.8157894736842105</x:v>
      </x:c>
    </x:row>
    <x:row r="7">
      <x:c r="A7" s="9" t="str">
        <x:v>Dimension prevalence</x:v>
      </x:c>
      <x:c r="B7" s="9" t="str">
        <x:v>L6</x:v>
      </x:c>
      <x:c r="C7" s="9" t="n">
        <x:f>SUM('REB Consensus Profiles'!J2:J77)</x:f>
        <x:v>30</x:v>
      </x:c>
      <x:c r="D7" s="12" t="n">
        <x:f>C7/76</x:f>
        <x:v>0.39473684210526316</x:v>
      </x:c>
    </x:row>
    <x:row r="8">
      <x:c r="A8" s="9" t="str">
        <x:v>Dimension prevalence</x:v>
      </x:c>
      <x:c r="B8" s="9" t="str">
        <x:v>L7</x:v>
      </x:c>
      <x:c r="C8" s="9" t="n">
        <x:f>SUM('REB Consensus Profiles'!K2:K77)</x:f>
        <x:v>20</x:v>
      </x:c>
      <x:c r="D8" s="12" t="n">
        <x:f>C8/76</x:f>
        <x:v>0.2631578947368421</x:v>
      </x:c>
    </x:row>
    <x:row r="9">
      <x:c r="A9" s="9" t="str">
        <x:v>Dimension prevalence</x:v>
      </x:c>
      <x:c r="B9" s="9" t="str">
        <x:v>L8</x:v>
      </x:c>
      <x:c r="C9" s="9" t="n">
        <x:f>SUM('REB Consensus Profiles'!L2:L77)</x:f>
        <x:v>17</x:v>
      </x:c>
      <x:c r="D9" s="12" t="n">
        <x:f>C9/76</x:f>
        <x:v>0.2236842105263158</x:v>
      </x:c>
    </x:row>
    <x:row r="10">
      <x:c r="A10" s="9" t="str">
        <x:v>R distribution</x:v>
      </x:c>
      <x:c r="B10" s="9" t="str">
        <x:v>Mean</x:v>
      </x:c>
      <x:c r="C10" s="15" t="n">
        <x:f>AVERAGE('REB Consensus Profiles'!M2:M77)</x:f>
        <x:v>0.6398026315789473</x:v>
      </x:c>
      <x:c r="D10" s="12"/>
    </x:row>
    <x:row r="11">
      <x:c r="A11" s="9" t="str">
        <x:v>R distribution</x:v>
      </x:c>
      <x:c r="B11" s="9" t="str">
        <x:v>Median</x:v>
      </x:c>
      <x:c r="C11" s="15" t="n">
        <x:f>MEDIAN('REB Consensus Profiles'!M2:M77)</x:f>
        <x:v>0.625</x:v>
      </x:c>
      <x:c r="D11" s="12"/>
    </x:row>
    <x:row r="12">
      <x:c r="A12" s="9" t="str">
        <x:v>R distribution</x:v>
      </x:c>
      <x:c r="B12" s="9" t="str">
        <x:v>Minimum</x:v>
      </x:c>
      <x:c r="C12" s="15" t="n">
        <x:f>MIN('REB Consensus Profiles'!M2:M77)</x:f>
        <x:v>0.375</x:v>
      </x:c>
      <x:c r="D12" s="12"/>
    </x:row>
    <x:row r="13">
      <x:c r="A13" s="9" t="str">
        <x:v>R distribution</x:v>
      </x:c>
      <x:c r="B13" s="9" t="str">
        <x:v>Maximum</x:v>
      </x:c>
      <x:c r="C13" s="15" t="n">
        <x:f>MAX('REB Consensus Profiles'!M2:M77)</x:f>
        <x:v>1</x:v>
      </x:c>
      <x:c r="D13" s="12"/>
    </x:row>
    <x:row r="14">
      <x:c r="A14" s="9" t="str">
        <x:v>L5-L8 dimensions met</x:v>
      </x:c>
      <x:c r="B14" s="9" t="str">
        <x:v>0</x:v>
      </x:c>
      <x:c r="C14" s="9" t="n">
        <x:f>COUNTIF('REB Consensus Profiles'!N2:N77,B14)</x:f>
        <x:v>7</x:v>
      </x:c>
      <x:c r="D14" s="12" t="n">
        <x:f>C14/76</x:f>
        <x:v>0.09210526315789473</x:v>
      </x:c>
    </x:row>
    <x:row r="15">
      <x:c r="A15" s="9" t="str">
        <x:v>L5-L8 dimensions met</x:v>
      </x:c>
      <x:c r="B15" s="9" t="str">
        <x:v>1</x:v>
      </x:c>
      <x:c r="C15" s="9" t="n">
        <x:f>COUNTIF('REB Consensus Profiles'!N2:N77,B15)</x:f>
        <x:v>28</x:v>
      </x:c>
      <x:c r="D15" s="12" t="n">
        <x:f>C15/76</x:f>
        <x:v>0.3684210526315789</x:v>
      </x:c>
    </x:row>
    <x:row r="16">
      <x:c r="A16" s="9" t="str">
        <x:v>L5-L8 dimensions met</x:v>
      </x:c>
      <x:c r="B16" s="9" t="str">
        <x:v>2</x:v>
      </x:c>
      <x:c r="C16" s="9" t="n">
        <x:f>COUNTIF('REB Consensus Profiles'!N2:N77,B16)</x:f>
        <x:v>24</x:v>
      </x:c>
      <x:c r="D16" s="12" t="n">
        <x:f>C16/76</x:f>
        <x:v>0.3157894736842105</x:v>
      </x:c>
    </x:row>
    <x:row r="17">
      <x:c r="A17" s="9" t="str">
        <x:v>L5-L8 dimensions met</x:v>
      </x:c>
      <x:c r="B17" s="9" t="str">
        <x:v>3</x:v>
      </x:c>
      <x:c r="C17" s="9" t="n">
        <x:f>COUNTIF('REB Consensus Profiles'!N2:N77,B17)</x:f>
        <x:v>15</x:v>
      </x:c>
      <x:c r="D17" s="12" t="n">
        <x:f>C17/76</x:f>
        <x:v>0.19736842105263158</x:v>
      </x:c>
    </x:row>
    <x:row r="18">
      <x:c r="A18" s="9" t="str">
        <x:v>L5-L8 dimensions met</x:v>
      </x:c>
      <x:c r="B18" s="9" t="str">
        <x:v>4</x:v>
      </x:c>
      <x:c r="C18" s="9" t="n">
        <x:f>COUNTIF('REB Consensus Profiles'!N2:N77,B18)</x:f>
        <x:v>2</x:v>
      </x:c>
      <x:c r="D18" s="12" t="n">
        <x:f>C18/76</x:f>
        <x:v>0.02631578947368421</x:v>
      </x:c>
    </x:row>
    <x:row r="19">
      <x:c r="A19" s="9" t="str">
        <x:v>L5-L8 pattern</x:v>
      </x:c>
      <x:c r="B19" s="9" t="str">
        <x:v>1-0-0-0</x:v>
      </x:c>
      <x:c r="C19" s="9" t="n">
        <x:f>COUNTIF('REB Consensus Profiles'!O2:O77,B19)</x:f>
        <x:v>21</x:v>
      </x:c>
      <x:c r="D19" s="12" t="n">
        <x:f>C19/76</x:f>
        <x:v>0.27631578947368424</x:v>
      </x:c>
    </x:row>
    <x:row r="20">
      <x:c r="A20" s="9" t="str">
        <x:v>L5-L8 pattern</x:v>
      </x:c>
      <x:c r="B20" s="9" t="str">
        <x:v>1-1-0-0</x:v>
      </x:c>
      <x:c r="C20" s="9" t="n">
        <x:f>COUNTIF('REB Consensus Profiles'!O2:O77,B20)</x:f>
        <x:v>11</x:v>
      </x:c>
      <x:c r="D20" s="12" t="n">
        <x:f>C20/76</x:f>
        <x:v>0.14473684210526316</x:v>
      </x:c>
    </x:row>
    <x:row r="21">
      <x:c r="A21" s="9" t="str">
        <x:v>L5-L8 pattern</x:v>
      </x:c>
      <x:c r="B21" s="9" t="str">
        <x:v>1-1-1-0</x:v>
      </x:c>
      <x:c r="C21" s="9" t="n">
        <x:f>COUNTIF('REB Consensus Profiles'!O2:O77,B21)</x:f>
        <x:v>8</x:v>
      </x:c>
      <x:c r="D21" s="12" t="n">
        <x:f>C21/76</x:f>
        <x:v>0.10526315789473684</x:v>
      </x:c>
    </x:row>
    <x:row r="22">
      <x:c r="A22" s="9" t="str">
        <x:v>L5-L8 pattern</x:v>
      </x:c>
      <x:c r="B22" s="9" t="str">
        <x:v>0-0-0-0</x:v>
      </x:c>
      <x:c r="C22" s="9" t="n">
        <x:f>COUNTIF('REB Consensus Profiles'!O2:O77,B22)</x:f>
        <x:v>7</x:v>
      </x:c>
      <x:c r="D22" s="12" t="n">
        <x:f>C22/76</x:f>
        <x:v>0.09210526315789473</x:v>
      </x:c>
    </x:row>
    <x:row r="23">
      <x:c r="A23" s="9" t="str">
        <x:v>L5-L8 pattern</x:v>
      </x:c>
      <x:c r="B23" s="9" t="str">
        <x:v>1-0-0-1</x:v>
      </x:c>
      <x:c r="C23" s="9" t="n">
        <x:f>COUNTIF('REB Consensus Profiles'!O2:O77,B23)</x:f>
        <x:v>7</x:v>
      </x:c>
      <x:c r="D23" s="12" t="n">
        <x:f>C23/76</x:f>
        <x:v>0.09210526315789473</x:v>
      </x:c>
    </x:row>
    <x:row r="24">
      <x:c r="A24" s="9" t="str">
        <x:v>L5-L8 pattern</x:v>
      </x:c>
      <x:c r="B24" s="9" t="str">
        <x:v>1-0-1-0</x:v>
      </x:c>
      <x:c r="C24" s="9" t="n">
        <x:f>COUNTIF('REB Consensus Profiles'!O2:O77,B24)</x:f>
        <x:v>6</x:v>
      </x:c>
      <x:c r="D24" s="12" t="n">
        <x:f>C24/76</x:f>
        <x:v>0.07894736842105263</x:v>
      </x:c>
    </x:row>
    <x:row r="25">
      <x:c r="A25" s="9" t="str">
        <x:v>L5-L8 pattern</x:v>
      </x:c>
      <x:c r="B25" s="9" t="str">
        <x:v>1-1-0-1</x:v>
      </x:c>
      <x:c r="C25" s="9" t="n">
        <x:f>COUNTIF('REB Consensus Profiles'!O2:O77,B25)</x:f>
        <x:v>6</x:v>
      </x:c>
      <x:c r="D25" s="12" t="n">
        <x:f>C25/76</x:f>
        <x:v>0.07894736842105263</x:v>
      </x:c>
    </x:row>
    <x:row r="26">
      <x:c r="A26" s="9" t="str">
        <x:v>L5-L8 pattern</x:v>
      </x:c>
      <x:c r="B26" s="9" t="str">
        <x:v>0-0-1-0</x:v>
      </x:c>
      <x:c r="C26" s="9" t="n">
        <x:f>COUNTIF('REB Consensus Profiles'!O2:O77,B26)</x:f>
        <x:v>3</x:v>
      </x:c>
      <x:c r="D26" s="12" t="n">
        <x:f>C26/76</x:f>
        <x:v>0.039473684210526314</x:v>
      </x:c>
    </x:row>
    <x:row r="27">
      <x:c r="A27" s="9" t="str">
        <x:v>L5-L8 pattern</x:v>
      </x:c>
      <x:c r="B27" s="9" t="str">
        <x:v>0-1-0-0</x:v>
      </x:c>
      <x:c r="C27" s="9" t="n">
        <x:f>COUNTIF('REB Consensus Profiles'!O2:O77,B27)</x:f>
        <x:v>3</x:v>
      </x:c>
      <x:c r="D27" s="12" t="n">
        <x:f>C27/76</x:f>
        <x:v>0.039473684210526314</x:v>
      </x:c>
    </x:row>
    <x:row r="28">
      <x:c r="A28" s="9" t="str">
        <x:v>L5-L8 pattern</x:v>
      </x:c>
      <x:c r="B28" s="9" t="str">
        <x:v>1-1-1-1</x:v>
      </x:c>
      <x:c r="C28" s="9" t="n">
        <x:f>COUNTIF('REB Consensus Profiles'!O2:O77,B28)</x:f>
        <x:v>2</x:v>
      </x:c>
      <x:c r="D28" s="12" t="n">
        <x:f>C28/76</x:f>
        <x:v>0.02631578947368421</x:v>
      </x:c>
    </x:row>
    <x:row r="29">
      <x:c r="A29" s="9" t="str">
        <x:v>L5-L8 pattern</x:v>
      </x:c>
      <x:c r="B29" s="9" t="str">
        <x:v>0-0-0-1</x:v>
      </x:c>
      <x:c r="C29" s="9" t="n">
        <x:f>COUNTIF('REB Consensus Profiles'!O2:O77,B29)</x:f>
        <x:v>1</x:v>
      </x:c>
      <x:c r="D29" s="12" t="n">
        <x:f>C29/76</x:f>
        <x:v>0.013157894736842105</x:v>
      </x:c>
    </x:row>
    <x:row r="30">
      <x:c r="A30" s="9" t="str">
        <x:v>L5-L8 pattern</x:v>
      </x:c>
      <x:c r="B30" s="9" t="str">
        <x:v>1-0-1-1</x:v>
      </x:c>
      <x:c r="C30" s="9" t="n">
        <x:f>COUNTIF('REB Consensus Profiles'!O2:O77,B30)</x:f>
        <x:v>1</x:v>
      </x:c>
      <x:c r="D30" s="12" t="n">
        <x:f>C30/76</x:f>
        <x:v>0.013157894736842105</x:v>
      </x:c>
    </x:row>
    <x:row r="31">
      <x:c r="A31" s="10" t="str">
        <x:v>L6 evidence subtype</x:v>
      </x:c>
      <x:c r="B31" s="10" t="str">
        <x:v>In-exposure cross-sensitivity only</x:v>
      </x:c>
      <x:c r="C31" s="10" t="n">
        <x:f>COUNTIF('L6 Evidence Subtypes'!E2:E31,B31)</x:f>
        <x:v>20</x:v>
      </x:c>
      <x:c r="D31" s="13" t="n">
        <x:f>C31/76</x:f>
        <x:v>0.2631578947368421</x:v>
      </x:c>
    </x:row>
    <x:row r="32">
      <x:c r="A32" t="str">
        <x:v>L6 evidence subtype</x:v>
      </x:c>
      <x:c r="B32" t="str">
        <x:v>Post-exposure retention only</x:v>
      </x:c>
      <x:c r="C32" t="n">
        <x:f>COUNTIF('L6 Evidence Subtypes'!E2:E31,B32)</x:f>
        <x:v>8</x:v>
      </x:c>
      <x:c r="D32" s="17" t="n">
        <x:f>C32/76</x:f>
        <x:v>0.10526315789473684</x:v>
      </x:c>
    </x:row>
    <x:row r="33">
      <x:c r="A33" t="str">
        <x:v>L6 evidence subtype</x:v>
      </x:c>
      <x:c r="B33" t="str">
        <x:v>Both</x:v>
      </x:c>
      <x:c r="C33" t="n">
        <x:f>COUNTIF('L6 Evidence Subtypes'!E2:E31,B33)</x:f>
        <x:v>2</x:v>
      </x:c>
      <x:c r="D33" s="17" t="n">
        <x:f>C33/76</x:f>
        <x:v>0.02631578947368421</x:v>
      </x:c>
    </x:row>
    <x:row r="34">
      <x:c r="A34" t="str">
        <x:v>L6 post-exposure reference/recovery</x:v>
      </x:c>
      <x:c r="B34" t="str">
        <x:v>Reported</x:v>
      </x:c>
      <x:c r="C34" t="n">
        <x:f>COUNTIF('L6 Evidence Subtypes'!H2:H31,"Yes")</x:f>
        <x:v>3</x:v>
      </x:c>
      <x:c r="D34" s="17" t="n">
        <x:f>C34/10</x:f>
        <x:v>0.3</x:v>
      </x:c>
    </x:row>
    <x:row r="35">
      <x:c r="A35" t="str">
        <x:v>L6 post-exposure reference/recovery</x:v>
      </x:c>
      <x:c r="B35" t="str">
        <x:v>Not reported</x:v>
      </x:c>
      <x:c r="C35" t="n">
        <x:f>COUNTIF('L6 Evidence Subtypes'!H2:H31,"No")</x:f>
        <x:v>7</x:v>
      </x:c>
      <x:c r="D35" s="17" t="n">
        <x:f>C35/10</x:f>
        <x:v>0.7</x:v>
      </x:c>
    </x:row>
    <x:row r="36">
      <x:c r="A36" t="str">
        <x:v>L7 qualifying route</x:v>
      </x:c>
      <x:c r="B36" t="str">
        <x:v>Route A--direct interface</x:v>
      </x:c>
      <x:c r="C36" t="n">
        <x:f>COUNTIF('L7 Evidence Routes'!D2:D21,B36)</x:f>
        <x:v>10</x:v>
      </x:c>
      <x:c r="D36" s="17" t="n">
        <x:f>C36/76</x:f>
        <x:v>0.13157894736842105</x:v>
      </x:c>
    </x:row>
    <x:row r="37">
      <x:c r="A37" t="str">
        <x:v>L7 qualifying route</x:v>
      </x:c>
      <x:c r="B37" t="str">
        <x:v>Route B--integrated assembly</x:v>
      </x:c>
      <x:c r="C37" t="n">
        <x:f>COUNTIF('L7 Evidence Routes'!D2:D21,B37)</x:f>
        <x:v>10</x:v>
      </x:c>
      <x:c r="D37" s="17" t="n">
        <x:f>C37/76</x:f>
        <x:v>0.13157894736842105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" hidden="0" customWidth="1"/>
    <x:col min="2" max="2" width="10" hidden="0" customWidth="1"/>
    <x:col min="3" max="3" width="14" hidden="0" customWidth="1"/>
    <x:col min="4" max="4" width="16" hidden="0" customWidth="1"/>
    <x:col min="5" max="5" width="16" hidden="0" customWidth="1"/>
    <x:col min="6" max="6" width="14" hidden="0" customWidth="1"/>
    <x:col min="7" max="7" width="15" hidden="0" customWidth="1"/>
    <x:col min="8" max="8" width="14" hidden="0" customWidth="1"/>
    <x:col min="9" max="9" width="17" hidden="0" customWidth="1"/>
    <x:col min="10" max="10" width="18" hidden="0" customWidth="1"/>
    <x:col min="11" max="11" width="18" hidden="0" customWidth="1"/>
    <x:col min="12" max="12" width="20" hidden="0" customWidth="1"/>
    <x:col min="13" max="13" width="58" hidden="0" customWidth="1"/>
  </x:cols>
  <x:sheetData>
    <x:row r="1" ht="34" customHeight="1">
      <x:c r="A1" s="7" t="str">
        <x:v>Domain</x:v>
      </x:c>
      <x:c r="B1" s="7" t="str">
        <x:v>Total</x:v>
      </x:c>
      <x:c r="C1" s="7" t="str">
        <x:v>Comparable n</x:v>
      </x:c>
      <x:c r="D1" s="7" t="str">
        <x:v>Unclear excluded</x:v>
      </x:c>
      <x:c r="E1" s="7" t="str">
        <x:v>Exact agreements</x:v>
      </x:c>
      <x:c r="F1" s="7" t="str">
        <x:v>Disagreements</x:v>
      </x:c>
      <x:c r="G1" s="7" t="str">
        <x:v>Exact agreement</x:v>
      </x:c>
      <x:c r="H1" s="7" t="str">
        <x:v>Expected exact</x:v>
      </x:c>
      <x:c r="I1" s="7" t="str">
        <x:v>Unweighted kappa</x:v>
      </x:c>
      <x:c r="J1" s="7" t="str">
        <x:v>Weighted agreement</x:v>
      </x:c>
      <x:c r="K1" s="7" t="str">
        <x:v>Expected weighted</x:v>
      </x:c>
      <x:c r="L1" s="7" t="str">
        <x:v>Linear-weighted kappa</x:v>
      </x:c>
      <x:c r="M1" s="7" t="str">
        <x:v>Note</x:v>
      </x:c>
    </x:row>
    <x:row r="2">
      <x:c r="A2" s="8" t="str">
        <x:v>D1</x:v>
      </x:c>
      <x:c r="B2" s="8" t="n">
        <x:v>76</x:v>
      </x:c>
      <x:c r="C2" s="8" t="n">
        <x:v>76</x:v>
      </x:c>
      <x:c r="D2" s="8" t="n">
        <x:v>0</x:v>
      </x:c>
      <x:c r="E2" s="8" t="n">
        <x:v>40</x:v>
      </x:c>
      <x:c r="F2" s="8" t="n">
        <x:v>36</x:v>
      </x:c>
      <x:c r="G2" s="11" t="n">
        <x:v>0.5263157894736842</x:v>
      </x:c>
      <x:c r="H2" s="11" t="n">
        <x:v>0.5041551246537397</x:v>
      </x:c>
      <x:c r="I2" s="14" t="n">
        <x:v>0.0446927374301674</x:v>
      </x:c>
      <x:c r="J2" s="14" t="n">
        <x:v>0.7631578947368421</x:v>
      </x:c>
      <x:c r="K2" s="14" t="n">
        <x:v>0.7411703601108034</x:v>
      </x:c>
      <x:c r="L2" s="14" t="n">
        <x:v>0.08494983277591964</x:v>
      </x:c>
      <x:c r="M2" s="8" t="str"/>
    </x:row>
    <x:row r="3">
      <x:c r="A3" s="9" t="str">
        <x:v>D2</x:v>
      </x:c>
      <x:c r="B3" s="9" t="n">
        <x:v>76</x:v>
      </x:c>
      <x:c r="C3" s="9" t="n">
        <x:v>75</x:v>
      </x:c>
      <x:c r="D3" s="9" t="n">
        <x:v>1</x:v>
      </x:c>
      <x:c r="E3" s="9" t="n">
        <x:v>35</x:v>
      </x:c>
      <x:c r="F3" s="9" t="n">
        <x:v>40</x:v>
      </x:c>
      <x:c r="G3" s="12" t="n">
        <x:v>0.4666666666666667</x:v>
      </x:c>
      <x:c r="H3" s="12" t="n">
        <x:v>0.37120000000000003</x:v>
      </x:c>
      <x:c r="I3" s="15" t="n">
        <x:v>0.1518235793044953</x:v>
      </x:c>
      <x:c r="J3" s="15" t="n">
        <x:v>0.7266666666666667</x:v>
      </x:c>
      <x:c r="K3" s="15" t="n">
        <x:v>0.6491555555555557</x:v>
      </x:c>
      <x:c r="L3" s="15" t="n">
        <x:v>0.22092728654674407</x:v>
      </x:c>
      <x:c r="M3" s="9" t="str"/>
    </x:row>
    <x:row r="4">
      <x:c r="A4" s="9" t="str">
        <x:v>D3</x:v>
      </x:c>
      <x:c r="B4" s="9" t="n">
        <x:v>76</x:v>
      </x:c>
      <x:c r="C4" s="9" t="n">
        <x:v>76</x:v>
      </x:c>
      <x:c r="D4" s="9" t="n">
        <x:v>0</x:v>
      </x:c>
      <x:c r="E4" s="9" t="n">
        <x:v>55</x:v>
      </x:c>
      <x:c r="F4" s="9" t="n">
        <x:v>21</x:v>
      </x:c>
      <x:c r="G4" s="12" t="n">
        <x:v>0.7236842105263158</x:v>
      </x:c>
      <x:c r="H4" s="12" t="n">
        <x:v>0.6634349030470914</x:v>
      </x:c>
      <x:c r="I4" s="15" t="n">
        <x:v>0.17901234567901245</x:v>
      </x:c>
      <x:c r="J4" s="15" t="n">
        <x:v>0.8552631578947368</x:v>
      </x:c>
      <x:c r="K4" s="15" t="n">
        <x:v>0.8199445983379501</x:v>
      </x:c>
      <x:c r="L4" s="15" t="n">
        <x:v>0.19615384615384637</x:v>
      </x:c>
      <x:c r="M4" s="9" t="str"/>
    </x:row>
    <x:row r="5">
      <x:c r="A5" s="9" t="str">
        <x:v>D4</x:v>
      </x:c>
      <x:c r="B5" s="9" t="n">
        <x:v>76</x:v>
      </x:c>
      <x:c r="C5" s="9" t="n">
        <x:v>76</x:v>
      </x:c>
      <x:c r="D5" s="9" t="n">
        <x:v>0</x:v>
      </x:c>
      <x:c r="E5" s="9" t="n">
        <x:v>67</x:v>
      </x:c>
      <x:c r="F5" s="9" t="n">
        <x:v>9</x:v>
      </x:c>
      <x:c r="G5" s="12" t="n">
        <x:v>0.881578947368421</x:v>
      </x:c>
      <x:c r="H5" s="12" t="n">
        <x:v>0.8535318559556786</x:v>
      </x:c>
      <x:c r="I5" s="15" t="n">
        <x:v>0.19148936170212782</x:v>
      </x:c>
      <x:c r="J5" s="15" t="n">
        <x:v>0.9407894736842105</x:v>
      </x:c>
      <x:c r="K5" s="15" t="n">
        <x:v>0.9207063711911356</x:v>
      </x:c>
      <x:c r="L5" s="15" t="n">
        <x:v>0.25327510917030643</x:v>
      </x:c>
      <x:c r="M5" s="9" t="str"/>
    </x:row>
    <x:row r="6">
      <x:c r="A6" s="9" t="str">
        <x:v>D5</x:v>
      </x:c>
      <x:c r="B6" s="9" t="n">
        <x:v>76</x:v>
      </x:c>
      <x:c r="C6" s="9" t="n">
        <x:v>76</x:v>
      </x:c>
      <x:c r="D6" s="9" t="n">
        <x:v>0</x:v>
      </x:c>
      <x:c r="E6" s="9" t="n">
        <x:v>41</x:v>
      </x:c>
      <x:c r="F6" s="9" t="n">
        <x:v>35</x:v>
      </x:c>
      <x:c r="G6" s="12" t="n">
        <x:v>0.5394736842105263</x:v>
      </x:c>
      <x:c r="H6" s="12" t="n">
        <x:v>0.40720221606648194</x:v>
      </x:c>
      <x:c r="I6" s="15" t="n">
        <x:v>0.2231308411214954</x:v>
      </x:c>
      <x:c r="J6" s="15" t="n">
        <x:v>0.756578947368421</x:v>
      </x:c>
      <x:c r="K6" s="15" t="n">
        <x:v>0.6229224376731299</x:v>
      </x:c>
      <x:c r="L6" s="15" t="n">
        <x:v>0.35445362718090023</x:v>
      </x:c>
      <x:c r="M6" s="9" t="str"/>
    </x:row>
    <x:row r="7">
      <x:c r="A7" s="9" t="str">
        <x:v>D6</x:v>
      </x:c>
      <x:c r="B7" s="9" t="n">
        <x:v>76</x:v>
      </x:c>
      <x:c r="C7" s="9" t="n">
        <x:v>75</x:v>
      </x:c>
      <x:c r="D7" s="9" t="n">
        <x:v>1</x:v>
      </x:c>
      <x:c r="E7" s="9" t="n">
        <x:v>63</x:v>
      </x:c>
      <x:c r="F7" s="9" t="n">
        <x:v>12</x:v>
      </x:c>
      <x:c r="G7" s="12" t="n">
        <x:v>0.84</x:v>
      </x:c>
      <x:c r="H7" s="12" t="n">
        <x:v>0.6912</x:v>
      </x:c>
      <x:c r="I7" s="15" t="n">
        <x:v>0.4818652849740931</x:v>
      </x:c>
      <x:c r="J7" s="15" t="n">
        <x:v>0.8466666666666667</x:v>
      </x:c>
      <x:c r="K7" s="15" t="n">
        <x:v>0.6978666666666666</x:v>
      </x:c>
      <x:c r="L7" s="15" t="n">
        <x:v>0.49249779346866734</x:v>
      </x:c>
      <x:c r="M7" s="9" t="str"/>
    </x:row>
    <x:row r="8">
      <x:c r="A8" s="9" t="str">
        <x:v>D7</x:v>
      </x:c>
      <x:c r="B8" s="9" t="n">
        <x:v>76</x:v>
      </x:c>
      <x:c r="C8" s="9" t="n">
        <x:v>76</x:v>
      </x:c>
      <x:c r="D8" s="9" t="n">
        <x:v>0</x:v>
      </x:c>
      <x:c r="E8" s="9" t="n">
        <x:v>37</x:v>
      </x:c>
      <x:c r="F8" s="9" t="n">
        <x:v>39</x:v>
      </x:c>
      <x:c r="G8" s="12" t="n">
        <x:v>0.4868421052631579</x:v>
      </x:c>
      <x:c r="H8" s="12" t="n">
        <x:v>0.381578947368421</x:v>
      </x:c>
      <x:c r="I8" s="15" t="n">
        <x:v>0.1702127659574469</x:v>
      </x:c>
      <x:c r="J8" s="15" t="n">
        <x:v>0.743421052631579</x:v>
      </x:c>
      <x:c r="K8" s="15" t="n">
        <x:v>0.6907894736842105</x:v>
      </x:c>
      <x:c r="L8" s="15" t="n">
        <x:v>0.17021276595744697</x:v>
      </x:c>
      <x:c r="M8" s="9" t="str"/>
    </x:row>
    <x:row r="9">
      <x:c r="A9" s="9" t="str">
        <x:v>D8</x:v>
      </x:c>
      <x:c r="B9" s="9" t="n">
        <x:v>76</x:v>
      </x:c>
      <x:c r="C9" s="9" t="n">
        <x:v>76</x:v>
      </x:c>
      <x:c r="D9" s="9" t="n">
        <x:v>0</x:v>
      </x:c>
      <x:c r="E9" s="9" t="n">
        <x:v>26</x:v>
      </x:c>
      <x:c r="F9" s="9" t="n">
        <x:v>50</x:v>
      </x:c>
      <x:c r="G9" s="12" t="n">
        <x:v>0.34210526315789475</x:v>
      </x:c>
      <x:c r="H9" s="12" t="n">
        <x:v>0.2747576177285319</x:v>
      </x:c>
      <x:c r="I9" s="15" t="n">
        <x:v>0.09286225829553588</x:v>
      </x:c>
      <x:c r="J9" s="15" t="n">
        <x:v>0.6578947368421053</x:v>
      </x:c>
      <x:c r="K9" s="15" t="n">
        <x:v>0.606994459833795</x:v>
      </x:c>
      <x:c r="L9" s="15" t="n">
        <x:v>0.12951541850220288</x:v>
      </x:c>
      <x:c r="M9" s="9" t="str"/>
    </x:row>
    <x:row r="10">
      <x:c r="A10" s="10" t="str">
        <x:v>Overall</x:v>
      </x:c>
      <x:c r="B10" s="10" t="n">
        <x:v>608</x:v>
      </x:c>
      <x:c r="C10" s="10" t="n">
        <x:v>606</x:v>
      </x:c>
      <x:c r="D10" s="10" t="n">
        <x:v>2</x:v>
      </x:c>
      <x:c r="E10" s="10" t="n">
        <x:v>364</x:v>
      </x:c>
      <x:c r="F10" s="10" t="n">
        <x:v>242</x:v>
      </x:c>
      <x:c r="G10" s="13" t="n">
        <x:v>0.6006600660066007</x:v>
      </x:c>
      <x:c r="H10" s="13" t="n">
        <x:v>0.3754207103878705</x:v>
      </x:c>
      <x:c r="I10" s="16" t="n">
        <x:v>0.3606257193680026</x:v>
      </x:c>
      <x:c r="J10" s="16" t="n">
        <x:v>0.7863036303630363</x:v>
      </x:c>
      <x:c r="K10" s="16" t="n">
        <x:v>0.6001072879565184</x:v>
      </x:c>
      <x:c r="L10" s="16" t="n">
        <x:v>0.46561574342038076</x:v>
      </x:c>
      <x:c r="M10" s="10" t="str">
        <x:v>Pooled descriptive result; study-domain judgments are clustered.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1" hidden="0" customWidth="1"/>
    <x:col min="3" max="3" width="22" hidden="0" customWidth="1"/>
    <x:col min="4" max="4" width="10" hidden="0" customWidth="1"/>
    <x:col min="5" max="5" width="18" hidden="0" customWidth="1"/>
    <x:col min="6" max="6" width="18" hidden="0" customWidth="1"/>
    <x:col min="7" max="7" width="12" hidden="0" customWidth="1"/>
    <x:col min="8" max="8" width="18" hidden="0" customWidth="1"/>
    <x:col min="9" max="9" width="18" hidden="0" customWidth="1"/>
    <x:col min="10" max="10" width="25" hidden="0" customWidth="1"/>
    <x:col min="11" max="11" width="52" hidden="0" customWidth="1"/>
    <x:col min="12" max="12" width="28" hidden="0" customWidth="1"/>
    <x:col min="13" max="13" width="52" hidden="0" customWidth="1"/>
    <x:col min="14" max="14" width="28" hidden="0" customWidth="1"/>
    <x:col min="15" max="15" width="52" hidden="0" customWidth="1"/>
    <x:col min="16" max="16" width="28" hidden="0" customWidth="1"/>
  </x:cols>
  <x:sheetData>
    <x:row r="1" ht="34" customHeight="1">
      <x:c r="A1" s="7" t="str">
        <x:v>Synthesis ID</x:v>
      </x:c>
      <x:c r="B1" s="7" t="str">
        <x:v>Study ID</x:v>
      </x:c>
      <x:c r="C1" s="7" t="str">
        <x:v>Citation</x:v>
      </x:c>
      <x:c r="D1" s="7" t="str">
        <x:v>Domain</x:v>
      </x:c>
      <x:c r="E1" s="7" t="str">
        <x:v>Reviewer 1</x:v>
      </x:c>
      <x:c r="F1" s="7" t="str">
        <x:v>Reviewer 2</x:v>
      </x:c>
      <x:c r="G1" s="7" t="str">
        <x:v>Comparable</x:v>
      </x:c>
      <x:c r="H1" s="7" t="str">
        <x:v>Independent result</x:v>
      </x:c>
      <x:c r="I1" s="7" t="str">
        <x:v>Final consensus</x:v>
      </x:c>
      <x:c r="J1" s="7" t="str">
        <x:v>Resolution</x:v>
      </x:c>
      <x:c r="K1" s="7" t="str">
        <x:v>Reviewer 1 rationale</x:v>
      </x:c>
      <x:c r="L1" s="7" t="str">
        <x:v>Reviewer 1 locator</x:v>
      </x:c>
      <x:c r="M1" s="7" t="str">
        <x:v>Reviewer 2 rationale</x:v>
      </x:c>
      <x:c r="N1" s="7" t="str">
        <x:v>Reviewer 2 locator</x:v>
      </x:c>
      <x:c r="O1" s="7" t="str">
        <x:v>Final rationale</x:v>
      </x:c>
      <x:c r="P1" s="7" t="str">
        <x:v>Final locator</x:v>
      </x:c>
    </x:row>
    <x:row r="2">
      <x:c r="A2" s="8" t="n">
        <x:v>1</x:v>
      </x:c>
      <x:c r="B2" s="8" t="str">
        <x:v>S001</x:v>
      </x:c>
      <x:c r="C2" s="8" t="str">
        <x:v>Leal-Junior et al. (2025)</x:v>
      </x:c>
      <x:c r="D2" s="8" t="str">
        <x:v>D1</x:v>
      </x:c>
      <x:c r="E2" s="8" t="str">
        <x:v>Some concern</x:v>
      </x:c>
      <x:c r="F2" s="8" t="str">
        <x:v>Some concern</x:v>
      </x:c>
      <x:c r="G2" s="8" t="str">
        <x:v>Yes</x:v>
      </x:c>
      <x:c r="H2" s="8" t="str">
        <x:v>Agree</x:v>
      </x:c>
      <x:c r="I2" s="8" t="str">
        <x:v>Some concern</x:v>
      </x:c>
      <x:c r="J2" s="8" t="str">
        <x:v>Initial agreement</x:v>
      </x:c>
      <x:c r="K2" s="8" t="str">
        <x:v>Five volunteers are described, but fabricated-device count is NR</x:v>
      </x:c>
      <x:c r="L2" s="8" t="str">
        <x:v>PDF pp. 6-7</x:v>
      </x:c>
      <x:c r="M2" s="8" t="str">
        <x:v>Five volunteers and repeated cycles are described, but fabricated-device sampling and failures are not reported.</x:v>
      </x:c>
      <x:c r="N2" s="8" t="str">
        <x:v>Article PDF p. 7, gait-test protocol</x:v>
      </x:c>
      <x:c r="O2" s="8" t="str">
        <x:v>Five volunteers are described, but fabricated-device count is NR</x:v>
      </x:c>
      <x:c r="P2" s="8" t="str">
        <x:v>PDF pp. 6-7</x:v>
      </x:c>
    </x:row>
    <x:row r="3">
      <x:c r="A3" s="9" t="n">
        <x:v>1</x:v>
      </x:c>
      <x:c r="B3" s="9" t="str">
        <x:v>S001</x:v>
      </x:c>
      <x:c r="C3" s="9" t="str">
        <x:v>Leal-Junior et al. (2025)</x:v>
      </x:c>
      <x:c r="D3" s="9" t="str">
        <x:v>D2</x:v>
      </x:c>
      <x:c r="E3" s="9" t="str">
        <x:v>High concern</x:v>
      </x:c>
      <x:c r="F3" s="9" t="str">
        <x:v>High concern</x:v>
      </x:c>
      <x:c r="G3" s="9" t="str">
        <x:v>Yes</x:v>
      </x:c>
      <x:c r="H3" s="9" t="str">
        <x:v>Agree</x:v>
      </x:c>
      <x:c r="I3" s="9" t="str">
        <x:v>High concern</x:v>
      </x:c>
      <x:c r="J3" s="9" t="str">
        <x:v>Initial agreement</x:v>
      </x:c>
      <x:c r="K3" s="9" t="str">
        <x:v>Core print settings are incomplete</x:v>
      </x:c>
      <x:c r="L3" s="9" t="str">
        <x:v>PDF pp. 4-5</x:v>
      </x:c>
      <x:c r="M3" s="9" t="str">
        <x:v>Several reconstruction-critical extrusion settings and material grade details are absent.</x:v>
      </x:c>
      <x:c r="N3" s="9" t="str">
        <x:v>Article PDF p. 4, Prototype Description</x:v>
      </x:c>
      <x:c r="O3" s="9" t="str">
        <x:v>Core print settings are incomplete</x:v>
      </x:c>
      <x:c r="P3" s="9" t="str">
        <x:v>PDF pp. 4-5</x:v>
      </x:c>
    </x:row>
    <x:row r="4">
      <x:c r="A4" s="9" t="n">
        <x:v>1</x:v>
      </x:c>
      <x:c r="B4" s="9" t="str">
        <x:v>S001</x:v>
      </x:c>
      <x:c r="C4" s="9" t="str">
        <x:v>Leal-Junior et al. (2025)</x:v>
      </x:c>
      <x:c r="D4" s="9" t="str">
        <x:v>D3</x:v>
      </x:c>
      <x:c r="E4" s="9" t="str">
        <x:v>Low concern</x:v>
      </x:c>
      <x:c r="F4" s="9" t="str">
        <x:v>Low concern</x:v>
      </x:c>
      <x:c r="G4" s="9" t="str">
        <x:v>Yes</x:v>
      </x:c>
      <x:c r="H4" s="9" t="str">
        <x:v>Agree</x:v>
      </x:c>
      <x:c r="I4" s="9" t="str">
        <x:v>Low concern</x:v>
      </x:c>
      <x:c r="J4" s="9" t="str">
        <x:v>Initial agreement</x:v>
      </x:c>
      <x:c r="K4" s="9" t="str">
        <x:v>Calibrated loads and force-platform comparison are described</x:v>
      </x:c>
      <x:c r="L4" s="9" t="str">
        <x:v>PDF pp. 6-8, 14</x:v>
      </x:c>
      <x:c r="M4" s="9" t="str">
        <x:v>Certified masses and a commercial force platform provide appropriate independent references.</x:v>
      </x:c>
      <x:c r="N4" s="9" t="str">
        <x:v>Article PDF pp. 7 and 15</x:v>
      </x:c>
      <x:c r="O4" s="9" t="str">
        <x:v>Calibrated loads and force-platform comparison are described</x:v>
      </x:c>
      <x:c r="P4" s="9" t="str">
        <x:v>PDF pp. 6-8, 14</x:v>
      </x:c>
    </x:row>
    <x:row r="5">
      <x:c r="A5" s="9" t="n">
        <x:v>1</x:v>
      </x:c>
      <x:c r="B5" s="9" t="str">
        <x:v>S001</x:v>
      </x:c>
      <x:c r="C5" s="9" t="str">
        <x:v>Leal-Junior et al. (2025)</x:v>
      </x:c>
      <x:c r="D5" s="9" t="str">
        <x:v>D4</x:v>
      </x:c>
      <x:c r="E5" s="9" t="str">
        <x:v>Some concern</x:v>
      </x:c>
      <x:c r="F5" s="9" t="str">
        <x:v>Low concern</x:v>
      </x:c>
      <x:c r="G5" s="9" t="str">
        <x:v>Yes</x:v>
      </x:c>
      <x:c r="H5" s="9" t="str">
        <x:v>Disagree</x:v>
      </x:c>
      <x:c r="I5" s="9" t="str">
        <x:v>Some concern</x:v>
      </x:c>
      <x:c r="J5" s="9" t="str">
        <x:v>Adjudicated to Reviewer 1</x:v>
      </x:c>
      <x:c r="K5" s="9" t="str">
        <x:v>Bench ranges are stated; gait conditions are limited</x:v>
      </x:c>
      <x:c r="L5" s="9" t="str">
        <x:v>PDF pp. 6-7</x:v>
      </x:c>
      <x:c r="M5" s="9" t="str">
        <x:v>Force magnitudes, application positions, acquisition conditions and gait protocol are stated.</x:v>
      </x:c>
      <x:c r="N5" s="9" t="str">
        <x:v>Article PDF pp. 6-7, Figure 3</x:v>
      </x:c>
      <x:c r="O5" s="9" t="str">
        <x:v>Bench ranges are stated; gait conditions are limited</x:v>
      </x:c>
      <x:c r="P5" s="9" t="str">
        <x:v>PDF pp. 6-7</x:v>
      </x:c>
    </x:row>
    <x:row r="6">
      <x:c r="A6" s="9" t="n">
        <x:v>1</x:v>
      </x:c>
      <x:c r="B6" s="9" t="str">
        <x:v>S001</x:v>
      </x:c>
      <x:c r="C6" s="9" t="str">
        <x:v>Leal-Junior et al. (2025)</x:v>
      </x:c>
      <x:c r="D6" s="9" t="str">
        <x:v>D5</x:v>
      </x:c>
      <x:c r="E6" s="9" t="str">
        <x:v>Low concern</x:v>
      </x:c>
      <x:c r="F6" s="9" t="str">
        <x:v>Some concern</x:v>
      </x:c>
      <x:c r="G6" s="9" t="str">
        <x:v>Yes</x:v>
      </x:c>
      <x:c r="H6" s="9" t="str">
        <x:v>Disagree</x:v>
      </x:c>
      <x:c r="I6" s="9" t="str">
        <x:v>Low concern</x:v>
      </x:c>
      <x:c r="J6" s="9" t="str">
        <x:v>Adjudicated to Reviewer 1</x:v>
      </x:c>
      <x:c r="K6" s="9" t="str">
        <x:v>Three cycles and hysteresis are reported</x:v>
      </x:c>
      <x:c r="L6" s="9" t="str">
        <x:v>PDF pp. 6, 8</x:v>
      </x:c>
      <x:c r="M6" s="9" t="str">
        <x:v>Three characterization cycles and sequential gait cycles are defined, but long-term stability is not assessed.</x:v>
      </x:c>
      <x:c r="N6" s="9" t="str">
        <x:v>Article PDF pp. 6-8 and 14-15</x:v>
      </x:c>
      <x:c r="O6" s="9" t="str">
        <x:v>Three cycles and hysteresis are reported</x:v>
      </x:c>
      <x:c r="P6" s="9" t="str">
        <x:v>PDF pp. 6, 8</x:v>
      </x:c>
    </x:row>
    <x:row r="7">
      <x:c r="A7" s="9" t="n">
        <x:v>1</x:v>
      </x:c>
      <x:c r="B7" s="9" t="str">
        <x:v>S001</x:v>
      </x:c>
      <x:c r="C7" s="9" t="str">
        <x:v>Leal-Junior et al. (2025)</x:v>
      </x:c>
      <x:c r="D7" s="9" t="str">
        <x:v>D6</x:v>
      </x:c>
      <x:c r="E7" s="9" t="str">
        <x:v>High concern</x:v>
      </x:c>
      <x:c r="F7" s="9" t="str">
        <x:v>High concern</x:v>
      </x:c>
      <x:c r="G7" s="9" t="str">
        <x:v>Yes</x:v>
      </x:c>
      <x:c r="H7" s="9" t="str">
        <x:v>Agree</x:v>
      </x:c>
      <x:c r="I7" s="9" t="str">
        <x:v>High concern</x:v>
      </x:c>
      <x:c r="J7" s="9" t="str">
        <x:v>Initial agreement</x:v>
      </x:c>
      <x:c r="K7" s="9" t="str">
        <x:v>No independent-device replication</x:v>
      </x:c>
      <x:c r="L7" s="9" t="str">
        <x:v>PDF pp. 4-15</x:v>
      </x:c>
      <x:c r="M7" s="9" t="str">
        <x:v>No comparison of at least three separately fabricated insoles is reported.</x:v>
      </x:c>
      <x:c r="N7" s="9" t="str">
        <x:v>Article PDF pp. 4 and 8</x:v>
      </x:c>
      <x:c r="O7" s="9" t="str">
        <x:v>No independent-device replication</x:v>
      </x:c>
      <x:c r="P7" s="9" t="str">
        <x:v>PDF pp. 4-15</x:v>
      </x:c>
    </x:row>
    <x:row r="8">
      <x:c r="A8" s="9" t="n">
        <x:v>1</x:v>
      </x:c>
      <x:c r="B8" s="9" t="str">
        <x:v>S001</x:v>
      </x:c>
      <x:c r="C8" s="9" t="str">
        <x:v>Leal-Junior et al. (2025)</x:v>
      </x:c>
      <x:c r="D8" s="9" t="str">
        <x:v>D7</x:v>
      </x:c>
      <x:c r="E8" s="9" t="str">
        <x:v>Some concern</x:v>
      </x:c>
      <x:c r="F8" s="9" t="str">
        <x:v>Some concern</x:v>
      </x:c>
      <x:c r="G8" s="9" t="str">
        <x:v>Yes</x:v>
      </x:c>
      <x:c r="H8" s="9" t="str">
        <x:v>Agree</x:v>
      </x:c>
      <x:c r="I8" s="9" t="str">
        <x:v>Some concern</x:v>
      </x:c>
      <x:c r="J8" s="9" t="str">
        <x:v>Initial agreement</x:v>
      </x:c>
      <x:c r="K8" s="9" t="str">
        <x:v>Key calibration outcomes are reported; some study-level uncertainty remains</x:v>
      </x:c>
      <x:c r="L8" s="9" t="str">
        <x:v>PDF pp. 8-15</x:v>
      </x:c>
      <x:c r="M8" s="9" t="str">
        <x:v>Principal calibration and gait outcomes include dispersion, but device-level uncertainty is unavailable.</x:v>
      </x:c>
      <x:c r="N8" s="9" t="str">
        <x:v>Article PDF pp. 8 and 15, Figures 4 and 7</x:v>
      </x:c>
      <x:c r="O8" s="9" t="str">
        <x:v>Key calibration outcomes are reported; some study-level uncertainty remains</x:v>
      </x:c>
      <x:c r="P8" s="9" t="str">
        <x:v>PDF pp. 8-15</x:v>
      </x:c>
    </x:row>
    <x:row r="9">
      <x:c r="A9" s="9" t="n">
        <x:v>1</x:v>
      </x:c>
      <x:c r="B9" s="9" t="str">
        <x:v>S001</x:v>
      </x:c>
      <x:c r="C9" s="9" t="str">
        <x:v>Leal-Junior et al. (2025)</x:v>
      </x:c>
      <x:c r="D9" s="9" t="str">
        <x:v>D8</x:v>
      </x:c>
      <x:c r="E9" s="9" t="str">
        <x:v>Low concern</x:v>
      </x:c>
      <x:c r="F9" s="9" t="str">
        <x:v>Low concern</x:v>
      </x:c>
      <x:c r="G9" s="9" t="str">
        <x:v>Yes</x:v>
      </x:c>
      <x:c r="H9" s="9" t="str">
        <x:v>Agree</x:v>
      </x:c>
      <x:c r="I9" s="9" t="str">
        <x:v>Low concern</x:v>
      </x:c>
      <x:c r="J9" s="9" t="str">
        <x:v>Initial agreement</x:v>
      </x:c>
      <x:c r="K9" s="9" t="str">
        <x:v>Final insole evaluated during gait</x:v>
      </x:c>
      <x:c r="L9" s="9" t="str">
        <x:v>PDF pp. 6-7, 14</x:v>
      </x:c>
      <x:c r="M9" s="9" t="str">
        <x:v>The final insole was worn by five volunteers during walking and compared with a force platform.</x:v>
      </x:c>
      <x:c r="N9" s="9" t="str">
        <x:v>Article PDF pp. 7 and 14-15, Figure 7</x:v>
      </x:c>
      <x:c r="O9" s="9" t="str">
        <x:v>Final insole evaluated during gait</x:v>
      </x:c>
      <x:c r="P9" s="9" t="str">
        <x:v>PDF pp. 6-7, 14</x:v>
      </x:c>
    </x:row>
    <x:row r="10">
      <x:c r="A10" s="9" t="n">
        <x:v>2</x:v>
      </x:c>
      <x:c r="B10" s="9" t="str">
        <x:v>S002</x:v>
      </x:c>
      <x:c r="C10" s="9" t="str">
        <x:v>Koukouviti et al. (2022)</x:v>
      </x:c>
      <x:c r="D10" s="9" t="str">
        <x:v>D1</x:v>
      </x:c>
      <x:c r="E10" s="9" t="str">
        <x:v>Some concern</x:v>
      </x:c>
      <x:c r="F10" s="9" t="str">
        <x:v>Some concern</x:v>
      </x:c>
      <x:c r="G10" s="9" t="str">
        <x:v>Yes</x:v>
      </x:c>
      <x:c r="H10" s="9" t="str">
        <x:v>Agree</x:v>
      </x:c>
      <x:c r="I10" s="9" t="str">
        <x:v>Some concern</x:v>
      </x:c>
      <x:c r="J10" s="9" t="str">
        <x:v>Initial agreement</x:v>
      </x:c>
      <x:c r="K10" s="9" t="str">
        <x:v>Device allocation is unclear for several n=3 tests</x:v>
      </x:c>
      <x:c r="L10" s="9" t="str">
        <x:v>PDF pp. 6-10</x:v>
      </x:c>
      <x:c r="M10" s="9" t="str">
        <x:v>Six electrodes are distinguished from ten repeat responses, but selection and failed electrodes are not described.</x:v>
      </x:c>
      <x:c r="N10" s="9" t="str">
        <x:v>Article PDF p. 7, reproducibility paragraph</x:v>
      </x:c>
      <x:c r="O10" s="9" t="str">
        <x:v>Device allocation is unclear for several n=3 tests</x:v>
      </x:c>
      <x:c r="P10" s="9" t="str">
        <x:v>PDF pp. 6-10</x:v>
      </x:c>
    </x:row>
    <x:row r="11">
      <x:c r="A11" s="9" t="n">
        <x:v>2</x:v>
      </x:c>
      <x:c r="B11" s="9" t="str">
        <x:v>S002</x:v>
      </x:c>
      <x:c r="C11" s="9" t="str">
        <x:v>Koukouviti et al. (2022)</x:v>
      </x:c>
      <x:c r="D11" s="9" t="str">
        <x:v>D2</x:v>
      </x:c>
      <x:c r="E11" s="9" t="str">
        <x:v>Some concern</x:v>
      </x:c>
      <x:c r="F11" s="9" t="str">
        <x:v>Some concern</x:v>
      </x:c>
      <x:c r="G11" s="9" t="str">
        <x:v>Yes</x:v>
      </x:c>
      <x:c r="H11" s="9" t="str">
        <x:v>Agree</x:v>
      </x:c>
      <x:c r="I11" s="9" t="str">
        <x:v>Some concern</x:v>
      </x:c>
      <x:c r="J11" s="9" t="str">
        <x:v>Initial agreement</x:v>
      </x:c>
      <x:c r="K11" s="9" t="str">
        <x:v>Several settings are reported, but printer/model and layer height are NR</x:v>
      </x:c>
      <x:c r="L11" s="9" t="str">
        <x:v>PDF p. 4</x:v>
      </x:c>
      <x:c r="M11" s="9" t="str">
        <x:v>Material and several print settings are specified, but layer height, infill, orientation and printer identity are absent.</x:v>
      </x:c>
      <x:c r="N11" s="9" t="str">
        <x:v>Article PDF p. 4, Section 2.4</x:v>
      </x:c>
      <x:c r="O11" s="9" t="str">
        <x:v>Several settings are reported, but printer/model and layer height are NR</x:v>
      </x:c>
      <x:c r="P11" s="9" t="str">
        <x:v>PDF p. 4</x:v>
      </x:c>
    </x:row>
    <x:row r="12">
      <x:c r="A12" s="9" t="n">
        <x:v>2</x:v>
      </x:c>
      <x:c r="B12" s="9" t="str">
        <x:v>S002</x:v>
      </x:c>
      <x:c r="C12" s="9" t="str">
        <x:v>Koukouviti et al. (2022)</x:v>
      </x:c>
      <x:c r="D12" s="9" t="str">
        <x:v>D3</x:v>
      </x:c>
      <x:c r="E12" s="9" t="str">
        <x:v>Low concern</x:v>
      </x:c>
      <x:c r="F12" s="9" t="str">
        <x:v>Low concern</x:v>
      </x:c>
      <x:c r="G12" s="9" t="str">
        <x:v>Yes</x:v>
      </x:c>
      <x:c r="H12" s="9" t="str">
        <x:v>Agree</x:v>
      </x:c>
      <x:c r="I12" s="9" t="str">
        <x:v>Low concern</x:v>
      </x:c>
      <x:c r="J12" s="9" t="str">
        <x:v>Initial agreement</x:v>
      </x:c>
      <x:c r="K12" s="9" t="str">
        <x:v>Concentration standards and DPV settings are described</x:v>
      </x:c>
      <x:c r="L12" s="9" t="str">
        <x:v>PDF pp. 5-7</x:v>
      </x:c>
      <x:c r="M12" s="9" t="str">
        <x:v>Known glucose standards, a defined DPV protocol and full calibration range support validity.</x:v>
      </x:c>
      <x:c r="N12" s="9" t="str">
        <x:v>Article PDF pp. 5-8, Figure 5</x:v>
      </x:c>
      <x:c r="O12" s="9" t="str">
        <x:v>Concentration standards and DPV settings are described</x:v>
      </x:c>
      <x:c r="P12" s="9" t="str">
        <x:v>PDF pp. 5-7</x:v>
      </x:c>
    </x:row>
    <x:row r="13">
      <x:c r="A13" s="9" t="n">
        <x:v>2</x:v>
      </x:c>
      <x:c r="B13" s="9" t="str">
        <x:v>S002</x:v>
      </x:c>
      <x:c r="C13" s="9" t="str">
        <x:v>Koukouviti et al. (2022)</x:v>
      </x:c>
      <x:c r="D13" s="9" t="str">
        <x:v>D4</x:v>
      </x:c>
      <x:c r="E13" s="9" t="str">
        <x:v>Low concern</x:v>
      </x:c>
      <x:c r="F13" s="9" t="str">
        <x:v>Low concern</x:v>
      </x:c>
      <x:c r="G13" s="9" t="str">
        <x:v>Yes</x:v>
      </x:c>
      <x:c r="H13" s="9" t="str">
        <x:v>Agree</x:v>
      </x:c>
      <x:c r="I13" s="9" t="str">
        <x:v>Low concern</x:v>
      </x:c>
      <x:c r="J13" s="9" t="str">
        <x:v>Initial agreement</x:v>
      </x:c>
      <x:c r="K13" s="9" t="str">
        <x:v>Artificial-sweat pH and interferents are stated</x:v>
      </x:c>
      <x:c r="L13" s="9" t="str">
        <x:v>PDF pp. 8-10</x:v>
      </x:c>
      <x:c r="M13" s="9" t="str">
        <x:v>Electrolyte, pH, conditioning potentials, timing and interferent concentrations are stated.</x:v>
      </x:c>
      <x:c r="N13" s="9" t="str">
        <x:v>Article PDF pp. 5 and 8-9</x:v>
      </x:c>
      <x:c r="O13" s="9" t="str">
        <x:v>Artificial-sweat pH and interferents are stated</x:v>
      </x:c>
      <x:c r="P13" s="9" t="str">
        <x:v>PDF pp. 8-10</x:v>
      </x:c>
    </x:row>
    <x:row r="14">
      <x:c r="A14" s="9" t="n">
        <x:v>2</x:v>
      </x:c>
      <x:c r="B14" s="9" t="str">
        <x:v>S002</x:v>
      </x:c>
      <x:c r="C14" s="9" t="str">
        <x:v>Koukouviti et al. (2022)</x:v>
      </x:c>
      <x:c r="D14" s="9" t="str">
        <x:v>D5</x:v>
      </x:c>
      <x:c r="E14" s="9" t="str">
        <x:v>Low concern</x:v>
      </x:c>
      <x:c r="F14" s="9" t="str">
        <x:v>Some concern</x:v>
      </x:c>
      <x:c r="G14" s="9" t="str">
        <x:v>Yes</x:v>
      </x:c>
      <x:c r="H14" s="9" t="str">
        <x:v>Disagree</x:v>
      </x:c>
      <x:c r="I14" s="9" t="str">
        <x:v>Low concern</x:v>
      </x:c>
      <x:c r="J14" s="9" t="str">
        <x:v>Adjudicated to Reviewer 1</x:v>
      </x:c>
      <x:c r="K14" s="9" t="str">
        <x:v>Ten repeated measurements reported with RSD</x:v>
      </x:c>
      <x:c r="L14" s="9" t="str">
        <x:v>PDF pp. 7-8</x:v>
      </x:c>
      <x:c r="M14" s="9" t="str">
        <x:v>Ten repeated responses and within-sensor RSD are reported, but temporal stability across the calibration range is not.</x:v>
      </x:c>
      <x:c r="N14" s="9" t="str">
        <x:v>Article PDF p. 7</x:v>
      </x:c>
      <x:c r="O14" s="9" t="str">
        <x:v>Ten repeated measurements reported with RSD</x:v>
      </x:c>
      <x:c r="P14" s="9" t="str">
        <x:v>PDF pp. 7-8</x:v>
      </x:c>
    </x:row>
    <x:row r="15">
      <x:c r="A15" s="9" t="n">
        <x:v>2</x:v>
      </x:c>
      <x:c r="B15" s="9" t="str">
        <x:v>S002</x:v>
      </x:c>
      <x:c r="C15" s="9" t="str">
        <x:v>Koukouviti et al. (2022)</x:v>
      </x:c>
      <x:c r="D15" s="9" t="str">
        <x:v>D6</x:v>
      </x:c>
      <x:c r="E15" s="9" t="str">
        <x:v>Low concern</x:v>
      </x:c>
      <x:c r="F15" s="9" t="str">
        <x:v>Low concern</x:v>
      </x:c>
      <x:c r="G15" s="9" t="str">
        <x:v>Yes</x:v>
      </x:c>
      <x:c r="H15" s="9" t="str">
        <x:v>Agree</x:v>
      </x:c>
      <x:c r="I15" s="9" t="str">
        <x:v>Low concern</x:v>
      </x:c>
      <x:c r="J15" s="9" t="str">
        <x:v>Initial agreement</x:v>
      </x:c>
      <x:c r="K15" s="9" t="str">
        <x:v>Six separate 3DPEs compared with RSD</x:v>
      </x:c>
      <x:c r="L15" s="9" t="str">
        <x:v>PDF pp. 7-8</x:v>
      </x:c>
      <x:c r="M15" s="9" t="str">
        <x:v>Between-sensor RSD is reported for six independently printed electrodes under the same glucose level.</x:v>
      </x:c>
      <x:c r="N15" s="9" t="str">
        <x:v>Article PDF p. 7</x:v>
      </x:c>
      <x:c r="O15" s="9" t="str">
        <x:v>Six separate 3DPEs compared with RSD</x:v>
      </x:c>
      <x:c r="P15" s="9" t="str">
        <x:v>PDF pp. 7-8</x:v>
      </x:c>
    </x:row>
    <x:row r="16">
      <x:c r="A16" s="9" t="n">
        <x:v>2</x:v>
      </x:c>
      <x:c r="B16" s="9" t="str">
        <x:v>S002</x:v>
      </x:c>
      <x:c r="C16" s="9" t="str">
        <x:v>Koukouviti et al. (2022)</x:v>
      </x:c>
      <x:c r="D16" s="9" t="str">
        <x:v>D7</x:v>
      </x:c>
      <x:c r="E16" s="9" t="str">
        <x:v>Low concern</x:v>
      </x:c>
      <x:c r="F16" s="9" t="str">
        <x:v>Low concern</x:v>
      </x:c>
      <x:c r="G16" s="9" t="str">
        <x:v>Yes</x:v>
      </x:c>
      <x:c r="H16" s="9" t="str">
        <x:v>Agree</x:v>
      </x:c>
      <x:c r="I16" s="9" t="str">
        <x:v>Low concern</x:v>
      </x:c>
      <x:c r="J16" s="9" t="str">
        <x:v>Initial agreement</x:v>
      </x:c>
      <x:c r="K16" s="9" t="str">
        <x:v>Calibration, repeatability, reproducibility and recovery are reported</x:v>
      </x:c>
      <x:c r="L16" s="9" t="str">
        <x:v>PDF pp. 6-10</x:v>
      </x:c>
      <x:c r="M16" s="9" t="str">
        <x:v>Calibration, precision, selectivity and LOD outcomes are reported with quantitative uncertainty.</x:v>
      </x:c>
      <x:c r="N16" s="9" t="str">
        <x:v>Article PDF pp. 7-9, Figures 5-6</x:v>
      </x:c>
      <x:c r="O16" s="9" t="str">
        <x:v>Calibration, repeatability, reproducibility and recovery are reported</x:v>
      </x:c>
      <x:c r="P16" s="9" t="str">
        <x:v>PDF pp. 6-10</x:v>
      </x:c>
    </x:row>
    <x:row r="17">
      <x:c r="A17" s="9" t="n">
        <x:v>2</x:v>
      </x:c>
      <x:c r="B17" s="9" t="str">
        <x:v>S002</x:v>
      </x:c>
      <x:c r="C17" s="9" t="str">
        <x:v>Koukouviti et al. (2022)</x:v>
      </x:c>
      <x:c r="D17" s="9" t="str">
        <x:v>D8</x:v>
      </x:c>
      <x:c r="E17" s="9" t="str">
        <x:v>Some concern</x:v>
      </x:c>
      <x:c r="F17" s="9" t="str">
        <x:v>High concern</x:v>
      </x:c>
      <x:c r="G17" s="9" t="str">
        <x:v>Yes</x:v>
      </x:c>
      <x:c r="H17" s="9" t="str">
        <x:v>Disagree</x:v>
      </x:c>
      <x:c r="I17" s="9" t="str">
        <x:v>Some concern</x:v>
      </x:c>
      <x:c r="J17" s="9" t="str">
        <x:v>Adjudicated to Reviewer 1</x:v>
      </x:c>
      <x:c r="K17" s="9" t="str">
        <x:v>Sweat matrix is relevant, but no final wearable assembly is tested</x:v>
      </x:c>
      <x:c r="L17" s="9" t="str">
        <x:v>PDF pp. 8-10</x:v>
      </x:c>
      <x:c r="M17" s="9" t="str">
        <x:v>Testing used prepared solutions; no integrated body-worn device was evaluated, and wearability remains prospective.</x:v>
      </x:c>
      <x:c r="N17" s="9" t="str">
        <x:v>Article PDF p. 10, Conclusions</x:v>
      </x:c>
      <x:c r="O17" s="9" t="str">
        <x:v>Sweat matrix is relevant, but no final wearable assembly is tested</x:v>
      </x:c>
      <x:c r="P17" s="9" t="str">
        <x:v>PDF pp. 8-10</x:v>
      </x:c>
    </x:row>
    <x:row r="18">
      <x:c r="A18" s="9" t="n">
        <x:v>3</x:v>
      </x:c>
      <x:c r="B18" s="9" t="str">
        <x:v>S004</x:v>
      </x:c>
      <x:c r="C18" s="9" t="str">
        <x:v>Farid et al. (2025)</x:v>
      </x:c>
      <x:c r="D18" s="9" t="str">
        <x:v>D1</x:v>
      </x:c>
      <x:c r="E18" s="9" t="str">
        <x:v>High concern</x:v>
      </x:c>
      <x:c r="F18" s="9" t="str">
        <x:v>High concern</x:v>
      </x:c>
      <x:c r="G18" s="9" t="str">
        <x:v>Yes</x:v>
      </x:c>
      <x:c r="H18" s="9" t="str">
        <x:v>Agree</x:v>
      </x:c>
      <x:c r="I18" s="9" t="str">
        <x:v>High concern</x:v>
      </x:c>
      <x:c r="J18" s="9" t="str">
        <x:v>Initial agreement</x:v>
      </x:c>
      <x:c r="K18" s="9" t="str">
        <x:v>Device and participant counts are not reported</x:v>
      </x:c>
      <x:c r="L18" s="9" t="str">
        <x:v>PDF pp. 2–13; Figs. 1–8</x:v>
      </x:c>
      <x:c r="M18" s="9" t="str">
        <x:v>Specimen numbers, selection and exclusions are not reported; Figure 3 refers to a single sample track.</x:v>
      </x:c>
      <x:c r="N18" s="9" t="str">
        <x:v>Article PDF p. 7, Figure 3g</x:v>
      </x:c>
      <x:c r="O18" s="9" t="str">
        <x:v>Device and participant counts are not reported</x:v>
      </x:c>
      <x:c r="P18" s="9" t="str">
        <x:v>PDF pp. 2–13; Figs. 1–8</x:v>
      </x:c>
    </x:row>
    <x:row r="19">
      <x:c r="A19" s="9" t="n">
        <x:v>3</x:v>
      </x:c>
      <x:c r="B19" s="9" t="str">
        <x:v>S004</x:v>
      </x:c>
      <x:c r="C19" s="9" t="str">
        <x:v>Farid et al. (2025)</x:v>
      </x:c>
      <x:c r="D19" s="9" t="str">
        <x:v>D2</x:v>
      </x:c>
      <x:c r="E19" s="9" t="str">
        <x:v>Low concern</x:v>
      </x:c>
      <x:c r="F19" s="9" t="str">
        <x:v>Low concern</x:v>
      </x:c>
      <x:c r="G19" s="9" t="str">
        <x:v>Yes</x:v>
      </x:c>
      <x:c r="H19" s="9" t="str">
        <x:v>Agree</x:v>
      </x:c>
      <x:c r="I19" s="9" t="str">
        <x:v>Low concern</x:v>
      </x:c>
      <x:c r="J19" s="9" t="str">
        <x:v>Initial agreement</x:v>
      </x:c>
      <x:c r="K19" s="9" t="str">
        <x:v>Principal print settings are detailed</x:v>
      </x:c>
      <x:c r="L19" s="9" t="str">
        <x:v>PDF pp. 2–13; Figs. 1–8</x:v>
      </x:c>
      <x:c r="M19" s="9" t="str">
        <x:v>Materials, drying, geometry and comprehensive dual-extrusion settings are documented.</x:v>
      </x:c>
      <x:c r="N19" s="9" t="str">
        <x:v>Article PDF pp. 2-3, Table 1</x:v>
      </x:c>
      <x:c r="O19" s="9" t="str">
        <x:v>Principal print settings are detailed</x:v>
      </x:c>
      <x:c r="P19" s="9" t="str">
        <x:v>PDF pp. 2–13; Figs. 1–8</x:v>
      </x:c>
    </x:row>
    <x:row r="20">
      <x:c r="A20" s="9" t="n">
        <x:v>3</x:v>
      </x:c>
      <x:c r="B20" s="9" t="str">
        <x:v>S004</x:v>
      </x:c>
      <x:c r="C20" s="9" t="str">
        <x:v>Farid et al. (2025)</x:v>
      </x:c>
      <x:c r="D20" s="9" t="str">
        <x:v>D3</x:v>
      </x:c>
      <x:c r="E20" s="9" t="str">
        <x:v>Low concern</x:v>
      </x:c>
      <x:c r="F20" s="9" t="str">
        <x:v>Low concern</x:v>
      </x:c>
      <x:c r="G20" s="9" t="str">
        <x:v>Yes</x:v>
      </x:c>
      <x:c r="H20" s="9" t="str">
        <x:v>Agree</x:v>
      </x:c>
      <x:c r="I20" s="9" t="str">
        <x:v>Low concern</x:v>
      </x:c>
      <x:c r="J20" s="9" t="str">
        <x:v>Initial agreement</x:v>
      </x:c>
      <x:c r="K20" s="9" t="str">
        <x:v>UTM and electrical instruments described</x:v>
      </x:c>
      <x:c r="L20" s="9" t="str">
        <x:v>PDF pp. 2–13; Figs. 1–8</x:v>
      </x:c>
      <x:c r="M20" s="9" t="str">
        <x:v>Controlled UTM deformation and simultaneous LCR measurements are appropriate for the strain-response claim.</x:v>
      </x:c>
      <x:c r="N20" s="9" t="str">
        <x:v>Article PDF pp. 3 and 8</x:v>
      </x:c>
      <x:c r="O20" s="9" t="str">
        <x:v>UTM and electrical instruments described</x:v>
      </x:c>
      <x:c r="P20" s="9" t="str">
        <x:v>PDF pp. 2–13; Figs. 1–8</x:v>
      </x:c>
    </x:row>
    <x:row r="21">
      <x:c r="A21" s="9" t="n">
        <x:v>3</x:v>
      </x:c>
      <x:c r="B21" s="9" t="str">
        <x:v>S004</x:v>
      </x:c>
      <x:c r="C21" s="9" t="str">
        <x:v>Farid et al. (2025)</x:v>
      </x:c>
      <x:c r="D21" s="9" t="str">
        <x:v>D4</x:v>
      </x:c>
      <x:c r="E21" s="9" t="str">
        <x:v>Some concern</x:v>
      </x:c>
      <x:c r="F21" s="9" t="str">
        <x:v>Some concern</x:v>
      </x:c>
      <x:c r="G21" s="9" t="str">
        <x:v>Yes</x:v>
      </x:c>
      <x:c r="H21" s="9" t="str">
        <x:v>Agree</x:v>
      </x:c>
      <x:c r="I21" s="9" t="str">
        <x:v>Some concern</x:v>
      </x:c>
      <x:c r="J21" s="9" t="str">
        <x:v>Initial agreement</x:v>
      </x:c>
      <x:c r="K21" s="9" t="str">
        <x:v>Many conditions are shown but repetition basis is incomplete</x:v>
      </x:c>
      <x:c r="L21" s="9" t="str">
        <x:v>PDF pp. 2–13; Figs. 1–8</x:v>
      </x:c>
      <x:c r="M21" s="9" t="str">
        <x:v>Strain rates and amplitudes are stated, but mounting and conditioning consistency are only partly described.</x:v>
      </x:c>
      <x:c r="N21" s="9" t="str">
        <x:v>Article PDF pp. 3 and 8-11, Figures 4 and 6</x:v>
      </x:c>
      <x:c r="O21" s="9" t="str">
        <x:v>Many conditions are shown but repetition basis is incomplete</x:v>
      </x:c>
      <x:c r="P21" s="9" t="str">
        <x:v>PDF pp. 2–13; Figs. 1–8</x:v>
      </x:c>
    </x:row>
    <x:row r="22">
      <x:c r="A22" s="9" t="n">
        <x:v>3</x:v>
      </x:c>
      <x:c r="B22" s="9" t="str">
        <x:v>S004</x:v>
      </x:c>
      <x:c r="C22" s="9" t="str">
        <x:v>Farid et al. (2025)</x:v>
      </x:c>
      <x:c r="D22" s="9" t="str">
        <x:v>D5</x:v>
      </x:c>
      <x:c r="E22" s="9" t="str">
        <x:v>Some concern</x:v>
      </x:c>
      <x:c r="F22" s="9" t="str">
        <x:v>Some concern</x:v>
      </x:c>
      <x:c r="G22" s="9" t="str">
        <x:v>Yes</x:v>
      </x:c>
      <x:c r="H22" s="9" t="str">
        <x:v>Agree</x:v>
      </x:c>
      <x:c r="I22" s="9" t="str">
        <x:v>Some concern</x:v>
      </x:c>
      <x:c r="J22" s="9" t="str">
        <x:v>Initial agreement</x:v>
      </x:c>
      <x:c r="K22" s="9" t="str">
        <x:v>Cyclic traces lack a clear same-condition count</x:v>
      </x:c>
      <x:c r="L22" s="9" t="str">
        <x:v>PDF pp. 2–13; Figs. 1–8</x:v>
      </x:c>
      <x:c r="M22" s="9" t="str">
        <x:v>Cyclic traces and consistency are shown, but only about ten cycles and no prespecified stability statistic are provided.</x:v>
      </x:c>
      <x:c r="N22" s="9" t="str">
        <x:v>Article PDF p. 11, Figure 6i</x:v>
      </x:c>
      <x:c r="O22" s="9" t="str">
        <x:v>Cyclic traces lack a clear same-condition count</x:v>
      </x:c>
      <x:c r="P22" s="9" t="str">
        <x:v>PDF pp. 2–13; Figs. 1–8</x:v>
      </x:c>
    </x:row>
    <x:row r="23">
      <x:c r="A23" s="9" t="n">
        <x:v>3</x:v>
      </x:c>
      <x:c r="B23" s="9" t="str">
        <x:v>S004</x:v>
      </x:c>
      <x:c r="C23" s="9" t="str">
        <x:v>Farid et al. (2025)</x:v>
      </x:c>
      <x:c r="D23" s="9" t="str">
        <x:v>D6</x:v>
      </x:c>
      <x:c r="E23" s="9" t="str">
        <x:v>High concern</x:v>
      </x:c>
      <x:c r="F23" s="9" t="str">
        <x:v>High concern</x:v>
      </x:c>
      <x:c r="G23" s="9" t="str">
        <x:v>Yes</x:v>
      </x:c>
      <x:c r="H23" s="9" t="str">
        <x:v>Agree</x:v>
      </x:c>
      <x:c r="I23" s="9" t="str">
        <x:v>High concern</x:v>
      </x:c>
      <x:c r="J23" s="9" t="str">
        <x:v>Initial agreement</x:v>
      </x:c>
      <x:c r="K23" s="9" t="str">
        <x:v>No separate-device comparison</x:v>
      </x:c>
      <x:c r="L23" s="9" t="str">
        <x:v>PDF pp. 2–13; Figs. 1–8</x:v>
      </x:c>
      <x:c r="M23" s="9" t="str">
        <x:v>No device-level replication or between-device dispersion is reported.</x:v>
      </x:c>
      <x:c r="N23" s="9" t="str">
        <x:v>Article PDF pp. 3 and 7</x:v>
      </x:c>
      <x:c r="O23" s="9" t="str">
        <x:v>No separate-device comparison</x:v>
      </x:c>
      <x:c r="P23" s="9" t="str">
        <x:v>PDF pp. 2–13; Figs. 1–8</x:v>
      </x:c>
    </x:row>
    <x:row r="24">
      <x:c r="A24" s="9" t="n">
        <x:v>3</x:v>
      </x:c>
      <x:c r="B24" s="9" t="str">
        <x:v>S004</x:v>
      </x:c>
      <x:c r="C24" s="9" t="str">
        <x:v>Farid et al. (2025)</x:v>
      </x:c>
      <x:c r="D24" s="9" t="str">
        <x:v>D7</x:v>
      </x:c>
      <x:c r="E24" s="9" t="str">
        <x:v>Some concern</x:v>
      </x:c>
      <x:c r="F24" s="9" t="str">
        <x:v>Some concern</x:v>
      </x:c>
      <x:c r="G24" s="9" t="str">
        <x:v>Yes</x:v>
      </x:c>
      <x:c r="H24" s="9" t="str">
        <x:v>Agree</x:v>
      </x:c>
      <x:c r="I24" s="9" t="str">
        <x:v>Some concern</x:v>
      </x:c>
      <x:c r="J24" s="9" t="str">
        <x:v>Initial agreement</x:v>
      </x:c>
      <x:c r="K24" s="9" t="str">
        <x:v>Major outputs reported; uncertainty is limited</x:v>
      </x:c>
      <x:c r="L24" s="9" t="str">
        <x:v>PDF pp. 2–13; Figs. 1–8</x:v>
      </x:c>
      <x:c r="M24" s="9" t="str">
        <x:v>Principal response and deformation outcomes are shown, but uncertainty/error bars and device-level completeness are absent.</x:v>
      </x:c>
      <x:c r="N24" s="9" t="str">
        <x:v>Article PDF pp. 8-13, Figures 4-8</x:v>
      </x:c>
      <x:c r="O24" s="9" t="str">
        <x:v>Major outputs reported; uncertainty is limited</x:v>
      </x:c>
      <x:c r="P24" s="9" t="str">
        <x:v>PDF pp. 2–13; Figs. 1–8</x:v>
      </x:c>
    </x:row>
    <x:row r="25">
      <x:c r="A25" s="9" t="n">
        <x:v>3</x:v>
      </x:c>
      <x:c r="B25" s="9" t="str">
        <x:v>S004</x:v>
      </x:c>
      <x:c r="C25" s="9" t="str">
        <x:v>Farid et al. (2025)</x:v>
      </x:c>
      <x:c r="D25" s="9" t="str">
        <x:v>D8</x:v>
      </x:c>
      <x:c r="E25" s="9" t="str">
        <x:v>Some concern</x:v>
      </x:c>
      <x:c r="F25" s="9" t="str">
        <x:v>Low concern</x:v>
      </x:c>
      <x:c r="G25" s="9" t="str">
        <x:v>Yes</x:v>
      </x:c>
      <x:c r="H25" s="9" t="str">
        <x:v>Disagree</x:v>
      </x:c>
      <x:c r="I25" s="9" t="str">
        <x:v>Some concern</x:v>
      </x:c>
      <x:c r="J25" s="9" t="str">
        <x:v>Adjudicated to Reviewer 1</x:v>
      </x:c>
      <x:c r="K25" s="9" t="str">
        <x:v>Several on-body demonstrations but protocol/participants are sparse</x:v>
      </x:c>
      <x:c r="L25" s="9" t="str">
        <x:v>PDF pp. 2–13; Figs. 1–8</x:v>
      </x:c>
      <x:c r="M25" s="9" t="str">
        <x:v>The completed flexible sensor was attached to fingers, wrist, abdomen and leg for multiple human-motion demonstrations.</x:v>
      </x:c>
      <x:c r="N25" s="9" t="str">
        <x:v>Article PDF pp. 11-13, Figures 7-8</x:v>
      </x:c>
      <x:c r="O25" s="9" t="str">
        <x:v>Several on-body demonstrations but protocol/participants are sparse</x:v>
      </x:c>
      <x:c r="P25" s="9" t="str">
        <x:v>PDF pp. 2–13; Figs. 1–8</x:v>
      </x:c>
    </x:row>
    <x:row r="26">
      <x:c r="A26" s="9" t="n">
        <x:v>4</x:v>
      </x:c>
      <x:c r="B26" s="9" t="str">
        <x:v>S005</x:v>
      </x:c>
      <x:c r="C26" s="9" t="str">
        <x:v>Tavares et al. (2022)</x:v>
      </x:c>
      <x:c r="D26" s="9" t="str">
        <x:v>D1</x:v>
      </x:c>
      <x:c r="E26" s="9" t="str">
        <x:v>Some concern</x:v>
      </x:c>
      <x:c r="F26" s="9" t="str">
        <x:v>Some concern</x:v>
      </x:c>
      <x:c r="G26" s="9" t="str">
        <x:v>Yes</x:v>
      </x:c>
      <x:c r="H26" s="9" t="str">
        <x:v>Agree</x:v>
      </x:c>
      <x:c r="I26" s="9" t="str">
        <x:v>Some concern</x:v>
      </x:c>
      <x:c r="J26" s="9" t="str">
        <x:v>Initial agreement</x:v>
      </x:c>
      <x:c r="K26" s="9" t="str">
        <x:v>Three users but one selected sensor design</x:v>
      </x:c>
      <x:c r="L26" s="9" t="str">
        <x:v>PDF pp. 3–11; Figs. 1–9; Tables 1–3</x:v>
      </x:c>
      <x:c r="M26" s="9" t="str">
        <x:v>All six configurations and omission of insensitive A-C results are explained, but each configuration appears to be a single device.</x:v>
      </x:c>
      <x:c r="N26" s="9" t="str">
        <x:v>Article PDF pp. 4-5, Table 1 and Figure 4</x:v>
      </x:c>
      <x:c r="O26" s="9" t="str">
        <x:v>Three users but one selected sensor design</x:v>
      </x:c>
      <x:c r="P26" s="9" t="str">
        <x:v>PDF pp. 3–11; Figs. 1–9; Tables 1–3</x:v>
      </x:c>
    </x:row>
    <x:row r="27">
      <x:c r="A27" s="9" t="n">
        <x:v>4</x:v>
      </x:c>
      <x:c r="B27" s="9" t="str">
        <x:v>S005</x:v>
      </x:c>
      <x:c r="C27" s="9" t="str">
        <x:v>Tavares et al. (2022)</x:v>
      </x:c>
      <x:c r="D27" s="9" t="str">
        <x:v>D2</x:v>
      </x:c>
      <x:c r="E27" s="9" t="str">
        <x:v>High concern</x:v>
      </x:c>
      <x:c r="F27" s="9" t="str">
        <x:v>High concern</x:v>
      </x:c>
      <x:c r="G27" s="9" t="str">
        <x:v>Yes</x:v>
      </x:c>
      <x:c r="H27" s="9" t="str">
        <x:v>Agree</x:v>
      </x:c>
      <x:c r="I27" s="9" t="str">
        <x:v>High concern</x:v>
      </x:c>
      <x:c r="J27" s="9" t="str">
        <x:v>Initial agreement</x:v>
      </x:c>
      <x:c r="K27" s="9" t="str">
        <x:v>Core print settings are incomplete</x:v>
      </x:c>
      <x:c r="L27" s="9" t="str">
        <x:v>PDF pp. 3–11; Figs. 1–9; Tables 1–3</x:v>
      </x:c>
      <x:c r="M27" s="9" t="str">
        <x:v>Multiple extrusion settings are missing and the authors acknowledge uncontrolled fiber-polymer bonding variation.</x:v>
      </x:c>
      <x:c r="N27" s="9" t="str">
        <x:v>Article PDF p. 2 and pp. 4-5</x:v>
      </x:c>
      <x:c r="O27" s="9" t="str">
        <x:v>Core print settings are incomplete</x:v>
      </x:c>
      <x:c r="P27" s="9" t="str">
        <x:v>PDF pp. 3–11; Figs. 1–9; Tables 1–3</x:v>
      </x:c>
    </x:row>
    <x:row r="28">
      <x:c r="A28" s="9" t="n">
        <x:v>4</x:v>
      </x:c>
      <x:c r="B28" s="9" t="str">
        <x:v>S005</x:v>
      </x:c>
      <x:c r="C28" s="9" t="str">
        <x:v>Tavares et al. (2022)</x:v>
      </x:c>
      <x:c r="D28" s="9" t="str">
        <x:v>D3</x:v>
      </x:c>
      <x:c r="E28" s="9" t="str">
        <x:v>Low concern</x:v>
      </x:c>
      <x:c r="F28" s="9" t="str">
        <x:v>Low concern</x:v>
      </x:c>
      <x:c r="G28" s="9" t="str">
        <x:v>Yes</x:v>
      </x:c>
      <x:c r="H28" s="9" t="str">
        <x:v>Agree</x:v>
      </x:c>
      <x:c r="I28" s="9" t="str">
        <x:v>Low concern</x:v>
      </x:c>
      <x:c r="J28" s="9" t="str">
        <x:v>Initial agreement</x:v>
      </x:c>
      <x:c r="K28" s="9" t="str">
        <x:v>Piezo stage and BioHarness references are described</x:v>
      </x:c>
      <x:c r="L28" s="9" t="str">
        <x:v>PDF pp. 3–11; Figs. 1–9; Tables 1–3</x:v>
      </x:c>
      <x:c r="M28" s="9" t="str">
        <x:v>The piezo flexure stage and BioHarness/ECG-derived reference are appropriate and independently measured.</x:v>
      </x:c>
      <x:c r="N28" s="9" t="str">
        <x:v>Article PDF pp. 5 and 7-10</x:v>
      </x:c>
      <x:c r="O28" s="9" t="str">
        <x:v>Piezo stage and BioHarness references are described</x:v>
      </x:c>
      <x:c r="P28" s="9" t="str">
        <x:v>PDF pp. 3–11; Figs. 1–9; Tables 1–3</x:v>
      </x:c>
    </x:row>
    <x:row r="29">
      <x:c r="A29" s="9" t="n">
        <x:v>4</x:v>
      </x:c>
      <x:c r="B29" s="9" t="str">
        <x:v>S005</x:v>
      </x:c>
      <x:c r="C29" s="9" t="str">
        <x:v>Tavares et al. (2022)</x:v>
      </x:c>
      <x:c r="D29" s="9" t="str">
        <x:v>D4</x:v>
      </x:c>
      <x:c r="E29" s="9" t="str">
        <x:v>Low concern</x:v>
      </x:c>
      <x:c r="F29" s="9" t="str">
        <x:v>Some concern</x:v>
      </x:c>
      <x:c r="G29" s="9" t="str">
        <x:v>Yes</x:v>
      </x:c>
      <x:c r="H29" s="9" t="str">
        <x:v>Disagree</x:v>
      </x:c>
      <x:c r="I29" s="9" t="str">
        <x:v>Low concern</x:v>
      </x:c>
      <x:c r="J29" s="9" t="str">
        <x:v>Adjudicated to Reviewer 1</x:v>
      </x:c>
      <x:c r="K29" s="9" t="str">
        <x:v>Dynamic ranges and user protocol are stated</x:v>
      </x:c>
      <x:c r="L29" s="9" t="str">
        <x:v>PDF pp. 3–11; Figs. 1–9; Tables 1–3</x:v>
      </x:c>
      <x:c r="M29" s="9" t="str">
        <x:v>Displacements, frequencies and user positions are stated, but sensor mounting pressure/conditioning is incompletely controlled.</x:v>
      </x:c>
      <x:c r="N29" s="9" t="str">
        <x:v>Article PDF pp. 5 and 7</x:v>
      </x:c>
      <x:c r="O29" s="9" t="str">
        <x:v>Dynamic ranges and user protocol are stated</x:v>
      </x:c>
      <x:c r="P29" s="9" t="str">
        <x:v>PDF pp. 3–11; Figs. 1–9; Tables 1–3</x:v>
      </x:c>
    </x:row>
    <x:row r="30">
      <x:c r="A30" s="9" t="n">
        <x:v>4</x:v>
      </x:c>
      <x:c r="B30" s="9" t="str">
        <x:v>S005</x:v>
      </x:c>
      <x:c r="C30" s="9" t="str">
        <x:v>Tavares et al. (2022)</x:v>
      </x:c>
      <x:c r="D30" s="9" t="str">
        <x:v>D5</x:v>
      </x:c>
      <x:c r="E30" s="9" t="str">
        <x:v>Some concern</x:v>
      </x:c>
      <x:c r="F30" s="9" t="str">
        <x:v>High concern</x:v>
      </x:c>
      <x:c r="G30" s="9" t="str">
        <x:v>Yes</x:v>
      </x:c>
      <x:c r="H30" s="9" t="str">
        <x:v>Disagree</x:v>
      </x:c>
      <x:c r="I30" s="9" t="str">
        <x:v>Some concern</x:v>
      </x:c>
      <x:c r="J30" s="9" t="str">
        <x:v>Adjudicated to Reviewer 1</x:v>
      </x:c>
      <x:c r="K30" s="9" t="str">
        <x:v>Repeated user tests do not isolate device stability</x:v>
      </x:c>
      <x:c r="L30" s="9" t="str">
        <x:v>PDF pp. 3–11; Figs. 1–9; Tables 1–3</x:v>
      </x:c>
      <x:c r="M30" s="9" t="str">
        <x:v>Looped sweeps lack a repetition count or stability analysis despite reproducibility claims.</x:v>
      </x:c>
      <x:c r="N30" s="9" t="str">
        <x:v>Article PDF pp. 5 and 11</x:v>
      </x:c>
      <x:c r="O30" s="9" t="str">
        <x:v>Repeated user tests do not isolate device stability</x:v>
      </x:c>
      <x:c r="P30" s="9" t="str">
        <x:v>PDF pp. 3–11; Figs. 1–9; Tables 1–3</x:v>
      </x:c>
    </x:row>
    <x:row r="31">
      <x:c r="A31" s="9" t="n">
        <x:v>4</x:v>
      </x:c>
      <x:c r="B31" s="9" t="str">
        <x:v>S005</x:v>
      </x:c>
      <x:c r="C31" s="9" t="str">
        <x:v>Tavares et al. (2022)</x:v>
      </x:c>
      <x:c r="D31" s="9" t="str">
        <x:v>D6</x:v>
      </x:c>
      <x:c r="E31" s="9" t="str">
        <x:v>High concern</x:v>
      </x:c>
      <x:c r="F31" s="9" t="str">
        <x:v>High concern</x:v>
      </x:c>
      <x:c r="G31" s="9" t="str">
        <x:v>Yes</x:v>
      </x:c>
      <x:c r="H31" s="9" t="str">
        <x:v>Agree</x:v>
      </x:c>
      <x:c r="I31" s="9" t="str">
        <x:v>High concern</x:v>
      </x:c>
      <x:c r="J31" s="9" t="str">
        <x:v>Initial agreement</x:v>
      </x:c>
      <x:c r="K31" s="9" t="str">
        <x:v>No replicate devices of selected design</x:v>
      </x:c>
      <x:c r="L31" s="9" t="str">
        <x:v>PDF pp. 3–11; Figs. 1–9; Tables 1–3</x:v>
      </x:c>
      <x:c r="M31" s="9" t="str">
        <x:v>Different designs and participants are not equivalent independently fabricated device replicates.</x:v>
      </x:c>
      <x:c r="N31" s="9" t="str">
        <x:v>Article PDF pp. 4-5 and 7</x:v>
      </x:c>
      <x:c r="O31" s="9" t="str">
        <x:v>No replicate devices of selected design</x:v>
      </x:c>
      <x:c r="P31" s="9" t="str">
        <x:v>PDF pp. 3–11; Figs. 1–9; Tables 1–3</x:v>
      </x:c>
    </x:row>
    <x:row r="32">
      <x:c r="A32" s="9" t="n">
        <x:v>4</x:v>
      </x:c>
      <x:c r="B32" s="9" t="str">
        <x:v>S005</x:v>
      </x:c>
      <x:c r="C32" s="9" t="str">
        <x:v>Tavares et al. (2022)</x:v>
      </x:c>
      <x:c r="D32" s="9" t="str">
        <x:v>D7</x:v>
      </x:c>
      <x:c r="E32" s="9" t="str">
        <x:v>Low concern</x:v>
      </x:c>
      <x:c r="F32" s="9" t="str">
        <x:v>Some concern</x:v>
      </x:c>
      <x:c r="G32" s="9" t="str">
        <x:v>Yes</x:v>
      </x:c>
      <x:c r="H32" s="9" t="str">
        <x:v>Disagree</x:v>
      </x:c>
      <x:c r="I32" s="9" t="str">
        <x:v>Low concern</x:v>
      </x:c>
      <x:c r="J32" s="9" t="str">
        <x:v>Adjudicated to Reviewer 1</x:v>
      </x:c>
      <x:c r="K32" s="9" t="str">
        <x:v>Key sensitivity and agreement outcomes reported</x:v>
      </x:c>
      <x:c r="L32" s="9" t="str">
        <x:v>PDF pp. 3–11; Figs. 1–9; Tables 1–3</x:v>
      </x:c>
      <x:c r="M32" s="9" t="str">
        <x:v>Exclusion of A-C traces is explained and reference differences include SD, but device-level uncertainty is missing.</x:v>
      </x:c>
      <x:c r="N32" s="9" t="str">
        <x:v>Article PDF pp. 5 and 9-10, Table 3</x:v>
      </x:c>
      <x:c r="O32" s="9" t="str">
        <x:v>Key sensitivity and agreement outcomes reported</x:v>
      </x:c>
      <x:c r="P32" s="9" t="str">
        <x:v>PDF pp. 3–11; Figs. 1–9; Tables 1–3</x:v>
      </x:c>
    </x:row>
    <x:row r="33">
      <x:c r="A33" s="9" t="n">
        <x:v>4</x:v>
      </x:c>
      <x:c r="B33" s="9" t="str">
        <x:v>S005</x:v>
      </x:c>
      <x:c r="C33" s="9" t="str">
        <x:v>Tavares et al. (2022)</x:v>
      </x:c>
      <x:c r="D33" s="9" t="str">
        <x:v>D8</x:v>
      </x:c>
      <x:c r="E33" s="9" t="str">
        <x:v>Some concern</x:v>
      </x:c>
      <x:c r="F33" s="9" t="str">
        <x:v>Low concern</x:v>
      </x:c>
      <x:c r="G33" s="9" t="str">
        <x:v>Yes</x:v>
      </x:c>
      <x:c r="H33" s="9" t="str">
        <x:v>Disagree</x:v>
      </x:c>
      <x:c r="I33" s="9" t="str">
        <x:v>Some concern</x:v>
      </x:c>
      <x:c r="J33" s="9" t="str">
        <x:v>Adjudicated to Reviewer 1</x:v>
      </x:c>
      <x:c r="K33" s="9" t="str">
        <x:v>Preliminary study with three users</x:v>
      </x:c>
      <x:c r="L33" s="9" t="str">
        <x:v>PDF pp. 3–11; Figs. 1–9; Tables 1–3</x:v>
      </x:c>
      <x:c r="M33" s="9" t="str">
        <x:v>The selected sensor was worn on the chest by three users during normal breathing and apnoea.</x:v>
      </x:c>
      <x:c r="N33" s="9" t="str">
        <x:v>Article PDF pp. 7-11, Figures 5-6</x:v>
      </x:c>
      <x:c r="O33" s="9" t="str">
        <x:v>Preliminary study with three users</x:v>
      </x:c>
      <x:c r="P33" s="9" t="str">
        <x:v>PDF pp. 3–11; Figs. 1–9; Tables 1–3</x:v>
      </x:c>
    </x:row>
    <x:row r="34">
      <x:c r="A34" s="9" t="n">
        <x:v>5</x:v>
      </x:c>
      <x:c r="B34" s="9" t="str">
        <x:v>S007</x:v>
      </x:c>
      <x:c r="C34" s="9" t="str">
        <x:v>Velcescu et al. (2019)</x:v>
      </x:c>
      <x:c r="D34" s="9" t="str">
        <x:v>D1</x:v>
      </x:c>
      <x:c r="E34" s="9" t="str">
        <x:v>Some concern</x:v>
      </x:c>
      <x:c r="F34" s="9" t="str">
        <x:v>Some concern</x:v>
      </x:c>
      <x:c r="G34" s="9" t="str">
        <x:v>Yes</x:v>
      </x:c>
      <x:c r="H34" s="9" t="str">
        <x:v>Agree</x:v>
      </x:c>
      <x:c r="I34" s="9" t="str">
        <x:v>Some concern</x:v>
      </x:c>
      <x:c r="J34" s="9" t="str">
        <x:v>Initial agreement</x:v>
      </x:c>
      <x:c r="K34" s="9" t="str">
        <x:v>Nine designs tested; participant and replicate counts are unclear</x:v>
      </x:c>
      <x:c r="L34" s="9" t="str">
        <x:v>PDF pp. 3-7</x:v>
      </x:c>
      <x:c r="M34" s="9" t="str">
        <x:v>Nine configurations and a failed coating route are described, but replicate fabrication and selection within configurations are unclear.</x:v>
      </x:c>
      <x:c r="N34" s="9" t="str">
        <x:v>Article PDF pp. 4-5, Figure 5 and Table 1</x:v>
      </x:c>
      <x:c r="O34" s="9" t="str">
        <x:v>Nine designs tested; participant and replicate counts are unclear</x:v>
      </x:c>
      <x:c r="P34" s="9" t="str">
        <x:v>PDF pp. 3-7</x:v>
      </x:c>
    </x:row>
    <x:row r="35">
      <x:c r="A35" s="9" t="n">
        <x:v>5</x:v>
      </x:c>
      <x:c r="B35" s="9" t="str">
        <x:v>S007</x:v>
      </x:c>
      <x:c r="C35" s="9" t="str">
        <x:v>Velcescu et al. (2019)</x:v>
      </x:c>
      <x:c r="D35" s="9" t="str">
        <x:v>D2</x:v>
      </x:c>
      <x:c r="E35" s="9" t="str">
        <x:v>Low concern</x:v>
      </x:c>
      <x:c r="F35" s="9" t="str">
        <x:v>Some concern</x:v>
      </x:c>
      <x:c r="G35" s="9" t="str">
        <x:v>Yes</x:v>
      </x:c>
      <x:c r="H35" s="9" t="str">
        <x:v>Disagree</x:v>
      </x:c>
      <x:c r="I35" s="9" t="str">
        <x:v>Low concern</x:v>
      </x:c>
      <x:c r="J35" s="9" t="str">
        <x:v>Adjudicated to Reviewer 1</x:v>
      </x:c>
      <x:c r="K35" s="9" t="str">
        <x:v>Printer, material and core settings are described</x:v>
      </x:c>
      <x:c r="L35" s="9" t="str">
        <x:v>PDF pp. 3-5</x:v>
      </x:c>
      <x:c r="M35" s="9" t="str">
        <x:v>Material/coating process and several settings are stated, but important print controls and coating variation remain incomplete.</x:v>
      </x:c>
      <x:c r="N35" s="9" t="str">
        <x:v>Article PDF pp. 3-4 and p. 11</x:v>
      </x:c>
      <x:c r="O35" s="9" t="str">
        <x:v>Printer, material and core settings are described</x:v>
      </x:c>
      <x:c r="P35" s="9" t="str">
        <x:v>PDF pp. 3-5</x:v>
      </x:c>
    </x:row>
    <x:row r="36">
      <x:c r="A36" s="9" t="n">
        <x:v>5</x:v>
      </x:c>
      <x:c r="B36" s="9" t="str">
        <x:v>S007</x:v>
      </x:c>
      <x:c r="C36" s="9" t="str">
        <x:v>Velcescu et al. (2019)</x:v>
      </x:c>
      <x:c r="D36" s="9" t="str">
        <x:v>D3</x:v>
      </x:c>
      <x:c r="E36" s="9" t="str">
        <x:v>Low concern</x:v>
      </x:c>
      <x:c r="F36" s="9" t="str">
        <x:v>Low concern</x:v>
      </x:c>
      <x:c r="G36" s="9" t="str">
        <x:v>Yes</x:v>
      </x:c>
      <x:c r="H36" s="9" t="str">
        <x:v>Agree</x:v>
      </x:c>
      <x:c r="I36" s="9" t="str">
        <x:v>Low concern</x:v>
      </x:c>
      <x:c r="J36" s="9" t="str">
        <x:v>Initial agreement</x:v>
      </x:c>
      <x:c r="K36" s="9" t="str">
        <x:v>Controlled loads/frequencies and comparator electrodes are described</x:v>
      </x:c>
      <x:c r="L36" s="9" t="str">
        <x:v>PDF pp. 5-7</x:v>
      </x:c>
      <x:c r="M36" s="9" t="str">
        <x:v>A phantom head, embedded Ag/AgCl reference, defined masses and calibrated impedance instrumentation are appropriate.</x:v>
      </x:c>
      <x:c r="N36" s="9" t="str">
        <x:v>Article PDF pp. 5-7, Figure 6</x:v>
      </x:c>
      <x:c r="O36" s="9" t="str">
        <x:v>Controlled loads/frequencies and comparator electrodes are described</x:v>
      </x:c>
      <x:c r="P36" s="9" t="str">
        <x:v>PDF pp. 5-7</x:v>
      </x:c>
    </x:row>
    <x:row r="37">
      <x:c r="A37" s="9" t="n">
        <x:v>5</x:v>
      </x:c>
      <x:c r="B37" s="9" t="str">
        <x:v>S007</x:v>
      </x:c>
      <x:c r="C37" s="9" t="str">
        <x:v>Velcescu et al. (2019)</x:v>
      </x:c>
      <x:c r="D37" s="9" t="str">
        <x:v>D4</x:v>
      </x:c>
      <x:c r="E37" s="9" t="str">
        <x:v>Low concern</x:v>
      </x:c>
      <x:c r="F37" s="9" t="str">
        <x:v>Low concern</x:v>
      </x:c>
      <x:c r="G37" s="9" t="str">
        <x:v>Yes</x:v>
      </x:c>
      <x:c r="H37" s="9" t="str">
        <x:v>Agree</x:v>
      </x:c>
      <x:c r="I37" s="9" t="str">
        <x:v>Low concern</x:v>
      </x:c>
      <x:c r="J37" s="9" t="str">
        <x:v>Initial agreement</x:v>
      </x:c>
      <x:c r="K37" s="9" t="str">
        <x:v>Contact pressure, frequency and filtering are stated</x:v>
      </x:c>
      <x:c r="L37" s="9" t="str">
        <x:v>PDF pp. 5-7</x:v>
      </x:c>
      <x:c r="M37" s="9" t="str">
        <x:v>Loading masses, pressures, settling time, frequencies and cap mounting for human EEG are stated.</x:v>
      </x:c>
      <x:c r="N37" s="9" t="str">
        <x:v>Article PDF pp. 5-7</x:v>
      </x:c>
      <x:c r="O37" s="9" t="str">
        <x:v>Contact pressure, frequency and filtering are stated</x:v>
      </x:c>
      <x:c r="P37" s="9" t="str">
        <x:v>PDF pp. 5-7</x:v>
      </x:c>
    </x:row>
    <x:row r="38">
      <x:c r="A38" s="9" t="n">
        <x:v>5</x:v>
      </x:c>
      <x:c r="B38" s="9" t="str">
        <x:v>S007</x:v>
      </x:c>
      <x:c r="C38" s="9" t="str">
        <x:v>Velcescu et al. (2019)</x:v>
      </x:c>
      <x:c r="D38" s="9" t="str">
        <x:v>D5</x:v>
      </x:c>
      <x:c r="E38" s="9" t="str">
        <x:v>Some concern</x:v>
      </x:c>
      <x:c r="F38" s="9" t="str">
        <x:v>High concern</x:v>
      </x:c>
      <x:c r="G38" s="9" t="str">
        <x:v>Yes</x:v>
      </x:c>
      <x:c r="H38" s="9" t="str">
        <x:v>Disagree</x:v>
      </x:c>
      <x:c r="I38" s="9" t="str">
        <x:v>Some concern</x:v>
      </x:c>
      <x:c r="J38" s="9" t="str">
        <x:v>Adjudicated to Reviewer 1</x:v>
      </x:c>
      <x:c r="K38" s="9" t="str">
        <x:v>One loading-unloading loop and one EEG demonstration; no repeated-use series</x:v>
      </x:c>
      <x:c r="L38" s="9" t="str">
        <x:v>PDF pp. 5-12</x:v>
      </x:c>
      <x:c r="M38" s="9" t="str">
        <x:v>Only one loading-unloading sequence is reported and the authors identify absent long-term cyclic testing as a limitation.</x:v>
      </x:c>
      <x:c r="N38" s="9" t="str">
        <x:v>Article PDF pp. 10-11</x:v>
      </x:c>
      <x:c r="O38" s="9" t="str">
        <x:v>One loading-unloading loop and one EEG demonstration; no repeated-use series</x:v>
      </x:c>
      <x:c r="P38" s="9" t="str">
        <x:v>PDF pp. 5-12</x:v>
      </x:c>
    </x:row>
    <x:row r="39">
      <x:c r="A39" s="9" t="n">
        <x:v>5</x:v>
      </x:c>
      <x:c r="B39" s="9" t="str">
        <x:v>S007</x:v>
      </x:c>
      <x:c r="C39" s="9" t="str">
        <x:v>Velcescu et al. (2019)</x:v>
      </x:c>
      <x:c r="D39" s="9" t="str">
        <x:v>D6</x:v>
      </x:c>
      <x:c r="E39" s="9" t="str">
        <x:v>High concern</x:v>
      </x:c>
      <x:c r="F39" s="9" t="str">
        <x:v>High concern</x:v>
      </x:c>
      <x:c r="G39" s="9" t="str">
        <x:v>Yes</x:v>
      </x:c>
      <x:c r="H39" s="9" t="str">
        <x:v>Agree</x:v>
      </x:c>
      <x:c r="I39" s="9" t="str">
        <x:v>High concern</x:v>
      </x:c>
      <x:c r="J39" s="9" t="str">
        <x:v>Initial agreement</x:v>
      </x:c>
      <x:c r="K39" s="9" t="str">
        <x:v>Design variants are not independent replicates</x:v>
      </x:c>
      <x:c r="L39" s="9" t="str">
        <x:v>PDF pp. 3-12</x:v>
      </x:c>
      <x:c r="M39" s="9" t="str">
        <x:v>Manufacturing variation is acknowledged but not evaluated with three equivalent independent electrodes and dispersion.</x:v>
      </x:c>
      <x:c r="N39" s="9" t="str">
        <x:v>Article PDF p. 11</x:v>
      </x:c>
      <x:c r="O39" s="9" t="str">
        <x:v>Design variants are not independent replicates</x:v>
      </x:c>
      <x:c r="P39" s="9" t="str">
        <x:v>PDF pp. 3-12</x:v>
      </x:c>
    </x:row>
    <x:row r="40">
      <x:c r="A40" s="9" t="n">
        <x:v>5</x:v>
      </x:c>
      <x:c r="B40" s="9" t="str">
        <x:v>S007</x:v>
      </x:c>
      <x:c r="C40" s="9" t="str">
        <x:v>Velcescu et al. (2019)</x:v>
      </x:c>
      <x:c r="D40" s="9" t="str">
        <x:v>D7</x:v>
      </x:c>
      <x:c r="E40" s="9" t="str">
        <x:v>Some concern</x:v>
      </x:c>
      <x:c r="F40" s="9" t="str">
        <x:v>Some concern</x:v>
      </x:c>
      <x:c r="G40" s="9" t="str">
        <x:v>Yes</x:v>
      </x:c>
      <x:c r="H40" s="9" t="str">
        <x:v>Agree</x:v>
      </x:c>
      <x:c r="I40" s="9" t="str">
        <x:v>Some concern</x:v>
      </x:c>
      <x:c r="J40" s="9" t="str">
        <x:v>Initial agreement</x:v>
      </x:c>
      <x:c r="K40" s="9" t="str">
        <x:v>Quantitative impedance/noise data reported; longer-term coating failure is qualitative</x:v>
      </x:c>
      <x:c r="L40" s="9" t="str">
        <x:v>PDF pp. 8-12</x:v>
      </x:c>
      <x:c r="M40" s="9" t="str">
        <x:v>Main impedance/noise/EEG results and limitations are reported, but uncertainty and between-device variability are sparse.</x:v>
      </x:c>
      <x:c r="N40" s="9" t="str">
        <x:v>Article PDF pp. 8-11</x:v>
      </x:c>
      <x:c r="O40" s="9" t="str">
        <x:v>Quantitative impedance/noise data reported; longer-term coating failure is qualitative</x:v>
      </x:c>
      <x:c r="P40" s="9" t="str">
        <x:v>PDF pp. 8-12</x:v>
      </x:c>
    </x:row>
    <x:row r="41">
      <x:c r="A41" s="9" t="n">
        <x:v>5</x:v>
      </x:c>
      <x:c r="B41" s="9" t="str">
        <x:v>S007</x:v>
      </x:c>
      <x:c r="C41" s="9" t="str">
        <x:v>Velcescu et al. (2019)</x:v>
      </x:c>
      <x:c r="D41" s="9" t="str">
        <x:v>D8</x:v>
      </x:c>
      <x:c r="E41" s="9" t="str">
        <x:v>Low concern</x:v>
      </x:c>
      <x:c r="F41" s="9" t="str">
        <x:v>Low concern</x:v>
      </x:c>
      <x:c r="G41" s="9" t="str">
        <x:v>Yes</x:v>
      </x:c>
      <x:c r="H41" s="9" t="str">
        <x:v>Agree</x:v>
      </x:c>
      <x:c r="I41" s="9" t="str">
        <x:v>Low concern</x:v>
      </x:c>
      <x:c r="J41" s="9" t="str">
        <x:v>Initial agreement</x:v>
      </x:c>
      <x:c r="K41" s="9" t="str">
        <x:v>Final scalp electrode is evaluated for EEG</x:v>
      </x:c>
      <x:c r="L41" s="9" t="str">
        <x:v>PDF pp. 6-12</x:v>
      </x:c>
      <x:c r="M41" s="9" t="str">
        <x:v>Completed flexible electrodes were mounted in an EEG cap and recorded on-person alpha activity.</x:v>
      </x:c>
      <x:c r="N41" s="9" t="str">
        <x:v>Article PDF p. 7, functional test</x:v>
      </x:c>
      <x:c r="O41" s="9" t="str">
        <x:v>Final scalp electrode is evaluated for EEG</x:v>
      </x:c>
      <x:c r="P41" s="9" t="str">
        <x:v>PDF pp. 6-12</x:v>
      </x:c>
    </x:row>
    <x:row r="42">
      <x:c r="A42" s="9" t="n">
        <x:v>6</x:v>
      </x:c>
      <x:c r="B42" s="9" t="str">
        <x:v>S008</x:v>
      </x:c>
      <x:c r="C42" s="9" t="str">
        <x:v>Kim et al. (2022)</x:v>
      </x:c>
      <x:c r="D42" s="9" t="str">
        <x:v>D1</x:v>
      </x:c>
      <x:c r="E42" s="9" t="str">
        <x:v>High concern</x:v>
      </x:c>
      <x:c r="F42" s="9" t="str">
        <x:v>High concern</x:v>
      </x:c>
      <x:c r="G42" s="9" t="str">
        <x:v>Yes</x:v>
      </x:c>
      <x:c r="H42" s="9" t="str">
        <x:v>Agree</x:v>
      </x:c>
      <x:c r="I42" s="9" t="str">
        <x:v>High concern</x:v>
      </x:c>
      <x:c r="J42" s="9" t="str">
        <x:v>Initial agreement</x:v>
      </x:c>
      <x:c r="K42" s="9" t="str">
        <x:v>One insole and one volunteer</x:v>
      </x:c>
      <x:c r="L42" s="9" t="str">
        <x:v>PDF pp. 5–10; Figs. 3–5</x:v>
      </x:c>
      <x:c r="M42" s="9" t="str">
        <x:v>One volunteer is reported and fabricated-device numbers, selection and failures are not described.</x:v>
      </x:c>
      <x:c r="N42" s="9" t="str">
        <x:v>Article PDF p. 10, Research ethical approval</x:v>
      </x:c>
      <x:c r="O42" s="9" t="str">
        <x:v>One insole and one volunteer</x:v>
      </x:c>
      <x:c r="P42" s="9" t="str">
        <x:v>PDF pp. 5–10; Figs. 3–5</x:v>
      </x:c>
    </x:row>
    <x:row r="43">
      <x:c r="A43" s="9" t="n">
        <x:v>6</x:v>
      </x:c>
      <x:c r="B43" s="9" t="str">
        <x:v>S008</x:v>
      </x:c>
      <x:c r="C43" s="9" t="str">
        <x:v>Kim et al. (2022)</x:v>
      </x:c>
      <x:c r="D43" s="9" t="str">
        <x:v>D2</x:v>
      </x:c>
      <x:c r="E43" s="9" t="str">
        <x:v>Low concern</x:v>
      </x:c>
      <x:c r="F43" s="9" t="str">
        <x:v>Low concern</x:v>
      </x:c>
      <x:c r="G43" s="9" t="str">
        <x:v>Yes</x:v>
      </x:c>
      <x:c r="H43" s="9" t="str">
        <x:v>Agree</x:v>
      </x:c>
      <x:c r="I43" s="9" t="str">
        <x:v>Low concern</x:v>
      </x:c>
      <x:c r="J43" s="9" t="str">
        <x:v>Initial agreement</x:v>
      </x:c>
      <x:c r="K43" s="9" t="str">
        <x:v>FFF parameters and essential materials detailed</x:v>
      </x:c>
      <x:c r="L43" s="9" t="str">
        <x:v>PDF pp. 5–10; Figs. 3–5</x:v>
      </x:c>
      <x:c r="M43" s="9" t="str">
        <x:v>FFF materials, geometry and detailed print settings are documented for the insole and printed conductors.</x:v>
      </x:c>
      <x:c r="N43" s="9" t="str">
        <x:v>Article PDF p. 10, Materials and Methods</x:v>
      </x:c>
      <x:c r="O43" s="9" t="str">
        <x:v>FFF parameters and essential materials detailed</x:v>
      </x:c>
      <x:c r="P43" s="9" t="str">
        <x:v>PDF pp. 5–10; Figs. 3–5</x:v>
      </x:c>
    </x:row>
    <x:row r="44">
      <x:c r="A44" s="9" t="n">
        <x:v>6</x:v>
      </x:c>
      <x:c r="B44" s="9" t="str">
        <x:v>S008</x:v>
      </x:c>
      <x:c r="C44" s="9" t="str">
        <x:v>Kim et al. (2022)</x:v>
      </x:c>
      <x:c r="D44" s="9" t="str">
        <x:v>D3</x:v>
      </x:c>
      <x:c r="E44" s="9" t="str">
        <x:v>Low concern</x:v>
      </x:c>
      <x:c r="F44" s="9" t="str">
        <x:v>Low concern</x:v>
      </x:c>
      <x:c r="G44" s="9" t="str">
        <x:v>Yes</x:v>
      </x:c>
      <x:c r="H44" s="9" t="str">
        <x:v>Agree</x:v>
      </x:c>
      <x:c r="I44" s="9" t="str">
        <x:v>Low concern</x:v>
      </x:c>
      <x:c r="J44" s="9" t="str">
        <x:v>Initial agreement</x:v>
      </x:c>
      <x:c r="K44" s="9" t="str">
        <x:v>Compression and VNA methods described</x:v>
      </x:c>
      <x:c r="L44" s="9" t="str">
        <x:v>PDF pp. 5–10; Figs. 3–5</x:v>
      </x:c>
      <x:c r="M44" s="9" t="str">
        <x:v>Controlled compression and VNA resonant-frequency measurements provide an appropriate independent pressure-response reference.</x:v>
      </x:c>
      <x:c r="N44" s="9" t="str">
        <x:v>Article PDF pp. 7 and 10</x:v>
      </x:c>
      <x:c r="O44" s="9" t="str">
        <x:v>Compression and VNA methods described</x:v>
      </x:c>
      <x:c r="P44" s="9" t="str">
        <x:v>PDF pp. 5–10; Figs. 3–5</x:v>
      </x:c>
    </x:row>
    <x:row r="45">
      <x:c r="A45" s="9" t="n">
        <x:v>6</x:v>
      </x:c>
      <x:c r="B45" s="9" t="str">
        <x:v>S008</x:v>
      </x:c>
      <x:c r="C45" s="9" t="str">
        <x:v>Kim et al. (2022)</x:v>
      </x:c>
      <x:c r="D45" s="9" t="str">
        <x:v>D4</x:v>
      </x:c>
      <x:c r="E45" s="9" t="str">
        <x:v>Some concern</x:v>
      </x:c>
      <x:c r="F45" s="9" t="str">
        <x:v>Low concern</x:v>
      </x:c>
      <x:c r="G45" s="9" t="str">
        <x:v>Yes</x:v>
      </x:c>
      <x:c r="H45" s="9" t="str">
        <x:v>Disagree</x:v>
      </x:c>
      <x:c r="I45" s="9" t="str">
        <x:v>Some concern</x:v>
      </x:c>
      <x:c r="J45" s="9" t="str">
        <x:v>Adjudicated to Reviewer 1</x:v>
      </x:c>
      <x:c r="K45" s="9" t="str">
        <x:v>Repetition count for SD is not stated</x:v>
      </x:c>
      <x:c r="L45" s="9" t="str">
        <x:v>PDF pp. 5–10; Figs. 3–5</x:v>
      </x:c>
      <x:c r="M45" s="9" t="str">
        <x:v>Pressure ranges, sensor locations, antenna geometry/distances and measurement equipment are stated.</x:v>
      </x:c>
      <x:c r="N45" s="9" t="str">
        <x:v>Article PDF pp. 7-10, Figures 4-5</x:v>
      </x:c>
      <x:c r="O45" s="9" t="str">
        <x:v>Repetition count for SD is not stated</x:v>
      </x:c>
      <x:c r="P45" s="9" t="str">
        <x:v>PDF pp. 5–10; Figs. 3–5</x:v>
      </x:c>
    </x:row>
    <x:row r="46">
      <x:c r="A46" s="9" t="n">
        <x:v>6</x:v>
      </x:c>
      <x:c r="B46" s="9" t="str">
        <x:v>S008</x:v>
      </x:c>
      <x:c r="C46" s="9" t="str">
        <x:v>Kim et al. (2022)</x:v>
      </x:c>
      <x:c r="D46" s="9" t="str">
        <x:v>D5</x:v>
      </x:c>
      <x:c r="E46" s="9" t="str">
        <x:v>Some concern</x:v>
      </x:c>
      <x:c r="F46" s="9" t="str">
        <x:v>High concern</x:v>
      </x:c>
      <x:c r="G46" s="9" t="str">
        <x:v>Yes</x:v>
      </x:c>
      <x:c r="H46" s="9" t="str">
        <x:v>Disagree</x:v>
      </x:c>
      <x:c r="I46" s="9" t="str">
        <x:v>Some concern</x:v>
      </x:c>
      <x:c r="J46" s="9" t="str">
        <x:v>Adjudicated to Reviewer 1</x:v>
      </x:c>
      <x:c r="K46" s="9" t="str">
        <x:v>Repeated-results claim lacks full design detail</x:v>
      </x:c>
      <x:c r="L46" s="9" t="str">
        <x:v>PDF pp. 5–10; Figs. 3–5</x:v>
      </x:c>
      <x:c r="M46" s="9" t="str">
        <x:v>No defined repeated-loading protocol or stability analysis is reported.</x:v>
      </x:c>
      <x:c r="N46" s="9" t="str">
        <x:v>Article PDF pp. 7-10</x:v>
      </x:c>
      <x:c r="O46" s="9" t="str">
        <x:v>Repeated-results claim lacks full design detail</x:v>
      </x:c>
      <x:c r="P46" s="9" t="str">
        <x:v>PDF pp. 5–10; Figs. 3–5</x:v>
      </x:c>
    </x:row>
    <x:row r="47">
      <x:c r="A47" s="9" t="n">
        <x:v>6</x:v>
      </x:c>
      <x:c r="B47" s="9" t="str">
        <x:v>S008</x:v>
      </x:c>
      <x:c r="C47" s="9" t="str">
        <x:v>Kim et al. (2022)</x:v>
      </x:c>
      <x:c r="D47" s="9" t="str">
        <x:v>D6</x:v>
      </x:c>
      <x:c r="E47" s="9" t="str">
        <x:v>High concern</x:v>
      </x:c>
      <x:c r="F47" s="9" t="str">
        <x:v>High concern</x:v>
      </x:c>
      <x:c r="G47" s="9" t="str">
        <x:v>Yes</x:v>
      </x:c>
      <x:c r="H47" s="9" t="str">
        <x:v>Agree</x:v>
      </x:c>
      <x:c r="I47" s="9" t="str">
        <x:v>High concern</x:v>
      </x:c>
      <x:c r="J47" s="9" t="str">
        <x:v>Initial agreement</x:v>
      </x:c>
      <x:c r="K47" s="9" t="str">
        <x:v>No separate-insole comparison</x:v>
      </x:c>
      <x:c r="L47" s="9" t="str">
        <x:v>PDF pp. 5–10; Figs. 3–5</x:v>
      </x:c>
      <x:c r="M47" s="9" t="str">
        <x:v>No equivalent separately fabricated insoles/sensors are compared.</x:v>
      </x:c>
      <x:c r="N47" s="9" t="str">
        <x:v>Article PDF pp. 9-10</x:v>
      </x:c>
      <x:c r="O47" s="9" t="str">
        <x:v>No separate-insole comparison</x:v>
      </x:c>
      <x:c r="P47" s="9" t="str">
        <x:v>PDF pp. 5–10; Figs. 3–5</x:v>
      </x:c>
    </x:row>
    <x:row r="48">
      <x:c r="A48" s="9" t="n">
        <x:v>6</x:v>
      </x:c>
      <x:c r="B48" s="9" t="str">
        <x:v>S008</x:v>
      </x:c>
      <x:c r="C48" s="9" t="str">
        <x:v>Kim et al. (2022)</x:v>
      </x:c>
      <x:c r="D48" s="9" t="str">
        <x:v>D7</x:v>
      </x:c>
      <x:c r="E48" s="9" t="str">
        <x:v>Some concern</x:v>
      </x:c>
      <x:c r="F48" s="9" t="str">
        <x:v>Some concern</x:v>
      </x:c>
      <x:c r="G48" s="9" t="str">
        <x:v>Yes</x:v>
      </x:c>
      <x:c r="H48" s="9" t="str">
        <x:v>Agree</x:v>
      </x:c>
      <x:c r="I48" s="9" t="str">
        <x:v>Some concern</x:v>
      </x:c>
      <x:c r="J48" s="9" t="str">
        <x:v>Initial agreement</x:v>
      </x:c>
      <x:c r="K48" s="9" t="str">
        <x:v>Sensitivity and SD reported; uncertainty basis incomplete</x:v>
      </x:c>
      <x:c r="L48" s="9" t="str">
        <x:v>PDF pp. 5–10; Figs. 3–5</x:v>
      </x:c>
      <x:c r="M48" s="9" t="str">
        <x:v>Principal pressure-response results are shown, but uncertainty, device dispersion and missing-unit accounting are absent.</x:v>
      </x:c>
      <x:c r="N48" s="9" t="str">
        <x:v>Article PDF pp. 7-9, Figures 4-5</x:v>
      </x:c>
      <x:c r="O48" s="9" t="str">
        <x:v>Sensitivity and SD reported; uncertainty basis incomplete</x:v>
      </x:c>
      <x:c r="P48" s="9" t="str">
        <x:v>PDF pp. 5–10; Figs. 3–5</x:v>
      </x:c>
    </x:row>
    <x:row r="49">
      <x:c r="A49" s="9" t="n">
        <x:v>6</x:v>
      </x:c>
      <x:c r="B49" s="9" t="str">
        <x:v>S008</x:v>
      </x:c>
      <x:c r="C49" s="9" t="str">
        <x:v>Kim et al. (2022)</x:v>
      </x:c>
      <x:c r="D49" s="9" t="str">
        <x:v>D8</x:v>
      </x:c>
      <x:c r="E49" s="9" t="str">
        <x:v>Some concern</x:v>
      </x:c>
      <x:c r="F49" s="9" t="str">
        <x:v>Low concern</x:v>
      </x:c>
      <x:c r="G49" s="9" t="str">
        <x:v>Yes</x:v>
      </x:c>
      <x:c r="H49" s="9" t="str">
        <x:v>Disagree</x:v>
      </x:c>
      <x:c r="I49" s="9" t="str">
        <x:v>Some concern</x:v>
      </x:c>
      <x:c r="J49" s="9" t="str">
        <x:v>Adjudicated to Reviewer 1</x:v>
      </x:c>
      <x:c r="K49" s="9" t="str">
        <x:v>Complete insole demonstrated on one volunteer</x:v>
      </x:c>
      <x:c r="L49" s="9" t="str">
        <x:v>PDF pp. 5–10; Figs. 3–5</x:v>
      </x:c>
      <x:c r="M49" s="9" t="str">
        <x:v>The completed wireless insole was evaluated in a consented volunteer under forefoot/hindfoot loading postures.</x:v>
      </x:c>
      <x:c r="N49" s="9" t="str">
        <x:v>Article PDF pp. 9-10, Figure 5</x:v>
      </x:c>
      <x:c r="O49" s="9" t="str">
        <x:v>Complete insole demonstrated on one volunteer</x:v>
      </x:c>
      <x:c r="P49" s="9" t="str">
        <x:v>PDF pp. 5–10; Figs. 3–5</x:v>
      </x:c>
    </x:row>
    <x:row r="50">
      <x:c r="A50" s="9" t="n">
        <x:v>7</x:v>
      </x:c>
      <x:c r="B50" s="9" t="str">
        <x:v>S010</x:v>
      </x:c>
      <x:c r="C50" s="9" t="str">
        <x:v>Mutlu et al. (2023)</x:v>
      </x:c>
      <x:c r="D50" s="9" t="str">
        <x:v>D1</x:v>
      </x:c>
      <x:c r="E50" s="9" t="str">
        <x:v>High concern</x:v>
      </x:c>
      <x:c r="F50" s="9" t="str">
        <x:v>High concern</x:v>
      </x:c>
      <x:c r="G50" s="9" t="str">
        <x:v>Yes</x:v>
      </x:c>
      <x:c r="H50" s="9" t="str">
        <x:v>Agree</x:v>
      </x:c>
      <x:c r="I50" s="9" t="str">
        <x:v>High concern</x:v>
      </x:c>
      <x:c r="J50" s="9" t="str">
        <x:v>Initial agreement</x:v>
      </x:c>
      <x:c r="K50" s="9" t="str">
        <x:v>One device and two-subject demonstration</x:v>
      </x:c>
      <x:c r="L50" s="9" t="str">
        <x:v>PDF pp. 3–16; Figs. 1–13; Appendix A</x:v>
      </x:c>
      <x:c r="M50" s="9" t="str">
        <x:v>A single device and two subjects are described without device-selection or fabrication-failure accounting.</x:v>
      </x:c>
      <x:c r="N50" s="9" t="str">
        <x:v>Article PDF pp. 4 and 12</x:v>
      </x:c>
      <x:c r="O50" s="9" t="str">
        <x:v>One device and two-subject demonstration</x:v>
      </x:c>
      <x:c r="P50" s="9" t="str">
        <x:v>PDF pp. 3–16; Figs. 1–13; Appendix A</x:v>
      </x:c>
    </x:row>
    <x:row r="51">
      <x:c r="A51" s="9" t="n">
        <x:v>7</x:v>
      </x:c>
      <x:c r="B51" s="9" t="str">
        <x:v>S010</x:v>
      </x:c>
      <x:c r="C51" s="9" t="str">
        <x:v>Mutlu et al. (2023)</x:v>
      </x:c>
      <x:c r="D51" s="9" t="str">
        <x:v>D2</x:v>
      </x:c>
      <x:c r="E51" s="9" t="str">
        <x:v>Low concern</x:v>
      </x:c>
      <x:c r="F51" s="9" t="str">
        <x:v>Low concern</x:v>
      </x:c>
      <x:c r="G51" s="9" t="str">
        <x:v>Yes</x:v>
      </x:c>
      <x:c r="H51" s="9" t="str">
        <x:v>Agree</x:v>
      </x:c>
      <x:c r="I51" s="9" t="str">
        <x:v>Low concern</x:v>
      </x:c>
      <x:c r="J51" s="9" t="str">
        <x:v>Initial agreement</x:v>
      </x:c>
      <x:c r="K51" s="9" t="str">
        <x:v>Materials and print parameters reported</x:v>
      </x:c>
      <x:c r="L51" s="9" t="str">
        <x:v>PDF pp. 3–16; Figs. 1–13; Appendix A</x:v>
      </x:c>
      <x:c r="M51" s="9" t="str">
        <x:v>Commercial grades, geometry and detailed optimized extrusion settings are reported.</x:v>
      </x:c>
      <x:c r="N51" s="9" t="str">
        <x:v>Article PDF pp. 4 and 16, Appendix A</x:v>
      </x:c>
      <x:c r="O51" s="9" t="str">
        <x:v>Materials and print parameters reported</x:v>
      </x:c>
      <x:c r="P51" s="9" t="str">
        <x:v>PDF pp. 3–16; Figs. 1–13; Appendix A</x:v>
      </x:c>
    </x:row>
    <x:row r="52">
      <x:c r="A52" s="9" t="n">
        <x:v>7</x:v>
      </x:c>
      <x:c r="B52" s="9" t="str">
        <x:v>S010</x:v>
      </x:c>
      <x:c r="C52" s="9" t="str">
        <x:v>Mutlu et al. (2023)</x:v>
      </x:c>
      <x:c r="D52" s="9" t="str">
        <x:v>D3</x:v>
      </x:c>
      <x:c r="E52" s="9" t="str">
        <x:v>Low concern</x:v>
      </x:c>
      <x:c r="F52" s="9" t="str">
        <x:v>Low concern</x:v>
      </x:c>
      <x:c r="G52" s="9" t="str">
        <x:v>Yes</x:v>
      </x:c>
      <x:c r="H52" s="9" t="str">
        <x:v>Agree</x:v>
      </x:c>
      <x:c r="I52" s="9" t="str">
        <x:v>Low concern</x:v>
      </x:c>
      <x:c r="J52" s="9" t="str">
        <x:v>Initial agreement</x:v>
      </x:c>
      <x:c r="K52" s="9" t="str">
        <x:v>Pressure and force references described</x:v>
      </x:c>
      <x:c r="L52" s="9" t="str">
        <x:v>PDF pp. 3–16; Figs. 1–13; Appendix A</x:v>
      </x:c>
      <x:c r="M52" s="9" t="str">
        <x:v>Programmed pressure, simultaneous six-axis force measurement and defined sensor circuitry support calibration validity.</x:v>
      </x:c>
      <x:c r="N52" s="9" t="str">
        <x:v>Article PDF pp. 4 and 6-8</x:v>
      </x:c>
      <x:c r="O52" s="9" t="str">
        <x:v>Pressure and force references described</x:v>
      </x:c>
      <x:c r="P52" s="9" t="str">
        <x:v>PDF pp. 3–16; Figs. 1–13; Appendix A</x:v>
      </x:c>
    </x:row>
    <x:row r="53">
      <x:c r="A53" s="9" t="n">
        <x:v>7</x:v>
      </x:c>
      <x:c r="B53" s="9" t="str">
        <x:v>S010</x:v>
      </x:c>
      <x:c r="C53" s="9" t="str">
        <x:v>Mutlu et al. (2023)</x:v>
      </x:c>
      <x:c r="D53" s="9" t="str">
        <x:v>D4</x:v>
      </x:c>
      <x:c r="E53" s="9" t="str">
        <x:v>Low concern</x:v>
      </x:c>
      <x:c r="F53" s="9" t="str">
        <x:v>Low concern</x:v>
      </x:c>
      <x:c r="G53" s="9" t="str">
        <x:v>Yes</x:v>
      </x:c>
      <x:c r="H53" s="9" t="str">
        <x:v>Agree</x:v>
      </x:c>
      <x:c r="I53" s="9" t="str">
        <x:v>Low concern</x:v>
      </x:c>
      <x:c r="J53" s="9" t="str">
        <x:v>Initial agreement</x:v>
      </x:c>
      <x:c r="K53" s="9" t="str">
        <x:v>Static/dynamic conditions are stated</x:v>
      </x:c>
      <x:c r="L53" s="9" t="str">
        <x:v>PDF pp. 3–16; Figs. 1–13; Appendix A</x:v>
      </x:c>
      <x:c r="M53" s="9" t="str">
        <x:v>Pressure amplitudes, frequencies, durations, boundary conditions and wearable placement are stated.</x:v>
      </x:c>
      <x:c r="N53" s="9" t="str">
        <x:v>Article PDF pp. 6-7 and 12-14</x:v>
      </x:c>
      <x:c r="O53" s="9" t="str">
        <x:v>Static/dynamic conditions are stated</x:v>
      </x:c>
      <x:c r="P53" s="9" t="str">
        <x:v>PDF pp. 3–16; Figs. 1–13; Appendix A</x:v>
      </x:c>
    </x:row>
    <x:row r="54">
      <x:c r="A54" s="9" t="n">
        <x:v>7</x:v>
      </x:c>
      <x:c r="B54" s="9" t="str">
        <x:v>S010</x:v>
      </x:c>
      <x:c r="C54" s="9" t="str">
        <x:v>Mutlu et al. (2023)</x:v>
      </x:c>
      <x:c r="D54" s="9" t="str">
        <x:v>D5</x:v>
      </x:c>
      <x:c r="E54" s="9" t="str">
        <x:v>Some concern</x:v>
      </x:c>
      <x:c r="F54" s="9" t="str">
        <x:v>Some concern</x:v>
      </x:c>
      <x:c r="G54" s="9" t="str">
        <x:v>Yes</x:v>
      </x:c>
      <x:c r="H54" s="9" t="str">
        <x:v>Agree</x:v>
      </x:c>
      <x:c r="I54" s="9" t="str">
        <x:v>Some concern</x:v>
      </x:c>
      <x:c r="J54" s="9" t="str">
        <x:v>Initial agreement</x:v>
      </x:c>
      <x:c r="K54" s="9" t="str">
        <x:v>Cyclic loading count is unclear</x:v>
      </x:c>
      <x:c r="L54" s="9" t="str">
        <x:v>PDF pp. 3–16; Figs. 1–13; Appendix A</x:v>
      </x:c>
      <x:c r="M54" s="9" t="str">
        <x:v>Cyclic amplitudes/frequencies and hysteresis are shown, but cycle count and long-term stability are limited.</x:v>
      </x:c>
      <x:c r="N54" s="9" t="str">
        <x:v>Article PDF pp. 9-10, Figures 6 and 8</x:v>
      </x:c>
      <x:c r="O54" s="9" t="str">
        <x:v>Cyclic loading count is unclear</x:v>
      </x:c>
      <x:c r="P54" s="9" t="str">
        <x:v>PDF pp. 3–16; Figs. 1–13; Appendix A</x:v>
      </x:c>
    </x:row>
    <x:row r="55">
      <x:c r="A55" s="9" t="n">
        <x:v>7</x:v>
      </x:c>
      <x:c r="B55" s="9" t="str">
        <x:v>S010</x:v>
      </x:c>
      <x:c r="C55" s="9" t="str">
        <x:v>Mutlu et al. (2023)</x:v>
      </x:c>
      <x:c r="D55" s="9" t="str">
        <x:v>D6</x:v>
      </x:c>
      <x:c r="E55" s="9" t="str">
        <x:v>High concern</x:v>
      </x:c>
      <x:c r="F55" s="9" t="str">
        <x:v>High concern</x:v>
      </x:c>
      <x:c r="G55" s="9" t="str">
        <x:v>Yes</x:v>
      </x:c>
      <x:c r="H55" s="9" t="str">
        <x:v>Agree</x:v>
      </x:c>
      <x:c r="I55" s="9" t="str">
        <x:v>High concern</x:v>
      </x:c>
      <x:c r="J55" s="9" t="str">
        <x:v>Initial agreement</x:v>
      </x:c>
      <x:c r="K55" s="9" t="str">
        <x:v>No independent-device replication</x:v>
      </x:c>
      <x:c r="L55" s="9" t="str">
        <x:v>PDF pp. 3–16; Figs. 1–13; Appendix A</x:v>
      </x:c>
      <x:c r="M55" s="9" t="str">
        <x:v>No comparison of three separately fabricated SoHapS units is reported.</x:v>
      </x:c>
      <x:c r="N55" s="9" t="str">
        <x:v>Article PDF pp. 4-6</x:v>
      </x:c>
      <x:c r="O55" s="9" t="str">
        <x:v>No independent-device replication</x:v>
      </x:c>
      <x:c r="P55" s="9" t="str">
        <x:v>PDF pp. 3–16; Figs. 1–13; Appendix A</x:v>
      </x:c>
    </x:row>
    <x:row r="56">
      <x:c r="A56" s="9" t="n">
        <x:v>7</x:v>
      </x:c>
      <x:c r="B56" s="9" t="str">
        <x:v>S010</x:v>
      </x:c>
      <x:c r="C56" s="9" t="str">
        <x:v>Mutlu et al. (2023)</x:v>
      </x:c>
      <x:c r="D56" s="9" t="str">
        <x:v>D7</x:v>
      </x:c>
      <x:c r="E56" s="9" t="str">
        <x:v>Low concern</x:v>
      </x:c>
      <x:c r="F56" s="9" t="str">
        <x:v>Some concern</x:v>
      </x:c>
      <x:c r="G56" s="9" t="str">
        <x:v>Yes</x:v>
      </x:c>
      <x:c r="H56" s="9" t="str">
        <x:v>Disagree</x:v>
      </x:c>
      <x:c r="I56" s="9" t="str">
        <x:v>Low concern</x:v>
      </x:c>
      <x:c r="J56" s="9" t="str">
        <x:v>Adjudicated to Reviewer 1</x:v>
      </x:c>
      <x:c r="K56" s="9" t="str">
        <x:v>Static, dynamic and task outcomes reported</x:v>
      </x:c>
      <x:c r="L56" s="9" t="str">
        <x:v>PDF pp. 3–16; Figs. 1–13; Appendix A</x:v>
      </x:c>
      <x:c r="M56" s="9" t="str">
        <x:v>Static/dynamic outcomes are comprehensive, but device-level uncertainty and replication are not reported.</x:v>
      </x:c>
      <x:c r="N56" s="9" t="str">
        <x:v>Article PDF pp. 7-10</x:v>
      </x:c>
      <x:c r="O56" s="9" t="str">
        <x:v>Static, dynamic and task outcomes reported</x:v>
      </x:c>
      <x:c r="P56" s="9" t="str">
        <x:v>PDF pp. 3–16; Figs. 1–13; Appendix A</x:v>
      </x:c>
    </x:row>
    <x:row r="57">
      <x:c r="A57" s="9" t="n">
        <x:v>7</x:v>
      </x:c>
      <x:c r="B57" s="9" t="str">
        <x:v>S010</x:v>
      </x:c>
      <x:c r="C57" s="9" t="str">
        <x:v>Mutlu et al. (2023)</x:v>
      </x:c>
      <x:c r="D57" s="9" t="str">
        <x:v>D8</x:v>
      </x:c>
      <x:c r="E57" s="9" t="str">
        <x:v>Some concern</x:v>
      </x:c>
      <x:c r="F57" s="9" t="str">
        <x:v>Low concern</x:v>
      </x:c>
      <x:c r="G57" s="9" t="str">
        <x:v>Yes</x:v>
      </x:c>
      <x:c r="H57" s="9" t="str">
        <x:v>Disagree</x:v>
      </x:c>
      <x:c r="I57" s="9" t="str">
        <x:v>Some concern</x:v>
      </x:c>
      <x:c r="J57" s="9" t="str">
        <x:v>Adjudicated to Reviewer 1</x:v>
      </x:c>
      <x:c r="K57" s="9" t="str">
        <x:v>Worn application is demonstrated but small and exploratory</x:v>
      </x:c>
      <x:c r="L57" s="9" t="str">
        <x:v>PDF pp. 3–16; Figs. 1–13; Appendix A</x:v>
      </x:c>
      <x:c r="M57" s="9" t="str">
        <x:v>The final monolithic haptic device was worn on the wrist in two human teleoperation demonstrations.</x:v>
      </x:c>
      <x:c r="N57" s="9" t="str">
        <x:v>Article PDF pp. 12-15, Figure 12</x:v>
      </x:c>
      <x:c r="O57" s="9" t="str">
        <x:v>Worn application is demonstrated but small and exploratory</x:v>
      </x:c>
      <x:c r="P57" s="9" t="str">
        <x:v>PDF pp. 3–16; Figs. 1–13; Appendix A</x:v>
      </x:c>
    </x:row>
    <x:row r="58">
      <x:c r="A58" s="9" t="n">
        <x:v>8</x:v>
      </x:c>
      <x:c r="B58" s="9" t="str">
        <x:v>S011</x:v>
      </x:c>
      <x:c r="C58" s="9" t="str">
        <x:v>Samarentsis et al. (2022)</x:v>
      </x:c>
      <x:c r="D58" s="9" t="str">
        <x:v>D1</x:v>
      </x:c>
      <x:c r="E58" s="9" t="str">
        <x:v>Some concern</x:v>
      </x:c>
      <x:c r="F58" s="9" t="str">
        <x:v>High concern</x:v>
      </x:c>
      <x:c r="G58" s="9" t="str">
        <x:v>Yes</x:v>
      </x:c>
      <x:c r="H58" s="9" t="str">
        <x:v>Disagree</x:v>
      </x:c>
      <x:c r="I58" s="9" t="str">
        <x:v>Some concern</x:v>
      </x:c>
      <x:c r="J58" s="9" t="str">
        <x:v>Adjudicated to Reviewer 1</x:v>
      </x:c>
      <x:c r="K58" s="9" t="str">
        <x:v>Sixteen sensors support bench results; on-body evaluation uses one participant</x:v>
      </x:c>
      <x:c r="L58" s="9" t="str">
        <x:v>PDF pp. 8-14</x:v>
      </x:c>
      <x:c r="M58" s="9" t="str">
        <x:v>The number of independently fabricated characterization sensors and any failed/excluded units are not reported.</x:v>
      </x:c>
      <x:c r="N58" s="9" t="str">
        <x:v>Article PDF pp. 3-5</x:v>
      </x:c>
      <x:c r="O58" s="9" t="str">
        <x:v>Sixteen sensors support bench results; on-body evaluation uses one participant</x:v>
      </x:c>
      <x:c r="P58" s="9" t="str">
        <x:v>PDF pp. 8-14</x:v>
      </x:c>
    </x:row>
    <x:row r="59">
      <x:c r="A59" s="9" t="n">
        <x:v>8</x:v>
      </x:c>
      <x:c r="B59" s="9" t="str">
        <x:v>S011</x:v>
      </x:c>
      <x:c r="C59" s="9" t="str">
        <x:v>Samarentsis et al. (2022)</x:v>
      </x:c>
      <x:c r="D59" s="9" t="str">
        <x:v>D2</x:v>
      </x:c>
      <x:c r="E59" s="9" t="str">
        <x:v>Low concern</x:v>
      </x:c>
      <x:c r="F59" s="9" t="str">
        <x:v>Low concern</x:v>
      </x:c>
      <x:c r="G59" s="9" t="str">
        <x:v>Yes</x:v>
      </x:c>
      <x:c r="H59" s="9" t="str">
        <x:v>Agree</x:v>
      </x:c>
      <x:c r="I59" s="9" t="str">
        <x:v>Low concern</x:v>
      </x:c>
      <x:c r="J59" s="9" t="str">
        <x:v>Initial agreement</x:v>
      </x:c>
      <x:c r="K59" s="9" t="str">
        <x:v>Materials and detailed print parameters are reported</x:v>
      </x:c>
      <x:c r="L59" s="9" t="str">
        <x:v>PDF pp. 3-5, Table 1</x:v>
      </x:c>
      <x:c r="M59" s="9" t="str">
        <x:v>Materials, geometry and extensive FFF settings are specified.</x:v>
      </x:c>
      <x:c r="N59" s="9" t="str">
        <x:v>Article PDF pp. 3-4, Table 1</x:v>
      </x:c>
      <x:c r="O59" s="9" t="str">
        <x:v>Materials and detailed print parameters are reported</x:v>
      </x:c>
      <x:c r="P59" s="9" t="str">
        <x:v>PDF pp. 3-5, Table 1</x:v>
      </x:c>
    </x:row>
    <x:row r="60">
      <x:c r="A60" s="9" t="n">
        <x:v>8</x:v>
      </x:c>
      <x:c r="B60" s="9" t="str">
        <x:v>S011</x:v>
      </x:c>
      <x:c r="C60" s="9" t="str">
        <x:v>Samarentsis et al. (2022)</x:v>
      </x:c>
      <x:c r="D60" s="9" t="str">
        <x:v>D3</x:v>
      </x:c>
      <x:c r="E60" s="9" t="str">
        <x:v>Low concern</x:v>
      </x:c>
      <x:c r="F60" s="9" t="str">
        <x:v>Some concern</x:v>
      </x:c>
      <x:c r="G60" s="9" t="str">
        <x:v>Yes</x:v>
      </x:c>
      <x:c r="H60" s="9" t="str">
        <x:v>Disagree</x:v>
      </x:c>
      <x:c r="I60" s="9" t="str">
        <x:v>Low concern</x:v>
      </x:c>
      <x:c r="J60" s="9" t="str">
        <x:v>Adjudicated to Reviewer 1</x:v>
      </x:c>
      <x:c r="K60" s="9" t="str">
        <x:v>Pressure calibration range and analysis are described</x:v>
      </x:c>
      <x:c r="L60" s="9" t="str">
        <x:v>PDF pp. 5-9</x:v>
      </x:c>
      <x:c r="M60" s="9" t="str">
        <x:v>Pressure loading and capacitance acquisition are defined, but independent force/pressure reference calibration is incompletely described.</x:v>
      </x:c>
      <x:c r="N60" s="9" t="str">
        <x:v>Article PDF pp. 5-7, Figure 2</x:v>
      </x:c>
      <x:c r="O60" s="9" t="str">
        <x:v>Pressure calibration range and analysis are described</x:v>
      </x:c>
      <x:c r="P60" s="9" t="str">
        <x:v>PDF pp. 5-9</x:v>
      </x:c>
    </x:row>
    <x:row r="61">
      <x:c r="A61" s="9" t="n">
        <x:v>8</x:v>
      </x:c>
      <x:c r="B61" s="9" t="str">
        <x:v>S011</x:v>
      </x:c>
      <x:c r="C61" s="9" t="str">
        <x:v>Samarentsis et al. (2022)</x:v>
      </x:c>
      <x:c r="D61" s="9" t="str">
        <x:v>D4</x:v>
      </x:c>
      <x:c r="E61" s="9" t="str">
        <x:v>Low concern</x:v>
      </x:c>
      <x:c r="F61" s="9" t="str">
        <x:v>Low concern</x:v>
      </x:c>
      <x:c r="G61" s="9" t="str">
        <x:v>Yes</x:v>
      </x:c>
      <x:c r="H61" s="9" t="str">
        <x:v>Agree</x:v>
      </x:c>
      <x:c r="I61" s="9" t="str">
        <x:v>Low concern</x:v>
      </x:c>
      <x:c r="J61" s="9" t="str">
        <x:v>Initial agreement</x:v>
      </x:c>
      <x:c r="K61" s="9" t="str">
        <x:v>Loading range/rate and fixed laboratory conditions are stated</x:v>
      </x:c>
      <x:c r="L61" s="9" t="str">
        <x:v>PDF pp. 5-10</x:v>
      </x:c>
      <x:c r="M61" s="9" t="str">
        <x:v>Pressure steps, frequencies, cycle conditions and insole gait speeds are stated.</x:v>
      </x:c>
      <x:c r="N61" s="9" t="str">
        <x:v>Article PDF pp. 7-13</x:v>
      </x:c>
      <x:c r="O61" s="9" t="str">
        <x:v>Loading range/rate and fixed laboratory conditions are stated</x:v>
      </x:c>
      <x:c r="P61" s="9" t="str">
        <x:v>PDF pp. 5-10</x:v>
      </x:c>
    </x:row>
    <x:row r="62">
      <x:c r="A62" s="9" t="n">
        <x:v>8</x:v>
      </x:c>
      <x:c r="B62" s="9" t="str">
        <x:v>S011</x:v>
      </x:c>
      <x:c r="C62" s="9" t="str">
        <x:v>Samarentsis et al. (2022)</x:v>
      </x:c>
      <x:c r="D62" s="9" t="str">
        <x:v>D5</x:v>
      </x:c>
      <x:c r="E62" s="9" t="str">
        <x:v>Low concern</x:v>
      </x:c>
      <x:c r="F62" s="9" t="str">
        <x:v>Low concern</x:v>
      </x:c>
      <x:c r="G62" s="9" t="str">
        <x:v>Yes</x:v>
      </x:c>
      <x:c r="H62" s="9" t="str">
        <x:v>Agree</x:v>
      </x:c>
      <x:c r="I62" s="9" t="str">
        <x:v>Low concern</x:v>
      </x:c>
      <x:c r="J62" s="9" t="str">
        <x:v>Initial agreement</x:v>
      </x:c>
      <x:c r="K62" s="9" t="str">
        <x:v>Three cycles and 2280-cycle test reported</x:v>
      </x:c>
      <x:c r="L62" s="9" t="str">
        <x:v>PDF pp. 8-11</x:v>
      </x:c>
      <x:c r="M62" s="9" t="str">
        <x:v>Repeated protocols include three-cycle tests and a 2,280-cycle durability assessment with stability outcomes.</x:v>
      </x:c>
      <x:c r="N62" s="9" t="str">
        <x:v>Article PDF pp. 8-10, Figures 3-5</x:v>
      </x:c>
      <x:c r="O62" s="9" t="str">
        <x:v>Three cycles and 2280-cycle test reported</x:v>
      </x:c>
      <x:c r="P62" s="9" t="str">
        <x:v>PDF pp. 8-11</x:v>
      </x:c>
    </x:row>
    <x:row r="63">
      <x:c r="A63" s="9" t="n">
        <x:v>8</x:v>
      </x:c>
      <x:c r="B63" s="9" t="str">
        <x:v>S011</x:v>
      </x:c>
      <x:c r="C63" s="9" t="str">
        <x:v>Samarentsis et al. (2022)</x:v>
      </x:c>
      <x:c r="D63" s="9" t="str">
        <x:v>D6</x:v>
      </x:c>
      <x:c r="E63" s="9" t="str">
        <x:v>Low concern</x:v>
      </x:c>
      <x:c r="F63" s="9" t="str">
        <x:v>High concern</x:v>
      </x:c>
      <x:c r="G63" s="9" t="str">
        <x:v>Yes</x:v>
      </x:c>
      <x:c r="H63" s="9" t="str">
        <x:v>Disagree</x:v>
      </x:c>
      <x:c r="I63" s="9" t="str">
        <x:v>Low concern</x:v>
      </x:c>
      <x:c r="J63" s="9" t="str">
        <x:v>Adjudicated to Reviewer 1</x:v>
      </x:c>
      <x:c r="K63" s="9" t="str">
        <x:v>Sixteen separate sensors summarized with mean and SD</x:v>
      </x:c>
      <x:c r="L63" s="9" t="str">
        <x:v>PDF pp. 8-9</x:v>
      </x:c>
      <x:c r="M63" s="9" t="str">
        <x:v>No device-level replication with between-unit results is reported.</x:v>
      </x:c>
      <x:c r="N63" s="9" t="str">
        <x:v>Article PDF pp. 7-10</x:v>
      </x:c>
      <x:c r="O63" s="9" t="str">
        <x:v>Sixteen separate sensors summarized with mean and SD</x:v>
      </x:c>
      <x:c r="P63" s="9" t="str">
        <x:v>PDF pp. 8-9</x:v>
      </x:c>
    </x:row>
    <x:row r="64">
      <x:c r="A64" s="9" t="n">
        <x:v>8</x:v>
      </x:c>
      <x:c r="B64" s="9" t="str">
        <x:v>S011</x:v>
      </x:c>
      <x:c r="C64" s="9" t="str">
        <x:v>Samarentsis et al. (2022)</x:v>
      </x:c>
      <x:c r="D64" s="9" t="str">
        <x:v>D7</x:v>
      </x:c>
      <x:c r="E64" s="9" t="str">
        <x:v>Low concern</x:v>
      </x:c>
      <x:c r="F64" s="9" t="str">
        <x:v>Some concern</x:v>
      </x:c>
      <x:c r="G64" s="9" t="str">
        <x:v>Yes</x:v>
      </x:c>
      <x:c r="H64" s="9" t="str">
        <x:v>Disagree</x:v>
      </x:c>
      <x:c r="I64" s="9" t="str">
        <x:v>Low concern</x:v>
      </x:c>
      <x:c r="J64" s="9" t="str">
        <x:v>Adjudicated to Reviewer 1</x:v>
      </x:c>
      <x:c r="K64" s="9" t="str">
        <x:v>Major response, durability and integration outcomes are reported</x:v>
      </x:c>
      <x:c r="L64" s="9" t="str">
        <x:v>PDF pp. 8-14</x:v>
      </x:c>
      <x:c r="M64" s="9" t="str">
        <x:v>Principal sensitivity/durability/gait outputs are reported, but device-level uncertainty and completeness are unclear.</x:v>
      </x:c>
      <x:c r="N64" s="9" t="str">
        <x:v>Article PDF pp. 7-13</x:v>
      </x:c>
      <x:c r="O64" s="9" t="str">
        <x:v>Major response, durability and integration outcomes are reported</x:v>
      </x:c>
      <x:c r="P64" s="9" t="str">
        <x:v>PDF pp. 8-14</x:v>
      </x:c>
    </x:row>
    <x:row r="65">
      <x:c r="A65" s="9" t="n">
        <x:v>8</x:v>
      </x:c>
      <x:c r="B65" s="9" t="str">
        <x:v>S011</x:v>
      </x:c>
      <x:c r="C65" s="9" t="str">
        <x:v>Samarentsis et al. (2022)</x:v>
      </x:c>
      <x:c r="D65" s="9" t="str">
        <x:v>D8</x:v>
      </x:c>
      <x:c r="E65" s="9" t="str">
        <x:v>Low concern</x:v>
      </x:c>
      <x:c r="F65" s="9" t="str">
        <x:v>Low concern</x:v>
      </x:c>
      <x:c r="G65" s="9" t="str">
        <x:v>Yes</x:v>
      </x:c>
      <x:c r="H65" s="9" t="str">
        <x:v>Agree</x:v>
      </x:c>
      <x:c r="I65" s="9" t="str">
        <x:v>Low concern</x:v>
      </x:c>
      <x:c r="J65" s="9" t="str">
        <x:v>Initial agreement</x:v>
      </x:c>
      <x:c r="K65" s="9" t="str">
        <x:v>Final insole tested on a participant</x:v>
      </x:c>
      <x:c r="L65" s="9" t="str">
        <x:v>PDF pp. 12-14</x:v>
      </x:c>
      <x:c r="M65" s="9" t="str">
        <x:v>A completed 16-sensor insole was used for dynamic plantar-pressure mapping across gait phases and speeds.</x:v>
      </x:c>
      <x:c r="N65" s="9" t="str">
        <x:v>Article PDF pp. 11-13, Figures 6-8</x:v>
      </x:c>
      <x:c r="O65" s="9" t="str">
        <x:v>Final insole tested on a participant</x:v>
      </x:c>
      <x:c r="P65" s="9" t="str">
        <x:v>PDF pp. 12-14</x:v>
      </x:c>
    </x:row>
    <x:row r="66">
      <x:c r="A66" s="9" t="n">
        <x:v>9</x:v>
      </x:c>
      <x:c r="B66" s="9" t="str">
        <x:v>S012</x:v>
      </x:c>
      <x:c r="C66" s="9" t="str">
        <x:v>Wolterink et al. (2020)</x:v>
      </x:c>
      <x:c r="D66" s="9" t="str">
        <x:v>D1</x:v>
      </x:c>
      <x:c r="E66" s="9" t="str">
        <x:v>Some concern</x:v>
      </x:c>
      <x:c r="F66" s="9" t="str">
        <x:v>Some concern</x:v>
      </x:c>
      <x:c r="G66" s="9" t="str">
        <x:v>Yes</x:v>
      </x:c>
      <x:c r="H66" s="9" t="str">
        <x:v>Agree</x:v>
      </x:c>
      <x:c r="I66" s="9" t="str">
        <x:v>Some concern</x:v>
      </x:c>
      <x:c r="J66" s="9" t="str">
        <x:v>Initial agreement</x:v>
      </x:c>
      <x:c r="K66" s="9" t="str">
        <x:v>Six plus three volunteers; electrode-unit sampling not reported</x:v>
      </x:c>
      <x:c r="L66" s="9" t="str">
        <x:v>PDF pp. 4–14; Figs. 1–17; Tables 2–3</x:v>
      </x:c>
      <x:c r="M66" s="9" t="str">
        <x:v>Six volunteers and unsuccessful small-electrode measurements are reported, but fabricated-unit sampling and failures are not fully described.</x:v>
      </x:c>
      <x:c r="N66" s="9" t="str">
        <x:v>Article PDF pp. 5 and 11</x:v>
      </x:c>
      <x:c r="O66" s="9" t="str">
        <x:v>Six plus three volunteers; electrode-unit sampling not reported</x:v>
      </x:c>
      <x:c r="P66" s="9" t="str">
        <x:v>PDF pp. 4–14; Figs. 1–17; Tables 2–3</x:v>
      </x:c>
    </x:row>
    <x:row r="67">
      <x:c r="A67" s="9" t="n">
        <x:v>9</x:v>
      </x:c>
      <x:c r="B67" s="9" t="str">
        <x:v>S012</x:v>
      </x:c>
      <x:c r="C67" s="9" t="str">
        <x:v>Wolterink et al. (2020)</x:v>
      </x:c>
      <x:c r="D67" s="9" t="str">
        <x:v>D2</x:v>
      </x:c>
      <x:c r="E67" s="9" t="str">
        <x:v>Some concern</x:v>
      </x:c>
      <x:c r="F67" s="9" t="str">
        <x:v>Some concern</x:v>
      </x:c>
      <x:c r="G67" s="9" t="str">
        <x:v>Yes</x:v>
      </x:c>
      <x:c r="H67" s="9" t="str">
        <x:v>Agree</x:v>
      </x:c>
      <x:c r="I67" s="9" t="str">
        <x:v>Some concern</x:v>
      </x:c>
      <x:c r="J67" s="9" t="str">
        <x:v>Initial agreement</x:v>
      </x:c>
      <x:c r="K67" s="9" t="str">
        <x:v>Several settings and materials reported, but temperatures/speeds omitted</x:v>
      </x:c>
      <x:c r="L67" s="9" t="str">
        <x:v>PDF pp. 4–14; Figs. 1–17; Tables 2–3</x:v>
      </x:c>
      <x:c r="M67" s="9" t="str">
        <x:v>Materials, geometry, layer heights and nozzles are documented, but key temperatures, speed, infill and orientation are missing.</x:v>
      </x:c>
      <x:c r="N67" s="9" t="str">
        <x:v>Article PDF pp. 4-5</x:v>
      </x:c>
      <x:c r="O67" s="9" t="str">
        <x:v>Several settings and materials reported, but temperatures/speeds omitted</x:v>
      </x:c>
      <x:c r="P67" s="9" t="str">
        <x:v>PDF pp. 4–14; Figs. 1–17; Tables 2–3</x:v>
      </x:c>
    </x:row>
    <x:row r="68">
      <x:c r="A68" s="9" t="n">
        <x:v>9</x:v>
      </x:c>
      <x:c r="B68" s="9" t="str">
        <x:v>S012</x:v>
      </x:c>
      <x:c r="C68" s="9" t="str">
        <x:v>Wolterink et al. (2020)</x:v>
      </x:c>
      <x:c r="D68" s="9" t="str">
        <x:v>D3</x:v>
      </x:c>
      <x:c r="E68" s="9" t="str">
        <x:v>Low concern</x:v>
      </x:c>
      <x:c r="F68" s="9" t="str">
        <x:v>Low concern</x:v>
      </x:c>
      <x:c r="G68" s="9" t="str">
        <x:v>Yes</x:v>
      </x:c>
      <x:c r="H68" s="9" t="str">
        <x:v>Agree</x:v>
      </x:c>
      <x:c r="I68" s="9" t="str">
        <x:v>Low concern</x:v>
      </x:c>
      <x:c r="J68" s="9" t="str">
        <x:v>Initial agreement</x:v>
      </x:c>
      <x:c r="K68" s="9" t="str">
        <x:v>Ag/AgCl comparison and load protocol described</x:v>
      </x:c>
      <x:c r="L68" s="9" t="str">
        <x:v>PDF pp. 4–14; Figs. 1–17; Tables 2–3</x:v>
      </x:c>
      <x:c r="M68" s="9" t="str">
        <x:v>Commercial Ag/AgCl electrodes and controlled impedance/load protocols provide appropriate references.</x:v>
      </x:c>
      <x:c r="N68" s="9" t="str">
        <x:v>Article PDF pp. 4-6 and 9-11</x:v>
      </x:c>
      <x:c r="O68" s="9" t="str">
        <x:v>Ag/AgCl comparison and load protocol described</x:v>
      </x:c>
      <x:c r="P68" s="9" t="str">
        <x:v>PDF pp. 4–14; Figs. 1–17; Tables 2–3</x:v>
      </x:c>
    </x:row>
    <x:row r="69">
      <x:c r="A69" s="9" t="n">
        <x:v>9</x:v>
      </x:c>
      <x:c r="B69" s="9" t="str">
        <x:v>S012</x:v>
      </x:c>
      <x:c r="C69" s="9" t="str">
        <x:v>Wolterink et al. (2020)</x:v>
      </x:c>
      <x:c r="D69" s="9" t="str">
        <x:v>D4</x:v>
      </x:c>
      <x:c r="E69" s="9" t="str">
        <x:v>Low concern</x:v>
      </x:c>
      <x:c r="F69" s="9" t="str">
        <x:v>Low concern</x:v>
      </x:c>
      <x:c r="G69" s="9" t="str">
        <x:v>Yes</x:v>
      </x:c>
      <x:c r="H69" s="9" t="str">
        <x:v>Agree</x:v>
      </x:c>
      <x:c r="I69" s="9" t="str">
        <x:v>Low concern</x:v>
      </x:c>
      <x:c r="J69" s="9" t="str">
        <x:v>Initial agreement</x:v>
      </x:c>
      <x:c r="K69" s="9" t="str">
        <x:v>Contact and task conditions are stated</x:v>
      </x:c>
      <x:c r="L69" s="9" t="str">
        <x:v>PDF pp. 4–14; Figs. 1–17; Tables 2–3</x:v>
      </x:c>
      <x:c r="M69" s="9" t="str">
        <x:v>Skin preparation, placement, moisture condition, loads, timing and acquisition settings are stated.</x:v>
      </x:c>
      <x:c r="N69" s="9" t="str">
        <x:v>Article PDF pp. 5-6 and 9</x:v>
      </x:c>
      <x:c r="O69" s="9" t="str">
        <x:v>Contact and task conditions are stated</x:v>
      </x:c>
      <x:c r="P69" s="9" t="str">
        <x:v>PDF pp. 4–14; Figs. 1–17; Tables 2–3</x:v>
      </x:c>
    </x:row>
    <x:row r="70">
      <x:c r="A70" s="9" t="n">
        <x:v>9</x:v>
      </x:c>
      <x:c r="B70" s="9" t="str">
        <x:v>S012</x:v>
      </x:c>
      <x:c r="C70" s="9" t="str">
        <x:v>Wolterink et al. (2020)</x:v>
      </x:c>
      <x:c r="D70" s="9" t="str">
        <x:v>D5</x:v>
      </x:c>
      <x:c r="E70" s="9" t="str">
        <x:v>Low concern</x:v>
      </x:c>
      <x:c r="F70" s="9" t="str">
        <x:v>Some concern</x:v>
      </x:c>
      <x:c r="G70" s="9" t="str">
        <x:v>Yes</x:v>
      </x:c>
      <x:c r="H70" s="9" t="str">
        <x:v>Disagree</x:v>
      </x:c>
      <x:c r="I70" s="9" t="str">
        <x:v>Low concern</x:v>
      </x:c>
      <x:c r="J70" s="9" t="str">
        <x:v>Adjudicated to Reviewer 1</x:v>
      </x:c>
      <x:c r="K70" s="9" t="str">
        <x:v>Repeated contractions and variability outputs reported</x:v>
      </x:c>
      <x:c r="L70" s="9" t="str">
        <x:v>PDF pp. 4–14; Figs. 1–17; Tables 2–3</x:v>
      </x:c>
      <x:c r="M70" s="9" t="str">
        <x:v>Three repetitions and repeated gesture protocols are defined, but they do not support sensor-stability claims.</x:v>
      </x:c>
      <x:c r="N70" s="9" t="str">
        <x:v>Article PDF pp. 6 and 9</x:v>
      </x:c>
      <x:c r="O70" s="9" t="str">
        <x:v>Repeated contractions and variability outputs reported</x:v>
      </x:c>
      <x:c r="P70" s="9" t="str">
        <x:v>PDF pp. 4–14; Figs. 1–17; Tables 2–3</x:v>
      </x:c>
    </x:row>
    <x:row r="71">
      <x:c r="A71" s="9" t="n">
        <x:v>9</x:v>
      </x:c>
      <x:c r="B71" s="9" t="str">
        <x:v>S012</x:v>
      </x:c>
      <x:c r="C71" s="9" t="str">
        <x:v>Wolterink et al. (2020)</x:v>
      </x:c>
      <x:c r="D71" s="9" t="str">
        <x:v>D6</x:v>
      </x:c>
      <x:c r="E71" s="9" t="str">
        <x:v>High concern</x:v>
      </x:c>
      <x:c r="F71" s="9" t="str">
        <x:v>High concern</x:v>
      </x:c>
      <x:c r="G71" s="9" t="str">
        <x:v>Yes</x:v>
      </x:c>
      <x:c r="H71" s="9" t="str">
        <x:v>Agree</x:v>
      </x:c>
      <x:c r="I71" s="9" t="str">
        <x:v>High concern</x:v>
      </x:c>
      <x:c r="J71" s="9" t="str">
        <x:v>Initial agreement</x:v>
      </x:c>
      <x:c r="K71" s="9" t="str">
        <x:v>No separate-device replication</x:v>
      </x:c>
      <x:c r="L71" s="9" t="str">
        <x:v>PDF pp. 4–14; Figs. 1–17; Tables 2–3</x:v>
      </x:c>
      <x:c r="M71" s="9" t="str">
        <x:v>No comparison of three separately fabricated equivalent sensing structures is reported.</x:v>
      </x:c>
      <x:c r="N71" s="9" t="str">
        <x:v>Article PDF pp. 4-6</x:v>
      </x:c>
      <x:c r="O71" s="9" t="str">
        <x:v>No separate-device replication</x:v>
      </x:c>
      <x:c r="P71" s="9" t="str">
        <x:v>PDF pp. 4–14; Figs. 1–17; Tables 2–3</x:v>
      </x:c>
    </x:row>
    <x:row r="72">
      <x:c r="A72" s="9" t="n">
        <x:v>9</x:v>
      </x:c>
      <x:c r="B72" s="9" t="str">
        <x:v>S012</x:v>
      </x:c>
      <x:c r="C72" s="9" t="str">
        <x:v>Wolterink et al. (2020)</x:v>
      </x:c>
      <x:c r="D72" s="9" t="str">
        <x:v>D7</x:v>
      </x:c>
      <x:c r="E72" s="9" t="str">
        <x:v>Low concern</x:v>
      </x:c>
      <x:c r="F72" s="9" t="str">
        <x:v>Some concern</x:v>
      </x:c>
      <x:c r="G72" s="9" t="str">
        <x:v>Yes</x:v>
      </x:c>
      <x:c r="H72" s="9" t="str">
        <x:v>Disagree</x:v>
      </x:c>
      <x:c r="I72" s="9" t="str">
        <x:v>Low concern</x:v>
      </x:c>
      <x:c r="J72" s="9" t="str">
        <x:v>Adjudicated to Reviewer 1</x:v>
      </x:c>
      <x:c r="K72" s="9" t="str">
        <x:v>Impedance, statistics and accuracy reported</x:v>
      </x:c>
      <x:c r="L72" s="9" t="str">
        <x:v>PDF pp. 4–14; Figs. 1–17; Tables 2–3</x:v>
      </x:c>
      <x:c r="M72" s="9" t="str">
        <x:v>Missing small-electrode data are disclosed and main results include participant SD, but device uncertainty is absent.</x:v>
      </x:c>
      <x:c r="N72" s="9" t="str">
        <x:v>Article PDF pp. 10-13</x:v>
      </x:c>
      <x:c r="O72" s="9" t="str">
        <x:v>Impedance, statistics and accuracy reported</x:v>
      </x:c>
      <x:c r="P72" s="9" t="str">
        <x:v>PDF pp. 4–14; Figs. 1–17; Tables 2–3</x:v>
      </x:c>
    </x:row>
    <x:row r="73">
      <x:c r="A73" s="9" t="n">
        <x:v>9</x:v>
      </x:c>
      <x:c r="B73" s="9" t="str">
        <x:v>S012</x:v>
      </x:c>
      <x:c r="C73" s="9" t="str">
        <x:v>Wolterink et al. (2020)</x:v>
      </x:c>
      <x:c r="D73" s="9" t="str">
        <x:v>D8</x:v>
      </x:c>
      <x:c r="E73" s="9" t="str">
        <x:v>Low concern</x:v>
      </x:c>
      <x:c r="F73" s="9" t="str">
        <x:v>Low concern</x:v>
      </x:c>
      <x:c r="G73" s="9" t="str">
        <x:v>Yes</x:v>
      </x:c>
      <x:c r="H73" s="9" t="str">
        <x:v>Agree</x:v>
      </x:c>
      <x:c r="I73" s="9" t="str">
        <x:v>Low concern</x:v>
      </x:c>
      <x:c r="J73" s="9" t="str">
        <x:v>Initial agreement</x:v>
      </x:c>
      <x:c r="K73" s="9" t="str">
        <x:v>Direct on-body electrode and band testing</x:v>
      </x:c>
      <x:c r="L73" s="9" t="str">
        <x:v>PDF pp. 4–14; Figs. 1–17; Tables 2–3</x:v>
      </x:c>
      <x:c r="M73" s="9" t="str">
        <x:v>Printed electrodes and an eight-electrode band were tested on people for muscle activity and hand gestures.</x:v>
      </x:c>
      <x:c r="N73" s="9" t="str">
        <x:v>Article PDF pp. 5-6 and 8-9</x:v>
      </x:c>
      <x:c r="O73" s="9" t="str">
        <x:v>Direct on-body electrode and band testing</x:v>
      </x:c>
      <x:c r="P73" s="9" t="str">
        <x:v>PDF pp. 4–14; Figs. 1–17; Tables 2–3</x:v>
      </x:c>
    </x:row>
    <x:row r="74">
      <x:c r="A74" s="9" t="n">
        <x:v>10</x:v>
      </x:c>
      <x:c r="B74" s="9" t="str">
        <x:v>S013</x:v>
      </x:c>
      <x:c r="C74" s="9" t="str">
        <x:v>Poulladofonou et al. (2022)</x:v>
      </x:c>
      <x:c r="D74" s="9" t="str">
        <x:v>D1</x:v>
      </x:c>
      <x:c r="E74" s="9" t="str">
        <x:v>Some concern</x:v>
      </x:c>
      <x:c r="F74" s="9" t="str">
        <x:v>Some concern</x:v>
      </x:c>
      <x:c r="G74" s="9" t="str">
        <x:v>Yes</x:v>
      </x:c>
      <x:c r="H74" s="9" t="str">
        <x:v>Agree</x:v>
      </x:c>
      <x:c r="I74" s="9" t="str">
        <x:v>Some concern</x:v>
      </x:c>
      <x:c r="J74" s="9" t="str">
        <x:v>Initial agreement</x:v>
      </x:c>
      <x:c r="K74" s="9" t="str">
        <x:v>Five devices support between-device precision; allocation details limited</x:v>
      </x:c>
      <x:c r="L74" s="9" t="str">
        <x:v>PDF pp. 3–7; Figs. 1–6; Table 1; cited SI</x:v>
      </x:c>
      <x:c r="M74" s="9" t="str">
        <x:v>Five devices and within/between-finger repeats are distinguished, but selection and failed prints are not reported.</x:v>
      </x:c>
      <x:c r="N74" s="9" t="str">
        <x:v>Article PDF pp. 5-7, Table 1</x:v>
      </x:c>
      <x:c r="O74" s="9" t="str">
        <x:v>Five devices support between-device precision; allocation details limited</x:v>
      </x:c>
      <x:c r="P74" s="9" t="str">
        <x:v>PDF pp. 3–7; Figs. 1–6; Table 1; cited SI</x:v>
      </x:c>
    </x:row>
    <x:row r="75">
      <x:c r="A75" s="9" t="n">
        <x:v>10</x:v>
      </x:c>
      <x:c r="B75" s="9" t="str">
        <x:v>S013</x:v>
      </x:c>
      <x:c r="C75" s="9" t="str">
        <x:v>Poulladofonou et al. (2022)</x:v>
      </x:c>
      <x:c r="D75" s="9" t="str">
        <x:v>D2</x:v>
      </x:c>
      <x:c r="E75" s="9" t="str">
        <x:v>Some concern</x:v>
      </x:c>
      <x:c r="F75" s="9" t="str">
        <x:v>Some concern</x:v>
      </x:c>
      <x:c r="G75" s="9" t="str">
        <x:v>Yes</x:v>
      </x:c>
      <x:c r="H75" s="9" t="str">
        <x:v>Agree</x:v>
      </x:c>
      <x:c r="I75" s="9" t="str">
        <x:v>Some concern</x:v>
      </x:c>
      <x:c r="J75" s="9" t="str">
        <x:v>Initial agreement</x:v>
      </x:c>
      <x:c r="K75" s="9" t="str">
        <x:v>Materials/temperatures reported; several print settings absent</x:v>
      </x:c>
      <x:c r="L75" s="9" t="str">
        <x:v>PDF pp. 3–7; Figs. 1–6; Table 1; cited SI</x:v>
      </x:c>
      <x:c r="M75" s="9" t="str">
        <x:v>Filament sources and temperatures are documented, but several print settings and proprietary filler contents are unavailable.</x:v>
      </x:c>
      <x:c r="N75" s="9" t="str">
        <x:v>Article PDF pp. 3-4</x:v>
      </x:c>
      <x:c r="O75" s="9" t="str">
        <x:v>Materials/temperatures reported; several print settings absent</x:v>
      </x:c>
      <x:c r="P75" s="9" t="str">
        <x:v>PDF pp. 3–7; Figs. 1–6; Table 1; cited SI</x:v>
      </x:c>
    </x:row>
    <x:row r="76">
      <x:c r="A76" s="9" t="n">
        <x:v>10</x:v>
      </x:c>
      <x:c r="B76" s="9" t="str">
        <x:v>S013</x:v>
      </x:c>
      <x:c r="C76" s="9" t="str">
        <x:v>Poulladofonou et al. (2022)</x:v>
      </x:c>
      <x:c r="D76" s="9" t="str">
        <x:v>D3</x:v>
      </x:c>
      <x:c r="E76" s="9" t="str">
        <x:v>Low concern</x:v>
      </x:c>
      <x:c r="F76" s="9" t="str">
        <x:v>Some concern</x:v>
      </x:c>
      <x:c r="G76" s="9" t="str">
        <x:v>Yes</x:v>
      </x:c>
      <x:c r="H76" s="9" t="str">
        <x:v>Disagree</x:v>
      </x:c>
      <x:c r="I76" s="9" t="str">
        <x:v>Low concern</x:v>
      </x:c>
      <x:c r="J76" s="9" t="str">
        <x:v>Adjudicated to Reviewer 1</x:v>
      </x:c>
      <x:c r="K76" s="9" t="str">
        <x:v>Matrix-specific DPV calibration described</x:v>
      </x:c>
      <x:c r="L76" s="9" t="str">
        <x:v>PDF pp. 3–7; Figs. 1–6; Table 1; cited SI</x:v>
      </x:c>
      <x:c r="M76" s="9" t="str">
        <x:v>Known additions and defined DPV ranges are strong, but the integrated printed reference electrode is not externally referenced during assays.</x:v>
      </x:c>
      <x:c r="N76" s="9" t="str">
        <x:v>Article PDF pp. 3-5</x:v>
      </x:c>
      <x:c r="O76" s="9" t="str">
        <x:v>Matrix-specific DPV calibration described</x:v>
      </x:c>
      <x:c r="P76" s="9" t="str">
        <x:v>PDF pp. 3–7; Figs. 1–6; Table 1; cited SI</x:v>
      </x:c>
    </x:row>
    <x:row r="77">
      <x:c r="A77" s="9" t="n">
        <x:v>10</x:v>
      </x:c>
      <x:c r="B77" s="9" t="str">
        <x:v>S013</x:v>
      </x:c>
      <x:c r="C77" s="9" t="str">
        <x:v>Poulladofonou et al. (2022)</x:v>
      </x:c>
      <x:c r="D77" s="9" t="str">
        <x:v>D4</x:v>
      </x:c>
      <x:c r="E77" s="9" t="str">
        <x:v>Low concern</x:v>
      </x:c>
      <x:c r="F77" s="9" t="str">
        <x:v>Low concern</x:v>
      </x:c>
      <x:c r="G77" s="9" t="str">
        <x:v>Yes</x:v>
      </x:c>
      <x:c r="H77" s="9" t="str">
        <x:v>Agree</x:v>
      </x:c>
      <x:c r="I77" s="9" t="str">
        <x:v>Low concern</x:v>
      </x:c>
      <x:c r="J77" s="9" t="str">
        <x:v>Initial agreement</x:v>
      </x:c>
      <x:c r="K77" s="9" t="str">
        <x:v>Ranges, matrices and repeated wash/storage schedule stated</x:v>
      </x:c>
      <x:c r="L77" s="9" t="str">
        <x:v>PDF pp. 3–7; Figs. 1–6; Table 1; cited SI</x:v>
      </x:c>
      <x:c r="M77" s="9" t="str">
        <x:v>Beverage volumes, additions, homogenization, oxygen treatment and voltammetric conditions are specified.</x:v>
      </x:c>
      <x:c r="N77" s="9" t="str">
        <x:v>Article PDF pp. 3-7</x:v>
      </x:c>
      <x:c r="O77" s="9" t="str">
        <x:v>Ranges, matrices and repeated wash/storage schedule stated</x:v>
      </x:c>
      <x:c r="P77" s="9" t="str">
        <x:v>PDF pp. 3–7; Figs. 1–6; Table 1; cited SI</x:v>
      </x:c>
    </x:row>
    <x:row r="78">
      <x:c r="A78" s="9" t="n">
        <x:v>10</x:v>
      </x:c>
      <x:c r="B78" s="9" t="str">
        <x:v>S013</x:v>
      </x:c>
      <x:c r="C78" s="9" t="str">
        <x:v>Poulladofonou et al. (2022)</x:v>
      </x:c>
      <x:c r="D78" s="9" t="str">
        <x:v>D5</x:v>
      </x:c>
      <x:c r="E78" s="9" t="str">
        <x:v>Low concern</x:v>
      </x:c>
      <x:c r="F78" s="9" t="str">
        <x:v>Low concern</x:v>
      </x:c>
      <x:c r="G78" s="9" t="str">
        <x:v>Yes</x:v>
      </x:c>
      <x:c r="H78" s="9" t="str">
        <x:v>Agree</x:v>
      </x:c>
      <x:c r="I78" s="9" t="str">
        <x:v>Low concern</x:v>
      </x:c>
      <x:c r="J78" s="9" t="str">
        <x:v>Initial agreement</x:v>
      </x:c>
      <x:c r="K78" s="9" t="str">
        <x:v>Within-device and 12-day repeated measurements</x:v>
      </x:c>
      <x:c r="L78" s="9" t="str">
        <x:v>PDF pp. 3–7; Figs. 1–6; Table 1; cited SI</x:v>
      </x:c>
      <x:c r="M78" s="9" t="str">
        <x:v>Within-finger repeats and 12-day daily testing are defined with precision and stability endpoints.</x:v>
      </x:c>
      <x:c r="N78" s="9" t="str">
        <x:v>Article PDF pp. 4-7, Table 1</x:v>
      </x:c>
      <x:c r="O78" s="9" t="str">
        <x:v>Within-device and 12-day repeated measurements</x:v>
      </x:c>
      <x:c r="P78" s="9" t="str">
        <x:v>PDF pp. 3–7; Figs. 1–6; Table 1; cited SI</x:v>
      </x:c>
    </x:row>
    <x:row r="79">
      <x:c r="A79" s="9" t="n">
        <x:v>10</x:v>
      </x:c>
      <x:c r="B79" s="9" t="str">
        <x:v>S013</x:v>
      </x:c>
      <x:c r="C79" s="9" t="str">
        <x:v>Poulladofonou et al. (2022)</x:v>
      </x:c>
      <x:c r="D79" s="9" t="str">
        <x:v>D6</x:v>
      </x:c>
      <x:c r="E79" s="9" t="str">
        <x:v>Low concern</x:v>
      </x:c>
      <x:c r="F79" s="9" t="str">
        <x:v>Low concern</x:v>
      </x:c>
      <x:c r="G79" s="9" t="str">
        <x:v>Yes</x:v>
      </x:c>
      <x:c r="H79" s="9" t="str">
        <x:v>Agree</x:v>
      </x:c>
      <x:c r="I79" s="9" t="str">
        <x:v>Low concern</x:v>
      </x:c>
      <x:c r="J79" s="9" t="str">
        <x:v>Initial agreement</x:v>
      </x:c>
      <x:c r="K79" s="9" t="str">
        <x:v>Five-device RSD reported</x:v>
      </x:c>
      <x:c r="L79" s="9" t="str">
        <x:v>PDF pp. 3–7; Figs. 1–6; Table 1; cited SI</x:v>
      </x:c>
      <x:c r="M79" s="9" t="str">
        <x:v>Five separately printed e-fingers were compared using between-device RSD.</x:v>
      </x:c>
      <x:c r="N79" s="9" t="str">
        <x:v>Article PDF pp. 5-7, Table 1</x:v>
      </x:c>
      <x:c r="O79" s="9" t="str">
        <x:v>Five-device RSD reported</x:v>
      </x:c>
      <x:c r="P79" s="9" t="str">
        <x:v>PDF pp. 3–7; Figs. 1–6; Table 1; cited SI</x:v>
      </x:c>
    </x:row>
    <x:row r="80">
      <x:c r="A80" s="9" t="n">
        <x:v>10</x:v>
      </x:c>
      <x:c r="B80" s="9" t="str">
        <x:v>S013</x:v>
      </x:c>
      <x:c r="C80" s="9" t="str">
        <x:v>Poulladofonou et al. (2022)</x:v>
      </x:c>
      <x:c r="D80" s="9" t="str">
        <x:v>D7</x:v>
      </x:c>
      <x:c r="E80" s="9" t="str">
        <x:v>Low concern</x:v>
      </x:c>
      <x:c r="F80" s="9" t="str">
        <x:v>Low concern</x:v>
      </x:c>
      <x:c r="G80" s="9" t="str">
        <x:v>Yes</x:v>
      </x:c>
      <x:c r="H80" s="9" t="str">
        <x:v>Agree</x:v>
      </x:c>
      <x:c r="I80" s="9" t="str">
        <x:v>Low concern</x:v>
      </x:c>
      <x:c r="J80" s="9" t="str">
        <x:v>Initial agreement</x:v>
      </x:c>
      <x:c r="K80" s="9" t="str">
        <x:v>Range, LOD, precision and stability outcomes reported</x:v>
      </x:c>
      <x:c r="L80" s="9" t="str">
        <x:v>PDF pp. 3–7; Figs. 1–6; Table 1; cited SI</x:v>
      </x:c>
      <x:c r="M80" s="9" t="str">
        <x:v>Calibration, LOD, precision, interference and long-term stability outcomes are quantitatively reported.</x:v>
      </x:c>
      <x:c r="N80" s="9" t="str">
        <x:v>Article PDF pp. 4-7, Table 1</x:v>
      </x:c>
      <x:c r="O80" s="9" t="str">
        <x:v>Range, LOD, precision and stability outcomes reported</x:v>
      </x:c>
      <x:c r="P80" s="9" t="str">
        <x:v>PDF pp. 3–7; Figs. 1–6; Table 1; cited SI</x:v>
      </x:c>
    </x:row>
    <x:row r="81">
      <x:c r="A81" s="9" t="n">
        <x:v>10</x:v>
      </x:c>
      <x:c r="B81" s="9" t="str">
        <x:v>S013</x:v>
      </x:c>
      <x:c r="C81" s="9" t="str">
        <x:v>Poulladofonou et al. (2022)</x:v>
      </x:c>
      <x:c r="D81" s="9" t="str">
        <x:v>D8</x:v>
      </x:c>
      <x:c r="E81" s="9" t="str">
        <x:v>Low concern</x:v>
      </x:c>
      <x:c r="F81" s="9" t="str">
        <x:v>Low concern</x:v>
      </x:c>
      <x:c r="G81" s="9" t="str">
        <x:v>Yes</x:v>
      </x:c>
      <x:c r="H81" s="9" t="str">
        <x:v>Agree</x:v>
      </x:c>
      <x:c r="I81" s="9" t="str">
        <x:v>Low concern</x:v>
      </x:c>
      <x:c r="J81" s="9" t="str">
        <x:v>Initial agreement</x:v>
      </x:c>
      <x:c r="K81" s="9" t="str">
        <x:v>Device is worn during realistic beverage testing</x:v>
      </x:c>
      <x:c r="L81" s="9" t="str">
        <x:v>PDF pp. 3–7; Figs. 1–6; Table 1; cited SI</x:v>
      </x:c>
      <x:c r="M81" s="9" t="str">
        <x:v>The completed finger-worn device was used directly for self-testing undiluted drinks with smartphone readout.</x:v>
      </x:c>
      <x:c r="N81" s="9" t="str">
        <x:v>Article PDF pp. 3-4, Figure 1</x:v>
      </x:c>
      <x:c r="O81" s="9" t="str">
        <x:v>Device is worn during realistic beverage testing</x:v>
      </x:c>
      <x:c r="P81" s="9" t="str">
        <x:v>PDF pp. 3–7; Figs. 1–6; Table 1; cited SI</x:v>
      </x:c>
    </x:row>
    <x:row r="82">
      <x:c r="A82" s="9" t="n">
        <x:v>11</x:v>
      </x:c>
      <x:c r="B82" s="9" t="str">
        <x:v>S014</x:v>
      </x:c>
      <x:c r="C82" s="9" t="str">
        <x:v>Dimo et al. (2025)</x:v>
      </x:c>
      <x:c r="D82" s="9" t="str">
        <x:v>D1</x:v>
      </x:c>
      <x:c r="E82" s="9" t="str">
        <x:v>Some concern</x:v>
      </x:c>
      <x:c r="F82" s="9" t="str">
        <x:v>Some concern</x:v>
      </x:c>
      <x:c r="G82" s="9" t="str">
        <x:v>Yes</x:v>
      </x:c>
      <x:c r="H82" s="9" t="str">
        <x:v>Agree</x:v>
      </x:c>
      <x:c r="I82" s="9" t="str">
        <x:v>Some concern</x:v>
      </x:c>
      <x:c r="J82" s="9" t="str">
        <x:v>Initial agreement</x:v>
      </x:c>
      <x:c r="K82" s="9" t="str">
        <x:v>Eight volunteers but only two functional material variants</x:v>
      </x:c>
      <x:c r="L82" s="9" t="str">
        <x:v>PDF pp. 4–15; Figs. 1–10; Tables 1–2</x:v>
      </x:c>
      <x:c r="M82" s="9" t="str">
        <x:v>Eight healthy volunteers and two sensors are described, but sensing-device fabrication selection/failures are not reported.</x:v>
      </x:c>
      <x:c r="N82" s="9" t="str">
        <x:v>Article PDF pp. 5 and 9-10, Table 2</x:v>
      </x:c>
      <x:c r="O82" s="9" t="str">
        <x:v>Eight volunteers but only two functional material variants</x:v>
      </x:c>
      <x:c r="P82" s="9" t="str">
        <x:v>PDF pp. 4–15; Figs. 1–10; Tables 1–2</x:v>
      </x:c>
    </x:row>
    <x:row r="83">
      <x:c r="A83" s="9" t="n">
        <x:v>11</x:v>
      </x:c>
      <x:c r="B83" s="9" t="str">
        <x:v>S014</x:v>
      </x:c>
      <x:c r="C83" s="9" t="str">
        <x:v>Dimo et al. (2025)</x:v>
      </x:c>
      <x:c r="D83" s="9" t="str">
        <x:v>D2</x:v>
      </x:c>
      <x:c r="E83" s="9" t="str">
        <x:v>High concern</x:v>
      </x:c>
      <x:c r="F83" s="9" t="str">
        <x:v>Some concern</x:v>
      </x:c>
      <x:c r="G83" s="9" t="str">
        <x:v>Yes</x:v>
      </x:c>
      <x:c r="H83" s="9" t="str">
        <x:v>Disagree</x:v>
      </x:c>
      <x:c r="I83" s="9" t="str">
        <x:v>High concern</x:v>
      </x:c>
      <x:c r="J83" s="9" t="str">
        <x:v>Adjudicated to Reviewer 1</x:v>
      </x:c>
      <x:c r="K83" s="9" t="str">
        <x:v>Many print settings are omitted</x:v>
      </x:c>
      <x:c r="L83" s="9" t="str">
        <x:v>PDF pp. 4–15; Figs. 1–10; Tables 1–2</x:v>
      </x:c>
      <x:c r="M83" s="9" t="str">
        <x:v>Geometry, materials, infill and integration are clear, but major extrusion settings are missing.</x:v>
      </x:c>
      <x:c r="N83" s="9" t="str">
        <x:v>Article PDF pp. 4-5</x:v>
      </x:c>
      <x:c r="O83" s="9" t="str">
        <x:v>Many print settings are omitted</x:v>
      </x:c>
      <x:c r="P83" s="9" t="str">
        <x:v>PDF pp. 4–15; Figs. 1–10; Tables 1–2</x:v>
      </x:c>
    </x:row>
    <x:row r="84">
      <x:c r="A84" s="9" t="n">
        <x:v>11</x:v>
      </x:c>
      <x:c r="B84" s="9" t="str">
        <x:v>S014</x:v>
      </x:c>
      <x:c r="C84" s="9" t="str">
        <x:v>Dimo et al. (2025)</x:v>
      </x:c>
      <x:c r="D84" s="9" t="str">
        <x:v>D3</x:v>
      </x:c>
      <x:c r="E84" s="9" t="str">
        <x:v>Low concern</x:v>
      </x:c>
      <x:c r="F84" s="9" t="str">
        <x:v>Low concern</x:v>
      </x:c>
      <x:c r="G84" s="9" t="str">
        <x:v>Yes</x:v>
      </x:c>
      <x:c r="H84" s="9" t="str">
        <x:v>Agree</x:v>
      </x:c>
      <x:c r="I84" s="9" t="str">
        <x:v>Low concern</x:v>
      </x:c>
      <x:c r="J84" s="9" t="str">
        <x:v>Initial agreement</x:v>
      </x:c>
      <x:c r="K84" s="9" t="str">
        <x:v>Instron and temperature references specified</x:v>
      </x:c>
      <x:c r="L84" s="9" t="str">
        <x:v>PDF pp. 4–15; Figs. 1–10; Tables 1–2</x:v>
      </x:c>
      <x:c r="M84" s="9" t="str">
        <x:v>Instron/load-cell strain and chamber/bare-FBG temperature references are appropriate and independently measured.</x:v>
      </x:c>
      <x:c r="N84" s="9" t="str">
        <x:v>Article PDF pp. 6-7</x:v>
      </x:c>
      <x:c r="O84" s="9" t="str">
        <x:v>Instron and temperature references specified</x:v>
      </x:c>
      <x:c r="P84" s="9" t="str">
        <x:v>PDF pp. 4–15; Figs. 1–10; Tables 1–2</x:v>
      </x:c>
    </x:row>
    <x:row r="85">
      <x:c r="A85" s="9" t="n">
        <x:v>11</x:v>
      </x:c>
      <x:c r="B85" s="9" t="str">
        <x:v>S014</x:v>
      </x:c>
      <x:c r="C85" s="9" t="str">
        <x:v>Dimo et al. (2025)</x:v>
      </x:c>
      <x:c r="D85" s="9" t="str">
        <x:v>D4</x:v>
      </x:c>
      <x:c r="E85" s="9" t="str">
        <x:v>Low concern</x:v>
      </x:c>
      <x:c r="F85" s="9" t="str">
        <x:v>Low concern</x:v>
      </x:c>
      <x:c r="G85" s="9" t="str">
        <x:v>Yes</x:v>
      </x:c>
      <x:c r="H85" s="9" t="str">
        <x:v>Agree</x:v>
      </x:c>
      <x:c r="I85" s="9" t="str">
        <x:v>Low concern</x:v>
      </x:c>
      <x:c r="J85" s="9" t="str">
        <x:v>Initial agreement</x:v>
      </x:c>
      <x:c r="K85" s="9" t="str">
        <x:v>Strain, thermal, cycle, pull-out and on-body protocols stated</x:v>
      </x:c>
      <x:c r="L85" s="9" t="str">
        <x:v>PDF pp. 4–15; Figs. 1–10; Tables 1–2</x:v>
      </x:c>
      <x:c r="M85" s="9" t="str">
        <x:v>Strain, rates, temperature, pull-out speed and shoulder placement/motion protocol are stated.</x:v>
      </x:c>
      <x:c r="N85" s="9" t="str">
        <x:v>Article PDF pp. 6-10</x:v>
      </x:c>
      <x:c r="O85" s="9" t="str">
        <x:v>Strain, thermal, cycle, pull-out and on-body protocols stated</x:v>
      </x:c>
      <x:c r="P85" s="9" t="str">
        <x:v>PDF pp. 4–15; Figs. 1–10; Tables 1–2</x:v>
      </x:c>
    </x:row>
    <x:row r="86">
      <x:c r="A86" s="9" t="n">
        <x:v>11</x:v>
      </x:c>
      <x:c r="B86" s="9" t="str">
        <x:v>S014</x:v>
      </x:c>
      <x:c r="C86" s="9" t="str">
        <x:v>Dimo et al. (2025)</x:v>
      </x:c>
      <x:c r="D86" s="9" t="str">
        <x:v>D5</x:v>
      </x:c>
      <x:c r="E86" s="9" t="str">
        <x:v>Low concern</x:v>
      </x:c>
      <x:c r="F86" s="9" t="str">
        <x:v>Low concern</x:v>
      </x:c>
      <x:c r="G86" s="9" t="str">
        <x:v>Yes</x:v>
      </x:c>
      <x:c r="H86" s="9" t="str">
        <x:v>Agree</x:v>
      </x:c>
      <x:c r="I86" s="9" t="str">
        <x:v>Low concern</x:v>
      </x:c>
      <x:c r="J86" s="9" t="str">
        <x:v>Initial agreement</x:v>
      </x:c>
      <x:c r="K86" s="9" t="str">
        <x:v>Ten-cycle tests and repeated reapplication</x:v>
      </x:c>
      <x:c r="L86" s="9" t="str">
        <x:v>PDF pp. 4–15; Figs. 1–10; Tables 1–2</x:v>
      </x:c>
      <x:c r="M86" s="9" t="str">
        <x:v>Ten loading-unloading cycles at two rates are defined and analyzed for hysteresis and uncertainty.</x:v>
      </x:c>
      <x:c r="N86" s="9" t="str">
        <x:v>Article PDF pp. 7-8, Figure 5</x:v>
      </x:c>
      <x:c r="O86" s="9" t="str">
        <x:v>Ten-cycle tests and repeated reapplication</x:v>
      </x:c>
      <x:c r="P86" s="9" t="str">
        <x:v>PDF pp. 4–15; Figs. 1–10; Tables 1–2</x:v>
      </x:c>
    </x:row>
    <x:row r="87">
      <x:c r="A87" s="9" t="n">
        <x:v>11</x:v>
      </x:c>
      <x:c r="B87" s="9" t="str">
        <x:v>S014</x:v>
      </x:c>
      <x:c r="C87" s="9" t="str">
        <x:v>Dimo et al. (2025)</x:v>
      </x:c>
      <x:c r="D87" s="9" t="str">
        <x:v>D6</x:v>
      </x:c>
      <x:c r="E87" s="9" t="str">
        <x:v>High concern</x:v>
      </x:c>
      <x:c r="F87" s="9" t="str">
        <x:v>High concern</x:v>
      </x:c>
      <x:c r="G87" s="9" t="str">
        <x:v>Yes</x:v>
      </x:c>
      <x:c r="H87" s="9" t="str">
        <x:v>Agree</x:v>
      </x:c>
      <x:c r="I87" s="9" t="str">
        <x:v>High concern</x:v>
      </x:c>
      <x:c r="J87" s="9" t="str">
        <x:v>Initial agreement</x:v>
      </x:c>
      <x:c r="K87" s="9" t="str">
        <x:v>No ≥3 functional-device comparison</x:v>
      </x:c>
      <x:c r="L87" s="9" t="str">
        <x:v>PDF pp. 4–15; Figs. 1–10; Tables 1–2</x:v>
      </x:c>
      <x:c r="M87" s="9" t="str">
        <x:v>Equivalent independently fabricated sensing units were not compared with between-device dispersion.</x:v>
      </x:c>
      <x:c r="N87" s="9" t="str">
        <x:v>Article PDF pp. 5-6 and 9</x:v>
      </x:c>
      <x:c r="O87" s="9" t="str">
        <x:v>No ≥3 functional-device comparison</x:v>
      </x:c>
      <x:c r="P87" s="9" t="str">
        <x:v>PDF pp. 4–15; Figs. 1–10; Tables 1–2</x:v>
      </x:c>
    </x:row>
    <x:row r="88">
      <x:c r="A88" s="9" t="n">
        <x:v>11</x:v>
      </x:c>
      <x:c r="B88" s="9" t="str">
        <x:v>S014</x:v>
      </x:c>
      <x:c r="C88" s="9" t="str">
        <x:v>Dimo et al. (2025)</x:v>
      </x:c>
      <x:c r="D88" s="9" t="str">
        <x:v>D7</x:v>
      </x:c>
      <x:c r="E88" s="9" t="str">
        <x:v>Low concern</x:v>
      </x:c>
      <x:c r="F88" s="9" t="str">
        <x:v>Low concern</x:v>
      </x:c>
      <x:c r="G88" s="9" t="str">
        <x:v>Yes</x:v>
      </x:c>
      <x:c r="H88" s="9" t="str">
        <x:v>Agree</x:v>
      </x:c>
      <x:c r="I88" s="9" t="str">
        <x:v>Low concern</x:v>
      </x:c>
      <x:c r="J88" s="9" t="str">
        <x:v>Initial agreement</x:v>
      </x:c>
      <x:c r="K88" s="9" t="str">
        <x:v>Sensitivity, uncertainty, hysteresis and interface results reported</x:v>
      </x:c>
      <x:c r="L88" s="9" t="str">
        <x:v>PDF pp. 4–15; Figs. 1–10; Tables 1–2</x:v>
      </x:c>
      <x:c r="M88" s="9" t="str">
        <x:v>Principal calibration, hysteresis, interface and volunteer outcomes include uncertainty or individual results.</x:v>
      </x:c>
      <x:c r="N88" s="9" t="str">
        <x:v>Article PDF pp. 6-15, Figures 3-10</x:v>
      </x:c>
      <x:c r="O88" s="9" t="str">
        <x:v>Sensitivity, uncertainty, hysteresis and interface results reported</x:v>
      </x:c>
      <x:c r="P88" s="9" t="str">
        <x:v>PDF pp. 4–15; Figs. 1–10; Tables 1–2</x:v>
      </x:c>
    </x:row>
    <x:row r="89">
      <x:c r="A89" s="9" t="n">
        <x:v>11</x:v>
      </x:c>
      <x:c r="B89" s="9" t="str">
        <x:v>S014</x:v>
      </x:c>
      <x:c r="C89" s="9" t="str">
        <x:v>Dimo et al. (2025)</x:v>
      </x:c>
      <x:c r="D89" s="9" t="str">
        <x:v>D8</x:v>
      </x:c>
      <x:c r="E89" s="9" t="str">
        <x:v>Some concern</x:v>
      </x:c>
      <x:c r="F89" s="9" t="str">
        <x:v>Low concern</x:v>
      </x:c>
      <x:c r="G89" s="9" t="str">
        <x:v>Yes</x:v>
      </x:c>
      <x:c r="H89" s="9" t="str">
        <x:v>Disagree</x:v>
      </x:c>
      <x:c r="I89" s="9" t="str">
        <x:v>Some concern</x:v>
      </x:c>
      <x:c r="J89" s="9" t="str">
        <x:v>Adjudicated to Reviewer 1</x:v>
      </x:c>
      <x:c r="K89" s="9" t="str">
        <x:v>Eight-person exploratory test without external motion reference</x:v>
      </x:c>
      <x:c r="L89" s="9" t="str">
        <x:v>PDF pp. 4–15; Figs. 1–10; Tables 1–2</x:v>
      </x:c>
      <x:c r="M89" s="9" t="str">
        <x:v>Both final sensors were reapplied to the skin in three acquisitions for eight volunteers performing shoulder movements.</x:v>
      </x:c>
      <x:c r="N89" s="9" t="str">
        <x:v>Article PDF pp. 9-10, Figure 7</x:v>
      </x:c>
      <x:c r="O89" s="9" t="str">
        <x:v>Eight-person exploratory test without external motion reference</x:v>
      </x:c>
      <x:c r="P89" s="9" t="str">
        <x:v>PDF pp. 4–15; Figs. 1–10; Tables 1–2</x:v>
      </x:c>
    </x:row>
    <x:row r="90">
      <x:c r="A90" s="9" t="n">
        <x:v>12</x:v>
      </x:c>
      <x:c r="B90" s="9" t="str">
        <x:v>S015</x:v>
      </x:c>
      <x:c r="C90" s="9" t="str">
        <x:v>Farook et al. (2023)</x:v>
      </x:c>
      <x:c r="D90" s="9" t="str">
        <x:v>D1</x:v>
      </x:c>
      <x:c r="E90" s="9" t="str">
        <x:v>High concern</x:v>
      </x:c>
      <x:c r="F90" s="9" t="str">
        <x:v>High concern</x:v>
      </x:c>
      <x:c r="G90" s="9" t="str">
        <x:v>Yes</x:v>
      </x:c>
      <x:c r="H90" s="9" t="str">
        <x:v>Agree</x:v>
      </x:c>
      <x:c r="I90" s="9" t="str">
        <x:v>High concern</x:v>
      </x:c>
      <x:c r="J90" s="9" t="str">
        <x:v>Initial agreement</x:v>
      </x:c>
      <x:c r="K90" s="9" t="str">
        <x:v>One prototype and two convenience participants</x:v>
      </x:c>
      <x:c r="L90" s="9" t="str">
        <x:v>PDF pp. 3–11; Figs. 1–6; Table 1</x:v>
      </x:c>
      <x:c r="M90" s="9" t="str">
        <x:v>Two adults were conveniently selected for one session with no screening criteria or device-selection account.</x:v>
      </x:c>
      <x:c r="N90" s="9" t="str">
        <x:v>Article PDF pp. 3-4</x:v>
      </x:c>
      <x:c r="O90" s="9" t="str">
        <x:v>One prototype and two convenience participants</x:v>
      </x:c>
      <x:c r="P90" s="9" t="str">
        <x:v>PDF pp. 3–11; Figs. 1–6; Table 1</x:v>
      </x:c>
    </x:row>
    <x:row r="91">
      <x:c r="A91" s="9" t="n">
        <x:v>12</x:v>
      </x:c>
      <x:c r="B91" s="9" t="str">
        <x:v>S015</x:v>
      </x:c>
      <x:c r="C91" s="9" t="str">
        <x:v>Farook et al. (2023)</x:v>
      </x:c>
      <x:c r="D91" s="9" t="str">
        <x:v>D2</x:v>
      </x:c>
      <x:c r="E91" s="9" t="str">
        <x:v>High concern</x:v>
      </x:c>
      <x:c r="F91" s="9" t="str">
        <x:v>High concern</x:v>
      </x:c>
      <x:c r="G91" s="9" t="str">
        <x:v>Yes</x:v>
      </x:c>
      <x:c r="H91" s="9" t="str">
        <x:v>Agree</x:v>
      </x:c>
      <x:c r="I91" s="9" t="str">
        <x:v>High concern</x:v>
      </x:c>
      <x:c r="J91" s="9" t="str">
        <x:v>Initial agreement</x:v>
      </x:c>
      <x:c r="K91" s="9" t="str">
        <x:v>Core print settings are incomplete</x:v>
      </x:c>
      <x:c r="L91" s="9" t="str">
        <x:v>PDF pp. 3–11; Figs. 1–6; Table 1</x:v>
      </x:c>
      <x:c r="M91" s="9" t="str">
        <x:v>Several extrusion settings and fabrication tolerances are missing, limiting separation of frame/process effects.</x:v>
      </x:c>
      <x:c r="N91" s="9" t="str">
        <x:v>Article PDF p. 3</x:v>
      </x:c>
      <x:c r="O91" s="9" t="str">
        <x:v>Core print settings are incomplete</x:v>
      </x:c>
      <x:c r="P91" s="9" t="str">
        <x:v>PDF pp. 3–11; Figs. 1–6; Table 1</x:v>
      </x:c>
    </x:row>
    <x:row r="92">
      <x:c r="A92" s="9" t="n">
        <x:v>12</x:v>
      </x:c>
      <x:c r="B92" s="9" t="str">
        <x:v>S015</x:v>
      </x:c>
      <x:c r="C92" s="9" t="str">
        <x:v>Farook et al. (2023)</x:v>
      </x:c>
      <x:c r="D92" s="9" t="str">
        <x:v>D3</x:v>
      </x:c>
      <x:c r="E92" s="9" t="str">
        <x:v>Low concern</x:v>
      </x:c>
      <x:c r="F92" s="9" t="str">
        <x:v>Some concern</x:v>
      </x:c>
      <x:c r="G92" s="9" t="str">
        <x:v>Yes</x:v>
      </x:c>
      <x:c r="H92" s="9" t="str">
        <x:v>Disagree</x:v>
      </x:c>
      <x:c r="I92" s="9" t="str">
        <x:v>Low concern</x:v>
      </x:c>
      <x:c r="J92" s="9" t="str">
        <x:v>Adjudicated to Reviewer 1</x:v>
      </x:c>
      <x:c r="K92" s="9" t="str">
        <x:v>Caliper comparison and analysis equations reported</x:v>
      </x:c>
      <x:c r="L92" s="9" t="str">
        <x:v>PDF pp. 3–11; Figs. 1–6; Table 1</x:v>
      </x:c>
      <x:c r="M92" s="9" t="str">
        <x:v>Caliper-referenced vertical testing is appropriate, but in-vivo calibration was explicitly not performed for other movements.</x:v>
      </x:c>
      <x:c r="N92" s="9" t="str">
        <x:v>Article PDF p. 3, Device testing</x:v>
      </x:c>
      <x:c r="O92" s="9" t="str">
        <x:v>Caliper comparison and analysis equations reported</x:v>
      </x:c>
      <x:c r="P92" s="9" t="str">
        <x:v>PDF pp. 3–11; Figs. 1–6; Table 1</x:v>
      </x:c>
    </x:row>
    <x:row r="93">
      <x:c r="A93" s="9" t="n">
        <x:v>12</x:v>
      </x:c>
      <x:c r="B93" s="9" t="str">
        <x:v>S015</x:v>
      </x:c>
      <x:c r="C93" s="9" t="str">
        <x:v>Farook et al. (2023)</x:v>
      </x:c>
      <x:c r="D93" s="9" t="str">
        <x:v>D4</x:v>
      </x:c>
      <x:c r="E93" s="9" t="str">
        <x:v>Some concern</x:v>
      </x:c>
      <x:c r="F93" s="9" t="str">
        <x:v>High concern</x:v>
      </x:c>
      <x:c r="G93" s="9" t="str">
        <x:v>Yes</x:v>
      </x:c>
      <x:c r="H93" s="9" t="str">
        <x:v>Disagree</x:v>
      </x:c>
      <x:c r="I93" s="9" t="str">
        <x:v>Some concern</x:v>
      </x:c>
      <x:c r="J93" s="9" t="str">
        <x:v>Adjudicated to Reviewer 1</x:v>
      </x:c>
      <x:c r="K93" s="9" t="str">
        <x:v>On-body procedure is described but calibration is limited</x:v>
      </x:c>
      <x:c r="L93" s="9" t="str">
        <x:v>PDF pp. 3–11; Figs. 1–6; Table 1</x:v>
      </x:c>
      <x:c r="M93" s="9" t="str">
        <x:v>Biological, friction, mounting and temperature effects were not controlled in the single-session human tests.</x:v>
      </x:c>
      <x:c r="N93" s="9" t="str">
        <x:v>Article PDF pp. 3 and 9-10</x:v>
      </x:c>
      <x:c r="O93" s="9" t="str">
        <x:v>On-body procedure is described but calibration is limited</x:v>
      </x:c>
      <x:c r="P93" s="9" t="str">
        <x:v>PDF pp. 3–11; Figs. 1–6; Table 1</x:v>
      </x:c>
    </x:row>
    <x:row r="94">
      <x:c r="A94" s="9" t="n">
        <x:v>12</x:v>
      </x:c>
      <x:c r="B94" s="9" t="str">
        <x:v>S015</x:v>
      </x:c>
      <x:c r="C94" s="9" t="str">
        <x:v>Farook et al. (2023)</x:v>
      </x:c>
      <x:c r="D94" s="9" t="str">
        <x:v>D5</x:v>
      </x:c>
      <x:c r="E94" s="9" t="str">
        <x:v>High concern</x:v>
      </x:c>
      <x:c r="F94" s="9" t="str">
        <x:v>High concern</x:v>
      </x:c>
      <x:c r="G94" s="9" t="str">
        <x:v>Yes</x:v>
      </x:c>
      <x:c r="H94" s="9" t="str">
        <x:v>Agree</x:v>
      </x:c>
      <x:c r="I94" s="9" t="str">
        <x:v>High concern</x:v>
      </x:c>
      <x:c r="J94" s="9" t="str">
        <x:v>Initial agreement</x:v>
      </x:c>
      <x:c r="K94" s="9" t="str">
        <x:v>Practice repeats were unrecorded</x:v>
      </x:c>
      <x:c r="L94" s="9" t="str">
        <x:v>PDF pp. 3–11; Figs. 1–6; Table 1</x:v>
      </x:c>
      <x:c r="M94" s="9" t="str">
        <x:v>No defined repeated protocol or stability analysis supports repeatability.</x:v>
      </x:c>
      <x:c r="N94" s="9" t="str">
        <x:v>Article PDF pp. 3-5</x:v>
      </x:c>
      <x:c r="O94" s="9" t="str">
        <x:v>Practice repeats were unrecorded</x:v>
      </x:c>
      <x:c r="P94" s="9" t="str">
        <x:v>PDF pp. 3–11; Figs. 1–6; Table 1</x:v>
      </x:c>
    </x:row>
    <x:row r="95">
      <x:c r="A95" s="9" t="n">
        <x:v>12</x:v>
      </x:c>
      <x:c r="B95" s="9" t="str">
        <x:v>S015</x:v>
      </x:c>
      <x:c r="C95" s="9" t="str">
        <x:v>Farook et al. (2023)</x:v>
      </x:c>
      <x:c r="D95" s="9" t="str">
        <x:v>D6</x:v>
      </x:c>
      <x:c r="E95" s="9" t="str">
        <x:v>High concern</x:v>
      </x:c>
      <x:c r="F95" s="9" t="str">
        <x:v>High concern</x:v>
      </x:c>
      <x:c r="G95" s="9" t="str">
        <x:v>Yes</x:v>
      </x:c>
      <x:c r="H95" s="9" t="str">
        <x:v>Agree</x:v>
      </x:c>
      <x:c r="I95" s="9" t="str">
        <x:v>High concern</x:v>
      </x:c>
      <x:c r="J95" s="9" t="str">
        <x:v>Initial agreement</x:v>
      </x:c>
      <x:c r="K95" s="9" t="str">
        <x:v>No independent-device replication</x:v>
      </x:c>
      <x:c r="L95" s="9" t="str">
        <x:v>PDF pp. 3–11; Figs. 1–6; Table 1</x:v>
      </x:c>
      <x:c r="M95" s="9" t="str">
        <x:v>No separately fabricated prototype replication or device-level dispersion is reported.</x:v>
      </x:c>
      <x:c r="N95" s="9" t="str">
        <x:v>Article PDF pp. 3-4</x:v>
      </x:c>
      <x:c r="O95" s="9" t="str">
        <x:v>No independent-device replication</x:v>
      </x:c>
      <x:c r="P95" s="9" t="str">
        <x:v>PDF pp. 3–11; Figs. 1–6; Table 1</x:v>
      </x:c>
    </x:row>
    <x:row r="96">
      <x:c r="A96" s="9" t="n">
        <x:v>12</x:v>
      </x:c>
      <x:c r="B96" s="9" t="str">
        <x:v>S015</x:v>
      </x:c>
      <x:c r="C96" s="9" t="str">
        <x:v>Farook et al. (2023)</x:v>
      </x:c>
      <x:c r="D96" s="9" t="str">
        <x:v>D7</x:v>
      </x:c>
      <x:c r="E96" s="9" t="str">
        <x:v>Some concern</x:v>
      </x:c>
      <x:c r="F96" s="9" t="str">
        <x:v>Some concern</x:v>
      </x:c>
      <x:c r="G96" s="9" t="str">
        <x:v>Yes</x:v>
      </x:c>
      <x:c r="H96" s="9" t="str">
        <x:v>Agree</x:v>
      </x:c>
      <x:c r="I96" s="9" t="str">
        <x:v>Some concern</x:v>
      </x:c>
      <x:c r="J96" s="9" t="str">
        <x:v>Initial agreement</x:v>
      </x:c>
      <x:c r="K96" s="9" t="str">
        <x:v>Errors reported; device-level uncertainty limited</x:v>
      </x:c>
      <x:c r="L96" s="9" t="str">
        <x:v>PDF pp. 3–11; Figs. 1–6; Table 1</x:v>
      </x:c>
      <x:c r="M96" s="9" t="str">
        <x:v>Reported jaw outputs and errors are presented, but the small single-session dataset lacks uncertainty and completeness checks.</x:v>
      </x:c>
      <x:c r="N96" s="9" t="str">
        <x:v>Article PDF pp. 6-9, Table 1</x:v>
      </x:c>
      <x:c r="O96" s="9" t="str">
        <x:v>Errors reported; device-level uncertainty limited</x:v>
      </x:c>
      <x:c r="P96" s="9" t="str">
        <x:v>PDF pp. 3–11; Figs. 1–6; Table 1</x:v>
      </x:c>
    </x:row>
    <x:row r="97">
      <x:c r="A97" s="9" t="n">
        <x:v>12</x:v>
      </x:c>
      <x:c r="B97" s="9" t="str">
        <x:v>S015</x:v>
      </x:c>
      <x:c r="C97" s="9" t="str">
        <x:v>Farook et al. (2023)</x:v>
      </x:c>
      <x:c r="D97" s="9" t="str">
        <x:v>D8</x:v>
      </x:c>
      <x:c r="E97" s="9" t="str">
        <x:v>Some concern</x:v>
      </x:c>
      <x:c r="F97" s="9" t="str">
        <x:v>Some concern</x:v>
      </x:c>
      <x:c r="G97" s="9" t="str">
        <x:v>Yes</x:v>
      </x:c>
      <x:c r="H97" s="9" t="str">
        <x:v>Agree</x:v>
      </x:c>
      <x:c r="I97" s="9" t="str">
        <x:v>Some concern</x:v>
      </x:c>
      <x:c r="J97" s="9" t="str">
        <x:v>Initial agreement</x:v>
      </x:c>
      <x:c r="K97" s="9" t="str">
        <x:v>Direct on-body feasibility only</x:v>
      </x:c>
      <x:c r="L97" s="9" t="str">
        <x:v>PDF pp. 3–11; Figs. 1–6; Table 1</x:v>
      </x:c>
      <x:c r="M97" s="9" t="str">
        <x:v>The final headgear was used on two people, but only as a preliminary uncalibrated concept implementation.</x:v>
      </x:c>
      <x:c r="N97" s="9" t="str">
        <x:v>Article PDF pp. 3-5</x:v>
      </x:c>
      <x:c r="O97" s="9" t="str">
        <x:v>Direct on-body feasibility only</x:v>
      </x:c>
      <x:c r="P97" s="9" t="str">
        <x:v>PDF pp. 3–11; Figs. 1–6; Table 1</x:v>
      </x:c>
    </x:row>
    <x:row r="98">
      <x:c r="A98" s="9" t="n">
        <x:v>13</x:v>
      </x:c>
      <x:c r="B98" s="9" t="str">
        <x:v>S017</x:v>
      </x:c>
      <x:c r="C98" s="9" t="str">
        <x:v>Zhang and Ma (2025)</x:v>
      </x:c>
      <x:c r="D98" s="9" t="str">
        <x:v>D1</x:v>
      </x:c>
      <x:c r="E98" s="9" t="str">
        <x:v>High concern</x:v>
      </x:c>
      <x:c r="F98" s="9" t="str">
        <x:v>High concern</x:v>
      </x:c>
      <x:c r="G98" s="9" t="str">
        <x:v>Yes</x:v>
      </x:c>
      <x:c r="H98" s="9" t="str">
        <x:v>Agree</x:v>
      </x:c>
      <x:c r="I98" s="9" t="str">
        <x:v>High concern</x:v>
      </x:c>
      <x:c r="J98" s="9" t="str">
        <x:v>Initial agreement</x:v>
      </x:c>
      <x:c r="K98" s="9" t="str">
        <x:v>Device and participant counts are NR</x:v>
      </x:c>
      <x:c r="L98" s="9" t="str">
        <x:v>PDF pp. 2-5</x:v>
      </x:c>
      <x:c r="M98" s="9" t="str">
        <x:v>Fabricated-unit counts, selection and failed/excluded specimens are not transparently reported.</x:v>
      </x:c>
      <x:c r="N98" s="9" t="str">
        <x:v>Article PDF p. 3</x:v>
      </x:c>
      <x:c r="O98" s="9" t="str">
        <x:v>Device and participant counts are NR</x:v>
      </x:c>
      <x:c r="P98" s="9" t="str">
        <x:v>PDF pp. 2-5</x:v>
      </x:c>
    </x:row>
    <x:row r="99">
      <x:c r="A99" s="9" t="n">
        <x:v>13</x:v>
      </x:c>
      <x:c r="B99" s="9" t="str">
        <x:v>S017</x:v>
      </x:c>
      <x:c r="C99" s="9" t="str">
        <x:v>Zhang and Ma (2025)</x:v>
      </x:c>
      <x:c r="D99" s="9" t="str">
        <x:v>D2</x:v>
      </x:c>
      <x:c r="E99" s="9" t="str">
        <x:v>High concern</x:v>
      </x:c>
      <x:c r="F99" s="9" t="str">
        <x:v>High concern</x:v>
      </x:c>
      <x:c r="G99" s="9" t="str">
        <x:v>Yes</x:v>
      </x:c>
      <x:c r="H99" s="9" t="str">
        <x:v>Agree</x:v>
      </x:c>
      <x:c r="I99" s="9" t="str">
        <x:v>High concern</x:v>
      </x:c>
      <x:c r="J99" s="9" t="str">
        <x:v>Initial agreement</x:v>
      </x:c>
      <x:c r="K99" s="9" t="str">
        <x:v>Printer/settings and carbon-fiber loading are missing</x:v>
      </x:c>
      <x:c r="L99" s="9" t="str">
        <x:v>PDF p. 2</x:v>
      </x:c>
      <x:c r="M99" s="9" t="str">
        <x:v>Key fabrication variables are missing, so process variation cannot be separated confidently from sensor effects.</x:v>
      </x:c>
      <x:c r="N99" s="9" t="str">
        <x:v>Article PDF p. 1</x:v>
      </x:c>
      <x:c r="O99" s="9" t="str">
        <x:v>Printer/settings and carbon-fiber loading are missing</x:v>
      </x:c>
      <x:c r="P99" s="9" t="str">
        <x:v>PDF p. 2</x:v>
      </x:c>
    </x:row>
    <x:row r="100">
      <x:c r="A100" s="9" t="n">
        <x:v>13</x:v>
      </x:c>
      <x:c r="B100" s="9" t="str">
        <x:v>S017</x:v>
      </x:c>
      <x:c r="C100" s="9" t="str">
        <x:v>Zhang and Ma (2025)</x:v>
      </x:c>
      <x:c r="D100" s="9" t="str">
        <x:v>D3</x:v>
      </x:c>
      <x:c r="E100" s="9" t="str">
        <x:v>Some concern</x:v>
      </x:c>
      <x:c r="F100" s="9" t="str">
        <x:v>Some concern</x:v>
      </x:c>
      <x:c r="G100" s="9" t="str">
        <x:v>Yes</x:v>
      </x:c>
      <x:c r="H100" s="9" t="str">
        <x:v>Agree</x:v>
      </x:c>
      <x:c r="I100" s="9" t="str">
        <x:v>Some concern</x:v>
      </x:c>
      <x:c r="J100" s="9" t="str">
        <x:v>Initial agreement</x:v>
      </x:c>
      <x:c r="K100" s="9" t="str">
        <x:v>Force/frequency/displacement are controlled, but calibration traceability is limited</x:v>
      </x:c>
      <x:c r="L100" s="9" t="str">
        <x:v>PDF pp. 2-4</x:v>
      </x:c>
      <x:c r="M100" s="9" t="str">
        <x:v>Motor displacement, force and frequency are stated, but force-reference calibration/uncertainty is not described.</x:v>
      </x:c>
      <x:c r="N100" s="9" t="str">
        <x:v>Article PDF p. 3, Section 2.2</x:v>
      </x:c>
      <x:c r="O100" s="9" t="str">
        <x:v>Force/frequency/displacement are controlled, but calibration traceability is limited</x:v>
      </x:c>
      <x:c r="P100" s="9" t="str">
        <x:v>PDF pp. 2-4</x:v>
      </x:c>
    </x:row>
    <x:row r="101">
      <x:c r="A101" s="9" t="n">
        <x:v>13</x:v>
      </x:c>
      <x:c r="B101" s="9" t="str">
        <x:v>S017</x:v>
      </x:c>
      <x:c r="C101" s="9" t="str">
        <x:v>Zhang and Ma (2025)</x:v>
      </x:c>
      <x:c r="D101" s="9" t="str">
        <x:v>D4</x:v>
      </x:c>
      <x:c r="E101" s="9" t="str">
        <x:v>Some concern</x:v>
      </x:c>
      <x:c r="F101" s="9" t="str">
        <x:v>Low concern</x:v>
      </x:c>
      <x:c r="G101" s="9" t="str">
        <x:v>Yes</x:v>
      </x:c>
      <x:c r="H101" s="9" t="str">
        <x:v>Disagree</x:v>
      </x:c>
      <x:c r="I101" s="9" t="str">
        <x:v>Some concern</x:v>
      </x:c>
      <x:c r="J101" s="9" t="str">
        <x:v>Adjudicated to Reviewer 1</x:v>
      </x:c>
      <x:c r="K101" s="9" t="str">
        <x:v>Core test settings stated; humidity levels are mainly figure-based</x:v>
      </x:c>
      <x:c r="L101" s="9" t="str">
        <x:v>PDF pp. 3-5</x:v>
      </x:c>
      <x:c r="M101" s="9" t="str">
        <x:v>Relevant loading/exposure range, rate or geometry and measurement conditions are stated.</x:v>
      </x:c>
      <x:c r="N101" s="9" t="str">
        <x:v>Article PDF p. 2</x:v>
      </x:c>
      <x:c r="O101" s="9" t="str">
        <x:v>Core test settings stated; humidity levels are mainly figure-based</x:v>
      </x:c>
      <x:c r="P101" s="9" t="str">
        <x:v>PDF pp. 3-5</x:v>
      </x:c>
    </x:row>
    <x:row r="102">
      <x:c r="A102" s="9" t="n">
        <x:v>13</x:v>
      </x:c>
      <x:c r="B102" s="9" t="str">
        <x:v>S017</x:v>
      </x:c>
      <x:c r="C102" s="9" t="str">
        <x:v>Zhang and Ma (2025)</x:v>
      </x:c>
      <x:c r="D102" s="9" t="str">
        <x:v>D5</x:v>
      </x:c>
      <x:c r="E102" s="9" t="str">
        <x:v>Some concern</x:v>
      </x:c>
      <x:c r="F102" s="9" t="str">
        <x:v>Low concern</x:v>
      </x:c>
      <x:c r="G102" s="9" t="str">
        <x:v>Yes</x:v>
      </x:c>
      <x:c r="H102" s="9" t="str">
        <x:v>Disagree</x:v>
      </x:c>
      <x:c r="I102" s="9" t="str">
        <x:v>Some concern</x:v>
      </x:c>
      <x:c r="J102" s="9" t="str">
        <x:v>Adjudicated to Reviewer 1</x:v>
      </x:c>
      <x:c r="K102" s="9" t="str">
        <x:v>1600-cycle trace reported without full specimen/repeat structure</x:v>
      </x:c>
      <x:c r="L102" s="9" t="str">
        <x:v>PDF pp. 4-5</x:v>
      </x:c>
      <x:c r="M102" s="9" t="str">
        <x:v>Repeated units/counts and a stability outcome are defined for the stated protocol.</x:v>
      </x:c>
      <x:c r="N102" s="9" t="str">
        <x:v>Article PDF p. 5</x:v>
      </x:c>
      <x:c r="O102" s="9" t="str">
        <x:v>1600-cycle trace reported without full specimen/repeat structure</x:v>
      </x:c>
      <x:c r="P102" s="9" t="str">
        <x:v>PDF pp. 4-5</x:v>
      </x:c>
    </x:row>
    <x:row r="103">
      <x:c r="A103" s="9" t="n">
        <x:v>13</x:v>
      </x:c>
      <x:c r="B103" s="9" t="str">
        <x:v>S017</x:v>
      </x:c>
      <x:c r="C103" s="9" t="str">
        <x:v>Zhang and Ma (2025)</x:v>
      </x:c>
      <x:c r="D103" s="9" t="str">
        <x:v>D6</x:v>
      </x:c>
      <x:c r="E103" s="9" t="str">
        <x:v>High concern</x:v>
      </x:c>
      <x:c r="F103" s="9" t="str">
        <x:v>High concern</x:v>
      </x:c>
      <x:c r="G103" s="9" t="str">
        <x:v>Yes</x:v>
      </x:c>
      <x:c r="H103" s="9" t="str">
        <x:v>Agree</x:v>
      </x:c>
      <x:c r="I103" s="9" t="str">
        <x:v>High concern</x:v>
      </x:c>
      <x:c r="J103" s="9" t="str">
        <x:v>Initial agreement</x:v>
      </x:c>
      <x:c r="K103" s="9" t="str">
        <x:v>No independent-device comparison</x:v>
      </x:c>
      <x:c r="L103" s="9" t="str">
        <x:v>PDF pp. 1-6</x:v>
      </x:c>
      <x:c r="M103" s="9" t="str">
        <x:v>Cycles, participants or configurations do not establish replication across three equivalent fabricated devices.</x:v>
      </x:c>
      <x:c r="N103" s="9" t="str">
        <x:v>Article PDF p. 3</x:v>
      </x:c>
      <x:c r="O103" s="9" t="str">
        <x:v>No independent-device comparison</x:v>
      </x:c>
      <x:c r="P103" s="9" t="str">
        <x:v>PDF pp. 1-6</x:v>
      </x:c>
    </x:row>
    <x:row r="104">
      <x:c r="A104" s="9" t="n">
        <x:v>13</x:v>
      </x:c>
      <x:c r="B104" s="9" t="str">
        <x:v>S017</x:v>
      </x:c>
      <x:c r="C104" s="9" t="str">
        <x:v>Zhang and Ma (2025)</x:v>
      </x:c>
      <x:c r="D104" s="9" t="str">
        <x:v>D7</x:v>
      </x:c>
      <x:c r="E104" s="9" t="str">
        <x:v>Some concern</x:v>
      </x:c>
      <x:c r="F104" s="9" t="str">
        <x:v>Some concern</x:v>
      </x:c>
      <x:c r="G104" s="9" t="str">
        <x:v>Yes</x:v>
      </x:c>
      <x:c r="H104" s="9" t="str">
        <x:v>Agree</x:v>
      </x:c>
      <x:c r="I104" s="9" t="str">
        <x:v>Some concern</x:v>
      </x:c>
      <x:c r="J104" s="9" t="str">
        <x:v>Initial agreement</x:v>
      </x:c>
      <x:c r="K104" s="9" t="str">
        <x:v>Multiple outputs reported; uncertainty/device-level dispersion limited</x:v>
      </x:c>
      <x:c r="L104" s="9" t="str">
        <x:v>PDF pp. 3-5</x:v>
      </x:c>
      <x:c r="M104" s="9" t="str">
        <x:v>Principal outcomes are reported, but device-level uncertainty or complete accounting of units/cycles is limited.</x:v>
      </x:c>
      <x:c r="N104" s="9" t="str">
        <x:v>Article PDF p. 1</x:v>
      </x:c>
      <x:c r="O104" s="9" t="str">
        <x:v>Multiple outputs reported; uncertainty/device-level dispersion limited</x:v>
      </x:c>
      <x:c r="P104" s="9" t="str">
        <x:v>PDF pp. 3-5</x:v>
      </x:c>
    </x:row>
    <x:row r="105">
      <x:c r="A105" s="9" t="n">
        <x:v>13</x:v>
      </x:c>
      <x:c r="B105" s="9" t="str">
        <x:v>S017</x:v>
      </x:c>
      <x:c r="C105" s="9" t="str">
        <x:v>Zhang and Ma (2025)</x:v>
      </x:c>
      <x:c r="D105" s="9" t="str">
        <x:v>D8</x:v>
      </x:c>
      <x:c r="E105" s="9" t="str">
        <x:v>Some concern</x:v>
      </x:c>
      <x:c r="F105" s="9" t="str">
        <x:v>Low concern</x:v>
      </x:c>
      <x:c r="G105" s="9" t="str">
        <x:v>Yes</x:v>
      </x:c>
      <x:c r="H105" s="9" t="str">
        <x:v>Disagree</x:v>
      </x:c>
      <x:c r="I105" s="9" t="str">
        <x:v>Some concern</x:v>
      </x:c>
      <x:c r="J105" s="9" t="str">
        <x:v>Adjudicated to Reviewer 1</x:v>
      </x:c>
      <x:c r="K105" s="9" t="str">
        <x:v>Body-motion demonstrations reported, but attachment and participant details are NR</x:v>
      </x:c>
      <x:c r="L105" s="9" t="str">
        <x:v>PDF pp. 3, 5</x:v>
      </x:c>
      <x:c r="M105" s="9" t="str">
        <x:v>The final sensor was attached to a knee and used to distinguish skipping, squatting, walking and running.</x:v>
      </x:c>
      <x:c r="N105" s="9" t="str">
        <x:v>Article PDF p. 5, Figure 5</x:v>
      </x:c>
      <x:c r="O105" s="9" t="str">
        <x:v>Body-motion demonstrations reported, but attachment and participant details are NR</x:v>
      </x:c>
      <x:c r="P105" s="9" t="str">
        <x:v>PDF pp. 3, 5</x:v>
      </x:c>
    </x:row>
    <x:row r="106">
      <x:c r="A106" s="9" t="n">
        <x:v>14</x:v>
      </x:c>
      <x:c r="B106" s="9" t="str">
        <x:v>S018</x:v>
      </x:c>
      <x:c r="C106" s="9" t="str">
        <x:v>Vu et al. (2025)</x:v>
      </x:c>
      <x:c r="D106" s="9" t="str">
        <x:v>D1</x:v>
      </x:c>
      <x:c r="E106" s="9" t="str">
        <x:v>High concern</x:v>
      </x:c>
      <x:c r="F106" s="9" t="str">
        <x:v>Some concern</x:v>
      </x:c>
      <x:c r="G106" s="9" t="str">
        <x:v>Yes</x:v>
      </x:c>
      <x:c r="H106" s="9" t="str">
        <x:v>Disagree</x:v>
      </x:c>
      <x:c r="I106" s="9" t="str">
        <x:v>High concern</x:v>
      </x:c>
      <x:c r="J106" s="9" t="str">
        <x:v>Adjudicated to Reviewer 1</x:v>
      </x:c>
      <x:c r="K106" s="9" t="str">
        <x:v>Human evaluation used one participant.</x:v>
      </x:c>
      <x:c r="L106" s="9" t="str">
        <x:v>PDF pp. 3–11; Figs. 1–6; Table 1</x:v>
      </x:c>
      <x:c r="M106" s="9" t="str">
        <x:v>Some unit/participant counts or selection details are provided, but fabricated-unit selection and failures are not fully accounted for.</x:v>
      </x:c>
      <x:c r="N106" s="9" t="str">
        <x:v>Article PDF p. 11</x:v>
      </x:c>
      <x:c r="O106" s="9" t="str">
        <x:v>Human evaluation used one participant.</x:v>
      </x:c>
      <x:c r="P106" s="9" t="str">
        <x:v>PDF pp. 3–11; Figs. 1–6; Table 1</x:v>
      </x:c>
    </x:row>
    <x:row r="107">
      <x:c r="A107" s="9" t="n">
        <x:v>14</x:v>
      </x:c>
      <x:c r="B107" s="9" t="str">
        <x:v>S018</x:v>
      </x:c>
      <x:c r="C107" s="9" t="str">
        <x:v>Vu et al. (2025)</x:v>
      </x:c>
      <x:c r="D107" s="9" t="str">
        <x:v>D2</x:v>
      </x:c>
      <x:c r="E107" s="9" t="str">
        <x:v>Some concern</x:v>
      </x:c>
      <x:c r="F107" s="9" t="str">
        <x:v>Unclear</x:v>
      </x:c>
      <x:c r="G107" s="9" t="str">
        <x:v>No</x:v>
      </x:c>
      <x:c r="H107" s="9" t="str">
        <x:v>Not comparable</x:v>
      </x:c>
      <x:c r="I107" s="9" t="str">
        <x:v>Some concern</x:v>
      </x:c>
      <x:c r="J107" s="9" t="str">
        <x:v>Unclear resolved</x:v>
      </x:c>
      <x:c r="K107" s="9" t="str">
        <x:v>Study-specific limitations are recorded in the extraction and REB sheets.</x:v>
      </x:c>
      <x:c r="L107" s="9" t="str">
        <x:v>PDF pp. 3–11; Figs. 1–6; Table 1</x:v>
      </x:c>
      <x:c r="M107" s="9" t="str">
        <x:v>Key print settings may be reported in Supplementary Data S2, which was referenced but not supplied.</x:v>
      </x:c>
      <x:c r="N107" s="9" t="str">
        <x:v>Article PDF p. 4, Section 2.2</x:v>
      </x:c>
      <x:c r="O107" s="9" t="str">
        <x:v>Study-specific limitations are recorded in the extraction and REB sheets.</x:v>
      </x:c>
      <x:c r="P107" s="9" t="str">
        <x:v>PDF pp. 3–11; Figs. 1–6; Table 1</x:v>
      </x:c>
    </x:row>
    <x:row r="108">
      <x:c r="A108" s="9" t="n">
        <x:v>14</x:v>
      </x:c>
      <x:c r="B108" s="9" t="str">
        <x:v>S018</x:v>
      </x:c>
      <x:c r="C108" s="9" t="str">
        <x:v>Vu et al. (2025)</x:v>
      </x:c>
      <x:c r="D108" s="9" t="str">
        <x:v>D3</x:v>
      </x:c>
      <x:c r="E108" s="9" t="str">
        <x:v>Low concern</x:v>
      </x:c>
      <x:c r="F108" s="9" t="str">
        <x:v>Low concern</x:v>
      </x:c>
      <x:c r="G108" s="9" t="str">
        <x:v>Yes</x:v>
      </x:c>
      <x:c r="H108" s="9" t="str">
        <x:v>Agree</x:v>
      </x:c>
      <x:c r="I108" s="9" t="str">
        <x:v>Low concern</x:v>
      </x:c>
      <x:c r="J108" s="9" t="str">
        <x:v>Initial agreement</x:v>
      </x:c>
      <x:c r="K108" s="9" t="str">
        <x:v>Reference/protocol and principal quantitative outcomes are reported.</x:v>
      </x:c>
      <x:c r="L108" s="9" t="str">
        <x:v>PDF pp. 3–11; Figs. 1–6; Table 1</x:v>
      </x:c>
      <x:c r="M108" s="9" t="str">
        <x:v>Synchronized force plates and motion capture provide appropriate independent GRF/COP references.</x:v>
      </x:c>
      <x:c r="N108" s="9" t="str">
        <x:v>Article PDF pp. 5-7</x:v>
      </x:c>
      <x:c r="O108" s="9" t="str">
        <x:v>Reference/protocol and principal quantitative outcomes are reported.</x:v>
      </x:c>
      <x:c r="P108" s="9" t="str">
        <x:v>PDF pp. 3–11; Figs. 1–6; Table 1</x:v>
      </x:c>
    </x:row>
    <x:row r="109">
      <x:c r="A109" s="9" t="n">
        <x:v>14</x:v>
      </x:c>
      <x:c r="B109" s="9" t="str">
        <x:v>S018</x:v>
      </x:c>
      <x:c r="C109" s="9" t="str">
        <x:v>Vu et al. (2025)</x:v>
      </x:c>
      <x:c r="D109" s="9" t="str">
        <x:v>D4</x:v>
      </x:c>
      <x:c r="E109" s="9" t="str">
        <x:v>Low concern</x:v>
      </x:c>
      <x:c r="F109" s="9" t="str">
        <x:v>Low concern</x:v>
      </x:c>
      <x:c r="G109" s="9" t="str">
        <x:v>Yes</x:v>
      </x:c>
      <x:c r="H109" s="9" t="str">
        <x:v>Agree</x:v>
      </x:c>
      <x:c r="I109" s="9" t="str">
        <x:v>Low concern</x:v>
      </x:c>
      <x:c r="J109" s="9" t="str">
        <x:v>Initial agreement</x:v>
      </x:c>
      <x:c r="K109" s="9" t="str">
        <x:v>Reference/protocol and principal quantitative outcomes are reported.</x:v>
      </x:c>
      <x:c r="L109" s="9" t="str">
        <x:v>PDF pp. 3–11; Figs. 1–6; Table 1</x:v>
      </x:c>
      <x:c r="M109" s="9" t="str">
        <x:v>Relevant loading/exposure range, rate or geometry and measurement conditions are stated.</x:v>
      </x:c>
      <x:c r="N109" s="9" t="str">
        <x:v>Article PDF p. 14</x:v>
      </x:c>
      <x:c r="O109" s="9" t="str">
        <x:v>Reference/protocol and principal quantitative outcomes are reported.</x:v>
      </x:c>
      <x:c r="P109" s="9" t="str">
        <x:v>PDF pp. 3–11; Figs. 1–6; Table 1</x:v>
      </x:c>
    </x:row>
    <x:row r="110">
      <x:c r="A110" s="9" t="n">
        <x:v>14</x:v>
      </x:c>
      <x:c r="B110" s="9" t="str">
        <x:v>S018</x:v>
      </x:c>
      <x:c r="C110" s="9" t="str">
        <x:v>Vu et al. (2025)</x:v>
      </x:c>
      <x:c r="D110" s="9" t="str">
        <x:v>D5</x:v>
      </x:c>
      <x:c r="E110" s="9" t="str">
        <x:v>Some concern</x:v>
      </x:c>
      <x:c r="F110" s="9" t="str">
        <x:v>Low concern</x:v>
      </x:c>
      <x:c r="G110" s="9" t="str">
        <x:v>Yes</x:v>
      </x:c>
      <x:c r="H110" s="9" t="str">
        <x:v>Disagree</x:v>
      </x:c>
      <x:c r="I110" s="9" t="str">
        <x:v>Some concern</x:v>
      </x:c>
      <x:c r="J110" s="9" t="str">
        <x:v>Adjudicated to Reviewer 1</x:v>
      </x:c>
      <x:c r="K110" s="9" t="str">
        <x:v>Study-specific limitations are recorded in the extraction and REB sheets.</x:v>
      </x:c>
      <x:c r="L110" s="9" t="str">
        <x:v>PDF pp. 3–11; Figs. 1–6; Table 1</x:v>
      </x:c>
      <x:c r="M110" s="9" t="str">
        <x:v>Repeated units/counts and a stability outcome are defined for the stated protocol.</x:v>
      </x:c>
      <x:c r="N110" s="9" t="str">
        <x:v>Article PDF p. 11</x:v>
      </x:c>
      <x:c r="O110" s="9" t="str">
        <x:v>Study-specific limitations are recorded in the extraction and REB sheets.</x:v>
      </x:c>
      <x:c r="P110" s="9" t="str">
        <x:v>PDF pp. 3–11; Figs. 1–6; Table 1</x:v>
      </x:c>
    </x:row>
    <x:row r="111">
      <x:c r="A111" s="9" t="n">
        <x:v>14</x:v>
      </x:c>
      <x:c r="B111" s="9" t="str">
        <x:v>S018</x:v>
      </x:c>
      <x:c r="C111" s="9" t="str">
        <x:v>Vu et al. (2025)</x:v>
      </x:c>
      <x:c r="D111" s="9" t="str">
        <x:v>D6</x:v>
      </x:c>
      <x:c r="E111" s="9" t="str">
        <x:v>High concern</x:v>
      </x:c>
      <x:c r="F111" s="9" t="str">
        <x:v>High concern</x:v>
      </x:c>
      <x:c r="G111" s="9" t="str">
        <x:v>Yes</x:v>
      </x:c>
      <x:c r="H111" s="9" t="str">
        <x:v>Agree</x:v>
      </x:c>
      <x:c r="I111" s="9" t="str">
        <x:v>High concern</x:v>
      </x:c>
      <x:c r="J111" s="9" t="str">
        <x:v>Initial agreement</x:v>
      </x:c>
      <x:c r="K111" s="9" t="str">
        <x:v>No clear quantitative comparison of at least three separate functional devices.</x:v>
      </x:c>
      <x:c r="L111" s="9" t="str">
        <x:v>PDF pp. 3–11; Figs. 1–6; Table 1</x:v>
      </x:c>
      <x:c r="M111" s="9" t="str">
        <x:v>Cycles, participants or configurations do not establish replication across three equivalent fabricated devices.</x:v>
      </x:c>
      <x:c r="N111" s="9" t="str">
        <x:v>Article PDF p. 11</x:v>
      </x:c>
      <x:c r="O111" s="9" t="str">
        <x:v>No clear quantitative comparison of at least three separate functional devices.</x:v>
      </x:c>
      <x:c r="P111" s="9" t="str">
        <x:v>PDF pp. 3–11; Figs. 1–6; Table 1</x:v>
      </x:c>
    </x:row>
    <x:row r="112">
      <x:c r="A112" s="9" t="n">
        <x:v>14</x:v>
      </x:c>
      <x:c r="B112" s="9" t="str">
        <x:v>S018</x:v>
      </x:c>
      <x:c r="C112" s="9" t="str">
        <x:v>Vu et al. (2025)</x:v>
      </x:c>
      <x:c r="D112" s="9" t="str">
        <x:v>D7</x:v>
      </x:c>
      <x:c r="E112" s="9" t="str">
        <x:v>Low concern</x:v>
      </x:c>
      <x:c r="F112" s="9" t="str">
        <x:v>Low concern</x:v>
      </x:c>
      <x:c r="G112" s="9" t="str">
        <x:v>Yes</x:v>
      </x:c>
      <x:c r="H112" s="9" t="str">
        <x:v>Agree</x:v>
      </x:c>
      <x:c r="I112" s="9" t="str">
        <x:v>Low concern</x:v>
      </x:c>
      <x:c r="J112" s="9" t="str">
        <x:v>Initial agreement</x:v>
      </x:c>
      <x:c r="K112" s="9" t="str">
        <x:v>Reference/protocol and principal quantitative outcomes are reported.</x:v>
      </x:c>
      <x:c r="L112" s="9" t="str">
        <x:v>PDF pp. 3–11; Figs. 1–6; Table 1</x:v>
      </x:c>
      <x:c r="M112" s="9" t="str">
        <x:v>GRF/COP outcomes are reported and all 23 excluded steps are counted with explicit reasons.</x:v>
      </x:c>
      <x:c r="N112" s="9" t="str">
        <x:v>Article PDF p. 6; pp. 9-10</x:v>
      </x:c>
      <x:c r="O112" s="9" t="str">
        <x:v>Reference/protocol and principal quantitative outcomes are reported.</x:v>
      </x:c>
      <x:c r="P112" s="9" t="str">
        <x:v>PDF pp. 3–11; Figs. 1–6; Table 1</x:v>
      </x:c>
    </x:row>
    <x:row r="113">
      <x:c r="A113" s="9" t="n">
        <x:v>14</x:v>
      </x:c>
      <x:c r="B113" s="9" t="str">
        <x:v>S018</x:v>
      </x:c>
      <x:c r="C113" s="9" t="str">
        <x:v>Vu et al. (2025)</x:v>
      </x:c>
      <x:c r="D113" s="9" t="str">
        <x:v>D8</x:v>
      </x:c>
      <x:c r="E113" s="9" t="str">
        <x:v>Some concern</x:v>
      </x:c>
      <x:c r="F113" s="9" t="str">
        <x:v>Low concern</x:v>
      </x:c>
      <x:c r="G113" s="9" t="str">
        <x:v>Yes</x:v>
      </x:c>
      <x:c r="H113" s="9" t="str">
        <x:v>Disagree</x:v>
      </x:c>
      <x:c r="I113" s="9" t="str">
        <x:v>Some concern</x:v>
      </x:c>
      <x:c r="J113" s="9" t="str">
        <x:v>Adjudicated to Reviewer 1</x:v>
      </x:c>
      <x:c r="K113" s="9" t="str">
        <x:v>Study-specific limitations are recorded in the extraction and REB sheets.</x:v>
      </x:c>
      <x:c r="L113" s="9" t="str">
        <x:v>PDF pp. 3–11; Figs. 1–6; Table 1</x:v>
      </x:c>
      <x:c r="M113" s="9" t="str">
        <x:v>The final device was evaluated in a body-worn/use-relevant human configuration.</x:v>
      </x:c>
      <x:c r="N113" s="9" t="str">
        <x:v>Article PDF p. 11</x:v>
      </x:c>
      <x:c r="O113" s="9" t="str">
        <x:v>Study-specific limitations are recorded in the extraction and REB sheets.</x:v>
      </x:c>
      <x:c r="P113" s="9" t="str">
        <x:v>PDF pp. 3–11; Figs. 1–6; Table 1</x:v>
      </x:c>
    </x:row>
    <x:row r="114">
      <x:c r="A114" s="9" t="n">
        <x:v>15</x:v>
      </x:c>
      <x:c r="B114" s="9" t="str">
        <x:v>S019</x:v>
      </x:c>
      <x:c r="C114" s="9" t="str">
        <x:v>Vu et al. (2021)</x:v>
      </x:c>
      <x:c r="D114" s="9" t="str">
        <x:v>D1</x:v>
      </x:c>
      <x:c r="E114" s="9" t="str">
        <x:v>Some concern</x:v>
      </x:c>
      <x:c r="F114" s="9" t="str">
        <x:v>Some concern</x:v>
      </x:c>
      <x:c r="G114" s="9" t="str">
        <x:v>Yes</x:v>
      </x:c>
      <x:c r="H114" s="9" t="str">
        <x:v>Agree</x:v>
      </x:c>
      <x:c r="I114" s="9" t="str">
        <x:v>Some concern</x:v>
      </x:c>
      <x:c r="J114" s="9" t="str">
        <x:v>Initial agreement</x:v>
      </x:c>
      <x:c r="K114" s="9" t="str">
        <x:v>Study-specific limitations are recorded in the extraction and REB sheets.</x:v>
      </x:c>
      <x:c r="L114" s="9" t="str">
        <x:v>PDF pp. 2–8; Figs. 1–7</x:v>
      </x:c>
      <x:c r="M114" s="9" t="str">
        <x:v>Some unit/participant counts or selection details are provided, but fabricated-unit selection and failures are not fully accounted for.</x:v>
      </x:c>
      <x:c r="N114" s="9" t="str">
        <x:v>Article PDF p. 8</x:v>
      </x:c>
      <x:c r="O114" s="9" t="str">
        <x:v>Study-specific limitations are recorded in the extraction and REB sheets.</x:v>
      </x:c>
      <x:c r="P114" s="9" t="str">
        <x:v>PDF pp. 2–8; Figs. 1–7</x:v>
      </x:c>
    </x:row>
    <x:row r="115">
      <x:c r="A115" s="9" t="n">
        <x:v>15</x:v>
      </x:c>
      <x:c r="B115" s="9" t="str">
        <x:v>S019</x:v>
      </x:c>
      <x:c r="C115" s="9" t="str">
        <x:v>Vu et al. (2021)</x:v>
      </x:c>
      <x:c r="D115" s="9" t="str">
        <x:v>D2</x:v>
      </x:c>
      <x:c r="E115" s="9" t="str">
        <x:v>Some concern</x:v>
      </x:c>
      <x:c r="F115" s="9" t="str">
        <x:v>Some concern</x:v>
      </x:c>
      <x:c r="G115" s="9" t="str">
        <x:v>Yes</x:v>
      </x:c>
      <x:c r="H115" s="9" t="str">
        <x:v>Agree</x:v>
      </x:c>
      <x:c r="I115" s="9" t="str">
        <x:v>Some concern</x:v>
      </x:c>
      <x:c r="J115" s="9" t="str">
        <x:v>Initial agreement</x:v>
      </x:c>
      <x:c r="K115" s="9" t="str">
        <x:v>Study-specific limitations are recorded in the extraction and REB sheets.</x:v>
      </x:c>
      <x:c r="L115" s="9" t="str">
        <x:v>PDF pp. 2–8; Figs. 1–7</x:v>
      </x:c>
      <x:c r="M115" s="9" t="str">
        <x:v>Several fabrication controls are documented, but omitted settings leave residual process-confounding concern.</x:v>
      </x:c>
      <x:c r="N115" s="9" t="str">
        <x:v>Article PDF p. 3</x:v>
      </x:c>
      <x:c r="O115" s="9" t="str">
        <x:v>Study-specific limitations are recorded in the extraction and REB sheets.</x:v>
      </x:c>
      <x:c r="P115" s="9" t="str">
        <x:v>PDF pp. 2–8; Figs. 1–7</x:v>
      </x:c>
    </x:row>
    <x:row r="116">
      <x:c r="A116" s="9" t="n">
        <x:v>15</x:v>
      </x:c>
      <x:c r="B116" s="9" t="str">
        <x:v>S019</x:v>
      </x:c>
      <x:c r="C116" s="9" t="str">
        <x:v>Vu et al. (2021)</x:v>
      </x:c>
      <x:c r="D116" s="9" t="str">
        <x:v>D3</x:v>
      </x:c>
      <x:c r="E116" s="9" t="str">
        <x:v>Low concern</x:v>
      </x:c>
      <x:c r="F116" s="9" t="str">
        <x:v>Low concern</x:v>
      </x:c>
      <x:c r="G116" s="9" t="str">
        <x:v>Yes</x:v>
      </x:c>
      <x:c r="H116" s="9" t="str">
        <x:v>Agree</x:v>
      </x:c>
      <x:c r="I116" s="9" t="str">
        <x:v>Low concern</x:v>
      </x:c>
      <x:c r="J116" s="9" t="str">
        <x:v>Initial agreement</x:v>
      </x:c>
      <x:c r="K116" s="9" t="str">
        <x:v>Reference/protocol and principal quantitative outcomes are reported.</x:v>
      </x:c>
      <x:c r="L116" s="9" t="str">
        <x:v>PDF pp. 2–8; Figs. 1–7</x:v>
      </x:c>
      <x:c r="M116" s="9" t="str">
        <x:v>The controlled input/reference and calibration procedure are appropriate and independently measured.</x:v>
      </x:c>
      <x:c r="N116" s="9" t="str">
        <x:v>Article PDF p. 3</x:v>
      </x:c>
      <x:c r="O116" s="9" t="str">
        <x:v>Reference/protocol and principal quantitative outcomes are reported.</x:v>
      </x:c>
      <x:c r="P116" s="9" t="str">
        <x:v>PDF pp. 2–8; Figs. 1–7</x:v>
      </x:c>
    </x:row>
    <x:row r="117">
      <x:c r="A117" s="9" t="n">
        <x:v>15</x:v>
      </x:c>
      <x:c r="B117" s="9" t="str">
        <x:v>S019</x:v>
      </x:c>
      <x:c r="C117" s="9" t="str">
        <x:v>Vu et al. (2021)</x:v>
      </x:c>
      <x:c r="D117" s="9" t="str">
        <x:v>D4</x:v>
      </x:c>
      <x:c r="E117" s="9" t="str">
        <x:v>Low concern</x:v>
      </x:c>
      <x:c r="F117" s="9" t="str">
        <x:v>Low concern</x:v>
      </x:c>
      <x:c r="G117" s="9" t="str">
        <x:v>Yes</x:v>
      </x:c>
      <x:c r="H117" s="9" t="str">
        <x:v>Agree</x:v>
      </x:c>
      <x:c r="I117" s="9" t="str">
        <x:v>Low concern</x:v>
      </x:c>
      <x:c r="J117" s="9" t="str">
        <x:v>Initial agreement</x:v>
      </x:c>
      <x:c r="K117" s="9" t="str">
        <x:v>Reference/protocol and principal quantitative outcomes are reported.</x:v>
      </x:c>
      <x:c r="L117" s="9" t="str">
        <x:v>PDF pp. 2–8; Figs. 1–7</x:v>
      </x:c>
      <x:c r="M117" s="9" t="str">
        <x:v>Relevant loading/exposure range, rate or geometry and measurement conditions are stated.</x:v>
      </x:c>
      <x:c r="N117" s="9" t="str">
        <x:v>Article PDF p. 3</x:v>
      </x:c>
      <x:c r="O117" s="9" t="str">
        <x:v>Reference/protocol and principal quantitative outcomes are reported.</x:v>
      </x:c>
      <x:c r="P117" s="9" t="str">
        <x:v>PDF pp. 2–8; Figs. 1–7</x:v>
      </x:c>
    </x:row>
    <x:row r="118">
      <x:c r="A118" s="9" t="n">
        <x:v>15</x:v>
      </x:c>
      <x:c r="B118" s="9" t="str">
        <x:v>S019</x:v>
      </x:c>
      <x:c r="C118" s="9" t="str">
        <x:v>Vu et al. (2021)</x:v>
      </x:c>
      <x:c r="D118" s="9" t="str">
        <x:v>D5</x:v>
      </x:c>
      <x:c r="E118" s="9" t="str">
        <x:v>Some concern</x:v>
      </x:c>
      <x:c r="F118" s="9" t="str">
        <x:v>Low concern</x:v>
      </x:c>
      <x:c r="G118" s="9" t="str">
        <x:v>Yes</x:v>
      </x:c>
      <x:c r="H118" s="9" t="str">
        <x:v>Disagree</x:v>
      </x:c>
      <x:c r="I118" s="9" t="str">
        <x:v>Some concern</x:v>
      </x:c>
      <x:c r="J118" s="9" t="str">
        <x:v>Adjudicated to Reviewer 1</x:v>
      </x:c>
      <x:c r="K118" s="9" t="str">
        <x:v>Study-specific limitations are recorded in the extraction and REB sheets.</x:v>
      </x:c>
      <x:c r="L118" s="9" t="str">
        <x:v>PDF pp. 2–8; Figs. 1–7</x:v>
      </x:c>
      <x:c r="M118" s="9" t="str">
        <x:v>Repeated units/counts and a stability outcome are defined for the stated protocol.</x:v>
      </x:c>
      <x:c r="N118" s="9" t="str">
        <x:v>Article PDF p. 6</x:v>
      </x:c>
      <x:c r="O118" s="9" t="str">
        <x:v>Study-specific limitations are recorded in the extraction and REB sheets.</x:v>
      </x:c>
      <x:c r="P118" s="9" t="str">
        <x:v>PDF pp. 2–8; Figs. 1–7</x:v>
      </x:c>
    </x:row>
    <x:row r="119">
      <x:c r="A119" s="9" t="n">
        <x:v>15</x:v>
      </x:c>
      <x:c r="B119" s="9" t="str">
        <x:v>S019</x:v>
      </x:c>
      <x:c r="C119" s="9" t="str">
        <x:v>Vu et al. (2021)</x:v>
      </x:c>
      <x:c r="D119" s="9" t="str">
        <x:v>D6</x:v>
      </x:c>
      <x:c r="E119" s="9" t="str">
        <x:v>Low concern</x:v>
      </x:c>
      <x:c r="F119" s="9" t="str">
        <x:v>High concern</x:v>
      </x:c>
      <x:c r="G119" s="9" t="str">
        <x:v>Yes</x:v>
      </x:c>
      <x:c r="H119" s="9" t="str">
        <x:v>Disagree</x:v>
      </x:c>
      <x:c r="I119" s="9" t="str">
        <x:v>Low concern</x:v>
      </x:c>
      <x:c r="J119" s="9" t="str">
        <x:v>Adjudicated to Reviewer 1</x:v>
      </x:c>
      <x:c r="K119" s="9" t="str">
        <x:v>At least three separately fabricated sensing units are compared quantitatively.</x:v>
      </x:c>
      <x:c r="L119" s="9" t="str">
        <x:v>PDF pp. 2–8; Figs. 1–7</x:v>
      </x:c>
      <x:c r="M119" s="9" t="str">
        <x:v>Cycles, participants or configurations do not establish replication across three equivalent fabricated devices.</x:v>
      </x:c>
      <x:c r="N119" s="9" t="str">
        <x:v>Article PDF p. 1</x:v>
      </x:c>
      <x:c r="O119" s="9" t="str">
        <x:v>At least three separately fabricated sensing units are compared quantitatively.</x:v>
      </x:c>
      <x:c r="P119" s="9" t="str">
        <x:v>PDF pp. 2–8; Figs. 1–7</x:v>
      </x:c>
    </x:row>
    <x:row r="120">
      <x:c r="A120" s="9" t="n">
        <x:v>15</x:v>
      </x:c>
      <x:c r="B120" s="9" t="str">
        <x:v>S019</x:v>
      </x:c>
      <x:c r="C120" s="9" t="str">
        <x:v>Vu et al. (2021)</x:v>
      </x:c>
      <x:c r="D120" s="9" t="str">
        <x:v>D7</x:v>
      </x:c>
      <x:c r="E120" s="9" t="str">
        <x:v>Low concern</x:v>
      </x:c>
      <x:c r="F120" s="9" t="str">
        <x:v>Some concern</x:v>
      </x:c>
      <x:c r="G120" s="9" t="str">
        <x:v>Yes</x:v>
      </x:c>
      <x:c r="H120" s="9" t="str">
        <x:v>Disagree</x:v>
      </x:c>
      <x:c r="I120" s="9" t="str">
        <x:v>Low concern</x:v>
      </x:c>
      <x:c r="J120" s="9" t="str">
        <x:v>Adjudicated to Reviewer 1</x:v>
      </x:c>
      <x:c r="K120" s="9" t="str">
        <x:v>Reference/protocol and principal quantitative outcomes are reported.</x:v>
      </x:c>
      <x:c r="L120" s="9" t="str">
        <x:v>PDF pp. 2–8; Figs. 1–7</x:v>
      </x:c>
      <x:c r="M120" s="9" t="str">
        <x:v>Principal outcomes are reported, but device-level uncertainty or complete accounting of units/cycles is limited.</x:v>
      </x:c>
      <x:c r="N120" s="9" t="str">
        <x:v>Article PDF p. 8</x:v>
      </x:c>
      <x:c r="O120" s="9" t="str">
        <x:v>Reference/protocol and principal quantitative outcomes are reported.</x:v>
      </x:c>
      <x:c r="P120" s="9" t="str">
        <x:v>PDF pp. 2–8; Figs. 1–7</x:v>
      </x:c>
    </x:row>
    <x:row r="121">
      <x:c r="A121" s="9" t="n">
        <x:v>15</x:v>
      </x:c>
      <x:c r="B121" s="9" t="str">
        <x:v>S019</x:v>
      </x:c>
      <x:c r="C121" s="9" t="str">
        <x:v>Vu et al. (2021)</x:v>
      </x:c>
      <x:c r="D121" s="9" t="str">
        <x:v>D8</x:v>
      </x:c>
      <x:c r="E121" s="9" t="str">
        <x:v>Some concern</x:v>
      </x:c>
      <x:c r="F121" s="9" t="str">
        <x:v>Low concern</x:v>
      </x:c>
      <x:c r="G121" s="9" t="str">
        <x:v>Yes</x:v>
      </x:c>
      <x:c r="H121" s="9" t="str">
        <x:v>Disagree</x:v>
      </x:c>
      <x:c r="I121" s="9" t="str">
        <x:v>Some concern</x:v>
      </x:c>
      <x:c r="J121" s="9" t="str">
        <x:v>Adjudicated to Reviewer 1</x:v>
      </x:c>
      <x:c r="K121" s="9" t="str">
        <x:v>Study-specific limitations are recorded in the extraction and REB sheets.</x:v>
      </x:c>
      <x:c r="L121" s="9" t="str">
        <x:v>PDF pp. 2–8; Figs. 1–7</x:v>
      </x:c>
      <x:c r="M121" s="9" t="str">
        <x:v>The final device was evaluated in a body-worn/use-relevant human configuration.</x:v>
      </x:c>
      <x:c r="N121" s="9" t="str">
        <x:v>Article PDF p. 8</x:v>
      </x:c>
      <x:c r="O121" s="9" t="str">
        <x:v>Study-specific limitations are recorded in the extraction and REB sheets.</x:v>
      </x:c>
      <x:c r="P121" s="9" t="str">
        <x:v>PDF pp. 2–8; Figs. 1–7</x:v>
      </x:c>
    </x:row>
    <x:row r="122">
      <x:c r="A122" s="9" t="n">
        <x:v>16</x:v>
      </x:c>
      <x:c r="B122" s="9" t="str">
        <x:v>S020</x:v>
      </x:c>
      <x:c r="C122" s="9" t="str">
        <x:v>Langlois et al. (2021)</x:v>
      </x:c>
      <x:c r="D122" s="9" t="str">
        <x:v>D1</x:v>
      </x:c>
      <x:c r="E122" s="9" t="str">
        <x:v>Some concern</x:v>
      </x:c>
      <x:c r="F122" s="9" t="str">
        <x:v>Some concern</x:v>
      </x:c>
      <x:c r="G122" s="9" t="str">
        <x:v>Yes</x:v>
      </x:c>
      <x:c r="H122" s="9" t="str">
        <x:v>Agree</x:v>
      </x:c>
      <x:c r="I122" s="9" t="str">
        <x:v>Some concern</x:v>
      </x:c>
      <x:c r="J122" s="9" t="str">
        <x:v>Initial agreement</x:v>
      </x:c>
      <x:c r="K122" s="9" t="str">
        <x:v>Study-specific limitations are recorded in the extraction and REB sheets.</x:v>
      </x:c>
      <x:c r="L122" s="9" t="str">
        <x:v>PDF pp. 5–14; Figs. 5–12</x:v>
      </x:c>
      <x:c r="M122" s="9" t="str">
        <x:v>Some unit/participant counts or selection details are provided, but fabricated-unit selection and failures are not fully accounted for.</x:v>
      </x:c>
      <x:c r="N122" s="9" t="str">
        <x:v>Article PDF p. 14</x:v>
      </x:c>
      <x:c r="O122" s="9" t="str">
        <x:v>Study-specific limitations are recorded in the extraction and REB sheets.</x:v>
      </x:c>
      <x:c r="P122" s="9" t="str">
        <x:v>PDF pp. 5–14; Figs. 5–12</x:v>
      </x:c>
    </x:row>
    <x:row r="123">
      <x:c r="A123" s="9" t="n">
        <x:v>16</x:v>
      </x:c>
      <x:c r="B123" s="9" t="str">
        <x:v>S020</x:v>
      </x:c>
      <x:c r="C123" s="9" t="str">
        <x:v>Langlois et al. (2021)</x:v>
      </x:c>
      <x:c r="D123" s="9" t="str">
        <x:v>D2</x:v>
      </x:c>
      <x:c r="E123" s="9" t="str">
        <x:v>Some concern</x:v>
      </x:c>
      <x:c r="F123" s="9" t="str">
        <x:v>High concern</x:v>
      </x:c>
      <x:c r="G123" s="9" t="str">
        <x:v>Yes</x:v>
      </x:c>
      <x:c r="H123" s="9" t="str">
        <x:v>Disagree</x:v>
      </x:c>
      <x:c r="I123" s="9" t="str">
        <x:v>Some concern</x:v>
      </x:c>
      <x:c r="J123" s="9" t="str">
        <x:v>Adjudicated to Reviewer 1</x:v>
      </x:c>
      <x:c r="K123" s="9" t="str">
        <x:v>Study-specific limitations are recorded in the extraction and REB sheets.</x:v>
      </x:c>
      <x:c r="L123" s="9" t="str">
        <x:v>PDF pp. 5–14; Figs. 5–12</x:v>
      </x:c>
      <x:c r="M123" s="9" t="str">
        <x:v>Key fabrication variables are missing, so process variation cannot be separated confidently from sensor effects.</x:v>
      </x:c>
      <x:c r="N123" s="9" t="str">
        <x:v>Article PDF p. 2</x:v>
      </x:c>
      <x:c r="O123" s="9" t="str">
        <x:v>Study-specific limitations are recorded in the extraction and REB sheets.</x:v>
      </x:c>
      <x:c r="P123" s="9" t="str">
        <x:v>PDF pp. 5–14; Figs. 5–12</x:v>
      </x:c>
    </x:row>
    <x:row r="124">
      <x:c r="A124" s="9" t="n">
        <x:v>16</x:v>
      </x:c>
      <x:c r="B124" s="9" t="str">
        <x:v>S020</x:v>
      </x:c>
      <x:c r="C124" s="9" t="str">
        <x:v>Langlois et al. (2021)</x:v>
      </x:c>
      <x:c r="D124" s="9" t="str">
        <x:v>D3</x:v>
      </x:c>
      <x:c r="E124" s="9" t="str">
        <x:v>Low concern</x:v>
      </x:c>
      <x:c r="F124" s="9" t="str">
        <x:v>Low concern</x:v>
      </x:c>
      <x:c r="G124" s="9" t="str">
        <x:v>Yes</x:v>
      </x:c>
      <x:c r="H124" s="9" t="str">
        <x:v>Agree</x:v>
      </x:c>
      <x:c r="I124" s="9" t="str">
        <x:v>Low concern</x:v>
      </x:c>
      <x:c r="J124" s="9" t="str">
        <x:v>Initial agreement</x:v>
      </x:c>
      <x:c r="K124" s="9" t="str">
        <x:v>Reference/protocol and principal quantitative outcomes are reported.</x:v>
      </x:c>
      <x:c r="L124" s="9" t="str">
        <x:v>PDF pp. 5–14; Figs. 5–12</x:v>
      </x:c>
      <x:c r="M124" s="9" t="str">
        <x:v>The controlled input/reference and calibration procedure are appropriate and independently measured.</x:v>
      </x:c>
      <x:c r="N124" s="9" t="str">
        <x:v>Article PDF p. 14</x:v>
      </x:c>
      <x:c r="O124" s="9" t="str">
        <x:v>Reference/protocol and principal quantitative outcomes are reported.</x:v>
      </x:c>
      <x:c r="P124" s="9" t="str">
        <x:v>PDF pp. 5–14; Figs. 5–12</x:v>
      </x:c>
    </x:row>
    <x:row r="125">
      <x:c r="A125" s="9" t="n">
        <x:v>16</x:v>
      </x:c>
      <x:c r="B125" s="9" t="str">
        <x:v>S020</x:v>
      </x:c>
      <x:c r="C125" s="9" t="str">
        <x:v>Langlois et al. (2021)</x:v>
      </x:c>
      <x:c r="D125" s="9" t="str">
        <x:v>D4</x:v>
      </x:c>
      <x:c r="E125" s="9" t="str">
        <x:v>Low concern</x:v>
      </x:c>
      <x:c r="F125" s="9" t="str">
        <x:v>Low concern</x:v>
      </x:c>
      <x:c r="G125" s="9" t="str">
        <x:v>Yes</x:v>
      </x:c>
      <x:c r="H125" s="9" t="str">
        <x:v>Agree</x:v>
      </x:c>
      <x:c r="I125" s="9" t="str">
        <x:v>Low concern</x:v>
      </x:c>
      <x:c r="J125" s="9" t="str">
        <x:v>Initial agreement</x:v>
      </x:c>
      <x:c r="K125" s="9" t="str">
        <x:v>Reference/protocol and principal quantitative outcomes are reported.</x:v>
      </x:c>
      <x:c r="L125" s="9" t="str">
        <x:v>PDF pp. 5–14; Figs. 5–12</x:v>
      </x:c>
      <x:c r="M125" s="9" t="str">
        <x:v>Relevant loading/exposure range, rate or geometry and measurement conditions are stated.</x:v>
      </x:c>
      <x:c r="N125" s="9" t="str">
        <x:v>Article PDF p. 14</x:v>
      </x:c>
      <x:c r="O125" s="9" t="str">
        <x:v>Reference/protocol and principal quantitative outcomes are reported.</x:v>
      </x:c>
      <x:c r="P125" s="9" t="str">
        <x:v>PDF pp. 5–14; Figs. 5–12</x:v>
      </x:c>
    </x:row>
    <x:row r="126">
      <x:c r="A126" s="9" t="n">
        <x:v>16</x:v>
      </x:c>
      <x:c r="B126" s="9" t="str">
        <x:v>S020</x:v>
      </x:c>
      <x:c r="C126" s="9" t="str">
        <x:v>Langlois et al. (2021)</x:v>
      </x:c>
      <x:c r="D126" s="9" t="str">
        <x:v>D5</x:v>
      </x:c>
      <x:c r="E126" s="9" t="str">
        <x:v>Some concern</x:v>
      </x:c>
      <x:c r="F126" s="9" t="str">
        <x:v>Low concern</x:v>
      </x:c>
      <x:c r="G126" s="9" t="str">
        <x:v>Yes</x:v>
      </x:c>
      <x:c r="H126" s="9" t="str">
        <x:v>Disagree</x:v>
      </x:c>
      <x:c r="I126" s="9" t="str">
        <x:v>Some concern</x:v>
      </x:c>
      <x:c r="J126" s="9" t="str">
        <x:v>Adjudicated to Reviewer 1</x:v>
      </x:c>
      <x:c r="K126" s="9" t="str">
        <x:v>Study-specific limitations are recorded in the extraction and REB sheets.</x:v>
      </x:c>
      <x:c r="L126" s="9" t="str">
        <x:v>PDF pp. 5–14; Figs. 5–12</x:v>
      </x:c>
      <x:c r="M126" s="9" t="str">
        <x:v>Repeated units/counts and a stability outcome are defined for the stated protocol.</x:v>
      </x:c>
      <x:c r="N126" s="9" t="str">
        <x:v>Article PDF p. 8</x:v>
      </x:c>
      <x:c r="O126" s="9" t="str">
        <x:v>Study-specific limitations are recorded in the extraction and REB sheets.</x:v>
      </x:c>
      <x:c r="P126" s="9" t="str">
        <x:v>PDF pp. 5–14; Figs. 5–12</x:v>
      </x:c>
    </x:row>
    <x:row r="127">
      <x:c r="A127" s="9" t="n">
        <x:v>16</x:v>
      </x:c>
      <x:c r="B127" s="9" t="str">
        <x:v>S020</x:v>
      </x:c>
      <x:c r="C127" s="9" t="str">
        <x:v>Langlois et al. (2021)</x:v>
      </x:c>
      <x:c r="D127" s="9" t="str">
        <x:v>D6</x:v>
      </x:c>
      <x:c r="E127" s="9" t="str">
        <x:v>Low concern</x:v>
      </x:c>
      <x:c r="F127" s="9" t="str">
        <x:v>High concern</x:v>
      </x:c>
      <x:c r="G127" s="9" t="str">
        <x:v>Yes</x:v>
      </x:c>
      <x:c r="H127" s="9" t="str">
        <x:v>Disagree</x:v>
      </x:c>
      <x:c r="I127" s="9" t="str">
        <x:v>Low concern</x:v>
      </x:c>
      <x:c r="J127" s="9" t="str">
        <x:v>Adjudicated to Reviewer 1</x:v>
      </x:c>
      <x:c r="K127" s="9" t="str">
        <x:v>At least three separately fabricated sensing units are compared quantitatively.</x:v>
      </x:c>
      <x:c r="L127" s="9" t="str">
        <x:v>PDF pp. 5–14; Figs. 5–12</x:v>
      </x:c>
      <x:c r="M127" s="9" t="str">
        <x:v>Cycles, participants or configurations do not establish replication across three equivalent fabricated devices.</x:v>
      </x:c>
      <x:c r="N127" s="9" t="str">
        <x:v>Article PDF p. 15</x:v>
      </x:c>
      <x:c r="O127" s="9" t="str">
        <x:v>At least three separately fabricated sensing units are compared quantitatively.</x:v>
      </x:c>
      <x:c r="P127" s="9" t="str">
        <x:v>PDF pp. 5–14; Figs. 5–12</x:v>
      </x:c>
    </x:row>
    <x:row r="128">
      <x:c r="A128" s="9" t="n">
        <x:v>16</x:v>
      </x:c>
      <x:c r="B128" s="9" t="str">
        <x:v>S020</x:v>
      </x:c>
      <x:c r="C128" s="9" t="str">
        <x:v>Langlois et al. (2021)</x:v>
      </x:c>
      <x:c r="D128" s="9" t="str">
        <x:v>D7</x:v>
      </x:c>
      <x:c r="E128" s="9" t="str">
        <x:v>Low concern</x:v>
      </x:c>
      <x:c r="F128" s="9" t="str">
        <x:v>Some concern</x:v>
      </x:c>
      <x:c r="G128" s="9" t="str">
        <x:v>Yes</x:v>
      </x:c>
      <x:c r="H128" s="9" t="str">
        <x:v>Disagree</x:v>
      </x:c>
      <x:c r="I128" s="9" t="str">
        <x:v>Low concern</x:v>
      </x:c>
      <x:c r="J128" s="9" t="str">
        <x:v>Adjudicated to Reviewer 1</x:v>
      </x:c>
      <x:c r="K128" s="9" t="str">
        <x:v>Reference/protocol and principal quantitative outcomes are reported.</x:v>
      </x:c>
      <x:c r="L128" s="9" t="str">
        <x:v>PDF pp. 5–14; Figs. 5–12</x:v>
      </x:c>
      <x:c r="M128" s="9" t="str">
        <x:v>Comprehensive bench and human results are shown, but fabricated-device dispersion and full uncertainty are limited.</x:v>
      </x:c>
      <x:c r="N128" s="9" t="str">
        <x:v>Article PDF pp. 10-14, Figures 7-12</x:v>
      </x:c>
      <x:c r="O128" s="9" t="str">
        <x:v>Reference/protocol and principal quantitative outcomes are reported.</x:v>
      </x:c>
      <x:c r="P128" s="9" t="str">
        <x:v>PDF pp. 5–14; Figs. 5–12</x:v>
      </x:c>
    </x:row>
    <x:row r="129">
      <x:c r="A129" s="9" t="n">
        <x:v>16</x:v>
      </x:c>
      <x:c r="B129" s="9" t="str">
        <x:v>S020</x:v>
      </x:c>
      <x:c r="C129" s="9" t="str">
        <x:v>Langlois et al. (2021)</x:v>
      </x:c>
      <x:c r="D129" s="9" t="str">
        <x:v>D8</x:v>
      </x:c>
      <x:c r="E129" s="9" t="str">
        <x:v>Some concern</x:v>
      </x:c>
      <x:c r="F129" s="9" t="str">
        <x:v>Low concern</x:v>
      </x:c>
      <x:c r="G129" s="9" t="str">
        <x:v>Yes</x:v>
      </x:c>
      <x:c r="H129" s="9" t="str">
        <x:v>Disagree</x:v>
      </x:c>
      <x:c r="I129" s="9" t="str">
        <x:v>Some concern</x:v>
      </x:c>
      <x:c r="J129" s="9" t="str">
        <x:v>Adjudicated to Reviewer 1</x:v>
      </x:c>
      <x:c r="K129" s="9" t="str">
        <x:v>Study-specific limitations are recorded in the extraction and REB sheets.</x:v>
      </x:c>
      <x:c r="L129" s="9" t="str">
        <x:v>PDF pp. 5–14; Figs. 5–12</x:v>
      </x:c>
      <x:c r="M129" s="9" t="str">
        <x:v>The final device was evaluated in a body-worn/use-relevant human configuration.</x:v>
      </x:c>
      <x:c r="N129" s="9" t="str">
        <x:v>Article PDF p. 14</x:v>
      </x:c>
      <x:c r="O129" s="9" t="str">
        <x:v>Study-specific limitations are recorded in the extraction and REB sheets.</x:v>
      </x:c>
      <x:c r="P129" s="9" t="str">
        <x:v>PDF pp. 5–14; Figs. 5–12</x:v>
      </x:c>
    </x:row>
    <x:row r="130">
      <x:c r="A130" s="9" t="n">
        <x:v>17</x:v>
      </x:c>
      <x:c r="B130" s="9" t="str">
        <x:v>S021</x:v>
      </x:c>
      <x:c r="C130" s="9" t="str">
        <x:v>Li et al. (2026)</x:v>
      </x:c>
      <x:c r="D130" s="9" t="str">
        <x:v>D1</x:v>
      </x:c>
      <x:c r="E130" s="9" t="str">
        <x:v>High concern</x:v>
      </x:c>
      <x:c r="F130" s="9" t="str">
        <x:v>Some concern</x:v>
      </x:c>
      <x:c r="G130" s="9" t="str">
        <x:v>Yes</x:v>
      </x:c>
      <x:c r="H130" s="9" t="str">
        <x:v>Disagree</x:v>
      </x:c>
      <x:c r="I130" s="9" t="str">
        <x:v>High concern</x:v>
      </x:c>
      <x:c r="J130" s="9" t="str">
        <x:v>Adjudicated to Reviewer 1</x:v>
      </x:c>
      <x:c r="K130" s="9" t="str">
        <x:v>Human evaluation used one participant.</x:v>
      </x:c>
      <x:c r="L130" s="9" t="str">
        <x:v>PDF pp. 3–12; Figs. 1–8; Table 1</x:v>
      </x:c>
      <x:c r="M130" s="9" t="str">
        <x:v>Some unit/participant counts or selection details are provided, but fabricated-unit selection and failures are not fully accounted for.</x:v>
      </x:c>
      <x:c r="N130" s="9" t="str">
        <x:v>Article PDF p. 2</x:v>
      </x:c>
      <x:c r="O130" s="9" t="str">
        <x:v>Human evaluation used one participant.</x:v>
      </x:c>
      <x:c r="P130" s="9" t="str">
        <x:v>PDF pp. 3–12; Figs. 1–8; Table 1</x:v>
      </x:c>
    </x:row>
    <x:row r="131">
      <x:c r="A131" s="9" t="n">
        <x:v>17</x:v>
      </x:c>
      <x:c r="B131" s="9" t="str">
        <x:v>S021</x:v>
      </x:c>
      <x:c r="C131" s="9" t="str">
        <x:v>Li et al. (2026)</x:v>
      </x:c>
      <x:c r="D131" s="9" t="str">
        <x:v>D2</x:v>
      </x:c>
      <x:c r="E131" s="9" t="str">
        <x:v>Some concern</x:v>
      </x:c>
      <x:c r="F131" s="9" t="str">
        <x:v>High concern</x:v>
      </x:c>
      <x:c r="G131" s="9" t="str">
        <x:v>Yes</x:v>
      </x:c>
      <x:c r="H131" s="9" t="str">
        <x:v>Disagree</x:v>
      </x:c>
      <x:c r="I131" s="9" t="str">
        <x:v>Some concern</x:v>
      </x:c>
      <x:c r="J131" s="9" t="str">
        <x:v>Adjudicated to Reviewer 1</x:v>
      </x:c>
      <x:c r="K131" s="9" t="str">
        <x:v>Study-specific limitations are recorded in the extraction and REB sheets.</x:v>
      </x:c>
      <x:c r="L131" s="9" t="str">
        <x:v>PDF pp. 3–12; Figs. 1–8; Table 1</x:v>
      </x:c>
      <x:c r="M131" s="9" t="str">
        <x:v>Key fabrication variables are missing, so process variation cannot be separated confidently from sensor effects.</x:v>
      </x:c>
      <x:c r="N131" s="9" t="str">
        <x:v>Article PDF p. 1</x:v>
      </x:c>
      <x:c r="O131" s="9" t="str">
        <x:v>Study-specific limitations are recorded in the extraction and REB sheets.</x:v>
      </x:c>
      <x:c r="P131" s="9" t="str">
        <x:v>PDF pp. 3–12; Figs. 1–8; Table 1</x:v>
      </x:c>
    </x:row>
    <x:row r="132">
      <x:c r="A132" s="9" t="n">
        <x:v>17</x:v>
      </x:c>
      <x:c r="B132" s="9" t="str">
        <x:v>S021</x:v>
      </x:c>
      <x:c r="C132" s="9" t="str">
        <x:v>Li et al. (2026)</x:v>
      </x:c>
      <x:c r="D132" s="9" t="str">
        <x:v>D3</x:v>
      </x:c>
      <x:c r="E132" s="9" t="str">
        <x:v>Low concern</x:v>
      </x:c>
      <x:c r="F132" s="9" t="str">
        <x:v>Low concern</x:v>
      </x:c>
      <x:c r="G132" s="9" t="str">
        <x:v>Yes</x:v>
      </x:c>
      <x:c r="H132" s="9" t="str">
        <x:v>Agree</x:v>
      </x:c>
      <x:c r="I132" s="9" t="str">
        <x:v>Low concern</x:v>
      </x:c>
      <x:c r="J132" s="9" t="str">
        <x:v>Initial agreement</x:v>
      </x:c>
      <x:c r="K132" s="9" t="str">
        <x:v>Reference/protocol and principal quantitative outcomes are reported.</x:v>
      </x:c>
      <x:c r="L132" s="9" t="str">
        <x:v>PDF pp. 3–12; Figs. 1–8; Table 1</x:v>
      </x:c>
      <x:c r="M132" s="9" t="str">
        <x:v>Reference angles and IMUs provide independent calibration/validation for the optical outputs.</x:v>
      </x:c>
      <x:c r="N132" s="9" t="str">
        <x:v>Article PDF pp. 5-7</x:v>
      </x:c>
      <x:c r="O132" s="9" t="str">
        <x:v>Reference/protocol and principal quantitative outcomes are reported.</x:v>
      </x:c>
      <x:c r="P132" s="9" t="str">
        <x:v>PDF pp. 3–12; Figs. 1–8; Table 1</x:v>
      </x:c>
    </x:row>
    <x:row r="133">
      <x:c r="A133" s="9" t="n">
        <x:v>17</x:v>
      </x:c>
      <x:c r="B133" s="9" t="str">
        <x:v>S021</x:v>
      </x:c>
      <x:c r="C133" s="9" t="str">
        <x:v>Li et al. (2026)</x:v>
      </x:c>
      <x:c r="D133" s="9" t="str">
        <x:v>D4</x:v>
      </x:c>
      <x:c r="E133" s="9" t="str">
        <x:v>Low concern</x:v>
      </x:c>
      <x:c r="F133" s="9" t="str">
        <x:v>Low concern</x:v>
      </x:c>
      <x:c r="G133" s="9" t="str">
        <x:v>Yes</x:v>
      </x:c>
      <x:c r="H133" s="9" t="str">
        <x:v>Agree</x:v>
      </x:c>
      <x:c r="I133" s="9" t="str">
        <x:v>Low concern</x:v>
      </x:c>
      <x:c r="J133" s="9" t="str">
        <x:v>Initial agreement</x:v>
      </x:c>
      <x:c r="K133" s="9" t="str">
        <x:v>Reference/protocol and principal quantitative outcomes are reported.</x:v>
      </x:c>
      <x:c r="L133" s="9" t="str">
        <x:v>PDF pp. 3–12; Figs. 1–8; Table 1</x:v>
      </x:c>
      <x:c r="M133" s="9" t="str">
        <x:v>Joint ranges, reference placement, sessions and movement protocols are specified.</x:v>
      </x:c>
      <x:c r="N133" s="9" t="str">
        <x:v>Article PDF pp. 5-10</x:v>
      </x:c>
      <x:c r="O133" s="9" t="str">
        <x:v>Reference/protocol and principal quantitative outcomes are reported.</x:v>
      </x:c>
      <x:c r="P133" s="9" t="str">
        <x:v>PDF pp. 3–12; Figs. 1–8; Table 1</x:v>
      </x:c>
    </x:row>
    <x:row r="134">
      <x:c r="A134" s="9" t="n">
        <x:v>17</x:v>
      </x:c>
      <x:c r="B134" s="9" t="str">
        <x:v>S021</x:v>
      </x:c>
      <x:c r="C134" s="9" t="str">
        <x:v>Li et al. (2026)</x:v>
      </x:c>
      <x:c r="D134" s="9" t="str">
        <x:v>D5</x:v>
      </x:c>
      <x:c r="E134" s="9" t="str">
        <x:v>Some concern</x:v>
      </x:c>
      <x:c r="F134" s="9" t="str">
        <x:v>High concern</x:v>
      </x:c>
      <x:c r="G134" s="9" t="str">
        <x:v>Yes</x:v>
      </x:c>
      <x:c r="H134" s="9" t="str">
        <x:v>Disagree</x:v>
      </x:c>
      <x:c r="I134" s="9" t="str">
        <x:v>Some concern</x:v>
      </x:c>
      <x:c r="J134" s="9" t="str">
        <x:v>Adjudicated to Reviewer 1</x:v>
      </x:c>
      <x:c r="K134" s="9" t="str">
        <x:v>Study-specific limitations are recorded in the extraction and REB sheets.</x:v>
      </x:c>
      <x:c r="L134" s="9" t="str">
        <x:v>PDF pp. 3–12; Figs. 1–8; Table 1</x:v>
      </x:c>
      <x:c r="M134" s="9" t="str">
        <x:v>A defined repeated-measurement design with an adequate stability analysis is absent.</x:v>
      </x:c>
      <x:c r="N134" s="9" t="str">
        <x:v>Article PDF p. 2</x:v>
      </x:c>
      <x:c r="O134" s="9" t="str">
        <x:v>Study-specific limitations are recorded in the extraction and REB sheets.</x:v>
      </x:c>
      <x:c r="P134" s="9" t="str">
        <x:v>PDF pp. 3–12; Figs. 1–8; Table 1</x:v>
      </x:c>
    </x:row>
    <x:row r="135">
      <x:c r="A135" s="9" t="n">
        <x:v>17</x:v>
      </x:c>
      <x:c r="B135" s="9" t="str">
        <x:v>S021</x:v>
      </x:c>
      <x:c r="C135" s="9" t="str">
        <x:v>Li et al. (2026)</x:v>
      </x:c>
      <x:c r="D135" s="9" t="str">
        <x:v>D6</x:v>
      </x:c>
      <x:c r="E135" s="9" t="str">
        <x:v>High concern</x:v>
      </x:c>
      <x:c r="F135" s="9" t="str">
        <x:v>High concern</x:v>
      </x:c>
      <x:c r="G135" s="9" t="str">
        <x:v>Yes</x:v>
      </x:c>
      <x:c r="H135" s="9" t="str">
        <x:v>Agree</x:v>
      </x:c>
      <x:c r="I135" s="9" t="str">
        <x:v>High concern</x:v>
      </x:c>
      <x:c r="J135" s="9" t="str">
        <x:v>Initial agreement</x:v>
      </x:c>
      <x:c r="K135" s="9" t="str">
        <x:v>No clear quantitative comparison of at least three separate functional devices.</x:v>
      </x:c>
      <x:c r="L135" s="9" t="str">
        <x:v>PDF pp. 3–12; Figs. 1–8; Table 1</x:v>
      </x:c>
      <x:c r="M135" s="9" t="str">
        <x:v>Cycles, participants or configurations do not establish replication across three equivalent fabricated devices.</x:v>
      </x:c>
      <x:c r="N135" s="9" t="str">
        <x:v>Article PDF p. 2</x:v>
      </x:c>
      <x:c r="O135" s="9" t="str">
        <x:v>No clear quantitative comparison of at least three separate functional devices.</x:v>
      </x:c>
      <x:c r="P135" s="9" t="str">
        <x:v>PDF pp. 3–12; Figs. 1–8; Table 1</x:v>
      </x:c>
    </x:row>
    <x:row r="136">
      <x:c r="A136" s="9" t="n">
        <x:v>17</x:v>
      </x:c>
      <x:c r="B136" s="9" t="str">
        <x:v>S021</x:v>
      </x:c>
      <x:c r="C136" s="9" t="str">
        <x:v>Li et al. (2026)</x:v>
      </x:c>
      <x:c r="D136" s="9" t="str">
        <x:v>D7</x:v>
      </x:c>
      <x:c r="E136" s="9" t="str">
        <x:v>Low concern</x:v>
      </x:c>
      <x:c r="F136" s="9" t="str">
        <x:v>Some concern</x:v>
      </x:c>
      <x:c r="G136" s="9" t="str">
        <x:v>Yes</x:v>
      </x:c>
      <x:c r="H136" s="9" t="str">
        <x:v>Disagree</x:v>
      </x:c>
      <x:c r="I136" s="9" t="str">
        <x:v>Low concern</x:v>
      </x:c>
      <x:c r="J136" s="9" t="str">
        <x:v>Adjudicated to Reviewer 1</x:v>
      </x:c>
      <x:c r="K136" s="9" t="str">
        <x:v>Reference/protocol and principal quantitative outcomes are reported.</x:v>
      </x:c>
      <x:c r="L136" s="9" t="str">
        <x:v>PDF pp. 3–12; Figs. 1–8; Table 1</x:v>
      </x:c>
      <x:c r="M136" s="9" t="str">
        <x:v>Principal outcomes are reported, but device-level uncertainty or complete accounting of units/cycles is limited.</x:v>
      </x:c>
      <x:c r="N136" s="9" t="str">
        <x:v>Article PDF p. 2</x:v>
      </x:c>
      <x:c r="O136" s="9" t="str">
        <x:v>Reference/protocol and principal quantitative outcomes are reported.</x:v>
      </x:c>
      <x:c r="P136" s="9" t="str">
        <x:v>PDF pp. 3–12; Figs. 1–8; Table 1</x:v>
      </x:c>
    </x:row>
    <x:row r="137">
      <x:c r="A137" s="9" t="n">
        <x:v>17</x:v>
      </x:c>
      <x:c r="B137" s="9" t="str">
        <x:v>S021</x:v>
      </x:c>
      <x:c r="C137" s="9" t="str">
        <x:v>Li et al. (2026)</x:v>
      </x:c>
      <x:c r="D137" s="9" t="str">
        <x:v>D8</x:v>
      </x:c>
      <x:c r="E137" s="9" t="str">
        <x:v>Some concern</x:v>
      </x:c>
      <x:c r="F137" s="9" t="str">
        <x:v>Low concern</x:v>
      </x:c>
      <x:c r="G137" s="9" t="str">
        <x:v>Yes</x:v>
      </x:c>
      <x:c r="H137" s="9" t="str">
        <x:v>Disagree</x:v>
      </x:c>
      <x:c r="I137" s="9" t="str">
        <x:v>Some concern</x:v>
      </x:c>
      <x:c r="J137" s="9" t="str">
        <x:v>Adjudicated to Reviewer 1</x:v>
      </x:c>
      <x:c r="K137" s="9" t="str">
        <x:v>Study-specific limitations are recorded in the extraction and REB sheets.</x:v>
      </x:c>
      <x:c r="L137" s="9" t="str">
        <x:v>PDF pp. 3–12; Figs. 1–8; Table 1</x:v>
      </x:c>
      <x:c r="M137" s="9" t="str">
        <x:v>The final device was evaluated in a body-worn/use-relevant human configuration.</x:v>
      </x:c>
      <x:c r="N137" s="9" t="str">
        <x:v>Article PDF p. 2</x:v>
      </x:c>
      <x:c r="O137" s="9" t="str">
        <x:v>Study-specific limitations are recorded in the extraction and REB sheets.</x:v>
      </x:c>
      <x:c r="P137" s="9" t="str">
        <x:v>PDF pp. 3–12; Figs. 1–8; Table 1</x:v>
      </x:c>
    </x:row>
    <x:row r="138">
      <x:c r="A138" s="9" t="n">
        <x:v>18</x:v>
      </x:c>
      <x:c r="B138" s="9" t="str">
        <x:v>S022</x:v>
      </x:c>
      <x:c r="C138" s="9" t="str">
        <x:v>Yan et al. (2025)</x:v>
      </x:c>
      <x:c r="D138" s="9" t="str">
        <x:v>D1</x:v>
      </x:c>
      <x:c r="E138" s="9" t="str">
        <x:v>Some concern</x:v>
      </x:c>
      <x:c r="F138" s="9" t="str">
        <x:v>Some concern</x:v>
      </x:c>
      <x:c r="G138" s="9" t="str">
        <x:v>Yes</x:v>
      </x:c>
      <x:c r="H138" s="9" t="str">
        <x:v>Agree</x:v>
      </x:c>
      <x:c r="I138" s="9" t="str">
        <x:v>Some concern</x:v>
      </x:c>
      <x:c r="J138" s="9" t="str">
        <x:v>Initial agreement</x:v>
      </x:c>
      <x:c r="K138" s="9" t="str">
        <x:v>Study-specific limitations are recorded in the extraction and REB sheets.</x:v>
      </x:c>
      <x:c r="L138" s="9" t="str">
        <x:v>PDF pp. 1–9; Figs. 1–6; cited SI</x:v>
      </x:c>
      <x:c r="M138" s="9" t="str">
        <x:v>Some unit/participant counts or selection details are provided, but fabricated-unit selection and failures are not fully accounted for.</x:v>
      </x:c>
      <x:c r="N138" s="9" t="str">
        <x:v>Article PDF p. 1</x:v>
      </x:c>
      <x:c r="O138" s="9" t="str">
        <x:v>Study-specific limitations are recorded in the extraction and REB sheets.</x:v>
      </x:c>
      <x:c r="P138" s="9" t="str">
        <x:v>PDF pp. 1–9; Figs. 1–6; cited SI</x:v>
      </x:c>
    </x:row>
    <x:row r="139">
      <x:c r="A139" s="9" t="n">
        <x:v>18</x:v>
      </x:c>
      <x:c r="B139" s="9" t="str">
        <x:v>S022</x:v>
      </x:c>
      <x:c r="C139" s="9" t="str">
        <x:v>Yan et al. (2025)</x:v>
      </x:c>
      <x:c r="D139" s="9" t="str">
        <x:v>D2</x:v>
      </x:c>
      <x:c r="E139" s="9" t="str">
        <x:v>Some concern</x:v>
      </x:c>
      <x:c r="F139" s="9" t="str">
        <x:v>Low concern</x:v>
      </x:c>
      <x:c r="G139" s="9" t="str">
        <x:v>Yes</x:v>
      </x:c>
      <x:c r="H139" s="9" t="str">
        <x:v>Disagree</x:v>
      </x:c>
      <x:c r="I139" s="9" t="str">
        <x:v>Some concern</x:v>
      </x:c>
      <x:c r="J139" s="9" t="str">
        <x:v>Adjudicated to Reviewer 1</x:v>
      </x:c>
      <x:c r="K139" s="9" t="str">
        <x:v>Study-specific limitations are recorded in the extraction and REB sheets.</x:v>
      </x:c>
      <x:c r="L139" s="9" t="str">
        <x:v>PDF pp. 1–9; Figs. 1–6; cited SI</x:v>
      </x:c>
      <x:c r="M139" s="9" t="str">
        <x:v>Relevant material, geometry, conditioning and extrusion variables are documented sufficiently for the claimed comparison.</x:v>
      </x:c>
      <x:c r="N139" s="9" t="str">
        <x:v>S022_Supplementary.pdf, PDF p. 2</x:v>
      </x:c>
      <x:c r="O139" s="9" t="str">
        <x:v>Study-specific limitations are recorded in the extraction and REB sheets.</x:v>
      </x:c>
      <x:c r="P139" s="9" t="str">
        <x:v>PDF pp. 1–9; Figs. 1–6; cited SI</x:v>
      </x:c>
    </x:row>
    <x:row r="140">
      <x:c r="A140" s="9" t="n">
        <x:v>18</x:v>
      </x:c>
      <x:c r="B140" s="9" t="str">
        <x:v>S022</x:v>
      </x:c>
      <x:c r="C140" s="9" t="str">
        <x:v>Yan et al. (2025)</x:v>
      </x:c>
      <x:c r="D140" s="9" t="str">
        <x:v>D3</x:v>
      </x:c>
      <x:c r="E140" s="9" t="str">
        <x:v>Low concern</x:v>
      </x:c>
      <x:c r="F140" s="9" t="str">
        <x:v>Low concern</x:v>
      </x:c>
      <x:c r="G140" s="9" t="str">
        <x:v>Yes</x:v>
      </x:c>
      <x:c r="H140" s="9" t="str">
        <x:v>Agree</x:v>
      </x:c>
      <x:c r="I140" s="9" t="str">
        <x:v>Low concern</x:v>
      </x:c>
      <x:c r="J140" s="9" t="str">
        <x:v>Initial agreement</x:v>
      </x:c>
      <x:c r="K140" s="9" t="str">
        <x:v>Reference/protocol and principal quantitative outcomes are reported.</x:v>
      </x:c>
      <x:c r="L140" s="9" t="str">
        <x:v>PDF pp. 1–9; Figs. 1–6; cited SI</x:v>
      </x:c>
      <x:c r="M140" s="9" t="str">
        <x:v>The controlled input/reference and calibration procedure are appropriate and independently measured.</x:v>
      </x:c>
      <x:c r="N140" s="9" t="str">
        <x:v>Article PDF p. 4</x:v>
      </x:c>
      <x:c r="O140" s="9" t="str">
        <x:v>Reference/protocol and principal quantitative outcomes are reported.</x:v>
      </x:c>
      <x:c r="P140" s="9" t="str">
        <x:v>PDF pp. 1–9; Figs. 1–6; cited SI</x:v>
      </x:c>
    </x:row>
    <x:row r="141">
      <x:c r="A141" s="9" t="n">
        <x:v>18</x:v>
      </x:c>
      <x:c r="B141" s="9" t="str">
        <x:v>S022</x:v>
      </x:c>
      <x:c r="C141" s="9" t="str">
        <x:v>Yan et al. (2025)</x:v>
      </x:c>
      <x:c r="D141" s="9" t="str">
        <x:v>D4</x:v>
      </x:c>
      <x:c r="E141" s="9" t="str">
        <x:v>Low concern</x:v>
      </x:c>
      <x:c r="F141" s="9" t="str">
        <x:v>Low concern</x:v>
      </x:c>
      <x:c r="G141" s="9" t="str">
        <x:v>Yes</x:v>
      </x:c>
      <x:c r="H141" s="9" t="str">
        <x:v>Agree</x:v>
      </x:c>
      <x:c r="I141" s="9" t="str">
        <x:v>Low concern</x:v>
      </x:c>
      <x:c r="J141" s="9" t="str">
        <x:v>Initial agreement</x:v>
      </x:c>
      <x:c r="K141" s="9" t="str">
        <x:v>Reference/protocol and principal quantitative outcomes are reported.</x:v>
      </x:c>
      <x:c r="L141" s="9" t="str">
        <x:v>PDF pp. 1–9; Figs. 1–6; cited SI</x:v>
      </x:c>
      <x:c r="M141" s="9" t="str">
        <x:v>Relevant loading/exposure range, rate or geometry and measurement conditions are stated.</x:v>
      </x:c>
      <x:c r="N141" s="9" t="str">
        <x:v>Article PDF p. 4</x:v>
      </x:c>
      <x:c r="O141" s="9" t="str">
        <x:v>Reference/protocol and principal quantitative outcomes are reported.</x:v>
      </x:c>
      <x:c r="P141" s="9" t="str">
        <x:v>PDF pp. 1–9; Figs. 1–6; cited SI</x:v>
      </x:c>
    </x:row>
    <x:row r="142">
      <x:c r="A142" s="9" t="n">
        <x:v>18</x:v>
      </x:c>
      <x:c r="B142" s="9" t="str">
        <x:v>S022</x:v>
      </x:c>
      <x:c r="C142" s="9" t="str">
        <x:v>Yan et al. (2025)</x:v>
      </x:c>
      <x:c r="D142" s="9" t="str">
        <x:v>D5</x:v>
      </x:c>
      <x:c r="E142" s="9" t="str">
        <x:v>Some concern</x:v>
      </x:c>
      <x:c r="F142" s="9" t="str">
        <x:v>Low concern</x:v>
      </x:c>
      <x:c r="G142" s="9" t="str">
        <x:v>Yes</x:v>
      </x:c>
      <x:c r="H142" s="9" t="str">
        <x:v>Disagree</x:v>
      </x:c>
      <x:c r="I142" s="9" t="str">
        <x:v>Some concern</x:v>
      </x:c>
      <x:c r="J142" s="9" t="str">
        <x:v>Adjudicated to Reviewer 1</x:v>
      </x:c>
      <x:c r="K142" s="9" t="str">
        <x:v>Study-specific limitations are recorded in the extraction and REB sheets.</x:v>
      </x:c>
      <x:c r="L142" s="9" t="str">
        <x:v>PDF pp. 1–9; Figs. 1–6; cited SI</x:v>
      </x:c>
      <x:c r="M142" s="9" t="str">
        <x:v>Repeated units/counts and a stability outcome are defined for the stated protocol.</x:v>
      </x:c>
      <x:c r="N142" s="9" t="str">
        <x:v>Article PDF p. 1</x:v>
      </x:c>
      <x:c r="O142" s="9" t="str">
        <x:v>Study-specific limitations are recorded in the extraction and REB sheets.</x:v>
      </x:c>
      <x:c r="P142" s="9" t="str">
        <x:v>PDF pp. 1–9; Figs. 1–6; cited SI</x:v>
      </x:c>
    </x:row>
    <x:row r="143">
      <x:c r="A143" s="9" t="n">
        <x:v>18</x:v>
      </x:c>
      <x:c r="B143" s="9" t="str">
        <x:v>S022</x:v>
      </x:c>
      <x:c r="C143" s="9" t="str">
        <x:v>Yan et al. (2025)</x:v>
      </x:c>
      <x:c r="D143" s="9" t="str">
        <x:v>D6</x:v>
      </x:c>
      <x:c r="E143" s="9" t="str">
        <x:v>High concern</x:v>
      </x:c>
      <x:c r="F143" s="9" t="str">
        <x:v>High concern</x:v>
      </x:c>
      <x:c r="G143" s="9" t="str">
        <x:v>Yes</x:v>
      </x:c>
      <x:c r="H143" s="9" t="str">
        <x:v>Agree</x:v>
      </x:c>
      <x:c r="I143" s="9" t="str">
        <x:v>High concern</x:v>
      </x:c>
      <x:c r="J143" s="9" t="str">
        <x:v>Initial agreement</x:v>
      </x:c>
      <x:c r="K143" s="9" t="str">
        <x:v>No clear quantitative comparison of at least three separate functional devices.</x:v>
      </x:c>
      <x:c r="L143" s="9" t="str">
        <x:v>PDF pp. 1–9; Figs. 1–6; cited SI</x:v>
      </x:c>
      <x:c r="M143" s="9" t="str">
        <x:v>Cycles, participants or configurations do not establish replication across three equivalent fabricated devices.</x:v>
      </x:c>
      <x:c r="N143" s="9" t="str">
        <x:v>Article PDF p. 5</x:v>
      </x:c>
      <x:c r="O143" s="9" t="str">
        <x:v>No clear quantitative comparison of at least three separate functional devices.</x:v>
      </x:c>
      <x:c r="P143" s="9" t="str">
        <x:v>PDF pp. 1–9; Figs. 1–6; cited SI</x:v>
      </x:c>
    </x:row>
    <x:row r="144">
      <x:c r="A144" s="9" t="n">
        <x:v>18</x:v>
      </x:c>
      <x:c r="B144" s="9" t="str">
        <x:v>S022</x:v>
      </x:c>
      <x:c r="C144" s="9" t="str">
        <x:v>Yan et al. (2025)</x:v>
      </x:c>
      <x:c r="D144" s="9" t="str">
        <x:v>D7</x:v>
      </x:c>
      <x:c r="E144" s="9" t="str">
        <x:v>Low concern</x:v>
      </x:c>
      <x:c r="F144" s="9" t="str">
        <x:v>Some concern</x:v>
      </x:c>
      <x:c r="G144" s="9" t="str">
        <x:v>Yes</x:v>
      </x:c>
      <x:c r="H144" s="9" t="str">
        <x:v>Disagree</x:v>
      </x:c>
      <x:c r="I144" s="9" t="str">
        <x:v>Low concern</x:v>
      </x:c>
      <x:c r="J144" s="9" t="str">
        <x:v>Adjudicated to Reviewer 1</x:v>
      </x:c>
      <x:c r="K144" s="9" t="str">
        <x:v>Reference/protocol and principal quantitative outcomes are reported.</x:v>
      </x:c>
      <x:c r="L144" s="9" t="str">
        <x:v>PDF pp. 1–9; Figs. 1–6; cited SI</x:v>
      </x:c>
      <x:c r="M144" s="9" t="str">
        <x:v>Principal outcomes are reported, but device-level uncertainty or complete accounting of units/cycles is limited.</x:v>
      </x:c>
      <x:c r="N144" s="9" t="str">
        <x:v>Article PDF p. 4</x:v>
      </x:c>
      <x:c r="O144" s="9" t="str">
        <x:v>Reference/protocol and principal quantitative outcomes are reported.</x:v>
      </x:c>
      <x:c r="P144" s="9" t="str">
        <x:v>PDF pp. 1–9; Figs. 1–6; cited SI</x:v>
      </x:c>
    </x:row>
    <x:row r="145">
      <x:c r="A145" s="9" t="n">
        <x:v>18</x:v>
      </x:c>
      <x:c r="B145" s="9" t="str">
        <x:v>S022</x:v>
      </x:c>
      <x:c r="C145" s="9" t="str">
        <x:v>Yan et al. (2025)</x:v>
      </x:c>
      <x:c r="D145" s="9" t="str">
        <x:v>D8</x:v>
      </x:c>
      <x:c r="E145" s="9" t="str">
        <x:v>Some concern</x:v>
      </x:c>
      <x:c r="F145" s="9" t="str">
        <x:v>Low concern</x:v>
      </x:c>
      <x:c r="G145" s="9" t="str">
        <x:v>Yes</x:v>
      </x:c>
      <x:c r="H145" s="9" t="str">
        <x:v>Disagree</x:v>
      </x:c>
      <x:c r="I145" s="9" t="str">
        <x:v>Some concern</x:v>
      </x:c>
      <x:c r="J145" s="9" t="str">
        <x:v>Adjudicated to Reviewer 1</x:v>
      </x:c>
      <x:c r="K145" s="9" t="str">
        <x:v>Study-specific limitations are recorded in the extraction and REB sheets.</x:v>
      </x:c>
      <x:c r="L145" s="9" t="str">
        <x:v>PDF pp. 1–9; Figs. 1–6; cited SI</x:v>
      </x:c>
      <x:c r="M145" s="9" t="str">
        <x:v>Sensors were mounted at finger and limb joints and in shoe soles for real-time body-motion and plantar-pressure monitoring.</x:v>
      </x:c>
      <x:c r="N145" s="9" t="str">
        <x:v>Article PDF pp. 5-7, Figures 5-7</x:v>
      </x:c>
      <x:c r="O145" s="9" t="str">
        <x:v>Study-specific limitations are recorded in the extraction and REB sheets.</x:v>
      </x:c>
      <x:c r="P145" s="9" t="str">
        <x:v>PDF pp. 1–9; Figs. 1–6; cited SI</x:v>
      </x:c>
    </x:row>
    <x:row r="146">
      <x:c r="A146" s="9" t="n">
        <x:v>19</x:v>
      </x:c>
      <x:c r="B146" s="9" t="str">
        <x:v>S023</x:v>
      </x:c>
      <x:c r="C146" s="9" t="str">
        <x:v>Salo et al. (2022)</x:v>
      </x:c>
      <x:c r="D146" s="9" t="str">
        <x:v>D1</x:v>
      </x:c>
      <x:c r="E146" s="9" t="str">
        <x:v>Some concern</x:v>
      </x:c>
      <x:c r="F146" s="9" t="str">
        <x:v>Low concern</x:v>
      </x:c>
      <x:c r="G146" s="9" t="str">
        <x:v>Yes</x:v>
      </x:c>
      <x:c r="H146" s="9" t="str">
        <x:v>Disagree</x:v>
      </x:c>
      <x:c r="I146" s="9" t="str">
        <x:v>Some concern</x:v>
      </x:c>
      <x:c r="J146" s="9" t="str">
        <x:v>Adjudicated to Reviewer 1</x:v>
      </x:c>
      <x:c r="K146" s="9" t="str">
        <x:v>Study-specific limitations are recorded in the extraction and REB sheets.</x:v>
      </x:c>
      <x:c r="L146" s="9" t="str">
        <x:v>PDF pp. 3–16; Figs. 2–10; Tables 1–2</x:v>
      </x:c>
      <x:c r="M146" s="9" t="str">
        <x:v>Three samples per category and 15 parallel samples are explicitly accounted for, with a defined failure threshold.</x:v>
      </x:c>
      <x:c r="N146" s="9" t="str">
        <x:v>Article PDF pp. 5-6</x:v>
      </x:c>
      <x:c r="O146" s="9" t="str">
        <x:v>Study-specific limitations are recorded in the extraction and REB sheets.</x:v>
      </x:c>
      <x:c r="P146" s="9" t="str">
        <x:v>PDF pp. 3–16; Figs. 2–10; Tables 1–2</x:v>
      </x:c>
    </x:row>
    <x:row r="147">
      <x:c r="A147" s="9" t="n">
        <x:v>19</x:v>
      </x:c>
      <x:c r="B147" s="9" t="str">
        <x:v>S023</x:v>
      </x:c>
      <x:c r="C147" s="9" t="str">
        <x:v>Salo et al. (2022)</x:v>
      </x:c>
      <x:c r="D147" s="9" t="str">
        <x:v>D2</x:v>
      </x:c>
      <x:c r="E147" s="9" t="str">
        <x:v>Some concern</x:v>
      </x:c>
      <x:c r="F147" s="9" t="str">
        <x:v>Low concern</x:v>
      </x:c>
      <x:c r="G147" s="9" t="str">
        <x:v>Yes</x:v>
      </x:c>
      <x:c r="H147" s="9" t="str">
        <x:v>Disagree</x:v>
      </x:c>
      <x:c r="I147" s="9" t="str">
        <x:v>Some concern</x:v>
      </x:c>
      <x:c r="J147" s="9" t="str">
        <x:v>Adjudicated to Reviewer 1</x:v>
      </x:c>
      <x:c r="K147" s="9" t="str">
        <x:v>Study-specific limitations are recorded in the extraction and REB sheets.</x:v>
      </x:c>
      <x:c r="L147" s="9" t="str">
        <x:v>PDF pp. 3–16; Figs. 2–10; Tables 1–2</x:v>
      </x:c>
      <x:c r="M147" s="9" t="str">
        <x:v>Relevant material, geometry, conditioning and extrusion variables are documented sufficiently for the claimed comparison.</x:v>
      </x:c>
      <x:c r="N147" s="9" t="str">
        <x:v>Article PDF p. 3</x:v>
      </x:c>
      <x:c r="O147" s="9" t="str">
        <x:v>Study-specific limitations are recorded in the extraction and REB sheets.</x:v>
      </x:c>
      <x:c r="P147" s="9" t="str">
        <x:v>PDF pp. 3–16; Figs. 2–10; Tables 1–2</x:v>
      </x:c>
    </x:row>
    <x:row r="148">
      <x:c r="A148" s="9" t="n">
        <x:v>19</x:v>
      </x:c>
      <x:c r="B148" s="9" t="str">
        <x:v>S023</x:v>
      </x:c>
      <x:c r="C148" s="9" t="str">
        <x:v>Salo et al. (2022)</x:v>
      </x:c>
      <x:c r="D148" s="9" t="str">
        <x:v>D3</x:v>
      </x:c>
      <x:c r="E148" s="9" t="str">
        <x:v>Low concern</x:v>
      </x:c>
      <x:c r="F148" s="9" t="str">
        <x:v>Low concern</x:v>
      </x:c>
      <x:c r="G148" s="9" t="str">
        <x:v>Yes</x:v>
      </x:c>
      <x:c r="H148" s="9" t="str">
        <x:v>Agree</x:v>
      </x:c>
      <x:c r="I148" s="9" t="str">
        <x:v>Low concern</x:v>
      </x:c>
      <x:c r="J148" s="9" t="str">
        <x:v>Initial agreement</x:v>
      </x:c>
      <x:c r="K148" s="9" t="str">
        <x:v>Reference/protocol and principal quantitative outcomes are reported.</x:v>
      </x:c>
      <x:c r="L148" s="9" t="str">
        <x:v>PDF pp. 3–16; Figs. 2–10; Tables 1–2</x:v>
      </x:c>
      <x:c r="M148" s="9" t="str">
        <x:v>The controlled input/reference and calibration procedure are appropriate and independently measured.</x:v>
      </x:c>
      <x:c r="N148" s="9" t="str">
        <x:v>Article PDF p. 4</x:v>
      </x:c>
      <x:c r="O148" s="9" t="str">
        <x:v>Reference/protocol and principal quantitative outcomes are reported.</x:v>
      </x:c>
      <x:c r="P148" s="9" t="str">
        <x:v>PDF pp. 3–16; Figs. 2–10; Tables 1–2</x:v>
      </x:c>
    </x:row>
    <x:row r="149">
      <x:c r="A149" s="9" t="n">
        <x:v>19</x:v>
      </x:c>
      <x:c r="B149" s="9" t="str">
        <x:v>S023</x:v>
      </x:c>
      <x:c r="C149" s="9" t="str">
        <x:v>Salo et al. (2022)</x:v>
      </x:c>
      <x:c r="D149" s="9" t="str">
        <x:v>D4</x:v>
      </x:c>
      <x:c r="E149" s="9" t="str">
        <x:v>Low concern</x:v>
      </x:c>
      <x:c r="F149" s="9" t="str">
        <x:v>Low concern</x:v>
      </x:c>
      <x:c r="G149" s="9" t="str">
        <x:v>Yes</x:v>
      </x:c>
      <x:c r="H149" s="9" t="str">
        <x:v>Agree</x:v>
      </x:c>
      <x:c r="I149" s="9" t="str">
        <x:v>Low concern</x:v>
      </x:c>
      <x:c r="J149" s="9" t="str">
        <x:v>Initial agreement</x:v>
      </x:c>
      <x:c r="K149" s="9" t="str">
        <x:v>Reference/protocol and principal quantitative outcomes are reported.</x:v>
      </x:c>
      <x:c r="L149" s="9" t="str">
        <x:v>PDF pp. 3–16; Figs. 2–10; Tables 1–2</x:v>
      </x:c>
      <x:c r="M149" s="9" t="str">
        <x:v>Relevant loading/exposure range, rate or geometry and measurement conditions are stated.</x:v>
      </x:c>
      <x:c r="N149" s="9" t="str">
        <x:v>Article PDF p. 17</x:v>
      </x:c>
      <x:c r="O149" s="9" t="str">
        <x:v>Reference/protocol and principal quantitative outcomes are reported.</x:v>
      </x:c>
      <x:c r="P149" s="9" t="str">
        <x:v>PDF pp. 3–16; Figs. 2–10; Tables 1–2</x:v>
      </x:c>
    </x:row>
    <x:row r="150">
      <x:c r="A150" s="9" t="n">
        <x:v>19</x:v>
      </x:c>
      <x:c r="B150" s="9" t="str">
        <x:v>S023</x:v>
      </x:c>
      <x:c r="C150" s="9" t="str">
        <x:v>Salo et al. (2022)</x:v>
      </x:c>
      <x:c r="D150" s="9" t="str">
        <x:v>D5</x:v>
      </x:c>
      <x:c r="E150" s="9" t="str">
        <x:v>Some concern</x:v>
      </x:c>
      <x:c r="F150" s="9" t="str">
        <x:v>Low concern</x:v>
      </x:c>
      <x:c r="G150" s="9" t="str">
        <x:v>Yes</x:v>
      </x:c>
      <x:c r="H150" s="9" t="str">
        <x:v>Disagree</x:v>
      </x:c>
      <x:c r="I150" s="9" t="str">
        <x:v>Some concern</x:v>
      </x:c>
      <x:c r="J150" s="9" t="str">
        <x:v>Adjudicated to Reviewer 1</x:v>
      </x:c>
      <x:c r="K150" s="9" t="str">
        <x:v>Study-specific limitations are recorded in the extraction and REB sheets.</x:v>
      </x:c>
      <x:c r="L150" s="9" t="str">
        <x:v>PDF pp. 3–16; Figs. 2–10; Tables 1–2</x:v>
      </x:c>
      <x:c r="M150" s="9" t="str">
        <x:v>Repeated units/counts and a stability outcome are defined for the stated protocol.</x:v>
      </x:c>
      <x:c r="N150" s="9" t="str">
        <x:v>Article PDF p. 11</x:v>
      </x:c>
      <x:c r="O150" s="9" t="str">
        <x:v>Study-specific limitations are recorded in the extraction and REB sheets.</x:v>
      </x:c>
      <x:c r="P150" s="9" t="str">
        <x:v>PDF pp. 3–16; Figs. 2–10; Tables 1–2</x:v>
      </x:c>
    </x:row>
    <x:row r="151">
      <x:c r="A151" s="9" t="n">
        <x:v>19</x:v>
      </x:c>
      <x:c r="B151" s="9" t="str">
        <x:v>S023</x:v>
      </x:c>
      <x:c r="C151" s="9" t="str">
        <x:v>Salo et al. (2022)</x:v>
      </x:c>
      <x:c r="D151" s="9" t="str">
        <x:v>D6</x:v>
      </x:c>
      <x:c r="E151" s="9" t="str">
        <x:v>Low concern</x:v>
      </x:c>
      <x:c r="F151" s="9" t="str">
        <x:v>Low concern</x:v>
      </x:c>
      <x:c r="G151" s="9" t="str">
        <x:v>Yes</x:v>
      </x:c>
      <x:c r="H151" s="9" t="str">
        <x:v>Agree</x:v>
      </x:c>
      <x:c r="I151" s="9" t="str">
        <x:v>Low concern</x:v>
      </x:c>
      <x:c r="J151" s="9" t="str">
        <x:v>Initial agreement</x:v>
      </x:c>
      <x:c r="K151" s="9" t="str">
        <x:v>At least three separately fabricated sensing units are compared quantitatively.</x:v>
      </x:c>
      <x:c r="L151" s="9" t="str">
        <x:v>PDF pp. 3–16; Figs. 2–10; Tables 1–2</x:v>
      </x:c>
      <x:c r="M151" s="9" t="str">
        <x:v>Equivalent printed specimens were tested in triplicate and individual resistance was recorded.</x:v>
      </x:c>
      <x:c r="N151" s="9" t="str">
        <x:v>Article PDF pp. 5-6</x:v>
      </x:c>
      <x:c r="O151" s="9" t="str">
        <x:v>At least three separately fabricated sensing units are compared quantitatively.</x:v>
      </x:c>
      <x:c r="P151" s="9" t="str">
        <x:v>PDF pp. 3–16; Figs. 2–10; Tables 1–2</x:v>
      </x:c>
    </x:row>
    <x:row r="152">
      <x:c r="A152" s="9" t="n">
        <x:v>19</x:v>
      </x:c>
      <x:c r="B152" s="9" t="str">
        <x:v>S023</x:v>
      </x:c>
      <x:c r="C152" s="9" t="str">
        <x:v>Salo et al. (2022)</x:v>
      </x:c>
      <x:c r="D152" s="9" t="str">
        <x:v>D7</x:v>
      </x:c>
      <x:c r="E152" s="9" t="str">
        <x:v>Low concern</x:v>
      </x:c>
      <x:c r="F152" s="9" t="str">
        <x:v>Low concern</x:v>
      </x:c>
      <x:c r="G152" s="9" t="str">
        <x:v>Yes</x:v>
      </x:c>
      <x:c r="H152" s="9" t="str">
        <x:v>Agree</x:v>
      </x:c>
      <x:c r="I152" s="9" t="str">
        <x:v>Low concern</x:v>
      </x:c>
      <x:c r="J152" s="9" t="str">
        <x:v>Initial agreement</x:v>
      </x:c>
      <x:c r="K152" s="9" t="str">
        <x:v>Reference/protocol and principal quantitative outcomes are reported.</x:v>
      </x:c>
      <x:c r="L152" s="9" t="str">
        <x:v>PDF pp. 3–16; Figs. 2–10; Tables 1–2</x:v>
      </x:c>
      <x:c r="M152" s="9" t="str">
        <x:v>All sample groups, cycle counts and failures are reported with individual electrical measurements.</x:v>
      </x:c>
      <x:c r="N152" s="9" t="str">
        <x:v>Article PDF pp. 5-8, Figures 2-4</x:v>
      </x:c>
      <x:c r="O152" s="9" t="str">
        <x:v>Reference/protocol and principal quantitative outcomes are reported.</x:v>
      </x:c>
      <x:c r="P152" s="9" t="str">
        <x:v>PDF pp. 3–16; Figs. 2–10; Tables 1–2</x:v>
      </x:c>
    </x:row>
    <x:row r="153">
      <x:c r="A153" s="9" t="n">
        <x:v>19</x:v>
      </x:c>
      <x:c r="B153" s="9" t="str">
        <x:v>S023</x:v>
      </x:c>
      <x:c r="C153" s="9" t="str">
        <x:v>Salo et al. (2022)</x:v>
      </x:c>
      <x:c r="D153" s="9" t="str">
        <x:v>D8</x:v>
      </x:c>
      <x:c r="E153" s="9" t="str">
        <x:v>Some concern</x:v>
      </x:c>
      <x:c r="F153" s="9" t="str">
        <x:v>Some concern</x:v>
      </x:c>
      <x:c r="G153" s="9" t="str">
        <x:v>Yes</x:v>
      </x:c>
      <x:c r="H153" s="9" t="str">
        <x:v>Agree</x:v>
      </x:c>
      <x:c r="I153" s="9" t="str">
        <x:v>Some concern</x:v>
      </x:c>
      <x:c r="J153" s="9" t="str">
        <x:v>Initial agreement</x:v>
      </x:c>
      <x:c r="K153" s="9" t="str">
        <x:v>Wearable relevance is component-level; no body-worn assembly was tested.</x:v>
      </x:c>
      <x:c r="L153" s="9" t="str">
        <x:v>PDF pp. 3–16; Figs. 2–10; Tables 1–2</x:v>
      </x:c>
      <x:c r="M153" s="9" t="str">
        <x:v>A wearable form or application-relevant loading is shown, but direct body-worn validation is limited or absent.</x:v>
      </x:c>
      <x:c r="N153" s="9" t="str">
        <x:v>Article PDF p. 15</x:v>
      </x:c>
      <x:c r="O153" s="9" t="str">
        <x:v>Wearable relevance is component-level; no body-worn assembly was tested.</x:v>
      </x:c>
      <x:c r="P153" s="9" t="str">
        <x:v>PDF pp. 3–16; Figs. 2–10; Tables 1–2</x:v>
      </x:c>
    </x:row>
    <x:row r="154">
      <x:c r="A154" s="9" t="n">
        <x:v>20</x:v>
      </x:c>
      <x:c r="B154" s="9" t="str">
        <x:v>S024</x:v>
      </x:c>
      <x:c r="C154" s="9" t="str">
        <x:v>Han et al. (2026)</x:v>
      </x:c>
      <x:c r="D154" s="9" t="str">
        <x:v>D1</x:v>
      </x:c>
      <x:c r="E154" s="9" t="str">
        <x:v>Some concern</x:v>
      </x:c>
      <x:c r="F154" s="9" t="str">
        <x:v>Some concern</x:v>
      </x:c>
      <x:c r="G154" s="9" t="str">
        <x:v>Yes</x:v>
      </x:c>
      <x:c r="H154" s="9" t="str">
        <x:v>Agree</x:v>
      </x:c>
      <x:c r="I154" s="9" t="str">
        <x:v>Some concern</x:v>
      </x:c>
      <x:c r="J154" s="9" t="str">
        <x:v>Initial agreement</x:v>
      </x:c>
      <x:c r="K154" s="9" t="str">
        <x:v>Study-specific limitations are recorded in the extraction and REB sheets.</x:v>
      </x:c>
      <x:c r="L154" s="9" t="str">
        <x:v>PDF pp. 2–11; Figs. 1–6; cited SI</x:v>
      </x:c>
      <x:c r="M154" s="9" t="str">
        <x:v>Some unit/participant counts or selection details are provided, but fabricated-unit selection and failures are not fully accounted for.</x:v>
      </x:c>
      <x:c r="N154" s="9" t="str">
        <x:v>Article PDF p. 4</x:v>
      </x:c>
      <x:c r="O154" s="9" t="str">
        <x:v>Study-specific limitations are recorded in the extraction and REB sheets.</x:v>
      </x:c>
      <x:c r="P154" s="9" t="str">
        <x:v>PDF pp. 2–11; Figs. 1–6; cited SI</x:v>
      </x:c>
    </x:row>
    <x:row r="155">
      <x:c r="A155" s="9" t="n">
        <x:v>20</x:v>
      </x:c>
      <x:c r="B155" s="9" t="str">
        <x:v>S024</x:v>
      </x:c>
      <x:c r="C155" s="9" t="str">
        <x:v>Han et al. (2026)</x:v>
      </x:c>
      <x:c r="D155" s="9" t="str">
        <x:v>D2</x:v>
      </x:c>
      <x:c r="E155" s="9" t="str">
        <x:v>Some concern</x:v>
      </x:c>
      <x:c r="F155" s="9" t="str">
        <x:v>Some concern</x:v>
      </x:c>
      <x:c r="G155" s="9" t="str">
        <x:v>Yes</x:v>
      </x:c>
      <x:c r="H155" s="9" t="str">
        <x:v>Agree</x:v>
      </x:c>
      <x:c r="I155" s="9" t="str">
        <x:v>Some concern</x:v>
      </x:c>
      <x:c r="J155" s="9" t="str">
        <x:v>Initial agreement</x:v>
      </x:c>
      <x:c r="K155" s="9" t="str">
        <x:v>Study-specific limitations are recorded in the extraction and REB sheets.</x:v>
      </x:c>
      <x:c r="L155" s="9" t="str">
        <x:v>PDF pp. 2–11; Figs. 1–6; cited SI</x:v>
      </x:c>
      <x:c r="M155" s="9" t="str">
        <x:v>Several fabrication controls are documented, but omitted settings leave residual process-confounding concern.</x:v>
      </x:c>
      <x:c r="N155" s="9" t="str">
        <x:v>Article PDF p. 11</x:v>
      </x:c>
      <x:c r="O155" s="9" t="str">
        <x:v>Study-specific limitations are recorded in the extraction and REB sheets.</x:v>
      </x:c>
      <x:c r="P155" s="9" t="str">
        <x:v>PDF pp. 2–11; Figs. 1–6; cited SI</x:v>
      </x:c>
    </x:row>
    <x:row r="156">
      <x:c r="A156" s="9" t="n">
        <x:v>20</x:v>
      </x:c>
      <x:c r="B156" s="9" t="str">
        <x:v>S024</x:v>
      </x:c>
      <x:c r="C156" s="9" t="str">
        <x:v>Han et al. (2026)</x:v>
      </x:c>
      <x:c r="D156" s="9" t="str">
        <x:v>D3</x:v>
      </x:c>
      <x:c r="E156" s="9" t="str">
        <x:v>Low concern</x:v>
      </x:c>
      <x:c r="F156" s="9" t="str">
        <x:v>Low concern</x:v>
      </x:c>
      <x:c r="G156" s="9" t="str">
        <x:v>Yes</x:v>
      </x:c>
      <x:c r="H156" s="9" t="str">
        <x:v>Agree</x:v>
      </x:c>
      <x:c r="I156" s="9" t="str">
        <x:v>Low concern</x:v>
      </x:c>
      <x:c r="J156" s="9" t="str">
        <x:v>Initial agreement</x:v>
      </x:c>
      <x:c r="K156" s="9" t="str">
        <x:v>Reference/protocol and principal quantitative outcomes are reported.</x:v>
      </x:c>
      <x:c r="L156" s="9" t="str">
        <x:v>PDF pp. 2–11; Figs. 1–6; cited SI</x:v>
      </x:c>
      <x:c r="M156" s="9" t="str">
        <x:v>The controlled input/reference and calibration procedure are appropriate and independently measured.</x:v>
      </x:c>
      <x:c r="N156" s="9" t="str">
        <x:v>Article PDF p. 11</x:v>
      </x:c>
      <x:c r="O156" s="9" t="str">
        <x:v>Reference/protocol and principal quantitative outcomes are reported.</x:v>
      </x:c>
      <x:c r="P156" s="9" t="str">
        <x:v>PDF pp. 2–11; Figs. 1–6; cited SI</x:v>
      </x:c>
    </x:row>
    <x:row r="157">
      <x:c r="A157" s="9" t="n">
        <x:v>20</x:v>
      </x:c>
      <x:c r="B157" s="9" t="str">
        <x:v>S024</x:v>
      </x:c>
      <x:c r="C157" s="9" t="str">
        <x:v>Han et al. (2026)</x:v>
      </x:c>
      <x:c r="D157" s="9" t="str">
        <x:v>D4</x:v>
      </x:c>
      <x:c r="E157" s="9" t="str">
        <x:v>Low concern</x:v>
      </x:c>
      <x:c r="F157" s="9" t="str">
        <x:v>Low concern</x:v>
      </x:c>
      <x:c r="G157" s="9" t="str">
        <x:v>Yes</x:v>
      </x:c>
      <x:c r="H157" s="9" t="str">
        <x:v>Agree</x:v>
      </x:c>
      <x:c r="I157" s="9" t="str">
        <x:v>Low concern</x:v>
      </x:c>
      <x:c r="J157" s="9" t="str">
        <x:v>Initial agreement</x:v>
      </x:c>
      <x:c r="K157" s="9" t="str">
        <x:v>Reference/protocol and principal quantitative outcomes are reported.</x:v>
      </x:c>
      <x:c r="L157" s="9" t="str">
        <x:v>PDF pp. 2–11; Figs. 1–6; cited SI</x:v>
      </x:c>
      <x:c r="M157" s="9" t="str">
        <x:v>Relevant loading/exposure range, rate or geometry and measurement conditions are stated.</x:v>
      </x:c>
      <x:c r="N157" s="9" t="str">
        <x:v>Article PDF p. 4</x:v>
      </x:c>
      <x:c r="O157" s="9" t="str">
        <x:v>Reference/protocol and principal quantitative outcomes are reported.</x:v>
      </x:c>
      <x:c r="P157" s="9" t="str">
        <x:v>PDF pp. 2–11; Figs. 1–6; cited SI</x:v>
      </x:c>
    </x:row>
    <x:row r="158">
      <x:c r="A158" s="9" t="n">
        <x:v>20</x:v>
      </x:c>
      <x:c r="B158" s="9" t="str">
        <x:v>S024</x:v>
      </x:c>
      <x:c r="C158" s="9" t="str">
        <x:v>Han et al. (2026)</x:v>
      </x:c>
      <x:c r="D158" s="9" t="str">
        <x:v>D5</x:v>
      </x:c>
      <x:c r="E158" s="9" t="str">
        <x:v>Some concern</x:v>
      </x:c>
      <x:c r="F158" s="9" t="str">
        <x:v>Low concern</x:v>
      </x:c>
      <x:c r="G158" s="9" t="str">
        <x:v>Yes</x:v>
      </x:c>
      <x:c r="H158" s="9" t="str">
        <x:v>Disagree</x:v>
      </x:c>
      <x:c r="I158" s="9" t="str">
        <x:v>Some concern</x:v>
      </x:c>
      <x:c r="J158" s="9" t="str">
        <x:v>Adjudicated to Reviewer 1</x:v>
      </x:c>
      <x:c r="K158" s="9" t="str">
        <x:v>Study-specific limitations are recorded in the extraction and REB sheets.</x:v>
      </x:c>
      <x:c r="L158" s="9" t="str">
        <x:v>PDF pp. 2–11; Figs. 1–6; cited SI</x:v>
      </x:c>
      <x:c r="M158" s="9" t="str">
        <x:v>Repeated units/counts and a stability outcome are defined for the stated protocol.</x:v>
      </x:c>
      <x:c r="N158" s="9" t="str">
        <x:v>Article PDF p. 5</x:v>
      </x:c>
      <x:c r="O158" s="9" t="str">
        <x:v>Study-specific limitations are recorded in the extraction and REB sheets.</x:v>
      </x:c>
      <x:c r="P158" s="9" t="str">
        <x:v>PDF pp. 2–11; Figs. 1–6; cited SI</x:v>
      </x:c>
    </x:row>
    <x:row r="159">
      <x:c r="A159" s="9" t="n">
        <x:v>20</x:v>
      </x:c>
      <x:c r="B159" s="9" t="str">
        <x:v>S024</x:v>
      </x:c>
      <x:c r="C159" s="9" t="str">
        <x:v>Han et al. (2026)</x:v>
      </x:c>
      <x:c r="D159" s="9" t="str">
        <x:v>D6</x:v>
      </x:c>
      <x:c r="E159" s="9" t="str">
        <x:v>High concern</x:v>
      </x:c>
      <x:c r="F159" s="9" t="str">
        <x:v>High concern</x:v>
      </x:c>
      <x:c r="G159" s="9" t="str">
        <x:v>Yes</x:v>
      </x:c>
      <x:c r="H159" s="9" t="str">
        <x:v>Agree</x:v>
      </x:c>
      <x:c r="I159" s="9" t="str">
        <x:v>High concern</x:v>
      </x:c>
      <x:c r="J159" s="9" t="str">
        <x:v>Initial agreement</x:v>
      </x:c>
      <x:c r="K159" s="9" t="str">
        <x:v>No clear quantitative comparison of at least three separate functional devices.</x:v>
      </x:c>
      <x:c r="L159" s="9" t="str">
        <x:v>PDF pp. 2–11; Figs. 1–6; cited SI</x:v>
      </x:c>
      <x:c r="M159" s="9" t="str">
        <x:v>Cycles, participants or configurations do not establish replication across three equivalent fabricated devices.</x:v>
      </x:c>
      <x:c r="N159" s="9" t="str">
        <x:v>Article PDF p. 4</x:v>
      </x:c>
      <x:c r="O159" s="9" t="str">
        <x:v>No clear quantitative comparison of at least three separate functional devices.</x:v>
      </x:c>
      <x:c r="P159" s="9" t="str">
        <x:v>PDF pp. 2–11; Figs. 1–6; cited SI</x:v>
      </x:c>
    </x:row>
    <x:row r="160">
      <x:c r="A160" s="9" t="n">
        <x:v>20</x:v>
      </x:c>
      <x:c r="B160" s="9" t="str">
        <x:v>S024</x:v>
      </x:c>
      <x:c r="C160" s="9" t="str">
        <x:v>Han et al. (2026)</x:v>
      </x:c>
      <x:c r="D160" s="9" t="str">
        <x:v>D7</x:v>
      </x:c>
      <x:c r="E160" s="9" t="str">
        <x:v>Low concern</x:v>
      </x:c>
      <x:c r="F160" s="9" t="str">
        <x:v>Some concern</x:v>
      </x:c>
      <x:c r="G160" s="9" t="str">
        <x:v>Yes</x:v>
      </x:c>
      <x:c r="H160" s="9" t="str">
        <x:v>Disagree</x:v>
      </x:c>
      <x:c r="I160" s="9" t="str">
        <x:v>Low concern</x:v>
      </x:c>
      <x:c r="J160" s="9" t="str">
        <x:v>Adjudicated to Reviewer 1</x:v>
      </x:c>
      <x:c r="K160" s="9" t="str">
        <x:v>Reference/protocol and principal quantitative outcomes are reported.</x:v>
      </x:c>
      <x:c r="L160" s="9" t="str">
        <x:v>PDF pp. 2–11; Figs. 1–6; cited SI</x:v>
      </x:c>
      <x:c r="M160" s="9" t="str">
        <x:v>Principal outcomes are reported, but device-level uncertainty or complete accounting of units/cycles is limited.</x:v>
      </x:c>
      <x:c r="N160" s="9" t="str">
        <x:v>Article PDF p. 4</x:v>
      </x:c>
      <x:c r="O160" s="9" t="str">
        <x:v>Reference/protocol and principal quantitative outcomes are reported.</x:v>
      </x:c>
      <x:c r="P160" s="9" t="str">
        <x:v>PDF pp. 2–11; Figs. 1–6; cited SI</x:v>
      </x:c>
    </x:row>
    <x:row r="161">
      <x:c r="A161" s="9" t="n">
        <x:v>20</x:v>
      </x:c>
      <x:c r="B161" s="9" t="str">
        <x:v>S024</x:v>
      </x:c>
      <x:c r="C161" s="9" t="str">
        <x:v>Han et al. (2026)</x:v>
      </x:c>
      <x:c r="D161" s="9" t="str">
        <x:v>D8</x:v>
      </x:c>
      <x:c r="E161" s="9" t="str">
        <x:v>Some concern</x:v>
      </x:c>
      <x:c r="F161" s="9" t="str">
        <x:v>Low concern</x:v>
      </x:c>
      <x:c r="G161" s="9" t="str">
        <x:v>Yes</x:v>
      </x:c>
      <x:c r="H161" s="9" t="str">
        <x:v>Disagree</x:v>
      </x:c>
      <x:c r="I161" s="9" t="str">
        <x:v>Some concern</x:v>
      </x:c>
      <x:c r="J161" s="9" t="str">
        <x:v>Adjudicated to Reviewer 1</x:v>
      </x:c>
      <x:c r="K161" s="9" t="str">
        <x:v>Study-specific limitations are recorded in the extraction and REB sheets.</x:v>
      </x:c>
      <x:c r="L161" s="9" t="str">
        <x:v>PDF pp. 2–11; Figs. 1–6; cited SI</x:v>
      </x:c>
      <x:c r="M161" s="9" t="str">
        <x:v>The final device was evaluated in a body-worn/use-relevant human configuration.</x:v>
      </x:c>
      <x:c r="N161" s="9" t="str">
        <x:v>Article PDF p. 6</x:v>
      </x:c>
      <x:c r="O161" s="9" t="str">
        <x:v>Study-specific limitations are recorded in the extraction and REB sheets.</x:v>
      </x:c>
      <x:c r="P161" s="9" t="str">
        <x:v>PDF pp. 2–11; Figs. 1–6; cited SI</x:v>
      </x:c>
    </x:row>
    <x:row r="162">
      <x:c r="A162" s="9" t="n">
        <x:v>21</x:v>
      </x:c>
      <x:c r="B162" s="9" t="str">
        <x:v>S025</x:v>
      </x:c>
      <x:c r="C162" s="9" t="str">
        <x:v>Wei et al. (2026)</x:v>
      </x:c>
      <x:c r="D162" s="9" t="str">
        <x:v>D1</x:v>
      </x:c>
      <x:c r="E162" s="9" t="str">
        <x:v>Some concern</x:v>
      </x:c>
      <x:c r="F162" s="9" t="str">
        <x:v>Some concern</x:v>
      </x:c>
      <x:c r="G162" s="9" t="str">
        <x:v>Yes</x:v>
      </x:c>
      <x:c r="H162" s="9" t="str">
        <x:v>Agree</x:v>
      </x:c>
      <x:c r="I162" s="9" t="str">
        <x:v>Some concern</x:v>
      </x:c>
      <x:c r="J162" s="9" t="str">
        <x:v>Initial agreement</x:v>
      </x:c>
      <x:c r="K162" s="9" t="str">
        <x:v>Study-specific limitations are recorded in the extraction and REB sheets.</x:v>
      </x:c>
      <x:c r="L162" s="9" t="str">
        <x:v>PDF pp. 2–10; Figs. 1–6; Table 1; cited SI</x:v>
      </x:c>
      <x:c r="M162" s="9" t="str">
        <x:v>Some unit/participant counts or selection details are provided, but fabricated-unit selection and failures are not fully accounted for.</x:v>
      </x:c>
      <x:c r="N162" s="9" t="str">
        <x:v>Article PDF p. 2</x:v>
      </x:c>
      <x:c r="O162" s="9" t="str">
        <x:v>Study-specific limitations are recorded in the extraction and REB sheets.</x:v>
      </x:c>
      <x:c r="P162" s="9" t="str">
        <x:v>PDF pp. 2–10; Figs. 1–6; Table 1; cited SI</x:v>
      </x:c>
    </x:row>
    <x:row r="163">
      <x:c r="A163" s="9" t="n">
        <x:v>21</x:v>
      </x:c>
      <x:c r="B163" s="9" t="str">
        <x:v>S025</x:v>
      </x:c>
      <x:c r="C163" s="9" t="str">
        <x:v>Wei et al. (2026)</x:v>
      </x:c>
      <x:c r="D163" s="9" t="str">
        <x:v>D2</x:v>
      </x:c>
      <x:c r="E163" s="9" t="str">
        <x:v>Some concern</x:v>
      </x:c>
      <x:c r="F163" s="9" t="str">
        <x:v>Some concern</x:v>
      </x:c>
      <x:c r="G163" s="9" t="str">
        <x:v>Yes</x:v>
      </x:c>
      <x:c r="H163" s="9" t="str">
        <x:v>Agree</x:v>
      </x:c>
      <x:c r="I163" s="9" t="str">
        <x:v>Some concern</x:v>
      </x:c>
      <x:c r="J163" s="9" t="str">
        <x:v>Initial agreement</x:v>
      </x:c>
      <x:c r="K163" s="9" t="str">
        <x:v>Study-specific limitations are recorded in the extraction and REB sheets.</x:v>
      </x:c>
      <x:c r="L163" s="9" t="str">
        <x:v>PDF pp. 2–10; Figs. 1–6; Table 1; cited SI</x:v>
      </x:c>
      <x:c r="M163" s="9" t="str">
        <x:v>Several fabrication controls are documented, but omitted settings leave residual process-confounding concern.</x:v>
      </x:c>
      <x:c r="N163" s="9" t="str">
        <x:v>Article PDF p. 2</x:v>
      </x:c>
      <x:c r="O163" s="9" t="str">
        <x:v>Study-specific limitations are recorded in the extraction and REB sheets.</x:v>
      </x:c>
      <x:c r="P163" s="9" t="str">
        <x:v>PDF pp. 2–10; Figs. 1–6; Table 1; cited SI</x:v>
      </x:c>
    </x:row>
    <x:row r="164">
      <x:c r="A164" s="9" t="n">
        <x:v>21</x:v>
      </x:c>
      <x:c r="B164" s="9" t="str">
        <x:v>S025</x:v>
      </x:c>
      <x:c r="C164" s="9" t="str">
        <x:v>Wei et al. (2026)</x:v>
      </x:c>
      <x:c r="D164" s="9" t="str">
        <x:v>D3</x:v>
      </x:c>
      <x:c r="E164" s="9" t="str">
        <x:v>Low concern</x:v>
      </x:c>
      <x:c r="F164" s="9" t="str">
        <x:v>Low concern</x:v>
      </x:c>
      <x:c r="G164" s="9" t="str">
        <x:v>Yes</x:v>
      </x:c>
      <x:c r="H164" s="9" t="str">
        <x:v>Agree</x:v>
      </x:c>
      <x:c r="I164" s="9" t="str">
        <x:v>Low concern</x:v>
      </x:c>
      <x:c r="J164" s="9" t="str">
        <x:v>Initial agreement</x:v>
      </x:c>
      <x:c r="K164" s="9" t="str">
        <x:v>Reference/protocol and principal quantitative outcomes are reported.</x:v>
      </x:c>
      <x:c r="L164" s="9" t="str">
        <x:v>PDF pp. 2–10; Figs. 1–6; Table 1; cited SI</x:v>
      </x:c>
      <x:c r="M164" s="9" t="str">
        <x:v>The controlled input/reference and calibration procedure are appropriate and independently measured.</x:v>
      </x:c>
      <x:c r="N164" s="9" t="str">
        <x:v>Article PDF p. 2</x:v>
      </x:c>
      <x:c r="O164" s="9" t="str">
        <x:v>Reference/protocol and principal quantitative outcomes are reported.</x:v>
      </x:c>
      <x:c r="P164" s="9" t="str">
        <x:v>PDF pp. 2–10; Figs. 1–6; Table 1; cited SI</x:v>
      </x:c>
    </x:row>
    <x:row r="165">
      <x:c r="A165" s="9" t="n">
        <x:v>21</x:v>
      </x:c>
      <x:c r="B165" s="9" t="str">
        <x:v>S025</x:v>
      </x:c>
      <x:c r="C165" s="9" t="str">
        <x:v>Wei et al. (2026)</x:v>
      </x:c>
      <x:c r="D165" s="9" t="str">
        <x:v>D4</x:v>
      </x:c>
      <x:c r="E165" s="9" t="str">
        <x:v>Low concern</x:v>
      </x:c>
      <x:c r="F165" s="9" t="str">
        <x:v>Low concern</x:v>
      </x:c>
      <x:c r="G165" s="9" t="str">
        <x:v>Yes</x:v>
      </x:c>
      <x:c r="H165" s="9" t="str">
        <x:v>Agree</x:v>
      </x:c>
      <x:c r="I165" s="9" t="str">
        <x:v>Low concern</x:v>
      </x:c>
      <x:c r="J165" s="9" t="str">
        <x:v>Initial agreement</x:v>
      </x:c>
      <x:c r="K165" s="9" t="str">
        <x:v>Reference/protocol and principal quantitative outcomes are reported.</x:v>
      </x:c>
      <x:c r="L165" s="9" t="str">
        <x:v>PDF pp. 2–10; Figs. 1–6; Table 1; cited SI</x:v>
      </x:c>
      <x:c r="M165" s="9" t="str">
        <x:v>Relevant loading/exposure range, rate or geometry and measurement conditions are stated.</x:v>
      </x:c>
      <x:c r="N165" s="9" t="str">
        <x:v>Article PDF p. 7</x:v>
      </x:c>
      <x:c r="O165" s="9" t="str">
        <x:v>Reference/protocol and principal quantitative outcomes are reported.</x:v>
      </x:c>
      <x:c r="P165" s="9" t="str">
        <x:v>PDF pp. 2–10; Figs. 1–6; Table 1; cited SI</x:v>
      </x:c>
    </x:row>
    <x:row r="166">
      <x:c r="A166" s="9" t="n">
        <x:v>21</x:v>
      </x:c>
      <x:c r="B166" s="9" t="str">
        <x:v>S025</x:v>
      </x:c>
      <x:c r="C166" s="9" t="str">
        <x:v>Wei et al. (2026)</x:v>
      </x:c>
      <x:c r="D166" s="9" t="str">
        <x:v>D5</x:v>
      </x:c>
      <x:c r="E166" s="9" t="str">
        <x:v>Some concern</x:v>
      </x:c>
      <x:c r="F166" s="9" t="str">
        <x:v>Low concern</x:v>
      </x:c>
      <x:c r="G166" s="9" t="str">
        <x:v>Yes</x:v>
      </x:c>
      <x:c r="H166" s="9" t="str">
        <x:v>Disagree</x:v>
      </x:c>
      <x:c r="I166" s="9" t="str">
        <x:v>Some concern</x:v>
      </x:c>
      <x:c r="J166" s="9" t="str">
        <x:v>Adjudicated to Reviewer 1</x:v>
      </x:c>
      <x:c r="K166" s="9" t="str">
        <x:v>Study-specific limitations are recorded in the extraction and REB sheets.</x:v>
      </x:c>
      <x:c r="L166" s="9" t="str">
        <x:v>PDF pp. 2–10; Figs. 1–6; Table 1; cited SI</x:v>
      </x:c>
      <x:c r="M166" s="9" t="str">
        <x:v>Repeated calibration, penetration and 24-hour stability protocols include counts and quantitative outcomes.</x:v>
      </x:c>
      <x:c r="N166" s="9" t="str">
        <x:v>Article PDF pp. 5-7</x:v>
      </x:c>
      <x:c r="O166" s="9" t="str">
        <x:v>Study-specific limitations are recorded in the extraction and REB sheets.</x:v>
      </x:c>
      <x:c r="P166" s="9" t="str">
        <x:v>PDF pp. 2–10; Figs. 1–6; Table 1; cited SI</x:v>
      </x:c>
    </x:row>
    <x:row r="167">
      <x:c r="A167" s="9" t="n">
        <x:v>21</x:v>
      </x:c>
      <x:c r="B167" s="9" t="str">
        <x:v>S025</x:v>
      </x:c>
      <x:c r="C167" s="9" t="str">
        <x:v>Wei et al. (2026)</x:v>
      </x:c>
      <x:c r="D167" s="9" t="str">
        <x:v>D6</x:v>
      </x:c>
      <x:c r="E167" s="9" t="str">
        <x:v>Low concern</x:v>
      </x:c>
      <x:c r="F167" s="9" t="str">
        <x:v>Low concern</x:v>
      </x:c>
      <x:c r="G167" s="9" t="str">
        <x:v>Yes</x:v>
      </x:c>
      <x:c r="H167" s="9" t="str">
        <x:v>Agree</x:v>
      </x:c>
      <x:c r="I167" s="9" t="str">
        <x:v>Low concern</x:v>
      </x:c>
      <x:c r="J167" s="9" t="str">
        <x:v>Initial agreement</x:v>
      </x:c>
      <x:c r="K167" s="9" t="str">
        <x:v>At least three separately fabricated sensing units are compared quantitatively.</x:v>
      </x:c>
      <x:c r="L167" s="9" t="str">
        <x:v>PDF pp. 2–10; Figs. 1–6; Table 1; cited SI</x:v>
      </x:c>
      <x:c r="M167" s="9" t="str">
        <x:v>Four independent electrodes/patches were compared with device-level relative standard deviations.</x:v>
      </x:c>
      <x:c r="N167" s="9" t="str">
        <x:v>Article PDF pp. 5 and 9</x:v>
      </x:c>
      <x:c r="O167" s="9" t="str">
        <x:v>At least three separately fabricated sensing units are compared quantitatively.</x:v>
      </x:c>
      <x:c r="P167" s="9" t="str">
        <x:v>PDF pp. 2–10; Figs. 1–6; Table 1; cited SI</x:v>
      </x:c>
    </x:row>
    <x:row r="168">
      <x:c r="A168" s="9" t="n">
        <x:v>21</x:v>
      </x:c>
      <x:c r="B168" s="9" t="str">
        <x:v>S025</x:v>
      </x:c>
      <x:c r="C168" s="9" t="str">
        <x:v>Wei et al. (2026)</x:v>
      </x:c>
      <x:c r="D168" s="9" t="str">
        <x:v>D7</x:v>
      </x:c>
      <x:c r="E168" s="9" t="str">
        <x:v>Low concern</x:v>
      </x:c>
      <x:c r="F168" s="9" t="str">
        <x:v>Low concern</x:v>
      </x:c>
      <x:c r="G168" s="9" t="str">
        <x:v>Yes</x:v>
      </x:c>
      <x:c r="H168" s="9" t="str">
        <x:v>Agree</x:v>
      </x:c>
      <x:c r="I168" s="9" t="str">
        <x:v>Low concern</x:v>
      </x:c>
      <x:c r="J168" s="9" t="str">
        <x:v>Initial agreement</x:v>
      </x:c>
      <x:c r="K168" s="9" t="str">
        <x:v>Reference/protocol and principal quantitative outcomes are reported.</x:v>
      </x:c>
      <x:c r="L168" s="9" t="str">
        <x:v>PDF pp. 2–10; Figs. 1–6; Table 1; cited SI</x:v>
      </x:c>
      <x:c r="M168" s="9" t="str">
        <x:v>Calibration, reproducibility and stability results include dispersion across independent devices.</x:v>
      </x:c>
      <x:c r="N168" s="9" t="str">
        <x:v>Article PDF pp. 5-9</x:v>
      </x:c>
      <x:c r="O168" s="9" t="str">
        <x:v>Reference/protocol and principal quantitative outcomes are reported.</x:v>
      </x:c>
      <x:c r="P168" s="9" t="str">
        <x:v>PDF pp. 2–10; Figs. 1–6; Table 1; cited SI</x:v>
      </x:c>
    </x:row>
    <x:row r="169">
      <x:c r="A169" s="9" t="n">
        <x:v>21</x:v>
      </x:c>
      <x:c r="B169" s="9" t="str">
        <x:v>S025</x:v>
      </x:c>
      <x:c r="C169" s="9" t="str">
        <x:v>Wei et al. (2026)</x:v>
      </x:c>
      <x:c r="D169" s="9" t="str">
        <x:v>D8</x:v>
      </x:c>
      <x:c r="E169" s="9" t="str">
        <x:v>Some concern</x:v>
      </x:c>
      <x:c r="F169" s="9" t="str">
        <x:v>Some concern</x:v>
      </x:c>
      <x:c r="G169" s="9" t="str">
        <x:v>Yes</x:v>
      </x:c>
      <x:c r="H169" s="9" t="str">
        <x:v>Agree</x:v>
      </x:c>
      <x:c r="I169" s="9" t="str">
        <x:v>Some concern</x:v>
      </x:c>
      <x:c r="J169" s="9" t="str">
        <x:v>Initial agreement</x:v>
      </x:c>
      <x:c r="K169" s="9" t="str">
        <x:v>Study-specific limitations are recorded in the extraction and REB sheets.</x:v>
      </x:c>
      <x:c r="L169" s="9" t="str">
        <x:v>PDF pp. 2–10; Figs. 1–6; Table 1; cited SI</x:v>
      </x:c>
      <x:c r="M169" s="9" t="str">
        <x:v>The microneedle patch was tested ex vivo on skin/tissue, but direct body-worn human validation was not reported.</x:v>
      </x:c>
      <x:c r="N169" s="9" t="str">
        <x:v>Article PDF pp. 9-10</x:v>
      </x:c>
      <x:c r="O169" s="9" t="str">
        <x:v>Study-specific limitations are recorded in the extraction and REB sheets.</x:v>
      </x:c>
      <x:c r="P169" s="9" t="str">
        <x:v>PDF pp. 2–10; Figs. 1–6; Table 1; cited SI</x:v>
      </x:c>
    </x:row>
    <x:row r="170">
      <x:c r="A170" s="9" t="n">
        <x:v>22</x:v>
      </x:c>
      <x:c r="B170" s="9" t="str">
        <x:v>S028</x:v>
      </x:c>
      <x:c r="C170" s="9" t="str">
        <x:v>Gothard et al. (2023)</x:v>
      </x:c>
      <x:c r="D170" s="9" t="str">
        <x:v>D1</x:v>
      </x:c>
      <x:c r="E170" s="9" t="str">
        <x:v>Some concern</x:v>
      </x:c>
      <x:c r="F170" s="9" t="str">
        <x:v>Low concern</x:v>
      </x:c>
      <x:c r="G170" s="9" t="str">
        <x:v>Yes</x:v>
      </x:c>
      <x:c r="H170" s="9" t="str">
        <x:v>Disagree</x:v>
      </x:c>
      <x:c r="I170" s="9" t="str">
        <x:v>Some concern</x:v>
      </x:c>
      <x:c r="J170" s="9" t="str">
        <x:v>Adjudicated to Reviewer 1</x:v>
      </x:c>
      <x:c r="K170" s="9" t="str">
        <x:v>Study-specific limitations are recorded in the extraction and REB sheets.</x:v>
      </x:c>
      <x:c r="L170" s="9" t="str">
        <x:v>PDF pp. 4–17; Figs. 1–10; Tables 1–4</x:v>
      </x:c>
      <x:c r="M170" s="9" t="str">
        <x:v>All five sensors for each of three prespecified designs were tested and included in the reported averages.</x:v>
      </x:c>
      <x:c r="N170" s="9" t="str">
        <x:v>Article PDF pp. 13-15</x:v>
      </x:c>
      <x:c r="O170" s="9" t="str">
        <x:v>Study-specific limitations are recorded in the extraction and REB sheets.</x:v>
      </x:c>
      <x:c r="P170" s="9" t="str">
        <x:v>PDF pp. 4–17; Figs. 1–10; Tables 1–4</x:v>
      </x:c>
    </x:row>
    <x:row r="171">
      <x:c r="A171" s="9" t="n">
        <x:v>22</x:v>
      </x:c>
      <x:c r="B171" s="9" t="str">
        <x:v>S028</x:v>
      </x:c>
      <x:c r="C171" s="9" t="str">
        <x:v>Gothard et al. (2023)</x:v>
      </x:c>
      <x:c r="D171" s="9" t="str">
        <x:v>D2</x:v>
      </x:c>
      <x:c r="E171" s="9" t="str">
        <x:v>Some concern</x:v>
      </x:c>
      <x:c r="F171" s="9" t="str">
        <x:v>Low concern</x:v>
      </x:c>
      <x:c r="G171" s="9" t="str">
        <x:v>Yes</x:v>
      </x:c>
      <x:c r="H171" s="9" t="str">
        <x:v>Disagree</x:v>
      </x:c>
      <x:c r="I171" s="9" t="str">
        <x:v>Some concern</x:v>
      </x:c>
      <x:c r="J171" s="9" t="str">
        <x:v>Adjudicated to Reviewer 1</x:v>
      </x:c>
      <x:c r="K171" s="9" t="str">
        <x:v>Study-specific limitations are recorded in the extraction and REB sheets.</x:v>
      </x:c>
      <x:c r="L171" s="9" t="str">
        <x:v>PDF pp. 4–17; Figs. 1–10; Tables 1–4</x:v>
      </x:c>
      <x:c r="M171" s="9" t="str">
        <x:v>Relevant material, geometry, conditioning and extrusion variables are documented sufficiently for the claimed comparison.</x:v>
      </x:c>
      <x:c r="N171" s="9" t="str">
        <x:v>Article PDF p. 5</x:v>
      </x:c>
      <x:c r="O171" s="9" t="str">
        <x:v>Study-specific limitations are recorded in the extraction and REB sheets.</x:v>
      </x:c>
      <x:c r="P171" s="9" t="str">
        <x:v>PDF pp. 4–17; Figs. 1–10; Tables 1–4</x:v>
      </x:c>
    </x:row>
    <x:row r="172">
      <x:c r="A172" s="9" t="n">
        <x:v>22</x:v>
      </x:c>
      <x:c r="B172" s="9" t="str">
        <x:v>S028</x:v>
      </x:c>
      <x:c r="C172" s="9" t="str">
        <x:v>Gothard et al. (2023)</x:v>
      </x:c>
      <x:c r="D172" s="9" t="str">
        <x:v>D3</x:v>
      </x:c>
      <x:c r="E172" s="9" t="str">
        <x:v>Low concern</x:v>
      </x:c>
      <x:c r="F172" s="9" t="str">
        <x:v>Low concern</x:v>
      </x:c>
      <x:c r="G172" s="9" t="str">
        <x:v>Yes</x:v>
      </x:c>
      <x:c r="H172" s="9" t="str">
        <x:v>Agree</x:v>
      </x:c>
      <x:c r="I172" s="9" t="str">
        <x:v>Low concern</x:v>
      </x:c>
      <x:c r="J172" s="9" t="str">
        <x:v>Initial agreement</x:v>
      </x:c>
      <x:c r="K172" s="9" t="str">
        <x:v>Reference/protocol and principal quantitative outcomes are reported.</x:v>
      </x:c>
      <x:c r="L172" s="9" t="str">
        <x:v>PDF pp. 4–17; Figs. 1–10; Tables 1–4</x:v>
      </x:c>
      <x:c r="M172" s="9" t="str">
        <x:v>The controlled input/reference and calibration procedure are appropriate and independently measured.</x:v>
      </x:c>
      <x:c r="N172" s="9" t="str">
        <x:v>Article PDF p. 11</x:v>
      </x:c>
      <x:c r="O172" s="9" t="str">
        <x:v>Reference/protocol and principal quantitative outcomes are reported.</x:v>
      </x:c>
      <x:c r="P172" s="9" t="str">
        <x:v>PDF pp. 4–17; Figs. 1–10; Tables 1–4</x:v>
      </x:c>
    </x:row>
    <x:row r="173">
      <x:c r="A173" s="9" t="n">
        <x:v>22</x:v>
      </x:c>
      <x:c r="B173" s="9" t="str">
        <x:v>S028</x:v>
      </x:c>
      <x:c r="C173" s="9" t="str">
        <x:v>Gothard et al. (2023)</x:v>
      </x:c>
      <x:c r="D173" s="9" t="str">
        <x:v>D4</x:v>
      </x:c>
      <x:c r="E173" s="9" t="str">
        <x:v>Low concern</x:v>
      </x:c>
      <x:c r="F173" s="9" t="str">
        <x:v>Low concern</x:v>
      </x:c>
      <x:c r="G173" s="9" t="str">
        <x:v>Yes</x:v>
      </x:c>
      <x:c r="H173" s="9" t="str">
        <x:v>Agree</x:v>
      </x:c>
      <x:c r="I173" s="9" t="str">
        <x:v>Low concern</x:v>
      </x:c>
      <x:c r="J173" s="9" t="str">
        <x:v>Initial agreement</x:v>
      </x:c>
      <x:c r="K173" s="9" t="str">
        <x:v>Reference/protocol and principal quantitative outcomes are reported.</x:v>
      </x:c>
      <x:c r="L173" s="9" t="str">
        <x:v>PDF pp. 4–17; Figs. 1–10; Tables 1–4</x:v>
      </x:c>
      <x:c r="M173" s="9" t="str">
        <x:v>Relevant loading/exposure range, rate or geometry and measurement conditions are stated.</x:v>
      </x:c>
      <x:c r="N173" s="9" t="str">
        <x:v>Article PDF p. 3</x:v>
      </x:c>
      <x:c r="O173" s="9" t="str">
        <x:v>Reference/protocol and principal quantitative outcomes are reported.</x:v>
      </x:c>
      <x:c r="P173" s="9" t="str">
        <x:v>PDF pp. 4–17; Figs. 1–10; Tables 1–4</x:v>
      </x:c>
    </x:row>
    <x:row r="174">
      <x:c r="A174" s="9" t="n">
        <x:v>22</x:v>
      </x:c>
      <x:c r="B174" s="9" t="str">
        <x:v>S028</x:v>
      </x:c>
      <x:c r="C174" s="9" t="str">
        <x:v>Gothard et al. (2023)</x:v>
      </x:c>
      <x:c r="D174" s="9" t="str">
        <x:v>D5</x:v>
      </x:c>
      <x:c r="E174" s="9" t="str">
        <x:v>Some concern</x:v>
      </x:c>
      <x:c r="F174" s="9" t="str">
        <x:v>Low concern</x:v>
      </x:c>
      <x:c r="G174" s="9" t="str">
        <x:v>Yes</x:v>
      </x:c>
      <x:c r="H174" s="9" t="str">
        <x:v>Disagree</x:v>
      </x:c>
      <x:c r="I174" s="9" t="str">
        <x:v>Some concern</x:v>
      </x:c>
      <x:c r="J174" s="9" t="str">
        <x:v>Adjudicated to Reviewer 1</x:v>
      </x:c>
      <x:c r="K174" s="9" t="str">
        <x:v>Study-specific limitations are recorded in the extraction and REB sheets.</x:v>
      </x:c>
      <x:c r="L174" s="9" t="str">
        <x:v>PDF pp. 4–17; Figs. 1–10; Tables 1–4</x:v>
      </x:c>
      <x:c r="M174" s="9" t="str">
        <x:v>Repeated units/counts and a stability outcome are defined for the stated protocol.</x:v>
      </x:c>
      <x:c r="N174" s="9" t="str">
        <x:v>Article PDF p. 14</x:v>
      </x:c>
      <x:c r="O174" s="9" t="str">
        <x:v>Study-specific limitations are recorded in the extraction and REB sheets.</x:v>
      </x:c>
      <x:c r="P174" s="9" t="str">
        <x:v>PDF pp. 4–17; Figs. 1–10; Tables 1–4</x:v>
      </x:c>
    </x:row>
    <x:row r="175">
      <x:c r="A175" s="9" t="n">
        <x:v>22</x:v>
      </x:c>
      <x:c r="B175" s="9" t="str">
        <x:v>S028</x:v>
      </x:c>
      <x:c r="C175" s="9" t="str">
        <x:v>Gothard et al. (2023)</x:v>
      </x:c>
      <x:c r="D175" s="9" t="str">
        <x:v>D6</x:v>
      </x:c>
      <x:c r="E175" s="9" t="str">
        <x:v>Low concern</x:v>
      </x:c>
      <x:c r="F175" s="9" t="str">
        <x:v>Low concern</x:v>
      </x:c>
      <x:c r="G175" s="9" t="str">
        <x:v>Yes</x:v>
      </x:c>
      <x:c r="H175" s="9" t="str">
        <x:v>Agree</x:v>
      </x:c>
      <x:c r="I175" s="9" t="str">
        <x:v>Low concern</x:v>
      </x:c>
      <x:c r="J175" s="9" t="str">
        <x:v>Initial agreement</x:v>
      </x:c>
      <x:c r="K175" s="9" t="str">
        <x:v>At least three separately fabricated sensing units were compared quantitatively.</x:v>
      </x:c>
      <x:c r="L175" s="9" t="str">
        <x:v>PDF pp. 4–17; Figs. 1–10; Tables 1–4</x:v>
      </x:c>
      <x:c r="M175" s="9" t="str">
        <x:v>Five independently printed sensors per design support device-level replication.</x:v>
      </x:c>
      <x:c r="N175" s="9" t="str">
        <x:v>Article PDF pp. 13-15, Figure 10</x:v>
      </x:c>
      <x:c r="O175" s="9" t="str">
        <x:v>At least three separately fabricated sensing units were compared quantitatively.</x:v>
      </x:c>
      <x:c r="P175" s="9" t="str">
        <x:v>PDF pp. 4–17; Figs. 1–10; Tables 1–4</x:v>
      </x:c>
    </x:row>
    <x:row r="176">
      <x:c r="A176" s="9" t="n">
        <x:v>22</x:v>
      </x:c>
      <x:c r="B176" s="9" t="str">
        <x:v>S028</x:v>
      </x:c>
      <x:c r="C176" s="9" t="str">
        <x:v>Gothard et al. (2023)</x:v>
      </x:c>
      <x:c r="D176" s="9" t="str">
        <x:v>D7</x:v>
      </x:c>
      <x:c r="E176" s="9" t="str">
        <x:v>Low concern</x:v>
      </x:c>
      <x:c r="F176" s="9" t="str">
        <x:v>Low concern</x:v>
      </x:c>
      <x:c r="G176" s="9" t="str">
        <x:v>Yes</x:v>
      </x:c>
      <x:c r="H176" s="9" t="str">
        <x:v>Agree</x:v>
      </x:c>
      <x:c r="I176" s="9" t="str">
        <x:v>Low concern</x:v>
      </x:c>
      <x:c r="J176" s="9" t="str">
        <x:v>Initial agreement</x:v>
      </x:c>
      <x:c r="K176" s="9" t="str">
        <x:v>Reference/protocol and principal quantitative outcomes are reported.</x:v>
      </x:c>
      <x:c r="L176" s="9" t="str">
        <x:v>PDF pp. 4–17; Figs. 1–10; Tables 1–4</x:v>
      </x:c>
      <x:c r="M176" s="9" t="str">
        <x:v>All device-level sensitivity, hysteresis and linearity results are displayed with averages across five sensors.</x:v>
      </x:c>
      <x:c r="N176" s="9" t="str">
        <x:v>Article PDF pp. 14-16, Figure 10 and Table 4</x:v>
      </x:c>
      <x:c r="O176" s="9" t="str">
        <x:v>Reference/protocol and principal quantitative outcomes are reported.</x:v>
      </x:c>
      <x:c r="P176" s="9" t="str">
        <x:v>PDF pp. 4–17; Figs. 1–10; Tables 1–4</x:v>
      </x:c>
    </x:row>
    <x:row r="177">
      <x:c r="A177" s="9" t="n">
        <x:v>22</x:v>
      </x:c>
      <x:c r="B177" s="9" t="str">
        <x:v>S028</x:v>
      </x:c>
      <x:c r="C177" s="9" t="str">
        <x:v>Gothard et al. (2023)</x:v>
      </x:c>
      <x:c r="D177" s="9" t="str">
        <x:v>D8</x:v>
      </x:c>
      <x:c r="E177" s="9" t="str">
        <x:v>Some concern</x:v>
      </x:c>
      <x:c r="F177" s="9" t="str">
        <x:v>Some concern</x:v>
      </x:c>
      <x:c r="G177" s="9" t="str">
        <x:v>Yes</x:v>
      </x:c>
      <x:c r="H177" s="9" t="str">
        <x:v>Agree</x:v>
      </x:c>
      <x:c r="I177" s="9" t="str">
        <x:v>Some concern</x:v>
      </x:c>
      <x:c r="J177" s="9" t="str">
        <x:v>Initial agreement</x:v>
      </x:c>
      <x:c r="K177" s="9" t="str">
        <x:v>Wearable relevance is application-specific/component-level; no complete human-worn assembly was tested.</x:v>
      </x:c>
      <x:c r="L177" s="9" t="str">
        <x:v>PDF pp. 4–17; Figs. 1–10; Tables 1–4</x:v>
      </x:c>
      <x:c r="M177" s="9" t="str">
        <x:v>Sensors were tested under insole-relevant pressures, but not in a completed body-worn insole.</x:v>
      </x:c>
      <x:c r="N177" s="9" t="str">
        <x:v>Article PDF pp. 4-20</x:v>
      </x:c>
      <x:c r="O177" s="9" t="str">
        <x:v>Wearable relevance is application-specific/component-level; no complete human-worn assembly was tested.</x:v>
      </x:c>
      <x:c r="P177" s="9" t="str">
        <x:v>PDF pp. 4–17; Figs. 1–10; Tables 1–4</x:v>
      </x:c>
    </x:row>
    <x:row r="178">
      <x:c r="A178" s="9" t="n">
        <x:v>23</x:v>
      </x:c>
      <x:c r="B178" s="9" t="str">
        <x:v>S029</x:v>
      </x:c>
      <x:c r="C178" s="9" t="str">
        <x:v>Özkurt et al. (2026)</x:v>
      </x:c>
      <x:c r="D178" s="9" t="str">
        <x:v>D1</x:v>
      </x:c>
      <x:c r="E178" s="9" t="str">
        <x:v>Some concern</x:v>
      </x:c>
      <x:c r="F178" s="9" t="str">
        <x:v>Some concern</x:v>
      </x:c>
      <x:c r="G178" s="9" t="str">
        <x:v>Yes</x:v>
      </x:c>
      <x:c r="H178" s="9" t="str">
        <x:v>Agree</x:v>
      </x:c>
      <x:c r="I178" s="9" t="str">
        <x:v>Some concern</x:v>
      </x:c>
      <x:c r="J178" s="9" t="str">
        <x:v>Initial agreement</x:v>
      </x:c>
      <x:c r="K178" s="9" t="str">
        <x:v>Study-specific limitations are recorded in the extraction and REB sheets.</x:v>
      </x:c>
      <x:c r="L178" s="9" t="str">
        <x:v>PDF pp. 4–23; Figs. 3–17; Tables 2–7</x:v>
      </x:c>
      <x:c r="M178" s="9" t="str">
        <x:v>Some unit/participant counts or selection details are provided, but fabricated-unit selection and failures are not fully accounted for.</x:v>
      </x:c>
      <x:c r="N178" s="9" t="str">
        <x:v>Article PDF p. 33</x:v>
      </x:c>
      <x:c r="O178" s="9" t="str">
        <x:v>Study-specific limitations are recorded in the extraction and REB sheets.</x:v>
      </x:c>
      <x:c r="P178" s="9" t="str">
        <x:v>PDF pp. 4–23; Figs. 3–17; Tables 2–7</x:v>
      </x:c>
    </x:row>
    <x:row r="179">
      <x:c r="A179" s="9" t="n">
        <x:v>23</x:v>
      </x:c>
      <x:c r="B179" s="9" t="str">
        <x:v>S029</x:v>
      </x:c>
      <x:c r="C179" s="9" t="str">
        <x:v>Özkurt et al. (2026)</x:v>
      </x:c>
      <x:c r="D179" s="9" t="str">
        <x:v>D2</x:v>
      </x:c>
      <x:c r="E179" s="9" t="str">
        <x:v>Some concern</x:v>
      </x:c>
      <x:c r="F179" s="9" t="str">
        <x:v>Low concern</x:v>
      </x:c>
      <x:c r="G179" s="9" t="str">
        <x:v>Yes</x:v>
      </x:c>
      <x:c r="H179" s="9" t="str">
        <x:v>Disagree</x:v>
      </x:c>
      <x:c r="I179" s="9" t="str">
        <x:v>Some concern</x:v>
      </x:c>
      <x:c r="J179" s="9" t="str">
        <x:v>Adjudicated to Reviewer 1</x:v>
      </x:c>
      <x:c r="K179" s="9" t="str">
        <x:v>Study-specific limitations are recorded in the extraction and REB sheets.</x:v>
      </x:c>
      <x:c r="L179" s="9" t="str">
        <x:v>PDF pp. 4–23; Figs. 3–17; Tables 2–7</x:v>
      </x:c>
      <x:c r="M179" s="9" t="str">
        <x:v>Relevant material, geometry, conditioning and extrusion variables are documented sufficiently for the claimed comparison.</x:v>
      </x:c>
      <x:c r="N179" s="9" t="str">
        <x:v>Article PDF p. 7</x:v>
      </x:c>
      <x:c r="O179" s="9" t="str">
        <x:v>Study-specific limitations are recorded in the extraction and REB sheets.</x:v>
      </x:c>
      <x:c r="P179" s="9" t="str">
        <x:v>PDF pp. 4–23; Figs. 3–17; Tables 2–7</x:v>
      </x:c>
    </x:row>
    <x:row r="180">
      <x:c r="A180" s="9" t="n">
        <x:v>23</x:v>
      </x:c>
      <x:c r="B180" s="9" t="str">
        <x:v>S029</x:v>
      </x:c>
      <x:c r="C180" s="9" t="str">
        <x:v>Özkurt et al. (2026)</x:v>
      </x:c>
      <x:c r="D180" s="9" t="str">
        <x:v>D3</x:v>
      </x:c>
      <x:c r="E180" s="9" t="str">
        <x:v>Low concern</x:v>
      </x:c>
      <x:c r="F180" s="9" t="str">
        <x:v>Low concern</x:v>
      </x:c>
      <x:c r="G180" s="9" t="str">
        <x:v>Yes</x:v>
      </x:c>
      <x:c r="H180" s="9" t="str">
        <x:v>Agree</x:v>
      </x:c>
      <x:c r="I180" s="9" t="str">
        <x:v>Low concern</x:v>
      </x:c>
      <x:c r="J180" s="9" t="str">
        <x:v>Initial agreement</x:v>
      </x:c>
      <x:c r="K180" s="9" t="str">
        <x:v>Reference/protocol and principal quantitative outcomes are reported.</x:v>
      </x:c>
      <x:c r="L180" s="9" t="str">
        <x:v>PDF pp. 4–23; Figs. 3–17; Tables 2–7</x:v>
      </x:c>
      <x:c r="M180" s="9" t="str">
        <x:v>The controlled input/reference and calibration procedure are appropriate and independently measured.</x:v>
      </x:c>
      <x:c r="N180" s="9" t="str">
        <x:v>Article PDF p. 4</x:v>
      </x:c>
      <x:c r="O180" s="9" t="str">
        <x:v>Reference/protocol and principal quantitative outcomes are reported.</x:v>
      </x:c>
      <x:c r="P180" s="9" t="str">
        <x:v>PDF pp. 4–23; Figs. 3–17; Tables 2–7</x:v>
      </x:c>
    </x:row>
    <x:row r="181">
      <x:c r="A181" s="9" t="n">
        <x:v>23</x:v>
      </x:c>
      <x:c r="B181" s="9" t="str">
        <x:v>S029</x:v>
      </x:c>
      <x:c r="C181" s="9" t="str">
        <x:v>Özkurt et al. (2026)</x:v>
      </x:c>
      <x:c r="D181" s="9" t="str">
        <x:v>D4</x:v>
      </x:c>
      <x:c r="E181" s="9" t="str">
        <x:v>Low concern</x:v>
      </x:c>
      <x:c r="F181" s="9" t="str">
        <x:v>Low concern</x:v>
      </x:c>
      <x:c r="G181" s="9" t="str">
        <x:v>Yes</x:v>
      </x:c>
      <x:c r="H181" s="9" t="str">
        <x:v>Agree</x:v>
      </x:c>
      <x:c r="I181" s="9" t="str">
        <x:v>Low concern</x:v>
      </x:c>
      <x:c r="J181" s="9" t="str">
        <x:v>Initial agreement</x:v>
      </x:c>
      <x:c r="K181" s="9" t="str">
        <x:v>Reference/protocol and principal quantitative outcomes are reported.</x:v>
      </x:c>
      <x:c r="L181" s="9" t="str">
        <x:v>PDF pp. 4–23; Figs. 3–17; Tables 2–7</x:v>
      </x:c>
      <x:c r="M181" s="9" t="str">
        <x:v>Relevant loading/exposure range, rate or geometry and measurement conditions are stated.</x:v>
      </x:c>
      <x:c r="N181" s="9" t="str">
        <x:v>Article PDF p. 3</x:v>
      </x:c>
      <x:c r="O181" s="9" t="str">
        <x:v>Reference/protocol and principal quantitative outcomes are reported.</x:v>
      </x:c>
      <x:c r="P181" s="9" t="str">
        <x:v>PDF pp. 4–23; Figs. 3–17; Tables 2–7</x:v>
      </x:c>
    </x:row>
    <x:row r="182">
      <x:c r="A182" s="9" t="n">
        <x:v>23</x:v>
      </x:c>
      <x:c r="B182" s="9" t="str">
        <x:v>S029</x:v>
      </x:c>
      <x:c r="C182" s="9" t="str">
        <x:v>Özkurt et al. (2026)</x:v>
      </x:c>
      <x:c r="D182" s="9" t="str">
        <x:v>D5</x:v>
      </x:c>
      <x:c r="E182" s="9" t="str">
        <x:v>Some concern</x:v>
      </x:c>
      <x:c r="F182" s="9" t="str">
        <x:v>Low concern</x:v>
      </x:c>
      <x:c r="G182" s="9" t="str">
        <x:v>Yes</x:v>
      </x:c>
      <x:c r="H182" s="9" t="str">
        <x:v>Disagree</x:v>
      </x:c>
      <x:c r="I182" s="9" t="str">
        <x:v>Some concern</x:v>
      </x:c>
      <x:c r="J182" s="9" t="str">
        <x:v>Adjudicated to Reviewer 1</x:v>
      </x:c>
      <x:c r="K182" s="9" t="str">
        <x:v>Study-specific limitations are recorded in the extraction and REB sheets.</x:v>
      </x:c>
      <x:c r="L182" s="9" t="str">
        <x:v>PDF pp. 4–23; Figs. 3–17; Tables 2–7</x:v>
      </x:c>
      <x:c r="M182" s="9" t="str">
        <x:v>Repeated units/counts and a stability outcome are defined for the stated protocol.</x:v>
      </x:c>
      <x:c r="N182" s="9" t="str">
        <x:v>Article PDF p. 32</x:v>
      </x:c>
      <x:c r="O182" s="9" t="str">
        <x:v>Study-specific limitations are recorded in the extraction and REB sheets.</x:v>
      </x:c>
      <x:c r="P182" s="9" t="str">
        <x:v>PDF pp. 4–23; Figs. 3–17; Tables 2–7</x:v>
      </x:c>
    </x:row>
    <x:row r="183">
      <x:c r="A183" s="9" t="n">
        <x:v>23</x:v>
      </x:c>
      <x:c r="B183" s="9" t="str">
        <x:v>S029</x:v>
      </x:c>
      <x:c r="C183" s="9" t="str">
        <x:v>Özkurt et al. (2026)</x:v>
      </x:c>
      <x:c r="D183" s="9" t="str">
        <x:v>D6</x:v>
      </x:c>
      <x:c r="E183" s="9" t="str">
        <x:v>Low concern</x:v>
      </x:c>
      <x:c r="F183" s="9" t="str">
        <x:v>High concern</x:v>
      </x:c>
      <x:c r="G183" s="9" t="str">
        <x:v>Yes</x:v>
      </x:c>
      <x:c r="H183" s="9" t="str">
        <x:v>Disagree</x:v>
      </x:c>
      <x:c r="I183" s="9" t="str">
        <x:v>Low concern</x:v>
      </x:c>
      <x:c r="J183" s="9" t="str">
        <x:v>Adjudicated to Reviewer 1</x:v>
      </x:c>
      <x:c r="K183" s="9" t="str">
        <x:v>At least three separately fabricated sensing units were compared quantitatively.</x:v>
      </x:c>
      <x:c r="L183" s="9" t="str">
        <x:v>PDF pp. 4–23; Figs. 3–17; Tables 2–7</x:v>
      </x:c>
      <x:c r="M183" s="9" t="str">
        <x:v>Cycles, participants or configurations do not establish replication across three equivalent fabricated devices.</x:v>
      </x:c>
      <x:c r="N183" s="9" t="str">
        <x:v>Article PDF p. 4</x:v>
      </x:c>
      <x:c r="O183" s="9" t="str">
        <x:v>At least three separately fabricated sensing units were compared quantitatively.</x:v>
      </x:c>
      <x:c r="P183" s="9" t="str">
        <x:v>PDF pp. 4–23; Figs. 3–17; Tables 2–7</x:v>
      </x:c>
    </x:row>
    <x:row r="184">
      <x:c r="A184" s="9" t="n">
        <x:v>23</x:v>
      </x:c>
      <x:c r="B184" s="9" t="str">
        <x:v>S029</x:v>
      </x:c>
      <x:c r="C184" s="9" t="str">
        <x:v>Özkurt et al. (2026)</x:v>
      </x:c>
      <x:c r="D184" s="9" t="str">
        <x:v>D7</x:v>
      </x:c>
      <x:c r="E184" s="9" t="str">
        <x:v>Low concern</x:v>
      </x:c>
      <x:c r="F184" s="9" t="str">
        <x:v>Low concern</x:v>
      </x:c>
      <x:c r="G184" s="9" t="str">
        <x:v>Yes</x:v>
      </x:c>
      <x:c r="H184" s="9" t="str">
        <x:v>Agree</x:v>
      </x:c>
      <x:c r="I184" s="9" t="str">
        <x:v>Low concern</x:v>
      </x:c>
      <x:c r="J184" s="9" t="str">
        <x:v>Initial agreement</x:v>
      </x:c>
      <x:c r="K184" s="9" t="str">
        <x:v>Reference/protocol and principal quantitative outcomes are reported.</x:v>
      </x:c>
      <x:c r="L184" s="9" t="str">
        <x:v>PDF pp. 4–23; Figs. 3–17; Tables 2–7</x:v>
      </x:c>
      <x:c r="M184" s="9" t="str">
        <x:v>Principal response/stability outcomes and relevant uncertainty are reported without evident unexplained omissions.</x:v>
      </x:c>
      <x:c r="N184" s="9" t="str">
        <x:v>Article PDF p. 17</x:v>
      </x:c>
      <x:c r="O184" s="9" t="str">
        <x:v>Reference/protocol and principal quantitative outcomes are reported.</x:v>
      </x:c>
      <x:c r="P184" s="9" t="str">
        <x:v>PDF pp. 4–23; Figs. 3–17; Tables 2–7</x:v>
      </x:c>
    </x:row>
    <x:row r="185">
      <x:c r="A185" s="9" t="n">
        <x:v>23</x:v>
      </x:c>
      <x:c r="B185" s="9" t="str">
        <x:v>S029</x:v>
      </x:c>
      <x:c r="C185" s="9" t="str">
        <x:v>Özkurt et al. (2026)</x:v>
      </x:c>
      <x:c r="D185" s="9" t="str">
        <x:v>D8</x:v>
      </x:c>
      <x:c r="E185" s="9" t="str">
        <x:v>Some concern</x:v>
      </x:c>
      <x:c r="F185" s="9" t="str">
        <x:v>Low concern</x:v>
      </x:c>
      <x:c r="G185" s="9" t="str">
        <x:v>Yes</x:v>
      </x:c>
      <x:c r="H185" s="9" t="str">
        <x:v>Disagree</x:v>
      </x:c>
      <x:c r="I185" s="9" t="str">
        <x:v>Some concern</x:v>
      </x:c>
      <x:c r="J185" s="9" t="str">
        <x:v>Adjudicated to Reviewer 1</x:v>
      </x:c>
      <x:c r="K185" s="9" t="str">
        <x:v>Study-specific limitations are recorded in the extraction and REB sheets.</x:v>
      </x:c>
      <x:c r="L185" s="9" t="str">
        <x:v>PDF pp. 4–23; Figs. 3–17; Tables 2–7</x:v>
      </x:c>
      <x:c r="M185" s="9" t="str">
        <x:v>The final device was evaluated in a body-worn/use-relevant human configuration.</x:v>
      </x:c>
      <x:c r="N185" s="9" t="str">
        <x:v>Article PDF p. 33</x:v>
      </x:c>
      <x:c r="O185" s="9" t="str">
        <x:v>Study-specific limitations are recorded in the extraction and REB sheets.</x:v>
      </x:c>
      <x:c r="P185" s="9" t="str">
        <x:v>PDF pp. 4–23; Figs. 3–17; Tables 2–7</x:v>
      </x:c>
    </x:row>
    <x:row r="186">
      <x:c r="A186" s="9" t="n">
        <x:v>24</x:v>
      </x:c>
      <x:c r="B186" s="9" t="str">
        <x:v>S031</x:v>
      </x:c>
      <x:c r="C186" s="9" t="str">
        <x:v>Rivera et al. (2022)</x:v>
      </x:c>
      <x:c r="D186" s="9" t="str">
        <x:v>D1</x:v>
      </x:c>
      <x:c r="E186" s="9" t="str">
        <x:v>High concern</x:v>
      </x:c>
      <x:c r="F186" s="9" t="str">
        <x:v>Some concern</x:v>
      </x:c>
      <x:c r="G186" s="9" t="str">
        <x:v>Yes</x:v>
      </x:c>
      <x:c r="H186" s="9" t="str">
        <x:v>Disagree</x:v>
      </x:c>
      <x:c r="I186" s="9" t="str">
        <x:v>High concern</x:v>
      </x:c>
      <x:c r="J186" s="9" t="str">
        <x:v>Adjudicated to Reviewer 1</x:v>
      </x:c>
      <x:c r="K186" s="9" t="str">
        <x:v>Human sample was small and not described as prospectively powered.</x:v>
      </x:c>
      <x:c r="L186" s="9" t="str">
        <x:v>PDF pp. 3–12; Figs. 1–9; Tables 1–3; Appendix A</x:v>
      </x:c>
      <x:c r="M186" s="9" t="str">
        <x:v>Some unit/participant counts or selection details are provided, but fabricated-unit selection and failures are not fully accounted for.</x:v>
      </x:c>
      <x:c r="N186" s="9" t="str">
        <x:v>Article PDF p. 3</x:v>
      </x:c>
      <x:c r="O186" s="9" t="str">
        <x:v>Human sample was small and not described as prospectively powered.</x:v>
      </x:c>
      <x:c r="P186" s="9" t="str">
        <x:v>PDF pp. 3–12; Figs. 1–9; Tables 1–3; Appendix A</x:v>
      </x:c>
    </x:row>
    <x:row r="187">
      <x:c r="A187" s="9" t="n">
        <x:v>24</x:v>
      </x:c>
      <x:c r="B187" s="9" t="str">
        <x:v>S031</x:v>
      </x:c>
      <x:c r="C187" s="9" t="str">
        <x:v>Rivera et al. (2022)</x:v>
      </x:c>
      <x:c r="D187" s="9" t="str">
        <x:v>D2</x:v>
      </x:c>
      <x:c r="E187" s="9" t="str">
        <x:v>Some concern</x:v>
      </x:c>
      <x:c r="F187" s="9" t="str">
        <x:v>High concern</x:v>
      </x:c>
      <x:c r="G187" s="9" t="str">
        <x:v>Yes</x:v>
      </x:c>
      <x:c r="H187" s="9" t="str">
        <x:v>Disagree</x:v>
      </x:c>
      <x:c r="I187" s="9" t="str">
        <x:v>Some concern</x:v>
      </x:c>
      <x:c r="J187" s="9" t="str">
        <x:v>Adjudicated to Reviewer 1</x:v>
      </x:c>
      <x:c r="K187" s="9" t="str">
        <x:v>Study-specific limitations are recorded in the extraction and REB sheets.</x:v>
      </x:c>
      <x:c r="L187" s="9" t="str">
        <x:v>PDF pp. 3–12; Figs. 1–9; Tables 1–3; Appendix A</x:v>
      </x:c>
      <x:c r="M187" s="9" t="str">
        <x:v>Key fabrication variables are missing, so process variation cannot be separated confidently from sensor effects.</x:v>
      </x:c>
      <x:c r="N187" s="9" t="str">
        <x:v>Article PDF p. 1</x:v>
      </x:c>
      <x:c r="O187" s="9" t="str">
        <x:v>Study-specific limitations are recorded in the extraction and REB sheets.</x:v>
      </x:c>
      <x:c r="P187" s="9" t="str">
        <x:v>PDF pp. 3–12; Figs. 1–9; Tables 1–3; Appendix A</x:v>
      </x:c>
    </x:row>
    <x:row r="188">
      <x:c r="A188" s="9" t="n">
        <x:v>24</x:v>
      </x:c>
      <x:c r="B188" s="9" t="str">
        <x:v>S031</x:v>
      </x:c>
      <x:c r="C188" s="9" t="str">
        <x:v>Rivera et al. (2022)</x:v>
      </x:c>
      <x:c r="D188" s="9" t="str">
        <x:v>D3</x:v>
      </x:c>
      <x:c r="E188" s="9" t="str">
        <x:v>Low concern</x:v>
      </x:c>
      <x:c r="F188" s="9" t="str">
        <x:v>Low concern</x:v>
      </x:c>
      <x:c r="G188" s="9" t="str">
        <x:v>Yes</x:v>
      </x:c>
      <x:c r="H188" s="9" t="str">
        <x:v>Agree</x:v>
      </x:c>
      <x:c r="I188" s="9" t="str">
        <x:v>Low concern</x:v>
      </x:c>
      <x:c r="J188" s="9" t="str">
        <x:v>Initial agreement</x:v>
      </x:c>
      <x:c r="K188" s="9" t="str">
        <x:v>Reference/protocol and principal quantitative outcomes are reported.</x:v>
      </x:c>
      <x:c r="L188" s="9" t="str">
        <x:v>PDF pp. 3–12; Figs. 1–9; Tables 1–3; Appendix A</x:v>
      </x:c>
      <x:c r="M188" s="9" t="str">
        <x:v>Commercial goniometer and inertial-system measurements provide independent references.</x:v>
      </x:c>
      <x:c r="N188" s="9" t="str">
        <x:v>Article PDF pp. 6-9</x:v>
      </x:c>
      <x:c r="O188" s="9" t="str">
        <x:v>Reference/protocol and principal quantitative outcomes are reported.</x:v>
      </x:c>
      <x:c r="P188" s="9" t="str">
        <x:v>PDF pp. 3–12; Figs. 1–9; Tables 1–3; Appendix A</x:v>
      </x:c>
    </x:row>
    <x:row r="189">
      <x:c r="A189" s="9" t="n">
        <x:v>24</x:v>
      </x:c>
      <x:c r="B189" s="9" t="str">
        <x:v>S031</x:v>
      </x:c>
      <x:c r="C189" s="9" t="str">
        <x:v>Rivera et al. (2022)</x:v>
      </x:c>
      <x:c r="D189" s="9" t="str">
        <x:v>D4</x:v>
      </x:c>
      <x:c r="E189" s="9" t="str">
        <x:v>Low concern</x:v>
      </x:c>
      <x:c r="F189" s="9" t="str">
        <x:v>Low concern</x:v>
      </x:c>
      <x:c r="G189" s="9" t="str">
        <x:v>Yes</x:v>
      </x:c>
      <x:c r="H189" s="9" t="str">
        <x:v>Agree</x:v>
      </x:c>
      <x:c r="I189" s="9" t="str">
        <x:v>Low concern</x:v>
      </x:c>
      <x:c r="J189" s="9" t="str">
        <x:v>Initial agreement</x:v>
      </x:c>
      <x:c r="K189" s="9" t="str">
        <x:v>Reference/protocol and principal quantitative outcomes are reported.</x:v>
      </x:c>
      <x:c r="L189" s="9" t="str">
        <x:v>PDF pp. 3–12; Figs. 1–9; Tables 1–3; Appendix A</x:v>
      </x:c>
      <x:c r="M189" s="9" t="str">
        <x:v>Sensor placement, walking speeds and participant protocol are explicitly specified.</x:v>
      </x:c>
      <x:c r="N189" s="9" t="str">
        <x:v>Article PDF pp. 6-9</x:v>
      </x:c>
      <x:c r="O189" s="9" t="str">
        <x:v>Reference/protocol and principal quantitative outcomes are reported.</x:v>
      </x:c>
      <x:c r="P189" s="9" t="str">
        <x:v>PDF pp. 3–12; Figs. 1–9; Tables 1–3; Appendix A</x:v>
      </x:c>
    </x:row>
    <x:row r="190">
      <x:c r="A190" s="9" t="n">
        <x:v>24</x:v>
      </x:c>
      <x:c r="B190" s="9" t="str">
        <x:v>S031</x:v>
      </x:c>
      <x:c r="C190" s="9" t="str">
        <x:v>Rivera et al. (2022)</x:v>
      </x:c>
      <x:c r="D190" s="9" t="str">
        <x:v>D5</x:v>
      </x:c>
      <x:c r="E190" s="9" t="str">
        <x:v>Some concern</x:v>
      </x:c>
      <x:c r="F190" s="9" t="str">
        <x:v>High concern</x:v>
      </x:c>
      <x:c r="G190" s="9" t="str">
        <x:v>Yes</x:v>
      </x:c>
      <x:c r="H190" s="9" t="str">
        <x:v>Disagree</x:v>
      </x:c>
      <x:c r="I190" s="9" t="str">
        <x:v>Some concern</x:v>
      </x:c>
      <x:c r="J190" s="9" t="str">
        <x:v>Adjudicated to Reviewer 1</x:v>
      </x:c>
      <x:c r="K190" s="9" t="str">
        <x:v>Study-specific limitations are recorded in the extraction and REB sheets.</x:v>
      </x:c>
      <x:c r="L190" s="9" t="str">
        <x:v>PDF pp. 3–12; Figs. 1–9; Tables 1–3; Appendix A</x:v>
      </x:c>
      <x:c r="M190" s="9" t="str">
        <x:v>A defined repeated-measurement design with an adequate stability analysis is absent.</x:v>
      </x:c>
      <x:c r="N190" s="9" t="str">
        <x:v>Article PDF p. 2</x:v>
      </x:c>
      <x:c r="O190" s="9" t="str">
        <x:v>Study-specific limitations are recorded in the extraction and REB sheets.</x:v>
      </x:c>
      <x:c r="P190" s="9" t="str">
        <x:v>PDF pp. 3–12; Figs. 1–9; Tables 1–3; Appendix A</x:v>
      </x:c>
    </x:row>
    <x:row r="191">
      <x:c r="A191" s="9" t="n">
        <x:v>24</x:v>
      </x:c>
      <x:c r="B191" s="9" t="str">
        <x:v>S031</x:v>
      </x:c>
      <x:c r="C191" s="9" t="str">
        <x:v>Rivera et al. (2022)</x:v>
      </x:c>
      <x:c r="D191" s="9" t="str">
        <x:v>D6</x:v>
      </x:c>
      <x:c r="E191" s="9" t="str">
        <x:v>High concern</x:v>
      </x:c>
      <x:c r="F191" s="9" t="str">
        <x:v>High concern</x:v>
      </x:c>
      <x:c r="G191" s="9" t="str">
        <x:v>Yes</x:v>
      </x:c>
      <x:c r="H191" s="9" t="str">
        <x:v>Agree</x:v>
      </x:c>
      <x:c r="I191" s="9" t="str">
        <x:v>High concern</x:v>
      </x:c>
      <x:c r="J191" s="9" t="str">
        <x:v>Initial agreement</x:v>
      </x:c>
      <x:c r="K191" s="9" t="str">
        <x:v>A quantitative comparison of at least three separately fabricated complete sensing units was not identified.</x:v>
      </x:c>
      <x:c r="L191" s="9" t="str">
        <x:v>PDF pp. 3–12; Figs. 1–9; Tables 1–3; Appendix A</x:v>
      </x:c>
      <x:c r="M191" s="9" t="str">
        <x:v>Cycles, participants or configurations do not establish replication across three equivalent fabricated devices.</x:v>
      </x:c>
      <x:c r="N191" s="9" t="str">
        <x:v>Article PDF p. 8</x:v>
      </x:c>
      <x:c r="O191" s="9" t="str">
        <x:v>A quantitative comparison of at least three separately fabricated complete sensing units was not identified.</x:v>
      </x:c>
      <x:c r="P191" s="9" t="str">
        <x:v>PDF pp. 3–12; Figs. 1–9; Tables 1–3; Appendix A</x:v>
      </x:c>
    </x:row>
    <x:row r="192">
      <x:c r="A192" s="9" t="n">
        <x:v>24</x:v>
      </x:c>
      <x:c r="B192" s="9" t="str">
        <x:v>S031</x:v>
      </x:c>
      <x:c r="C192" s="9" t="str">
        <x:v>Rivera et al. (2022)</x:v>
      </x:c>
      <x:c r="D192" s="9" t="str">
        <x:v>D7</x:v>
      </x:c>
      <x:c r="E192" s="9" t="str">
        <x:v>Low concern</x:v>
      </x:c>
      <x:c r="F192" s="9" t="str">
        <x:v>Some concern</x:v>
      </x:c>
      <x:c r="G192" s="9" t="str">
        <x:v>Yes</x:v>
      </x:c>
      <x:c r="H192" s="9" t="str">
        <x:v>Disagree</x:v>
      </x:c>
      <x:c r="I192" s="9" t="str">
        <x:v>Low concern</x:v>
      </x:c>
      <x:c r="J192" s="9" t="str">
        <x:v>Adjudicated to Reviewer 1</x:v>
      </x:c>
      <x:c r="K192" s="9" t="str">
        <x:v>Reference/protocol and principal quantitative outcomes are reported.</x:v>
      </x:c>
      <x:c r="L192" s="9" t="str">
        <x:v>PDF pp. 3–12; Figs. 1–9; Tables 1–3; Appendix A</x:v>
      </x:c>
      <x:c r="M192" s="9" t="str">
        <x:v>Principal outcomes are reported, but device-level uncertainty or complete accounting of units/cycles is limited.</x:v>
      </x:c>
      <x:c r="N192" s="9" t="str">
        <x:v>Article PDF p. 9</x:v>
      </x:c>
      <x:c r="O192" s="9" t="str">
        <x:v>Reference/protocol and principal quantitative outcomes are reported.</x:v>
      </x:c>
      <x:c r="P192" s="9" t="str">
        <x:v>PDF pp. 3–12; Figs. 1–9; Tables 1–3; Appendix A</x:v>
      </x:c>
    </x:row>
    <x:row r="193">
      <x:c r="A193" s="9" t="n">
        <x:v>24</x:v>
      </x:c>
      <x:c r="B193" s="9" t="str">
        <x:v>S031</x:v>
      </x:c>
      <x:c r="C193" s="9" t="str">
        <x:v>Rivera et al. (2022)</x:v>
      </x:c>
      <x:c r="D193" s="9" t="str">
        <x:v>D8</x:v>
      </x:c>
      <x:c r="E193" s="9" t="str">
        <x:v>Some concern</x:v>
      </x:c>
      <x:c r="F193" s="9" t="str">
        <x:v>Low concern</x:v>
      </x:c>
      <x:c r="G193" s="9" t="str">
        <x:v>Yes</x:v>
      </x:c>
      <x:c r="H193" s="9" t="str">
        <x:v>Disagree</x:v>
      </x:c>
      <x:c r="I193" s="9" t="str">
        <x:v>Some concern</x:v>
      </x:c>
      <x:c r="J193" s="9" t="str">
        <x:v>Adjudicated to Reviewer 1</x:v>
      </x:c>
      <x:c r="K193" s="9" t="str">
        <x:v>Study-specific limitations are recorded in the extraction and REB sheets.</x:v>
      </x:c>
      <x:c r="L193" s="9" t="str">
        <x:v>PDF pp. 3–12; Figs. 1–9; Tables 1–3; Appendix A</x:v>
      </x:c>
      <x:c r="M193" s="9" t="str">
        <x:v>The final device was evaluated in a body-worn/use-relevant human configuration.</x:v>
      </x:c>
      <x:c r="N193" s="9" t="str">
        <x:v>Article PDF p. 3</x:v>
      </x:c>
      <x:c r="O193" s="9" t="str">
        <x:v>Study-specific limitations are recorded in the extraction and REB sheets.</x:v>
      </x:c>
      <x:c r="P193" s="9" t="str">
        <x:v>PDF pp. 3–12; Figs. 1–9; Tables 1–3; Appendix A</x:v>
      </x:c>
    </x:row>
    <x:row r="194">
      <x:c r="A194" s="9" t="n">
        <x:v>25</x:v>
      </x:c>
      <x:c r="B194" s="9" t="str">
        <x:v>S032</x:v>
      </x:c>
      <x:c r="C194" s="9" t="str">
        <x:v>Liu et al. (2021)</x:v>
      </x:c>
      <x:c r="D194" s="9" t="str">
        <x:v>D1</x:v>
      </x:c>
      <x:c r="E194" s="9" t="str">
        <x:v>High concern</x:v>
      </x:c>
      <x:c r="F194" s="9" t="str">
        <x:v>Some concern</x:v>
      </x:c>
      <x:c r="G194" s="9" t="str">
        <x:v>Yes</x:v>
      </x:c>
      <x:c r="H194" s="9" t="str">
        <x:v>Disagree</x:v>
      </x:c>
      <x:c r="I194" s="9" t="str">
        <x:v>High concern</x:v>
      </x:c>
      <x:c r="J194" s="9" t="str">
        <x:v>Adjudicated to Reviewer 1</x:v>
      </x:c>
      <x:c r="K194" s="9" t="str">
        <x:v>Human sample was small and not described as prospectively powered.</x:v>
      </x:c>
      <x:c r="L194" s="9" t="str">
        <x:v>PDF pp. 3–10; Figs. 1–8</x:v>
      </x:c>
      <x:c r="M194" s="9" t="str">
        <x:v>Some unit/participant counts or selection details are provided, but fabricated-unit selection and failures are not fully accounted for.</x:v>
      </x:c>
      <x:c r="N194" s="9" t="str">
        <x:v>Article PDF p. 9</x:v>
      </x:c>
      <x:c r="O194" s="9" t="str">
        <x:v>Human sample was small and not described as prospectively powered.</x:v>
      </x:c>
      <x:c r="P194" s="9" t="str">
        <x:v>PDF pp. 3–10; Figs. 1–8</x:v>
      </x:c>
    </x:row>
    <x:row r="195">
      <x:c r="A195" s="9" t="n">
        <x:v>25</x:v>
      </x:c>
      <x:c r="B195" s="9" t="str">
        <x:v>S032</x:v>
      </x:c>
      <x:c r="C195" s="9" t="str">
        <x:v>Liu et al. (2021)</x:v>
      </x:c>
      <x:c r="D195" s="9" t="str">
        <x:v>D2</x:v>
      </x:c>
      <x:c r="E195" s="9" t="str">
        <x:v>Some concern</x:v>
      </x:c>
      <x:c r="F195" s="9" t="str">
        <x:v>High concern</x:v>
      </x:c>
      <x:c r="G195" s="9" t="str">
        <x:v>Yes</x:v>
      </x:c>
      <x:c r="H195" s="9" t="str">
        <x:v>Disagree</x:v>
      </x:c>
      <x:c r="I195" s="9" t="str">
        <x:v>Some concern</x:v>
      </x:c>
      <x:c r="J195" s="9" t="str">
        <x:v>Adjudicated to Reviewer 1</x:v>
      </x:c>
      <x:c r="K195" s="9" t="str">
        <x:v>Study-specific limitations are recorded in the extraction and REB sheets.</x:v>
      </x:c>
      <x:c r="L195" s="9" t="str">
        <x:v>PDF pp. 3–10; Figs. 1–8</x:v>
      </x:c>
      <x:c r="M195" s="9" t="str">
        <x:v>Key fabrication variables are missing, so process variation cannot be separated confidently from sensor effects.</x:v>
      </x:c>
      <x:c r="N195" s="9" t="str">
        <x:v>Article PDF p. 4</x:v>
      </x:c>
      <x:c r="O195" s="9" t="str">
        <x:v>Study-specific limitations are recorded in the extraction and REB sheets.</x:v>
      </x:c>
      <x:c r="P195" s="9" t="str">
        <x:v>PDF pp. 3–10; Figs. 1–8</x:v>
      </x:c>
    </x:row>
    <x:row r="196">
      <x:c r="A196" s="9" t="n">
        <x:v>25</x:v>
      </x:c>
      <x:c r="B196" s="9" t="str">
        <x:v>S032</x:v>
      </x:c>
      <x:c r="C196" s="9" t="str">
        <x:v>Liu et al. (2021)</x:v>
      </x:c>
      <x:c r="D196" s="9" t="str">
        <x:v>D3</x:v>
      </x:c>
      <x:c r="E196" s="9" t="str">
        <x:v>Low concern</x:v>
      </x:c>
      <x:c r="F196" s="9" t="str">
        <x:v>Low concern</x:v>
      </x:c>
      <x:c r="G196" s="9" t="str">
        <x:v>Yes</x:v>
      </x:c>
      <x:c r="H196" s="9" t="str">
        <x:v>Agree</x:v>
      </x:c>
      <x:c r="I196" s="9" t="str">
        <x:v>Low concern</x:v>
      </x:c>
      <x:c r="J196" s="9" t="str">
        <x:v>Initial agreement</x:v>
      </x:c>
      <x:c r="K196" s="9" t="str">
        <x:v>Reference/protocol and principal quantitative outcomes are reported.</x:v>
      </x:c>
      <x:c r="L196" s="9" t="str">
        <x:v>PDF pp. 3–10; Figs. 1–8</x:v>
      </x:c>
      <x:c r="M196" s="9" t="str">
        <x:v>A standard tissue phantom and a commercial frequency-domain NIRS system provide independent comparison references.</x:v>
      </x:c>
      <x:c r="N196" s="9" t="str">
        <x:v>Article PDF pp. 6-9</x:v>
      </x:c>
      <x:c r="O196" s="9" t="str">
        <x:v>Reference/protocol and principal quantitative outcomes are reported.</x:v>
      </x:c>
      <x:c r="P196" s="9" t="str">
        <x:v>PDF pp. 3–10; Figs. 1–8</x:v>
      </x:c>
    </x:row>
    <x:row r="197">
      <x:c r="A197" s="9" t="n">
        <x:v>25</x:v>
      </x:c>
      <x:c r="B197" s="9" t="str">
        <x:v>S032</x:v>
      </x:c>
      <x:c r="C197" s="9" t="str">
        <x:v>Liu et al. (2021)</x:v>
      </x:c>
      <x:c r="D197" s="9" t="str">
        <x:v>D4</x:v>
      </x:c>
      <x:c r="E197" s="9" t="str">
        <x:v>Low concern</x:v>
      </x:c>
      <x:c r="F197" s="9" t="str">
        <x:v>Low concern</x:v>
      </x:c>
      <x:c r="G197" s="9" t="str">
        <x:v>Yes</x:v>
      </x:c>
      <x:c r="H197" s="9" t="str">
        <x:v>Agree</x:v>
      </x:c>
      <x:c r="I197" s="9" t="str">
        <x:v>Low concern</x:v>
      </x:c>
      <x:c r="J197" s="9" t="str">
        <x:v>Initial agreement</x:v>
      </x:c>
      <x:c r="K197" s="9" t="str">
        <x:v>Reference/protocol and principal quantitative outcomes are reported.</x:v>
      </x:c>
      <x:c r="L197" s="9" t="str">
        <x:v>PDF pp. 3–10; Figs. 1–8</x:v>
      </x:c>
      <x:c r="M197" s="9" t="str">
        <x:v>Relevant loading/exposure range, rate or geometry and measurement conditions are stated.</x:v>
      </x:c>
      <x:c r="N197" s="9" t="str">
        <x:v>Article PDF p. 10</x:v>
      </x:c>
      <x:c r="O197" s="9" t="str">
        <x:v>Reference/protocol and principal quantitative outcomes are reported.</x:v>
      </x:c>
      <x:c r="P197" s="9" t="str">
        <x:v>PDF pp. 3–10; Figs. 1–8</x:v>
      </x:c>
    </x:row>
    <x:row r="198">
      <x:c r="A198" s="9" t="n">
        <x:v>25</x:v>
      </x:c>
      <x:c r="B198" s="9" t="str">
        <x:v>S032</x:v>
      </x:c>
      <x:c r="C198" s="9" t="str">
        <x:v>Liu et al. (2021)</x:v>
      </x:c>
      <x:c r="D198" s="9" t="str">
        <x:v>D5</x:v>
      </x:c>
      <x:c r="E198" s="9" t="str">
        <x:v>Some concern</x:v>
      </x:c>
      <x:c r="F198" s="9" t="str">
        <x:v>High concern</x:v>
      </x:c>
      <x:c r="G198" s="9" t="str">
        <x:v>Yes</x:v>
      </x:c>
      <x:c r="H198" s="9" t="str">
        <x:v>Disagree</x:v>
      </x:c>
      <x:c r="I198" s="9" t="str">
        <x:v>Some concern</x:v>
      </x:c>
      <x:c r="J198" s="9" t="str">
        <x:v>Adjudicated to Reviewer 1</x:v>
      </x:c>
      <x:c r="K198" s="9" t="str">
        <x:v>Study-specific limitations are recorded in the extraction and REB sheets.</x:v>
      </x:c>
      <x:c r="L198" s="9" t="str">
        <x:v>PDF pp. 3–10; Figs. 1–8</x:v>
      </x:c>
      <x:c r="M198" s="9" t="str">
        <x:v>A defined repeated-measurement design with an adequate stability analysis is absent.</x:v>
      </x:c>
      <x:c r="N198" s="9" t="str">
        <x:v>Article PDF p. 6</x:v>
      </x:c>
      <x:c r="O198" s="9" t="str">
        <x:v>Study-specific limitations are recorded in the extraction and REB sheets.</x:v>
      </x:c>
      <x:c r="P198" s="9" t="str">
        <x:v>PDF pp. 3–10; Figs. 1–8</x:v>
      </x:c>
    </x:row>
    <x:row r="199">
      <x:c r="A199" s="9" t="n">
        <x:v>25</x:v>
      </x:c>
      <x:c r="B199" s="9" t="str">
        <x:v>S032</x:v>
      </x:c>
      <x:c r="C199" s="9" t="str">
        <x:v>Liu et al. (2021)</x:v>
      </x:c>
      <x:c r="D199" s="9" t="str">
        <x:v>D6</x:v>
      </x:c>
      <x:c r="E199" s="9" t="str">
        <x:v>High concern</x:v>
      </x:c>
      <x:c r="F199" s="9" t="str">
        <x:v>High concern</x:v>
      </x:c>
      <x:c r="G199" s="9" t="str">
        <x:v>Yes</x:v>
      </x:c>
      <x:c r="H199" s="9" t="str">
        <x:v>Agree</x:v>
      </x:c>
      <x:c r="I199" s="9" t="str">
        <x:v>High concern</x:v>
      </x:c>
      <x:c r="J199" s="9" t="str">
        <x:v>Initial agreement</x:v>
      </x:c>
      <x:c r="K199" s="9" t="str">
        <x:v>A quantitative comparison of at least three separately fabricated complete sensing units was not identified.</x:v>
      </x:c>
      <x:c r="L199" s="9" t="str">
        <x:v>PDF pp. 3–10; Figs. 1–8</x:v>
      </x:c>
      <x:c r="M199" s="9" t="str">
        <x:v>Cycles, participants or configurations do not establish replication across three equivalent fabricated devices.</x:v>
      </x:c>
      <x:c r="N199" s="9" t="str">
        <x:v>Article PDF p. 2</x:v>
      </x:c>
      <x:c r="O199" s="9" t="str">
        <x:v>A quantitative comparison of at least three separately fabricated complete sensing units was not identified.</x:v>
      </x:c>
      <x:c r="P199" s="9" t="str">
        <x:v>PDF pp. 3–10; Figs. 1–8</x:v>
      </x:c>
    </x:row>
    <x:row r="200">
      <x:c r="A200" s="9" t="n">
        <x:v>25</x:v>
      </x:c>
      <x:c r="B200" s="9" t="str">
        <x:v>S032</x:v>
      </x:c>
      <x:c r="C200" s="9" t="str">
        <x:v>Liu et al. (2021)</x:v>
      </x:c>
      <x:c r="D200" s="9" t="str">
        <x:v>D7</x:v>
      </x:c>
      <x:c r="E200" s="9" t="str">
        <x:v>Low concern</x:v>
      </x:c>
      <x:c r="F200" s="9" t="str">
        <x:v>Some concern</x:v>
      </x:c>
      <x:c r="G200" s="9" t="str">
        <x:v>Yes</x:v>
      </x:c>
      <x:c r="H200" s="9" t="str">
        <x:v>Disagree</x:v>
      </x:c>
      <x:c r="I200" s="9" t="str">
        <x:v>Low concern</x:v>
      </x:c>
      <x:c r="J200" s="9" t="str">
        <x:v>Adjudicated to Reviewer 1</x:v>
      </x:c>
      <x:c r="K200" s="9" t="str">
        <x:v>Reference/protocol and principal quantitative outcomes are reported.</x:v>
      </x:c>
      <x:c r="L200" s="9" t="str">
        <x:v>PDF pp. 3–10; Figs. 1–8</x:v>
      </x:c>
      <x:c r="M200" s="9" t="str">
        <x:v>Principal outcomes are reported, but device-level uncertainty or complete accounting of units/cycles is limited.</x:v>
      </x:c>
      <x:c r="N200" s="9" t="str">
        <x:v>Article PDF p. 9</x:v>
      </x:c>
      <x:c r="O200" s="9" t="str">
        <x:v>Reference/protocol and principal quantitative outcomes are reported.</x:v>
      </x:c>
      <x:c r="P200" s="9" t="str">
        <x:v>PDF pp. 3–10; Figs. 1–8</x:v>
      </x:c>
    </x:row>
    <x:row r="201">
      <x:c r="A201" s="9" t="n">
        <x:v>25</x:v>
      </x:c>
      <x:c r="B201" s="9" t="str">
        <x:v>S032</x:v>
      </x:c>
      <x:c r="C201" s="9" t="str">
        <x:v>Liu et al. (2021)</x:v>
      </x:c>
      <x:c r="D201" s="9" t="str">
        <x:v>D8</x:v>
      </x:c>
      <x:c r="E201" s="9" t="str">
        <x:v>Some concern</x:v>
      </x:c>
      <x:c r="F201" s="9" t="str">
        <x:v>Low concern</x:v>
      </x:c>
      <x:c r="G201" s="9" t="str">
        <x:v>Yes</x:v>
      </x:c>
      <x:c r="H201" s="9" t="str">
        <x:v>Disagree</x:v>
      </x:c>
      <x:c r="I201" s="9" t="str">
        <x:v>Some concern</x:v>
      </x:c>
      <x:c r="J201" s="9" t="str">
        <x:v>Adjudicated to Reviewer 1</x:v>
      </x:c>
      <x:c r="K201" s="9" t="str">
        <x:v>Study-specific limitations are recorded in the extraction and REB sheets.</x:v>
      </x:c>
      <x:c r="L201" s="9" t="str">
        <x:v>PDF pp. 3–10; Figs. 1–8</x:v>
      </x:c>
      <x:c r="M201" s="9" t="str">
        <x:v>The final device was evaluated in a body-worn/use-relevant human configuration.</x:v>
      </x:c>
      <x:c r="N201" s="9" t="str">
        <x:v>Article PDF p. 2</x:v>
      </x:c>
      <x:c r="O201" s="9" t="str">
        <x:v>Study-specific limitations are recorded in the extraction and REB sheets.</x:v>
      </x:c>
      <x:c r="P201" s="9" t="str">
        <x:v>PDF pp. 3–10; Figs. 1–8</x:v>
      </x:c>
    </x:row>
    <x:row r="202">
      <x:c r="A202" s="9" t="n">
        <x:v>26</x:v>
      </x:c>
      <x:c r="B202" s="9" t="str">
        <x:v>S033</x:v>
      </x:c>
      <x:c r="C202" s="9" t="str">
        <x:v>Yu et al. (2020)</x:v>
      </x:c>
      <x:c r="D202" s="9" t="str">
        <x:v>D1</x:v>
      </x:c>
      <x:c r="E202" s="9" t="str">
        <x:v>Some concern</x:v>
      </x:c>
      <x:c r="F202" s="9" t="str">
        <x:v>Some concern</x:v>
      </x:c>
      <x:c r="G202" s="9" t="str">
        <x:v>Yes</x:v>
      </x:c>
      <x:c r="H202" s="9" t="str">
        <x:v>Agree</x:v>
      </x:c>
      <x:c r="I202" s="9" t="str">
        <x:v>Some concern</x:v>
      </x:c>
      <x:c r="J202" s="9" t="str">
        <x:v>Initial agreement</x:v>
      </x:c>
      <x:c r="K202" s="9" t="str">
        <x:v>Study-specific limitations are recorded in the extraction and REB sheets.</x:v>
      </x:c>
      <x:c r="L202" s="9" t="str">
        <x:v>PDF pp. 2–7; Figs. 1–5; cited SI</x:v>
      </x:c>
      <x:c r="M202" s="9" t="str">
        <x:v>Some unit/participant counts or selection details are provided, but fabricated-unit selection and failures are not fully accounted for.</x:v>
      </x:c>
      <x:c r="N202" s="9" t="str">
        <x:v>Article PDF p. 8</x:v>
      </x:c>
      <x:c r="O202" s="9" t="str">
        <x:v>Study-specific limitations are recorded in the extraction and REB sheets.</x:v>
      </x:c>
      <x:c r="P202" s="9" t="str">
        <x:v>PDF pp. 2–7; Figs. 1–5; cited SI</x:v>
      </x:c>
    </x:row>
    <x:row r="203">
      <x:c r="A203" s="9" t="n">
        <x:v>26</x:v>
      </x:c>
      <x:c r="B203" s="9" t="str">
        <x:v>S033</x:v>
      </x:c>
      <x:c r="C203" s="9" t="str">
        <x:v>Yu et al. (2020)</x:v>
      </x:c>
      <x:c r="D203" s="9" t="str">
        <x:v>D2</x:v>
      </x:c>
      <x:c r="E203" s="9" t="str">
        <x:v>Some concern</x:v>
      </x:c>
      <x:c r="F203" s="9" t="str">
        <x:v>High concern</x:v>
      </x:c>
      <x:c r="G203" s="9" t="str">
        <x:v>Yes</x:v>
      </x:c>
      <x:c r="H203" s="9" t="str">
        <x:v>Disagree</x:v>
      </x:c>
      <x:c r="I203" s="9" t="str">
        <x:v>Some concern</x:v>
      </x:c>
      <x:c r="J203" s="9" t="str">
        <x:v>Adjudicated to Reviewer 1</x:v>
      </x:c>
      <x:c r="K203" s="9" t="str">
        <x:v>Study-specific limitations are recorded in the extraction and REB sheets.</x:v>
      </x:c>
      <x:c r="L203" s="9" t="str">
        <x:v>PDF pp. 2–7; Figs. 1–5; cited SI</x:v>
      </x:c>
      <x:c r="M203" s="9" t="str">
        <x:v>Key fabrication variables are missing, so process variation cannot be separated confidently from sensor effects.</x:v>
      </x:c>
      <x:c r="N203" s="9" t="str">
        <x:v>Article PDF p. 2</x:v>
      </x:c>
      <x:c r="O203" s="9" t="str">
        <x:v>Study-specific limitations are recorded in the extraction and REB sheets.</x:v>
      </x:c>
      <x:c r="P203" s="9" t="str">
        <x:v>PDF pp. 2–7; Figs. 1–5; cited SI</x:v>
      </x:c>
    </x:row>
    <x:row r="204">
      <x:c r="A204" s="9" t="n">
        <x:v>26</x:v>
      </x:c>
      <x:c r="B204" s="9" t="str">
        <x:v>S033</x:v>
      </x:c>
      <x:c r="C204" s="9" t="str">
        <x:v>Yu et al. (2020)</x:v>
      </x:c>
      <x:c r="D204" s="9" t="str">
        <x:v>D3</x:v>
      </x:c>
      <x:c r="E204" s="9" t="str">
        <x:v>Low concern</x:v>
      </x:c>
      <x:c r="F204" s="9" t="str">
        <x:v>Low concern</x:v>
      </x:c>
      <x:c r="G204" s="9" t="str">
        <x:v>Yes</x:v>
      </x:c>
      <x:c r="H204" s="9" t="str">
        <x:v>Agree</x:v>
      </x:c>
      <x:c r="I204" s="9" t="str">
        <x:v>Low concern</x:v>
      </x:c>
      <x:c r="J204" s="9" t="str">
        <x:v>Initial agreement</x:v>
      </x:c>
      <x:c r="K204" s="9" t="str">
        <x:v>Reference/protocol and principal quantitative outcomes are reported.</x:v>
      </x:c>
      <x:c r="L204" s="9" t="str">
        <x:v>PDF pp. 2–7; Figs. 1–5; cited SI</x:v>
      </x:c>
      <x:c r="M204" s="9" t="str">
        <x:v>The controlled input/reference and calibration procedure are appropriate and independently measured.</x:v>
      </x:c>
      <x:c r="N204" s="9" t="str">
        <x:v>Article PDF p. 7</x:v>
      </x:c>
      <x:c r="O204" s="9" t="str">
        <x:v>Reference/protocol and principal quantitative outcomes are reported.</x:v>
      </x:c>
      <x:c r="P204" s="9" t="str">
        <x:v>PDF pp. 2–7; Figs. 1–5; cited SI</x:v>
      </x:c>
    </x:row>
    <x:row r="205">
      <x:c r="A205" s="9" t="n">
        <x:v>26</x:v>
      </x:c>
      <x:c r="B205" s="9" t="str">
        <x:v>S033</x:v>
      </x:c>
      <x:c r="C205" s="9" t="str">
        <x:v>Yu et al. (2020)</x:v>
      </x:c>
      <x:c r="D205" s="9" t="str">
        <x:v>D4</x:v>
      </x:c>
      <x:c r="E205" s="9" t="str">
        <x:v>Low concern</x:v>
      </x:c>
      <x:c r="F205" s="9" t="str">
        <x:v>Low concern</x:v>
      </x:c>
      <x:c r="G205" s="9" t="str">
        <x:v>Yes</x:v>
      </x:c>
      <x:c r="H205" s="9" t="str">
        <x:v>Agree</x:v>
      </x:c>
      <x:c r="I205" s="9" t="str">
        <x:v>Low concern</x:v>
      </x:c>
      <x:c r="J205" s="9" t="str">
        <x:v>Initial agreement</x:v>
      </x:c>
      <x:c r="K205" s="9" t="str">
        <x:v>Reference/protocol and principal quantitative outcomes are reported.</x:v>
      </x:c>
      <x:c r="L205" s="9" t="str">
        <x:v>PDF pp. 2–7; Figs. 1–5; cited SI</x:v>
      </x:c>
      <x:c r="M205" s="9" t="str">
        <x:v>Relevant loading/exposure range, rate or geometry and measurement conditions are stated.</x:v>
      </x:c>
      <x:c r="N205" s="9" t="str">
        <x:v>Article PDF p. 7</x:v>
      </x:c>
      <x:c r="O205" s="9" t="str">
        <x:v>Reference/protocol and principal quantitative outcomes are reported.</x:v>
      </x:c>
      <x:c r="P205" s="9" t="str">
        <x:v>PDF pp. 2–7; Figs. 1–5; cited SI</x:v>
      </x:c>
    </x:row>
    <x:row r="206">
      <x:c r="A206" s="9" t="n">
        <x:v>26</x:v>
      </x:c>
      <x:c r="B206" s="9" t="str">
        <x:v>S033</x:v>
      </x:c>
      <x:c r="C206" s="9" t="str">
        <x:v>Yu et al. (2020)</x:v>
      </x:c>
      <x:c r="D206" s="9" t="str">
        <x:v>D5</x:v>
      </x:c>
      <x:c r="E206" s="9" t="str">
        <x:v>Some concern</x:v>
      </x:c>
      <x:c r="F206" s="9" t="str">
        <x:v>Low concern</x:v>
      </x:c>
      <x:c r="G206" s="9" t="str">
        <x:v>Yes</x:v>
      </x:c>
      <x:c r="H206" s="9" t="str">
        <x:v>Disagree</x:v>
      </x:c>
      <x:c r="I206" s="9" t="str">
        <x:v>Some concern</x:v>
      </x:c>
      <x:c r="J206" s="9" t="str">
        <x:v>Adjudicated to Reviewer 1</x:v>
      </x:c>
      <x:c r="K206" s="9" t="str">
        <x:v>Study-specific limitations are recorded in the extraction and REB sheets.</x:v>
      </x:c>
      <x:c r="L206" s="9" t="str">
        <x:v>PDF pp. 2–7; Figs. 1–5; cited SI</x:v>
      </x:c>
      <x:c r="M206" s="9" t="str">
        <x:v>Repeated units/counts and a stability outcome are defined for the stated protocol.</x:v>
      </x:c>
      <x:c r="N206" s="9" t="str">
        <x:v>Article PDF p. 7</x:v>
      </x:c>
      <x:c r="O206" s="9" t="str">
        <x:v>Study-specific limitations are recorded in the extraction and REB sheets.</x:v>
      </x:c>
      <x:c r="P206" s="9" t="str">
        <x:v>PDF pp. 2–7; Figs. 1–5; cited SI</x:v>
      </x:c>
    </x:row>
    <x:row r="207">
      <x:c r="A207" s="9" t="n">
        <x:v>26</x:v>
      </x:c>
      <x:c r="B207" s="9" t="str">
        <x:v>S033</x:v>
      </x:c>
      <x:c r="C207" s="9" t="str">
        <x:v>Yu et al. (2020)</x:v>
      </x:c>
      <x:c r="D207" s="9" t="str">
        <x:v>D6</x:v>
      </x:c>
      <x:c r="E207" s="9" t="str">
        <x:v>High concern</x:v>
      </x:c>
      <x:c r="F207" s="9" t="str">
        <x:v>High concern</x:v>
      </x:c>
      <x:c r="G207" s="9" t="str">
        <x:v>Yes</x:v>
      </x:c>
      <x:c r="H207" s="9" t="str">
        <x:v>Agree</x:v>
      </x:c>
      <x:c r="I207" s="9" t="str">
        <x:v>High concern</x:v>
      </x:c>
      <x:c r="J207" s="9" t="str">
        <x:v>Initial agreement</x:v>
      </x:c>
      <x:c r="K207" s="9" t="str">
        <x:v>A quantitative comparison of at least three separately fabricated complete sensing units was not identified.</x:v>
      </x:c>
      <x:c r="L207" s="9" t="str">
        <x:v>PDF pp. 2–7; Figs. 1–5; cited SI</x:v>
      </x:c>
      <x:c r="M207" s="9" t="str">
        <x:v>Cycles, participants or configurations do not establish replication across three equivalent fabricated devices.</x:v>
      </x:c>
      <x:c r="N207" s="9" t="str">
        <x:v>Article PDF p. 7</x:v>
      </x:c>
      <x:c r="O207" s="9" t="str">
        <x:v>A quantitative comparison of at least three separately fabricated complete sensing units was not identified.</x:v>
      </x:c>
      <x:c r="P207" s="9" t="str">
        <x:v>PDF pp. 2–7; Figs. 1–5; cited SI</x:v>
      </x:c>
    </x:row>
    <x:row r="208">
      <x:c r="A208" s="9" t="n">
        <x:v>26</x:v>
      </x:c>
      <x:c r="B208" s="9" t="str">
        <x:v>S033</x:v>
      </x:c>
      <x:c r="C208" s="9" t="str">
        <x:v>Yu et al. (2020)</x:v>
      </x:c>
      <x:c r="D208" s="9" t="str">
        <x:v>D7</x:v>
      </x:c>
      <x:c r="E208" s="9" t="str">
        <x:v>Low concern</x:v>
      </x:c>
      <x:c r="F208" s="9" t="str">
        <x:v>Some concern</x:v>
      </x:c>
      <x:c r="G208" s="9" t="str">
        <x:v>Yes</x:v>
      </x:c>
      <x:c r="H208" s="9" t="str">
        <x:v>Disagree</x:v>
      </x:c>
      <x:c r="I208" s="9" t="str">
        <x:v>Low concern</x:v>
      </x:c>
      <x:c r="J208" s="9" t="str">
        <x:v>Adjudicated to Reviewer 1</x:v>
      </x:c>
      <x:c r="K208" s="9" t="str">
        <x:v>Reference/protocol and principal quantitative outcomes are reported.</x:v>
      </x:c>
      <x:c r="L208" s="9" t="str">
        <x:v>PDF pp. 2–7; Figs. 1–5; cited SI</x:v>
      </x:c>
      <x:c r="M208" s="9" t="str">
        <x:v>Principal outcomes are reported, but device-level uncertainty or complete accounting of units/cycles is limited.</x:v>
      </x:c>
      <x:c r="N208" s="9" t="str">
        <x:v>Article PDF p. 8</x:v>
      </x:c>
      <x:c r="O208" s="9" t="str">
        <x:v>Reference/protocol and principal quantitative outcomes are reported.</x:v>
      </x:c>
      <x:c r="P208" s="9" t="str">
        <x:v>PDF pp. 2–7; Figs. 1–5; cited SI</x:v>
      </x:c>
    </x:row>
    <x:row r="209">
      <x:c r="A209" s="9" t="n">
        <x:v>26</x:v>
      </x:c>
      <x:c r="B209" s="9" t="str">
        <x:v>S033</x:v>
      </x:c>
      <x:c r="C209" s="9" t="str">
        <x:v>Yu et al. (2020)</x:v>
      </x:c>
      <x:c r="D209" s="9" t="str">
        <x:v>D8</x:v>
      </x:c>
      <x:c r="E209" s="9" t="str">
        <x:v>Some concern</x:v>
      </x:c>
      <x:c r="F209" s="9" t="str">
        <x:v>Low concern</x:v>
      </x:c>
      <x:c r="G209" s="9" t="str">
        <x:v>Yes</x:v>
      </x:c>
      <x:c r="H209" s="9" t="str">
        <x:v>Disagree</x:v>
      </x:c>
      <x:c r="I209" s="9" t="str">
        <x:v>Some concern</x:v>
      </x:c>
      <x:c r="J209" s="9" t="str">
        <x:v>Adjudicated to Reviewer 1</x:v>
      </x:c>
      <x:c r="K209" s="9" t="str">
        <x:v>Study-specific limitations are recorded in the extraction and REB sheets.</x:v>
      </x:c>
      <x:c r="L209" s="9" t="str">
        <x:v>PDF pp. 2–7; Figs. 1–5; cited SI</x:v>
      </x:c>
      <x:c r="M209" s="9" t="str">
        <x:v>The final device was evaluated in a body-worn/use-relevant human configuration.</x:v>
      </x:c>
      <x:c r="N209" s="9" t="str">
        <x:v>Article PDF p. 8</x:v>
      </x:c>
      <x:c r="O209" s="9" t="str">
        <x:v>Study-specific limitations are recorded in the extraction and REB sheets.</x:v>
      </x:c>
      <x:c r="P209" s="9" t="str">
        <x:v>PDF pp. 2–7; Figs. 1–5; cited SI</x:v>
      </x:c>
    </x:row>
    <x:row r="210">
      <x:c r="A210" s="9" t="n">
        <x:v>27</x:v>
      </x:c>
      <x:c r="B210" s="9" t="str">
        <x:v>S034</x:v>
      </x:c>
      <x:c r="C210" s="9" t="str">
        <x:v>Zhang et al. (2026)</x:v>
      </x:c>
      <x:c r="D210" s="9" t="str">
        <x:v>D1</x:v>
      </x:c>
      <x:c r="E210" s="9" t="str">
        <x:v>Some concern</x:v>
      </x:c>
      <x:c r="F210" s="9" t="str">
        <x:v>Some concern</x:v>
      </x:c>
      <x:c r="G210" s="9" t="str">
        <x:v>Yes</x:v>
      </x:c>
      <x:c r="H210" s="9" t="str">
        <x:v>Agree</x:v>
      </x:c>
      <x:c r="I210" s="9" t="str">
        <x:v>Some concern</x:v>
      </x:c>
      <x:c r="J210" s="9" t="str">
        <x:v>Initial agreement</x:v>
      </x:c>
      <x:c r="K210" s="9" t="str">
        <x:v>Study-specific limitations are recorded in the extraction and REB sheets.</x:v>
      </x:c>
      <x:c r="L210" s="9" t="str">
        <x:v>PDF pp. 2–9; Figs. 1–5; cited SI</x:v>
      </x:c>
      <x:c r="M210" s="9" t="str">
        <x:v>Some unit/participant counts or selection details are provided, but fabricated-unit selection and failures are not fully accounted for.</x:v>
      </x:c>
      <x:c r="N210" s="9" t="str">
        <x:v>Article PDF p. 4</x:v>
      </x:c>
      <x:c r="O210" s="9" t="str">
        <x:v>Study-specific limitations are recorded in the extraction and REB sheets.</x:v>
      </x:c>
      <x:c r="P210" s="9" t="str">
        <x:v>PDF pp. 2–9; Figs. 1–5; cited SI</x:v>
      </x:c>
    </x:row>
    <x:row r="211">
      <x:c r="A211" s="9" t="n">
        <x:v>27</x:v>
      </x:c>
      <x:c r="B211" s="9" t="str">
        <x:v>S034</x:v>
      </x:c>
      <x:c r="C211" s="9" t="str">
        <x:v>Zhang et al. (2026)</x:v>
      </x:c>
      <x:c r="D211" s="9" t="str">
        <x:v>D2</x:v>
      </x:c>
      <x:c r="E211" s="9" t="str">
        <x:v>Some concern</x:v>
      </x:c>
      <x:c r="F211" s="9" t="str">
        <x:v>Some concern</x:v>
      </x:c>
      <x:c r="G211" s="9" t="str">
        <x:v>Yes</x:v>
      </x:c>
      <x:c r="H211" s="9" t="str">
        <x:v>Agree</x:v>
      </x:c>
      <x:c r="I211" s="9" t="str">
        <x:v>Some concern</x:v>
      </x:c>
      <x:c r="J211" s="9" t="str">
        <x:v>Initial agreement</x:v>
      </x:c>
      <x:c r="K211" s="9" t="str">
        <x:v>Study-specific limitations are recorded in the extraction and REB sheets.</x:v>
      </x:c>
      <x:c r="L211" s="9" t="str">
        <x:v>PDF pp. 2–9; Figs. 1–5; cited SI</x:v>
      </x:c>
      <x:c r="M211" s="9" t="str">
        <x:v>Several fabrication controls are documented, but omitted settings leave residual process-confounding concern.</x:v>
      </x:c>
      <x:c r="N211" s="9" t="str">
        <x:v>Article PDF p. 9</x:v>
      </x:c>
      <x:c r="O211" s="9" t="str">
        <x:v>Study-specific limitations are recorded in the extraction and REB sheets.</x:v>
      </x:c>
      <x:c r="P211" s="9" t="str">
        <x:v>PDF pp. 2–9; Figs. 1–5; cited SI</x:v>
      </x:c>
    </x:row>
    <x:row r="212">
      <x:c r="A212" s="9" t="n">
        <x:v>27</x:v>
      </x:c>
      <x:c r="B212" s="9" t="str">
        <x:v>S034</x:v>
      </x:c>
      <x:c r="C212" s="9" t="str">
        <x:v>Zhang et al. (2026)</x:v>
      </x:c>
      <x:c r="D212" s="9" t="str">
        <x:v>D3</x:v>
      </x:c>
      <x:c r="E212" s="9" t="str">
        <x:v>Low concern</x:v>
      </x:c>
      <x:c r="F212" s="9" t="str">
        <x:v>Low concern</x:v>
      </x:c>
      <x:c r="G212" s="9" t="str">
        <x:v>Yes</x:v>
      </x:c>
      <x:c r="H212" s="9" t="str">
        <x:v>Agree</x:v>
      </x:c>
      <x:c r="I212" s="9" t="str">
        <x:v>Low concern</x:v>
      </x:c>
      <x:c r="J212" s="9" t="str">
        <x:v>Initial agreement</x:v>
      </x:c>
      <x:c r="K212" s="9" t="str">
        <x:v>Reference/protocol and principal quantitative outcomes are reported.</x:v>
      </x:c>
      <x:c r="L212" s="9" t="str">
        <x:v>PDF pp. 2–9; Figs. 1–5; cited SI</x:v>
      </x:c>
      <x:c r="M212" s="9" t="str">
        <x:v>The controlled input/reference and calibration procedure are appropriate and independently measured.</x:v>
      </x:c>
      <x:c r="N212" s="9" t="str">
        <x:v>Article PDF p. 4</x:v>
      </x:c>
      <x:c r="O212" s="9" t="str">
        <x:v>Reference/protocol and principal quantitative outcomes are reported.</x:v>
      </x:c>
      <x:c r="P212" s="9" t="str">
        <x:v>PDF pp. 2–9; Figs. 1–5; cited SI</x:v>
      </x:c>
    </x:row>
    <x:row r="213">
      <x:c r="A213" s="9" t="n">
        <x:v>27</x:v>
      </x:c>
      <x:c r="B213" s="9" t="str">
        <x:v>S034</x:v>
      </x:c>
      <x:c r="C213" s="9" t="str">
        <x:v>Zhang et al. (2026)</x:v>
      </x:c>
      <x:c r="D213" s="9" t="str">
        <x:v>D4</x:v>
      </x:c>
      <x:c r="E213" s="9" t="str">
        <x:v>Low concern</x:v>
      </x:c>
      <x:c r="F213" s="9" t="str">
        <x:v>Low concern</x:v>
      </x:c>
      <x:c r="G213" s="9" t="str">
        <x:v>Yes</x:v>
      </x:c>
      <x:c r="H213" s="9" t="str">
        <x:v>Agree</x:v>
      </x:c>
      <x:c r="I213" s="9" t="str">
        <x:v>Low concern</x:v>
      </x:c>
      <x:c r="J213" s="9" t="str">
        <x:v>Initial agreement</x:v>
      </x:c>
      <x:c r="K213" s="9" t="str">
        <x:v>Reference/protocol and principal quantitative outcomes are reported.</x:v>
      </x:c>
      <x:c r="L213" s="9" t="str">
        <x:v>PDF pp. 2–9; Figs. 1–5; cited SI</x:v>
      </x:c>
      <x:c r="M213" s="9" t="str">
        <x:v>Relevant loading/exposure range, rate or geometry and measurement conditions are stated.</x:v>
      </x:c>
      <x:c r="N213" s="9" t="str">
        <x:v>Article PDF p. 9</x:v>
      </x:c>
      <x:c r="O213" s="9" t="str">
        <x:v>Reference/protocol and principal quantitative outcomes are reported.</x:v>
      </x:c>
      <x:c r="P213" s="9" t="str">
        <x:v>PDF pp. 2–9; Figs. 1–5; cited SI</x:v>
      </x:c>
    </x:row>
    <x:row r="214">
      <x:c r="A214" s="9" t="n">
        <x:v>27</x:v>
      </x:c>
      <x:c r="B214" s="9" t="str">
        <x:v>S034</x:v>
      </x:c>
      <x:c r="C214" s="9" t="str">
        <x:v>Zhang et al. (2026)</x:v>
      </x:c>
      <x:c r="D214" s="9" t="str">
        <x:v>D5</x:v>
      </x:c>
      <x:c r="E214" s="9" t="str">
        <x:v>Some concern</x:v>
      </x:c>
      <x:c r="F214" s="9" t="str">
        <x:v>Low concern</x:v>
      </x:c>
      <x:c r="G214" s="9" t="str">
        <x:v>Yes</x:v>
      </x:c>
      <x:c r="H214" s="9" t="str">
        <x:v>Disagree</x:v>
      </x:c>
      <x:c r="I214" s="9" t="str">
        <x:v>Some concern</x:v>
      </x:c>
      <x:c r="J214" s="9" t="str">
        <x:v>Adjudicated to Reviewer 1</x:v>
      </x:c>
      <x:c r="K214" s="9" t="str">
        <x:v>Study-specific limitations are recorded in the extraction and REB sheets.</x:v>
      </x:c>
      <x:c r="L214" s="9" t="str">
        <x:v>PDF pp. 2–9; Figs. 1–5; cited SI</x:v>
      </x:c>
      <x:c r="M214" s="9" t="str">
        <x:v>Repeated units/counts and a stability outcome are defined for the stated protocol.</x:v>
      </x:c>
      <x:c r="N214" s="9" t="str">
        <x:v>Article PDF p. 2</x:v>
      </x:c>
      <x:c r="O214" s="9" t="str">
        <x:v>Study-specific limitations are recorded in the extraction and REB sheets.</x:v>
      </x:c>
      <x:c r="P214" s="9" t="str">
        <x:v>PDF pp. 2–9; Figs. 1–5; cited SI</x:v>
      </x:c>
    </x:row>
    <x:row r="215">
      <x:c r="A215" s="9" t="n">
        <x:v>27</x:v>
      </x:c>
      <x:c r="B215" s="9" t="str">
        <x:v>S034</x:v>
      </x:c>
      <x:c r="C215" s="9" t="str">
        <x:v>Zhang et al. (2026)</x:v>
      </x:c>
      <x:c r="D215" s="9" t="str">
        <x:v>D6</x:v>
      </x:c>
      <x:c r="E215" s="9" t="str">
        <x:v>Low concern</x:v>
      </x:c>
      <x:c r="F215" s="9" t="str">
        <x:v>High concern</x:v>
      </x:c>
      <x:c r="G215" s="9" t="str">
        <x:v>Yes</x:v>
      </x:c>
      <x:c r="H215" s="9" t="str">
        <x:v>Disagree</x:v>
      </x:c>
      <x:c r="I215" s="9" t="str">
        <x:v>Low concern</x:v>
      </x:c>
      <x:c r="J215" s="9" t="str">
        <x:v>Adjudicated to Reviewer 1</x:v>
      </x:c>
      <x:c r="K215" s="9" t="str">
        <x:v>At least three separately fabricated sensing units were compared quantitatively.</x:v>
      </x:c>
      <x:c r="L215" s="9" t="str">
        <x:v>PDF pp. 2–9; Figs. 1–5; cited SI</x:v>
      </x:c>
      <x:c r="M215" s="9" t="str">
        <x:v>Cycles, participants or configurations do not establish replication across three equivalent fabricated devices.</x:v>
      </x:c>
      <x:c r="N215" s="9" t="str">
        <x:v>Article PDF p. 5</x:v>
      </x:c>
      <x:c r="O215" s="9" t="str">
        <x:v>At least three separately fabricated sensing units were compared quantitatively.</x:v>
      </x:c>
      <x:c r="P215" s="9" t="str">
        <x:v>PDF pp. 2–9; Figs. 1–5; cited SI</x:v>
      </x:c>
    </x:row>
    <x:row r="216">
      <x:c r="A216" s="9" t="n">
        <x:v>27</x:v>
      </x:c>
      <x:c r="B216" s="9" t="str">
        <x:v>S034</x:v>
      </x:c>
      <x:c r="C216" s="9" t="str">
        <x:v>Zhang et al. (2026)</x:v>
      </x:c>
      <x:c r="D216" s="9" t="str">
        <x:v>D7</x:v>
      </x:c>
      <x:c r="E216" s="9" t="str">
        <x:v>Low concern</x:v>
      </x:c>
      <x:c r="F216" s="9" t="str">
        <x:v>Low concern</x:v>
      </x:c>
      <x:c r="G216" s="9" t="str">
        <x:v>Yes</x:v>
      </x:c>
      <x:c r="H216" s="9" t="str">
        <x:v>Agree</x:v>
      </x:c>
      <x:c r="I216" s="9" t="str">
        <x:v>Low concern</x:v>
      </x:c>
      <x:c r="J216" s="9" t="str">
        <x:v>Initial agreement</x:v>
      </x:c>
      <x:c r="K216" s="9" t="str">
        <x:v>Reference/protocol and principal quantitative outcomes are reported.</x:v>
      </x:c>
      <x:c r="L216" s="9" t="str">
        <x:v>PDF pp. 2–9; Figs. 1–5; cited SI</x:v>
      </x:c>
      <x:c r="M216" s="9" t="str">
        <x:v>Principal response/stability outcomes and relevant uncertainty are reported without evident unexplained omissions.</x:v>
      </x:c>
      <x:c r="N216" s="9" t="str">
        <x:v>Article PDF p. 5</x:v>
      </x:c>
      <x:c r="O216" s="9" t="str">
        <x:v>Reference/protocol and principal quantitative outcomes are reported.</x:v>
      </x:c>
      <x:c r="P216" s="9" t="str">
        <x:v>PDF pp. 2–9; Figs. 1–5; cited SI</x:v>
      </x:c>
    </x:row>
    <x:row r="217">
      <x:c r="A217" s="9" t="n">
        <x:v>27</x:v>
      </x:c>
      <x:c r="B217" s="9" t="str">
        <x:v>S034</x:v>
      </x:c>
      <x:c r="C217" s="9" t="str">
        <x:v>Zhang et al. (2026)</x:v>
      </x:c>
      <x:c r="D217" s="9" t="str">
        <x:v>D8</x:v>
      </x:c>
      <x:c r="E217" s="9" t="str">
        <x:v>Some concern</x:v>
      </x:c>
      <x:c r="F217" s="9" t="str">
        <x:v>Some concern</x:v>
      </x:c>
      <x:c r="G217" s="9" t="str">
        <x:v>Yes</x:v>
      </x:c>
      <x:c r="H217" s="9" t="str">
        <x:v>Agree</x:v>
      </x:c>
      <x:c r="I217" s="9" t="str">
        <x:v>Some concern</x:v>
      </x:c>
      <x:c r="J217" s="9" t="str">
        <x:v>Initial agreement</x:v>
      </x:c>
      <x:c r="K217" s="9" t="str">
        <x:v>Study-specific limitations are recorded in the extraction and REB sheets.</x:v>
      </x:c>
      <x:c r="L217" s="9" t="str">
        <x:v>PDF pp. 2–9; Figs. 1–5; cited SI</x:v>
      </x:c>
      <x:c r="M217" s="9" t="str">
        <x:v>Human sweat was collected and analyzed, but the sensor was not evaluated while worn on the body.</x:v>
      </x:c>
      <x:c r="N217" s="9" t="str">
        <x:v>Article PDF p. 5, Section on real biofluids</x:v>
      </x:c>
      <x:c r="O217" s="9" t="str">
        <x:v>Study-specific limitations are recorded in the extraction and REB sheets.</x:v>
      </x:c>
      <x:c r="P217" s="9" t="str">
        <x:v>PDF pp. 2–9; Figs. 1–5; cited SI</x:v>
      </x:c>
    </x:row>
    <x:row r="218">
      <x:c r="A218" s="9" t="n">
        <x:v>28</x:v>
      </x:c>
      <x:c r="B218" s="9" t="str">
        <x:v>S035</x:v>
      </x:c>
      <x:c r="C218" s="9" t="str">
        <x:v>Katseli et al. (2021)</x:v>
      </x:c>
      <x:c r="D218" s="9" t="str">
        <x:v>D1</x:v>
      </x:c>
      <x:c r="E218" s="9" t="str">
        <x:v>High concern</x:v>
      </x:c>
      <x:c r="F218" s="9" t="str">
        <x:v>Some concern</x:v>
      </x:c>
      <x:c r="G218" s="9" t="str">
        <x:v>Yes</x:v>
      </x:c>
      <x:c r="H218" s="9" t="str">
        <x:v>Disagree</x:v>
      </x:c>
      <x:c r="I218" s="9" t="str">
        <x:v>High concern</x:v>
      </x:c>
      <x:c r="J218" s="9" t="str">
        <x:v>Adjudicated to Reviewer 1</x:v>
      </x:c>
      <x:c r="K218" s="9" t="str">
        <x:v>On-body proof-of-concept used one or two participants.</x:v>
      </x:c>
      <x:c r="L218" s="9" t="str">
        <x:v>PDF pp. 1–5; Figs. 1–4; cited SI</x:v>
      </x:c>
      <x:c r="M218" s="9" t="str">
        <x:v>Some unit/participant counts or selection details are provided, but fabricated-unit selection and failures are not fully accounted for.</x:v>
      </x:c>
      <x:c r="N218" s="9" t="str">
        <x:v>Article PDF p. 5</x:v>
      </x:c>
      <x:c r="O218" s="9" t="str">
        <x:v>On-body proof-of-concept used one or two participants.</x:v>
      </x:c>
      <x:c r="P218" s="9" t="str">
        <x:v>PDF pp. 1–5; Figs. 1–4; cited SI</x:v>
      </x:c>
    </x:row>
    <x:row r="219">
      <x:c r="A219" s="9" t="n">
        <x:v>28</x:v>
      </x:c>
      <x:c r="B219" s="9" t="str">
        <x:v>S035</x:v>
      </x:c>
      <x:c r="C219" s="9" t="str">
        <x:v>Katseli et al. (2021)</x:v>
      </x:c>
      <x:c r="D219" s="9" t="str">
        <x:v>D2</x:v>
      </x:c>
      <x:c r="E219" s="9" t="str">
        <x:v>Some concern</x:v>
      </x:c>
      <x:c r="F219" s="9" t="str">
        <x:v>High concern</x:v>
      </x:c>
      <x:c r="G219" s="9" t="str">
        <x:v>Yes</x:v>
      </x:c>
      <x:c r="H219" s="9" t="str">
        <x:v>Disagree</x:v>
      </x:c>
      <x:c r="I219" s="9" t="str">
        <x:v>Some concern</x:v>
      </x:c>
      <x:c r="J219" s="9" t="str">
        <x:v>Adjudicated to Reviewer 1</x:v>
      </x:c>
      <x:c r="K219" s="9" t="str">
        <x:v>Study-specific limitations are recorded in the extraction and REB sheets.</x:v>
      </x:c>
      <x:c r="L219" s="9" t="str">
        <x:v>PDF pp. 1–5; Figs. 1–4; cited SI</x:v>
      </x:c>
      <x:c r="M219" s="9" t="str">
        <x:v>Key fabrication variables are missing, so process variation cannot be separated confidently from sensor effects.</x:v>
      </x:c>
      <x:c r="N219" s="9" t="str">
        <x:v>Article PDF p. 5</x:v>
      </x:c>
      <x:c r="O219" s="9" t="str">
        <x:v>Study-specific limitations are recorded in the extraction and REB sheets.</x:v>
      </x:c>
      <x:c r="P219" s="9" t="str">
        <x:v>PDF pp. 1–5; Figs. 1–4; cited SI</x:v>
      </x:c>
    </x:row>
    <x:row r="220">
      <x:c r="A220" s="9" t="n">
        <x:v>28</x:v>
      </x:c>
      <x:c r="B220" s="9" t="str">
        <x:v>S035</x:v>
      </x:c>
      <x:c r="C220" s="9" t="str">
        <x:v>Katseli et al. (2021)</x:v>
      </x:c>
      <x:c r="D220" s="9" t="str">
        <x:v>D3</x:v>
      </x:c>
      <x:c r="E220" s="9" t="str">
        <x:v>Low concern</x:v>
      </x:c>
      <x:c r="F220" s="9" t="str">
        <x:v>Low concern</x:v>
      </x:c>
      <x:c r="G220" s="9" t="str">
        <x:v>Yes</x:v>
      </x:c>
      <x:c r="H220" s="9" t="str">
        <x:v>Agree</x:v>
      </x:c>
      <x:c r="I220" s="9" t="str">
        <x:v>Low concern</x:v>
      </x:c>
      <x:c r="J220" s="9" t="str">
        <x:v>Initial agreement</x:v>
      </x:c>
      <x:c r="K220" s="9" t="str">
        <x:v>Reference/protocol and principal quantitative outcomes are reported.</x:v>
      </x:c>
      <x:c r="L220" s="9" t="str">
        <x:v>PDF pp. 1–5; Figs. 1–4; cited SI</x:v>
      </x:c>
      <x:c r="M220" s="9" t="str">
        <x:v>The controlled input/reference and calibration procedure are appropriate and independently measured.</x:v>
      </x:c>
      <x:c r="N220" s="9" t="str">
        <x:v>Article PDF p. 5</x:v>
      </x:c>
      <x:c r="O220" s="9" t="str">
        <x:v>Reference/protocol and principal quantitative outcomes are reported.</x:v>
      </x:c>
      <x:c r="P220" s="9" t="str">
        <x:v>PDF pp. 1–5; Figs. 1–4; cited SI</x:v>
      </x:c>
    </x:row>
    <x:row r="221">
      <x:c r="A221" s="9" t="n">
        <x:v>28</x:v>
      </x:c>
      <x:c r="B221" s="9" t="str">
        <x:v>S035</x:v>
      </x:c>
      <x:c r="C221" s="9" t="str">
        <x:v>Katseli et al. (2021)</x:v>
      </x:c>
      <x:c r="D221" s="9" t="str">
        <x:v>D4</x:v>
      </x:c>
      <x:c r="E221" s="9" t="str">
        <x:v>Low concern</x:v>
      </x:c>
      <x:c r="F221" s="9" t="str">
        <x:v>Low concern</x:v>
      </x:c>
      <x:c r="G221" s="9" t="str">
        <x:v>Yes</x:v>
      </x:c>
      <x:c r="H221" s="9" t="str">
        <x:v>Agree</x:v>
      </x:c>
      <x:c r="I221" s="9" t="str">
        <x:v>Low concern</x:v>
      </x:c>
      <x:c r="J221" s="9" t="str">
        <x:v>Initial agreement</x:v>
      </x:c>
      <x:c r="K221" s="9" t="str">
        <x:v>Reference/protocol and principal quantitative outcomes are reported.</x:v>
      </x:c>
      <x:c r="L221" s="9" t="str">
        <x:v>PDF pp. 1–5; Figs. 1–4; cited SI</x:v>
      </x:c>
      <x:c r="M221" s="9" t="str">
        <x:v>Relevant loading/exposure range, rate or geometry and measurement conditions are stated.</x:v>
      </x:c>
      <x:c r="N221" s="9" t="str">
        <x:v>Article PDF p. 1</x:v>
      </x:c>
      <x:c r="O221" s="9" t="str">
        <x:v>Reference/protocol and principal quantitative outcomes are reported.</x:v>
      </x:c>
      <x:c r="P221" s="9" t="str">
        <x:v>PDF pp. 1–5; Figs. 1–4; cited SI</x:v>
      </x:c>
    </x:row>
    <x:row r="222">
      <x:c r="A222" s="9" t="n">
        <x:v>28</x:v>
      </x:c>
      <x:c r="B222" s="9" t="str">
        <x:v>S035</x:v>
      </x:c>
      <x:c r="C222" s="9" t="str">
        <x:v>Katseli et al. (2021)</x:v>
      </x:c>
      <x:c r="D222" s="9" t="str">
        <x:v>D5</x:v>
      </x:c>
      <x:c r="E222" s="9" t="str">
        <x:v>Some concern</x:v>
      </x:c>
      <x:c r="F222" s="9" t="str">
        <x:v>Low concern</x:v>
      </x:c>
      <x:c r="G222" s="9" t="str">
        <x:v>Yes</x:v>
      </x:c>
      <x:c r="H222" s="9" t="str">
        <x:v>Disagree</x:v>
      </x:c>
      <x:c r="I222" s="9" t="str">
        <x:v>Some concern</x:v>
      </x:c>
      <x:c r="J222" s="9" t="str">
        <x:v>Adjudicated to Reviewer 1</x:v>
      </x:c>
      <x:c r="K222" s="9" t="str">
        <x:v>Study-specific limitations are recorded in the extraction and REB sheets.</x:v>
      </x:c>
      <x:c r="L222" s="9" t="str">
        <x:v>PDF pp. 1–5; Figs. 1–4; cited SI</x:v>
      </x:c>
      <x:c r="M222" s="9" t="str">
        <x:v>Repeated analytical, bending and 10-day stability protocols include counts and quantitative drift/precision.</x:v>
      </x:c>
      <x:c r="N222" s="9" t="str">
        <x:v>Article PDF pp. 3-4</x:v>
      </x:c>
      <x:c r="O222" s="9" t="str">
        <x:v>Study-specific limitations are recorded in the extraction and REB sheets.</x:v>
      </x:c>
      <x:c r="P222" s="9" t="str">
        <x:v>PDF pp. 1–5; Figs. 1–4; cited SI</x:v>
      </x:c>
    </x:row>
    <x:row r="223">
      <x:c r="A223" s="9" t="n">
        <x:v>28</x:v>
      </x:c>
      <x:c r="B223" s="9" t="str">
        <x:v>S035</x:v>
      </x:c>
      <x:c r="C223" s="9" t="str">
        <x:v>Katseli et al. (2021)</x:v>
      </x:c>
      <x:c r="D223" s="9" t="str">
        <x:v>D6</x:v>
      </x:c>
      <x:c r="E223" s="9" t="str">
        <x:v>Low concern</x:v>
      </x:c>
      <x:c r="F223" s="9" t="str">
        <x:v>Low concern</x:v>
      </x:c>
      <x:c r="G223" s="9" t="str">
        <x:v>Yes</x:v>
      </x:c>
      <x:c r="H223" s="9" t="str">
        <x:v>Agree</x:v>
      </x:c>
      <x:c r="I223" s="9" t="str">
        <x:v>Low concern</x:v>
      </x:c>
      <x:c r="J223" s="9" t="str">
        <x:v>Initial agreement</x:v>
      </x:c>
      <x:c r="K223" s="9" t="str">
        <x:v>At least three separately fabricated sensing units were compared quantitatively.</x:v>
      </x:c>
      <x:c r="L223" s="9" t="str">
        <x:v>PDF pp. 1–5; Figs. 1–4; cited SI</x:v>
      </x:c>
      <x:c r="M223" s="9" t="str">
        <x:v>At least three separately fabricated units are compared with device-level dispersion.</x:v>
      </x:c>
      <x:c r="N223" s="9" t="str">
        <x:v>Article PDF p. 3</x:v>
      </x:c>
      <x:c r="O223" s="9" t="str">
        <x:v>At least three separately fabricated sensing units were compared quantitatively.</x:v>
      </x:c>
      <x:c r="P223" s="9" t="str">
        <x:v>PDF pp. 1–5; Figs. 1–4; cited SI</x:v>
      </x:c>
    </x:row>
    <x:row r="224">
      <x:c r="A224" s="9" t="n">
        <x:v>28</x:v>
      </x:c>
      <x:c r="B224" s="9" t="str">
        <x:v>S035</x:v>
      </x:c>
      <x:c r="C224" s="9" t="str">
        <x:v>Katseli et al. (2021)</x:v>
      </x:c>
      <x:c r="D224" s="9" t="str">
        <x:v>D7</x:v>
      </x:c>
      <x:c r="E224" s="9" t="str">
        <x:v>Low concern</x:v>
      </x:c>
      <x:c r="F224" s="9" t="str">
        <x:v>Low concern</x:v>
      </x:c>
      <x:c r="G224" s="9" t="str">
        <x:v>Yes</x:v>
      </x:c>
      <x:c r="H224" s="9" t="str">
        <x:v>Agree</x:v>
      </x:c>
      <x:c r="I224" s="9" t="str">
        <x:v>Low concern</x:v>
      </x:c>
      <x:c r="J224" s="9" t="str">
        <x:v>Initial agreement</x:v>
      </x:c>
      <x:c r="K224" s="9" t="str">
        <x:v>Reference/protocol and principal quantitative outcomes are reported.</x:v>
      </x:c>
      <x:c r="L224" s="9" t="str">
        <x:v>PDF pp. 1–5; Figs. 1–4; cited SI</x:v>
      </x:c>
      <x:c r="M224" s="9" t="str">
        <x:v>Principal response/stability outcomes and relevant uncertainty are reported without evident unexplained omissions.</x:v>
      </x:c>
      <x:c r="N224" s="9" t="str">
        <x:v>Article PDF p. 3</x:v>
      </x:c>
      <x:c r="O224" s="9" t="str">
        <x:v>Reference/protocol and principal quantitative outcomes are reported.</x:v>
      </x:c>
      <x:c r="P224" s="9" t="str">
        <x:v>PDF pp. 1–5; Figs. 1–4; cited SI</x:v>
      </x:c>
    </x:row>
    <x:row r="225">
      <x:c r="A225" s="9" t="n">
        <x:v>28</x:v>
      </x:c>
      <x:c r="B225" s="9" t="str">
        <x:v>S035</x:v>
      </x:c>
      <x:c r="C225" s="9" t="str">
        <x:v>Katseli et al. (2021)</x:v>
      </x:c>
      <x:c r="D225" s="9" t="str">
        <x:v>D8</x:v>
      </x:c>
      <x:c r="E225" s="9" t="str">
        <x:v>Some concern</x:v>
      </x:c>
      <x:c r="F225" s="9" t="str">
        <x:v>Low concern</x:v>
      </x:c>
      <x:c r="G225" s="9" t="str">
        <x:v>Yes</x:v>
      </x:c>
      <x:c r="H225" s="9" t="str">
        <x:v>Disagree</x:v>
      </x:c>
      <x:c r="I225" s="9" t="str">
        <x:v>Some concern</x:v>
      </x:c>
      <x:c r="J225" s="9" t="str">
        <x:v>Adjudicated to Reviewer 1</x:v>
      </x:c>
      <x:c r="K225" s="9" t="str">
        <x:v>Study-specific limitations are recorded in the extraction and REB sheets.</x:v>
      </x:c>
      <x:c r="L225" s="9" t="str">
        <x:v>PDF pp. 1–5; Figs. 1–4; cited SI</x:v>
      </x:c>
      <x:c r="M225" s="9" t="str">
        <x:v>The final device was evaluated in a body-worn/use-relevant human configuration.</x:v>
      </x:c>
      <x:c r="N225" s="9" t="str">
        <x:v>Article PDF p. 5</x:v>
      </x:c>
      <x:c r="O225" s="9" t="str">
        <x:v>Study-specific limitations are recorded in the extraction and REB sheets.</x:v>
      </x:c>
      <x:c r="P225" s="9" t="str">
        <x:v>PDF pp. 1–5; Figs. 1–4; cited SI</x:v>
      </x:c>
    </x:row>
    <x:row r="226">
      <x:c r="A226" s="9" t="n">
        <x:v>29</x:v>
      </x:c>
      <x:c r="B226" s="9" t="str">
        <x:v>S036</x:v>
      </x:c>
      <x:c r="C226" s="9" t="str">
        <x:v>Xuan et al. (2026)</x:v>
      </x:c>
      <x:c r="D226" s="9" t="str">
        <x:v>D1</x:v>
      </x:c>
      <x:c r="E226" s="9" t="str">
        <x:v>High concern</x:v>
      </x:c>
      <x:c r="F226" s="9" t="str">
        <x:v>Some concern</x:v>
      </x:c>
      <x:c r="G226" s="9" t="str">
        <x:v>Yes</x:v>
      </x:c>
      <x:c r="H226" s="9" t="str">
        <x:v>Disagree</x:v>
      </x:c>
      <x:c r="I226" s="9" t="str">
        <x:v>High concern</x:v>
      </x:c>
      <x:c r="J226" s="9" t="str">
        <x:v>Adjudicated to Reviewer 1</x:v>
      </x:c>
      <x:c r="K226" s="9" t="str">
        <x:v>On-body proof-of-concept used one or two participants.</x:v>
      </x:c>
      <x:c r="L226" s="9" t="str">
        <x:v>PDF pp. 2–11; Figs. 1–6; cited SI</x:v>
      </x:c>
      <x:c r="M226" s="9" t="str">
        <x:v>Some unit/participant counts or selection details are provided, but fabricated-unit selection and failures are not fully accounted for.</x:v>
      </x:c>
      <x:c r="N226" s="9" t="str">
        <x:v>Article PDF p. 2</x:v>
      </x:c>
      <x:c r="O226" s="9" t="str">
        <x:v>On-body proof-of-concept used one or two participants.</x:v>
      </x:c>
      <x:c r="P226" s="9" t="str">
        <x:v>PDF pp. 2–11; Figs. 1–6; cited SI</x:v>
      </x:c>
    </x:row>
    <x:row r="227">
      <x:c r="A227" s="9" t="n">
        <x:v>29</x:v>
      </x:c>
      <x:c r="B227" s="9" t="str">
        <x:v>S036</x:v>
      </x:c>
      <x:c r="C227" s="9" t="str">
        <x:v>Xuan et al. (2026)</x:v>
      </x:c>
      <x:c r="D227" s="9" t="str">
        <x:v>D2</x:v>
      </x:c>
      <x:c r="E227" s="9" t="str">
        <x:v>Some concern</x:v>
      </x:c>
      <x:c r="F227" s="9" t="str">
        <x:v>Some concern</x:v>
      </x:c>
      <x:c r="G227" s="9" t="str">
        <x:v>Yes</x:v>
      </x:c>
      <x:c r="H227" s="9" t="str">
        <x:v>Agree</x:v>
      </x:c>
      <x:c r="I227" s="9" t="str">
        <x:v>Some concern</x:v>
      </x:c>
      <x:c r="J227" s="9" t="str">
        <x:v>Initial agreement</x:v>
      </x:c>
      <x:c r="K227" s="9" t="str">
        <x:v>Study-specific limitations are recorded in the extraction and REB sheets.</x:v>
      </x:c>
      <x:c r="L227" s="9" t="str">
        <x:v>PDF pp. 2–11; Figs. 1–6; cited SI</x:v>
      </x:c>
      <x:c r="M227" s="9" t="str">
        <x:v>Several fabrication controls are documented, but omitted settings leave residual process-confounding concern.</x:v>
      </x:c>
      <x:c r="N227" s="9" t="str">
        <x:v>Article PDF p. 2</x:v>
      </x:c>
      <x:c r="O227" s="9" t="str">
        <x:v>Study-specific limitations are recorded in the extraction and REB sheets.</x:v>
      </x:c>
      <x:c r="P227" s="9" t="str">
        <x:v>PDF pp. 2–11; Figs. 1–6; cited SI</x:v>
      </x:c>
    </x:row>
    <x:row r="228">
      <x:c r="A228" s="9" t="n">
        <x:v>29</x:v>
      </x:c>
      <x:c r="B228" s="9" t="str">
        <x:v>S036</x:v>
      </x:c>
      <x:c r="C228" s="9" t="str">
        <x:v>Xuan et al. (2026)</x:v>
      </x:c>
      <x:c r="D228" s="9" t="str">
        <x:v>D3</x:v>
      </x:c>
      <x:c r="E228" s="9" t="str">
        <x:v>Low concern</x:v>
      </x:c>
      <x:c r="F228" s="9" t="str">
        <x:v>Some concern</x:v>
      </x:c>
      <x:c r="G228" s="9" t="str">
        <x:v>Yes</x:v>
      </x:c>
      <x:c r="H228" s="9" t="str">
        <x:v>Disagree</x:v>
      </x:c>
      <x:c r="I228" s="9" t="str">
        <x:v>Low concern</x:v>
      </x:c>
      <x:c r="J228" s="9" t="str">
        <x:v>Adjudicated to Reviewer 1</x:v>
      </x:c>
      <x:c r="K228" s="9" t="str">
        <x:v>Reference/protocol and principal quantitative outcomes are reported.</x:v>
      </x:c>
      <x:c r="L228" s="9" t="str">
        <x:v>PDF pp. 2–11; Figs. 1–6; cited SI</x:v>
      </x:c>
      <x:c r="M228" s="9" t="str">
        <x:v>Calibration is described, but reference independence or uncertainty is incomplete.</x:v>
      </x:c>
      <x:c r="N228" s="9" t="str">
        <x:v>Article PDF p. 11</x:v>
      </x:c>
      <x:c r="O228" s="9" t="str">
        <x:v>Reference/protocol and principal quantitative outcomes are reported.</x:v>
      </x:c>
      <x:c r="P228" s="9" t="str">
        <x:v>PDF pp. 2–11; Figs. 1–6; cited SI</x:v>
      </x:c>
    </x:row>
    <x:row r="229">
      <x:c r="A229" s="9" t="n">
        <x:v>29</x:v>
      </x:c>
      <x:c r="B229" s="9" t="str">
        <x:v>S036</x:v>
      </x:c>
      <x:c r="C229" s="9" t="str">
        <x:v>Xuan et al. (2026)</x:v>
      </x:c>
      <x:c r="D229" s="9" t="str">
        <x:v>D4</x:v>
      </x:c>
      <x:c r="E229" s="9" t="str">
        <x:v>Low concern</x:v>
      </x:c>
      <x:c r="F229" s="9" t="str">
        <x:v>Low concern</x:v>
      </x:c>
      <x:c r="G229" s="9" t="str">
        <x:v>Yes</x:v>
      </x:c>
      <x:c r="H229" s="9" t="str">
        <x:v>Agree</x:v>
      </x:c>
      <x:c r="I229" s="9" t="str">
        <x:v>Low concern</x:v>
      </x:c>
      <x:c r="J229" s="9" t="str">
        <x:v>Initial agreement</x:v>
      </x:c>
      <x:c r="K229" s="9" t="str">
        <x:v>Reference/protocol and principal quantitative outcomes are reported.</x:v>
      </x:c>
      <x:c r="L229" s="9" t="str">
        <x:v>PDF pp. 2–11; Figs. 1–6; cited SI</x:v>
      </x:c>
      <x:c r="M229" s="9" t="str">
        <x:v>Relevant loading/exposure range, rate or geometry and measurement conditions are stated.</x:v>
      </x:c>
      <x:c r="N229" s="9" t="str">
        <x:v>Article PDF p. 2</x:v>
      </x:c>
      <x:c r="O229" s="9" t="str">
        <x:v>Reference/protocol and principal quantitative outcomes are reported.</x:v>
      </x:c>
      <x:c r="P229" s="9" t="str">
        <x:v>PDF pp. 2–11; Figs. 1–6; cited SI</x:v>
      </x:c>
    </x:row>
    <x:row r="230">
      <x:c r="A230" s="9" t="n">
        <x:v>29</x:v>
      </x:c>
      <x:c r="B230" s="9" t="str">
        <x:v>S036</x:v>
      </x:c>
      <x:c r="C230" s="9" t="str">
        <x:v>Xuan et al. (2026)</x:v>
      </x:c>
      <x:c r="D230" s="9" t="str">
        <x:v>D5</x:v>
      </x:c>
      <x:c r="E230" s="9" t="str">
        <x:v>Some concern</x:v>
      </x:c>
      <x:c r="F230" s="9" t="str">
        <x:v>High concern</x:v>
      </x:c>
      <x:c r="G230" s="9" t="str">
        <x:v>Yes</x:v>
      </x:c>
      <x:c r="H230" s="9" t="str">
        <x:v>Disagree</x:v>
      </x:c>
      <x:c r="I230" s="9" t="str">
        <x:v>Some concern</x:v>
      </x:c>
      <x:c r="J230" s="9" t="str">
        <x:v>Adjudicated to Reviewer 1</x:v>
      </x:c>
      <x:c r="K230" s="9" t="str">
        <x:v>Study-specific limitations are recorded in the extraction and REB sheets.</x:v>
      </x:c>
      <x:c r="L230" s="9" t="str">
        <x:v>PDF pp. 2–11; Figs. 1–6; cited SI</x:v>
      </x:c>
      <x:c r="M230" s="9" t="str">
        <x:v>A defined repeated-measurement design with an adequate stability analysis is absent.</x:v>
      </x:c>
      <x:c r="N230" s="9" t="str">
        <x:v>Article PDF p. 2</x:v>
      </x:c>
      <x:c r="O230" s="9" t="str">
        <x:v>Study-specific limitations are recorded in the extraction and REB sheets.</x:v>
      </x:c>
      <x:c r="P230" s="9" t="str">
        <x:v>PDF pp. 2–11; Figs. 1–6; cited SI</x:v>
      </x:c>
    </x:row>
    <x:row r="231">
      <x:c r="A231" s="9" t="n">
        <x:v>29</x:v>
      </x:c>
      <x:c r="B231" s="9" t="str">
        <x:v>S036</x:v>
      </x:c>
      <x:c r="C231" s="9" t="str">
        <x:v>Xuan et al. (2026)</x:v>
      </x:c>
      <x:c r="D231" s="9" t="str">
        <x:v>D6</x:v>
      </x:c>
      <x:c r="E231" s="9" t="str">
        <x:v>High concern</x:v>
      </x:c>
      <x:c r="F231" s="9" t="str">
        <x:v>Low concern</x:v>
      </x:c>
      <x:c r="G231" s="9" t="str">
        <x:v>Yes</x:v>
      </x:c>
      <x:c r="H231" s="9" t="str">
        <x:v>Disagree</x:v>
      </x:c>
      <x:c r="I231" s="9" t="str">
        <x:v>High concern</x:v>
      </x:c>
      <x:c r="J231" s="9" t="str">
        <x:v>Adjudicated to Reviewer 1</x:v>
      </x:c>
      <x:c r="K231" s="9" t="str">
        <x:v>A quantitative comparison of at least three separately fabricated complete sensing units was not identified.</x:v>
      </x:c>
      <x:c r="L231" s="9" t="str">
        <x:v>PDF pp. 2–11; Figs. 1–6; cited SI</x:v>
      </x:c>
      <x:c r="M231" s="9" t="str">
        <x:v>At least three separately fabricated units are compared with device-level dispersion.</x:v>
      </x:c>
      <x:c r="N231" s="9" t="str">
        <x:v>Article PDF p. 8</x:v>
      </x:c>
      <x:c r="O231" s="9" t="str">
        <x:v>A quantitative comparison of at least three separately fabricated complete sensing units was not identified.</x:v>
      </x:c>
      <x:c r="P231" s="9" t="str">
        <x:v>PDF pp. 2–11; Figs. 1–6; cited SI</x:v>
      </x:c>
    </x:row>
    <x:row r="232">
      <x:c r="A232" s="9" t="n">
        <x:v>29</x:v>
      </x:c>
      <x:c r="B232" s="9" t="str">
        <x:v>S036</x:v>
      </x:c>
      <x:c r="C232" s="9" t="str">
        <x:v>Xuan et al. (2026)</x:v>
      </x:c>
      <x:c r="D232" s="9" t="str">
        <x:v>D7</x:v>
      </x:c>
      <x:c r="E232" s="9" t="str">
        <x:v>Low concern</x:v>
      </x:c>
      <x:c r="F232" s="9" t="str">
        <x:v>Some concern</x:v>
      </x:c>
      <x:c r="G232" s="9" t="str">
        <x:v>Yes</x:v>
      </x:c>
      <x:c r="H232" s="9" t="str">
        <x:v>Disagree</x:v>
      </x:c>
      <x:c r="I232" s="9" t="str">
        <x:v>Low concern</x:v>
      </x:c>
      <x:c r="J232" s="9" t="str">
        <x:v>Adjudicated to Reviewer 1</x:v>
      </x:c>
      <x:c r="K232" s="9" t="str">
        <x:v>Reference/protocol and principal quantitative outcomes are reported.</x:v>
      </x:c>
      <x:c r="L232" s="9" t="str">
        <x:v>PDF pp. 2–11; Figs. 1–6; cited SI</x:v>
      </x:c>
      <x:c r="M232" s="9" t="str">
        <x:v>Principal outcomes are reported, but device-level uncertainty or complete accounting of units/cycles is limited.</x:v>
      </x:c>
      <x:c r="N232" s="9" t="str">
        <x:v>Article PDF p. 6</x:v>
      </x:c>
      <x:c r="O232" s="9" t="str">
        <x:v>Reference/protocol and principal quantitative outcomes are reported.</x:v>
      </x:c>
      <x:c r="P232" s="9" t="str">
        <x:v>PDF pp. 2–11; Figs. 1–6; cited SI</x:v>
      </x:c>
    </x:row>
    <x:row r="233">
      <x:c r="A233" s="9" t="n">
        <x:v>29</x:v>
      </x:c>
      <x:c r="B233" s="9" t="str">
        <x:v>S036</x:v>
      </x:c>
      <x:c r="C233" s="9" t="str">
        <x:v>Xuan et al. (2026)</x:v>
      </x:c>
      <x:c r="D233" s="9" t="str">
        <x:v>D8</x:v>
      </x:c>
      <x:c r="E233" s="9" t="str">
        <x:v>Some concern</x:v>
      </x:c>
      <x:c r="F233" s="9" t="str">
        <x:v>Low concern</x:v>
      </x:c>
      <x:c r="G233" s="9" t="str">
        <x:v>Yes</x:v>
      </x:c>
      <x:c r="H233" s="9" t="str">
        <x:v>Disagree</x:v>
      </x:c>
      <x:c r="I233" s="9" t="str">
        <x:v>Some concern</x:v>
      </x:c>
      <x:c r="J233" s="9" t="str">
        <x:v>Adjudicated to Reviewer 1</x:v>
      </x:c>
      <x:c r="K233" s="9" t="str">
        <x:v>Study-specific limitations are recorded in the extraction and REB sheets.</x:v>
      </x:c>
      <x:c r="L233" s="9" t="str">
        <x:v>PDF pp. 2–11; Figs. 1–6; cited SI</x:v>
      </x:c>
      <x:c r="M233" s="9" t="str">
        <x:v>The final device was evaluated in a body-worn/use-relevant human configuration.</x:v>
      </x:c>
      <x:c r="N233" s="9" t="str">
        <x:v>Article PDF p. 2</x:v>
      </x:c>
      <x:c r="O233" s="9" t="str">
        <x:v>Study-specific limitations are recorded in the extraction and REB sheets.</x:v>
      </x:c>
      <x:c r="P233" s="9" t="str">
        <x:v>PDF pp. 2–11; Figs. 1–6; cited SI</x:v>
      </x:c>
    </x:row>
    <x:row r="234">
      <x:c r="A234" s="9" t="n">
        <x:v>30</x:v>
      </x:c>
      <x:c r="B234" s="9" t="str">
        <x:v>S037</x:v>
      </x:c>
      <x:c r="C234" s="9" t="str">
        <x:v>Wolterink et al. (2021)</x:v>
      </x:c>
      <x:c r="D234" s="9" t="str">
        <x:v>D1</x:v>
      </x:c>
      <x:c r="E234" s="9" t="str">
        <x:v>Some concern</x:v>
      </x:c>
      <x:c r="F234" s="9" t="str">
        <x:v>Some concern</x:v>
      </x:c>
      <x:c r="G234" s="9" t="str">
        <x:v>Yes</x:v>
      </x:c>
      <x:c r="H234" s="9" t="str">
        <x:v>Agree</x:v>
      </x:c>
      <x:c r="I234" s="9" t="str">
        <x:v>Some concern</x:v>
      </x:c>
      <x:c r="J234" s="9" t="str">
        <x:v>Initial agreement</x:v>
      </x:c>
      <x:c r="K234" s="9" t="str">
        <x:v>Study-specific limitations are recorded in the extraction and REB sheets.</x:v>
      </x:c>
      <x:c r="L234" s="9" t="str">
        <x:v>PDF pp. 1–10; Figs. 1–16</x:v>
      </x:c>
      <x:c r="M234" s="9" t="str">
        <x:v>Some unit/participant counts or selection details are provided, but fabricated-unit selection and failures are not fully accounted for.</x:v>
      </x:c>
      <x:c r="N234" s="9" t="str">
        <x:v>Article PDF p. 12</x:v>
      </x:c>
      <x:c r="O234" s="9" t="str">
        <x:v>Study-specific limitations are recorded in the extraction and REB sheets.</x:v>
      </x:c>
      <x:c r="P234" s="9" t="str">
        <x:v>PDF pp. 1–10; Figs. 1–16</x:v>
      </x:c>
    </x:row>
    <x:row r="235">
      <x:c r="A235" s="9" t="n">
        <x:v>30</x:v>
      </x:c>
      <x:c r="B235" s="9" t="str">
        <x:v>S037</x:v>
      </x:c>
      <x:c r="C235" s="9" t="str">
        <x:v>Wolterink et al. (2021)</x:v>
      </x:c>
      <x:c r="D235" s="9" t="str">
        <x:v>D2</x:v>
      </x:c>
      <x:c r="E235" s="9" t="str">
        <x:v>Some concern</x:v>
      </x:c>
      <x:c r="F235" s="9" t="str">
        <x:v>High concern</x:v>
      </x:c>
      <x:c r="G235" s="9" t="str">
        <x:v>Yes</x:v>
      </x:c>
      <x:c r="H235" s="9" t="str">
        <x:v>Disagree</x:v>
      </x:c>
      <x:c r="I235" s="9" t="str">
        <x:v>Some concern</x:v>
      </x:c>
      <x:c r="J235" s="9" t="str">
        <x:v>Adjudicated to Reviewer 1</x:v>
      </x:c>
      <x:c r="K235" s="9" t="str">
        <x:v>Study-specific limitations are recorded in the extraction and REB sheets.</x:v>
      </x:c>
      <x:c r="L235" s="9" t="str">
        <x:v>PDF pp. 1–10; Figs. 1–16</x:v>
      </x:c>
      <x:c r="M235" s="9" t="str">
        <x:v>Key fabrication variables are missing, so process variation cannot be separated confidently from sensor effects.</x:v>
      </x:c>
      <x:c r="N235" s="9" t="str">
        <x:v>Article PDF p. 1</x:v>
      </x:c>
      <x:c r="O235" s="9" t="str">
        <x:v>Study-specific limitations are recorded in the extraction and REB sheets.</x:v>
      </x:c>
      <x:c r="P235" s="9" t="str">
        <x:v>PDF pp. 1–10; Figs. 1–16</x:v>
      </x:c>
    </x:row>
    <x:row r="236">
      <x:c r="A236" s="9" t="n">
        <x:v>30</x:v>
      </x:c>
      <x:c r="B236" s="9" t="str">
        <x:v>S037</x:v>
      </x:c>
      <x:c r="C236" s="9" t="str">
        <x:v>Wolterink et al. (2021)</x:v>
      </x:c>
      <x:c r="D236" s="9" t="str">
        <x:v>D3</x:v>
      </x:c>
      <x:c r="E236" s="9" t="str">
        <x:v>Low concern</x:v>
      </x:c>
      <x:c r="F236" s="9" t="str">
        <x:v>Low concern</x:v>
      </x:c>
      <x:c r="G236" s="9" t="str">
        <x:v>Yes</x:v>
      </x:c>
      <x:c r="H236" s="9" t="str">
        <x:v>Agree</x:v>
      </x:c>
      <x:c r="I236" s="9" t="str">
        <x:v>Low concern</x:v>
      </x:c>
      <x:c r="J236" s="9" t="str">
        <x:v>Initial agreement</x:v>
      </x:c>
      <x:c r="K236" s="9" t="str">
        <x:v>Reference/protocol and principal quantitative outcomes are reported.</x:v>
      </x:c>
      <x:c r="L236" s="9" t="str">
        <x:v>PDF pp. 1–10; Figs. 1–16</x:v>
      </x:c>
      <x:c r="M236" s="9" t="str">
        <x:v>Force and displacement were independently measured by a synchronized load cell and actuator encoder.</x:v>
      </x:c>
      <x:c r="N236" s="9" t="str">
        <x:v>Article PDF pp. 4-5</x:v>
      </x:c>
      <x:c r="O236" s="9" t="str">
        <x:v>Reference/protocol and principal quantitative outcomes are reported.</x:v>
      </x:c>
      <x:c r="P236" s="9" t="str">
        <x:v>PDF pp. 1–10; Figs. 1–16</x:v>
      </x:c>
    </x:row>
    <x:row r="237">
      <x:c r="A237" s="9" t="n">
        <x:v>30</x:v>
      </x:c>
      <x:c r="B237" s="9" t="str">
        <x:v>S037</x:v>
      </x:c>
      <x:c r="C237" s="9" t="str">
        <x:v>Wolterink et al. (2021)</x:v>
      </x:c>
      <x:c r="D237" s="9" t="str">
        <x:v>D4</x:v>
      </x:c>
      <x:c r="E237" s="9" t="str">
        <x:v>Low concern</x:v>
      </x:c>
      <x:c r="F237" s="9" t="str">
        <x:v>Low concern</x:v>
      </x:c>
      <x:c r="G237" s="9" t="str">
        <x:v>Yes</x:v>
      </x:c>
      <x:c r="H237" s="9" t="str">
        <x:v>Agree</x:v>
      </x:c>
      <x:c r="I237" s="9" t="str">
        <x:v>Low concern</x:v>
      </x:c>
      <x:c r="J237" s="9" t="str">
        <x:v>Initial agreement</x:v>
      </x:c>
      <x:c r="K237" s="9" t="str">
        <x:v>Reference/protocol and principal quantitative outcomes are reported.</x:v>
      </x:c>
      <x:c r="L237" s="9" t="str">
        <x:v>PDF pp. 1–10; Figs. 1–16</x:v>
      </x:c>
      <x:c r="M237" s="9" t="str">
        <x:v>Mounting, force directions, strain rates and acquisition synchronization are stated.</x:v>
      </x:c>
      <x:c r="N237" s="9" t="str">
        <x:v>Article PDF pp. 4-6</x:v>
      </x:c>
      <x:c r="O237" s="9" t="str">
        <x:v>Reference/protocol and principal quantitative outcomes are reported.</x:v>
      </x:c>
      <x:c r="P237" s="9" t="str">
        <x:v>PDF pp. 1–10; Figs. 1–16</x:v>
      </x:c>
    </x:row>
    <x:row r="238">
      <x:c r="A238" s="9" t="n">
        <x:v>30</x:v>
      </x:c>
      <x:c r="B238" s="9" t="str">
        <x:v>S037</x:v>
      </x:c>
      <x:c r="C238" s="9" t="str">
        <x:v>Wolterink et al. (2021)</x:v>
      </x:c>
      <x:c r="D238" s="9" t="str">
        <x:v>D5</x:v>
      </x:c>
      <x:c r="E238" s="9" t="str">
        <x:v>Some concern</x:v>
      </x:c>
      <x:c r="F238" s="9" t="str">
        <x:v>Low concern</x:v>
      </x:c>
      <x:c r="G238" s="9" t="str">
        <x:v>Yes</x:v>
      </x:c>
      <x:c r="H238" s="9" t="str">
        <x:v>Disagree</x:v>
      </x:c>
      <x:c r="I238" s="9" t="str">
        <x:v>Some concern</x:v>
      </x:c>
      <x:c r="J238" s="9" t="str">
        <x:v>Adjudicated to Reviewer 1</x:v>
      </x:c>
      <x:c r="K238" s="9" t="str">
        <x:v>Study-specific limitations are recorded in the extraction and REB sheets.</x:v>
      </x:c>
      <x:c r="L238" s="9" t="str">
        <x:v>PDF pp. 1–10; Figs. 1–16</x:v>
      </x:c>
      <x:c r="M238" s="9" t="str">
        <x:v>Repeated units/counts and a stability outcome are defined for the stated protocol.</x:v>
      </x:c>
      <x:c r="N238" s="9" t="str">
        <x:v>Article PDF p. 12</x:v>
      </x:c>
      <x:c r="O238" s="9" t="str">
        <x:v>Study-specific limitations are recorded in the extraction and REB sheets.</x:v>
      </x:c>
      <x:c r="P238" s="9" t="str">
        <x:v>PDF pp. 1–10; Figs. 1–16</x:v>
      </x:c>
    </x:row>
    <x:row r="239">
      <x:c r="A239" s="9" t="n">
        <x:v>30</x:v>
      </x:c>
      <x:c r="B239" s="9" t="str">
        <x:v>S037</x:v>
      </x:c>
      <x:c r="C239" s="9" t="str">
        <x:v>Wolterink et al. (2021)</x:v>
      </x:c>
      <x:c r="D239" s="9" t="str">
        <x:v>D6</x:v>
      </x:c>
      <x:c r="E239" s="9" t="str">
        <x:v>High concern</x:v>
      </x:c>
      <x:c r="F239" s="9" t="str">
        <x:v>High concern</x:v>
      </x:c>
      <x:c r="G239" s="9" t="str">
        <x:v>Yes</x:v>
      </x:c>
      <x:c r="H239" s="9" t="str">
        <x:v>Agree</x:v>
      </x:c>
      <x:c r="I239" s="9" t="str">
        <x:v>High concern</x:v>
      </x:c>
      <x:c r="J239" s="9" t="str">
        <x:v>Initial agreement</x:v>
      </x:c>
      <x:c r="K239" s="9" t="str">
        <x:v>A quantitative comparison of at least three separately fabricated complete sensing units was not identified.</x:v>
      </x:c>
      <x:c r="L239" s="9" t="str">
        <x:v>PDF pp. 1–10; Figs. 1–16</x:v>
      </x:c>
      <x:c r="M239" s="9" t="str">
        <x:v>Cycles, participants or configurations do not establish replication across three equivalent fabricated devices.</x:v>
      </x:c>
      <x:c r="N239" s="9" t="str">
        <x:v>Article PDF p. 11</x:v>
      </x:c>
      <x:c r="O239" s="9" t="str">
        <x:v>A quantitative comparison of at least three separately fabricated complete sensing units was not identified.</x:v>
      </x:c>
      <x:c r="P239" s="9" t="str">
        <x:v>PDF pp. 1–10; Figs. 1–16</x:v>
      </x:c>
    </x:row>
    <x:row r="240">
      <x:c r="A240" s="9" t="n">
        <x:v>30</x:v>
      </x:c>
      <x:c r="B240" s="9" t="str">
        <x:v>S037</x:v>
      </x:c>
      <x:c r="C240" s="9" t="str">
        <x:v>Wolterink et al. (2021)</x:v>
      </x:c>
      <x:c r="D240" s="9" t="str">
        <x:v>D7</x:v>
      </x:c>
      <x:c r="E240" s="9" t="str">
        <x:v>Low concern</x:v>
      </x:c>
      <x:c r="F240" s="9" t="str">
        <x:v>Some concern</x:v>
      </x:c>
      <x:c r="G240" s="9" t="str">
        <x:v>Yes</x:v>
      </x:c>
      <x:c r="H240" s="9" t="str">
        <x:v>Disagree</x:v>
      </x:c>
      <x:c r="I240" s="9" t="str">
        <x:v>Low concern</x:v>
      </x:c>
      <x:c r="J240" s="9" t="str">
        <x:v>Adjudicated to Reviewer 1</x:v>
      </x:c>
      <x:c r="K240" s="9" t="str">
        <x:v>Reference/protocol and principal quantitative outcomes are reported.</x:v>
      </x:c>
      <x:c r="L240" s="9" t="str">
        <x:v>PDF pp. 1–10; Figs. 1–16</x:v>
      </x:c>
      <x:c r="M240" s="9" t="str">
        <x:v>Principal outcomes are reported, but device-level uncertainty or complete accounting of units/cycles is limited.</x:v>
      </x:c>
      <x:c r="N240" s="9" t="str">
        <x:v>Article PDF p. 6</x:v>
      </x:c>
      <x:c r="O240" s="9" t="str">
        <x:v>Reference/protocol and principal quantitative outcomes are reported.</x:v>
      </x:c>
      <x:c r="P240" s="9" t="str">
        <x:v>PDF pp. 1–10; Figs. 1–16</x:v>
      </x:c>
    </x:row>
    <x:row r="241">
      <x:c r="A241" s="9" t="n">
        <x:v>30</x:v>
      </x:c>
      <x:c r="B241" s="9" t="str">
        <x:v>S037</x:v>
      </x:c>
      <x:c r="C241" s="9" t="str">
        <x:v>Wolterink et al. (2021)</x:v>
      </x:c>
      <x:c r="D241" s="9" t="str">
        <x:v>D8</x:v>
      </x:c>
      <x:c r="E241" s="9" t="str">
        <x:v>Some concern</x:v>
      </x:c>
      <x:c r="F241" s="9" t="str">
        <x:v>Some concern</x:v>
      </x:c>
      <x:c r="G241" s="9" t="str">
        <x:v>Yes</x:v>
      </x:c>
      <x:c r="H241" s="9" t="str">
        <x:v>Agree</x:v>
      </x:c>
      <x:c r="I241" s="9" t="str">
        <x:v>Some concern</x:v>
      </x:c>
      <x:c r="J241" s="9" t="str">
        <x:v>Initial agreement</x:v>
      </x:c>
      <x:c r="K241" s="9" t="str">
        <x:v>Wearable relevance is application-specific/component-level; no complete human-worn assembly was tested.</x:v>
      </x:c>
      <x:c r="L241" s="9" t="str">
        <x:v>PDF pp. 1–10; Figs. 1–16</x:v>
      </x:c>
      <x:c r="M241" s="9" t="str">
        <x:v>A wearable form or application-relevant loading is shown, but direct body-worn validation is limited or absent.</x:v>
      </x:c>
      <x:c r="N241" s="9" t="str">
        <x:v>Article PDF p. 1</x:v>
      </x:c>
      <x:c r="O241" s="9" t="str">
        <x:v>Wearable relevance is application-specific/component-level; no complete human-worn assembly was tested.</x:v>
      </x:c>
      <x:c r="P241" s="9" t="str">
        <x:v>PDF pp. 1–10; Figs. 1–16</x:v>
      </x:c>
    </x:row>
    <x:row r="242">
      <x:c r="A242" s="9" t="n">
        <x:v>31</x:v>
      </x:c>
      <x:c r="B242" s="9" t="str">
        <x:v>S038</x:v>
      </x:c>
      <x:c r="C242" s="9" t="str">
        <x:v>Christ et al. (2018)</x:v>
      </x:c>
      <x:c r="D242" s="9" t="str">
        <x:v>D1</x:v>
      </x:c>
      <x:c r="E242" s="9" t="str">
        <x:v>Some concern</x:v>
      </x:c>
      <x:c r="F242" s="9" t="str">
        <x:v>Some concern</x:v>
      </x:c>
      <x:c r="G242" s="9" t="str">
        <x:v>Yes</x:v>
      </x:c>
      <x:c r="H242" s="9" t="str">
        <x:v>Agree</x:v>
      </x:c>
      <x:c r="I242" s="9" t="str">
        <x:v>Some concern</x:v>
      </x:c>
      <x:c r="J242" s="9" t="str">
        <x:v>Initial agreement</x:v>
      </x:c>
      <x:c r="K242" s="9" t="str">
        <x:v>Study-specific limitations are recorded in the extraction and REB sheets.</x:v>
      </x:c>
      <x:c r="L242" s="9" t="str">
        <x:v>PDF pp. 3–12; Figs. 1–11; Table 1</x:v>
      </x:c>
      <x:c r="M242" s="9" t="str">
        <x:v>Some unit/participant counts or selection details are provided, but fabricated-unit selection and failures are not fully accounted for.</x:v>
      </x:c>
      <x:c r="N242" s="9" t="str">
        <x:v>Article PDF p. 1</x:v>
      </x:c>
      <x:c r="O242" s="9" t="str">
        <x:v>Study-specific limitations are recorded in the extraction and REB sheets.</x:v>
      </x:c>
      <x:c r="P242" s="9" t="str">
        <x:v>PDF pp. 3–12; Figs. 1–11; Table 1</x:v>
      </x:c>
    </x:row>
    <x:row r="243">
      <x:c r="A243" s="9" t="n">
        <x:v>31</x:v>
      </x:c>
      <x:c r="B243" s="9" t="str">
        <x:v>S038</x:v>
      </x:c>
      <x:c r="C243" s="9" t="str">
        <x:v>Christ et al. (2018)</x:v>
      </x:c>
      <x:c r="D243" s="9" t="str">
        <x:v>D2</x:v>
      </x:c>
      <x:c r="E243" s="9" t="str">
        <x:v>Some concern</x:v>
      </x:c>
      <x:c r="F243" s="9" t="str">
        <x:v>Low concern</x:v>
      </x:c>
      <x:c r="G243" s="9" t="str">
        <x:v>Yes</x:v>
      </x:c>
      <x:c r="H243" s="9" t="str">
        <x:v>Disagree</x:v>
      </x:c>
      <x:c r="I243" s="9" t="str">
        <x:v>Some concern</x:v>
      </x:c>
      <x:c r="J243" s="9" t="str">
        <x:v>Adjudicated to Reviewer 1</x:v>
      </x:c>
      <x:c r="K243" s="9" t="str">
        <x:v>Study-specific limitations are recorded in the extraction and REB sheets.</x:v>
      </x:c>
      <x:c r="L243" s="9" t="str">
        <x:v>PDF pp. 3–12; Figs. 1–11; Table 1</x:v>
      </x:c>
      <x:c r="M243" s="9" t="str">
        <x:v>Relevant material, geometry, conditioning and extrusion variables are documented sufficiently for the claimed comparison.</x:v>
      </x:c>
      <x:c r="N243" s="9" t="str">
        <x:v>Article PDF p. 5</x:v>
      </x:c>
      <x:c r="O243" s="9" t="str">
        <x:v>Study-specific limitations are recorded in the extraction and REB sheets.</x:v>
      </x:c>
      <x:c r="P243" s="9" t="str">
        <x:v>PDF pp. 3–12; Figs. 1–11; Table 1</x:v>
      </x:c>
    </x:row>
    <x:row r="244">
      <x:c r="A244" s="9" t="n">
        <x:v>31</x:v>
      </x:c>
      <x:c r="B244" s="9" t="str">
        <x:v>S038</x:v>
      </x:c>
      <x:c r="C244" s="9" t="str">
        <x:v>Christ et al. (2018)</x:v>
      </x:c>
      <x:c r="D244" s="9" t="str">
        <x:v>D3</x:v>
      </x:c>
      <x:c r="E244" s="9" t="str">
        <x:v>Low concern</x:v>
      </x:c>
      <x:c r="F244" s="9" t="str">
        <x:v>Some concern</x:v>
      </x:c>
      <x:c r="G244" s="9" t="str">
        <x:v>Yes</x:v>
      </x:c>
      <x:c r="H244" s="9" t="str">
        <x:v>Disagree</x:v>
      </x:c>
      <x:c r="I244" s="9" t="str">
        <x:v>Low concern</x:v>
      </x:c>
      <x:c r="J244" s="9" t="str">
        <x:v>Adjudicated to Reviewer 1</x:v>
      </x:c>
      <x:c r="K244" s="9" t="str">
        <x:v>The reference/protocol and principal quantitative outcomes are reported.</x:v>
      </x:c>
      <x:c r="L244" s="9" t="str">
        <x:v>PDF pp. 3–12; Figs. 1–11; Table 1</x:v>
      </x:c>
      <x:c r="M244" s="9" t="str">
        <x:v>Calibration is described, but reference independence or uncertainty is incomplete.</x:v>
      </x:c>
      <x:c r="N244" s="9" t="str">
        <x:v>Article PDF p. 10</x:v>
      </x:c>
      <x:c r="O244" s="9" t="str">
        <x:v>The reference/protocol and principal quantitative outcomes are reported.</x:v>
      </x:c>
      <x:c r="P244" s="9" t="str">
        <x:v>PDF pp. 3–12; Figs. 1–11; Table 1</x:v>
      </x:c>
    </x:row>
    <x:row r="245">
      <x:c r="A245" s="9" t="n">
        <x:v>31</x:v>
      </x:c>
      <x:c r="B245" s="9" t="str">
        <x:v>S038</x:v>
      </x:c>
      <x:c r="C245" s="9" t="str">
        <x:v>Christ et al. (2018)</x:v>
      </x:c>
      <x:c r="D245" s="9" t="str">
        <x:v>D4</x:v>
      </x:c>
      <x:c r="E245" s="9" t="str">
        <x:v>Low concern</x:v>
      </x:c>
      <x:c r="F245" s="9" t="str">
        <x:v>Low concern</x:v>
      </x:c>
      <x:c r="G245" s="9" t="str">
        <x:v>Yes</x:v>
      </x:c>
      <x:c r="H245" s="9" t="str">
        <x:v>Agree</x:v>
      </x:c>
      <x:c r="I245" s="9" t="str">
        <x:v>Low concern</x:v>
      </x:c>
      <x:c r="J245" s="9" t="str">
        <x:v>Initial agreement</x:v>
      </x:c>
      <x:c r="K245" s="9" t="str">
        <x:v>The reference/protocol and principal quantitative outcomes are reported.</x:v>
      </x:c>
      <x:c r="L245" s="9" t="str">
        <x:v>PDF pp. 3–12; Figs. 1–11; Table 1</x:v>
      </x:c>
      <x:c r="M245" s="9" t="str">
        <x:v>Relevant loading/exposure range, rate or geometry and measurement conditions are stated.</x:v>
      </x:c>
      <x:c r="N245" s="9" t="str">
        <x:v>Article PDF p. 10</x:v>
      </x:c>
      <x:c r="O245" s="9" t="str">
        <x:v>The reference/protocol and principal quantitative outcomes are reported.</x:v>
      </x:c>
      <x:c r="P245" s="9" t="str">
        <x:v>PDF pp. 3–12; Figs. 1–11; Table 1</x:v>
      </x:c>
    </x:row>
    <x:row r="246">
      <x:c r="A246" s="9" t="n">
        <x:v>31</x:v>
      </x:c>
      <x:c r="B246" s="9" t="str">
        <x:v>S038</x:v>
      </x:c>
      <x:c r="C246" s="9" t="str">
        <x:v>Christ et al. (2018)</x:v>
      </x:c>
      <x:c r="D246" s="9" t="str">
        <x:v>D5</x:v>
      </x:c>
      <x:c r="E246" s="9" t="str">
        <x:v>Some concern</x:v>
      </x:c>
      <x:c r="F246" s="9" t="str">
        <x:v>Low concern</x:v>
      </x:c>
      <x:c r="G246" s="9" t="str">
        <x:v>Yes</x:v>
      </x:c>
      <x:c r="H246" s="9" t="str">
        <x:v>Disagree</x:v>
      </x:c>
      <x:c r="I246" s="9" t="str">
        <x:v>Some concern</x:v>
      </x:c>
      <x:c r="J246" s="9" t="str">
        <x:v>Adjudicated to Reviewer 1</x:v>
      </x:c>
      <x:c r="K246" s="9" t="str">
        <x:v>Study-specific limitations are recorded in the extraction and REB sheets.</x:v>
      </x:c>
      <x:c r="L246" s="9" t="str">
        <x:v>PDF pp. 3–12; Figs. 1–11; Table 1</x:v>
      </x:c>
      <x:c r="M246" s="9" t="str">
        <x:v>Repeated units/counts and a stability outcome are defined for the stated protocol.</x:v>
      </x:c>
      <x:c r="N246" s="9" t="str">
        <x:v>Article PDF p. 7</x:v>
      </x:c>
      <x:c r="O246" s="9" t="str">
        <x:v>Study-specific limitations are recorded in the extraction and REB sheets.</x:v>
      </x:c>
      <x:c r="P246" s="9" t="str">
        <x:v>PDF pp. 3–12; Figs. 1–11; Table 1</x:v>
      </x:c>
    </x:row>
    <x:row r="247">
      <x:c r="A247" s="9" t="n">
        <x:v>31</x:v>
      </x:c>
      <x:c r="B247" s="9" t="str">
        <x:v>S038</x:v>
      </x:c>
      <x:c r="C247" s="9" t="str">
        <x:v>Christ et al. (2018)</x:v>
      </x:c>
      <x:c r="D247" s="9" t="str">
        <x:v>D6</x:v>
      </x:c>
      <x:c r="E247" s="9" t="str">
        <x:v>High concern</x:v>
      </x:c>
      <x:c r="F247" s="9" t="str">
        <x:v>High concern</x:v>
      </x:c>
      <x:c r="G247" s="9" t="str">
        <x:v>Yes</x:v>
      </x:c>
      <x:c r="H247" s="9" t="str">
        <x:v>Agree</x:v>
      </x:c>
      <x:c r="I247" s="9" t="str">
        <x:v>High concern</x:v>
      </x:c>
      <x:c r="J247" s="9" t="str">
        <x:v>Initial agreement</x:v>
      </x:c>
      <x:c r="K247" s="9" t="str">
        <x:v>A quantitative comparison of at least three separately fabricated complete sensing systems was not identified.</x:v>
      </x:c>
      <x:c r="L247" s="9" t="str">
        <x:v>PDF pp. 3–12; Figs. 1–11; Table 1</x:v>
      </x:c>
      <x:c r="M247" s="9" t="str">
        <x:v>Cycles, participants or configurations do not establish replication across three equivalent fabricated devices.</x:v>
      </x:c>
      <x:c r="N247" s="9" t="str">
        <x:v>Article PDF p. 1</x:v>
      </x:c>
      <x:c r="O247" s="9" t="str">
        <x:v>A quantitative comparison of at least three separately fabricated complete sensing systems was not identified.</x:v>
      </x:c>
      <x:c r="P247" s="9" t="str">
        <x:v>PDF pp. 3–12; Figs. 1–11; Table 1</x:v>
      </x:c>
    </x:row>
    <x:row r="248">
      <x:c r="A248" s="9" t="n">
        <x:v>31</x:v>
      </x:c>
      <x:c r="B248" s="9" t="str">
        <x:v>S038</x:v>
      </x:c>
      <x:c r="C248" s="9" t="str">
        <x:v>Christ et al. (2018)</x:v>
      </x:c>
      <x:c r="D248" s="9" t="str">
        <x:v>D7</x:v>
      </x:c>
      <x:c r="E248" s="9" t="str">
        <x:v>Low concern</x:v>
      </x:c>
      <x:c r="F248" s="9" t="str">
        <x:v>Some concern</x:v>
      </x:c>
      <x:c r="G248" s="9" t="str">
        <x:v>Yes</x:v>
      </x:c>
      <x:c r="H248" s="9" t="str">
        <x:v>Disagree</x:v>
      </x:c>
      <x:c r="I248" s="9" t="str">
        <x:v>Low concern</x:v>
      </x:c>
      <x:c r="J248" s="9" t="str">
        <x:v>Adjudicated to Reviewer 1</x:v>
      </x:c>
      <x:c r="K248" s="9" t="str">
        <x:v>The reference/protocol and principal quantitative outcomes are reported.</x:v>
      </x:c>
      <x:c r="L248" s="9" t="str">
        <x:v>PDF pp. 3–12; Figs. 1–11; Table 1</x:v>
      </x:c>
      <x:c r="M248" s="9" t="str">
        <x:v>Principal outcomes are reported, but device-level uncertainty or complete accounting of units/cycles is limited.</x:v>
      </x:c>
      <x:c r="N248" s="9" t="str">
        <x:v>Article PDF p. 7</x:v>
      </x:c>
      <x:c r="O248" s="9" t="str">
        <x:v>The reference/protocol and principal quantitative outcomes are reported.</x:v>
      </x:c>
      <x:c r="P248" s="9" t="str">
        <x:v>PDF pp. 3–12; Figs. 1–11; Table 1</x:v>
      </x:c>
    </x:row>
    <x:row r="249">
      <x:c r="A249" s="9" t="n">
        <x:v>31</x:v>
      </x:c>
      <x:c r="B249" s="9" t="str">
        <x:v>S038</x:v>
      </x:c>
      <x:c r="C249" s="9" t="str">
        <x:v>Christ et al. (2018)</x:v>
      </x:c>
      <x:c r="D249" s="9" t="str">
        <x:v>D8</x:v>
      </x:c>
      <x:c r="E249" s="9" t="str">
        <x:v>Some concern</x:v>
      </x:c>
      <x:c r="F249" s="9" t="str">
        <x:v>High concern</x:v>
      </x:c>
      <x:c r="G249" s="9" t="str">
        <x:v>Yes</x:v>
      </x:c>
      <x:c r="H249" s="9" t="str">
        <x:v>Disagree</x:v>
      </x:c>
      <x:c r="I249" s="9" t="str">
        <x:v>Some concern</x:v>
      </x:c>
      <x:c r="J249" s="9" t="str">
        <x:v>Adjudicated to Reviewer 1</x:v>
      </x:c>
      <x:c r="K249" s="9" t="str">
        <x:v>A wearable prototype was demonstrated, but application testing was limited.</x:v>
      </x:c>
      <x:c r="L249" s="9" t="str">
        <x:v>PDF pp. 3–12; Figs. 1–11; Table 1</x:v>
      </x:c>
      <x:c r="M249" s="9" t="str">
        <x:v>Only bench tensile specimens were evaluated; wearable use is prospective rather than tested in a body-worn configuration.</x:v>
      </x:c>
      <x:c r="N249" s="9" t="str">
        <x:v>Article PDF pp. 3-13</x:v>
      </x:c>
      <x:c r="O249" s="9" t="str">
        <x:v>A wearable prototype was demonstrated, but application testing was limited.</x:v>
      </x:c>
      <x:c r="P249" s="9" t="str">
        <x:v>PDF pp. 3–12; Figs. 1–11; Table 1</x:v>
      </x:c>
    </x:row>
    <x:row r="250">
      <x:c r="A250" s="9" t="n">
        <x:v>32</x:v>
      </x:c>
      <x:c r="B250" s="9" t="str">
        <x:v>S039</x:v>
      </x:c>
      <x:c r="C250" s="9" t="str">
        <x:v>Shin et al. (2022)</x:v>
      </x:c>
      <x:c r="D250" s="9" t="str">
        <x:v>D1</x:v>
      </x:c>
      <x:c r="E250" s="9" t="str">
        <x:v>Some concern</x:v>
      </x:c>
      <x:c r="F250" s="9" t="str">
        <x:v>Some concern</x:v>
      </x:c>
      <x:c r="G250" s="9" t="str">
        <x:v>Yes</x:v>
      </x:c>
      <x:c r="H250" s="9" t="str">
        <x:v>Agree</x:v>
      </x:c>
      <x:c r="I250" s="9" t="str">
        <x:v>Some concern</x:v>
      </x:c>
      <x:c r="J250" s="9" t="str">
        <x:v>Initial agreement</x:v>
      </x:c>
      <x:c r="K250" s="9" t="str">
        <x:v>Study-specific limitations are recorded in the extraction and REB sheets.</x:v>
      </x:c>
      <x:c r="L250" s="9" t="str">
        <x:v>PDF pp. 3–9; Figs. 2–10</x:v>
      </x:c>
      <x:c r="M250" s="9" t="str">
        <x:v>Some unit/participant counts or selection details are provided, but fabricated-unit selection and failures are not fully accounted for.</x:v>
      </x:c>
      <x:c r="N250" s="9" t="str">
        <x:v>Article PDF p. 9</x:v>
      </x:c>
      <x:c r="O250" s="9" t="str">
        <x:v>Study-specific limitations are recorded in the extraction and REB sheets.</x:v>
      </x:c>
      <x:c r="P250" s="9" t="str">
        <x:v>PDF pp. 3–9; Figs. 2–10</x:v>
      </x:c>
    </x:row>
    <x:row r="251">
      <x:c r="A251" s="9" t="n">
        <x:v>32</x:v>
      </x:c>
      <x:c r="B251" s="9" t="str">
        <x:v>S039</x:v>
      </x:c>
      <x:c r="C251" s="9" t="str">
        <x:v>Shin et al. (2022)</x:v>
      </x:c>
      <x:c r="D251" s="9" t="str">
        <x:v>D2</x:v>
      </x:c>
      <x:c r="E251" s="9" t="str">
        <x:v>Some concern</x:v>
      </x:c>
      <x:c r="F251" s="9" t="str">
        <x:v>Low concern</x:v>
      </x:c>
      <x:c r="G251" s="9" t="str">
        <x:v>Yes</x:v>
      </x:c>
      <x:c r="H251" s="9" t="str">
        <x:v>Disagree</x:v>
      </x:c>
      <x:c r="I251" s="9" t="str">
        <x:v>Some concern</x:v>
      </x:c>
      <x:c r="J251" s="9" t="str">
        <x:v>Adjudicated to Reviewer 1</x:v>
      </x:c>
      <x:c r="K251" s="9" t="str">
        <x:v>Study-specific limitations are recorded in the extraction and REB sheets.</x:v>
      </x:c>
      <x:c r="L251" s="9" t="str">
        <x:v>PDF pp. 3–9; Figs. 2–10</x:v>
      </x:c>
      <x:c r="M251" s="9" t="str">
        <x:v>Relevant material, geometry, conditioning and extrusion variables are documented sufficiently for the claimed comparison.</x:v>
      </x:c>
      <x:c r="N251" s="9" t="str">
        <x:v>Article PDF p. 3</x:v>
      </x:c>
      <x:c r="O251" s="9" t="str">
        <x:v>Study-specific limitations are recorded in the extraction and REB sheets.</x:v>
      </x:c>
      <x:c r="P251" s="9" t="str">
        <x:v>PDF pp. 3–9; Figs. 2–10</x:v>
      </x:c>
    </x:row>
    <x:row r="252">
      <x:c r="A252" s="9" t="n">
        <x:v>32</x:v>
      </x:c>
      <x:c r="B252" s="9" t="str">
        <x:v>S039</x:v>
      </x:c>
      <x:c r="C252" s="9" t="str">
        <x:v>Shin et al. (2022)</x:v>
      </x:c>
      <x:c r="D252" s="9" t="str">
        <x:v>D3</x:v>
      </x:c>
      <x:c r="E252" s="9" t="str">
        <x:v>Low concern</x:v>
      </x:c>
      <x:c r="F252" s="9" t="str">
        <x:v>Some concern</x:v>
      </x:c>
      <x:c r="G252" s="9" t="str">
        <x:v>Yes</x:v>
      </x:c>
      <x:c r="H252" s="9" t="str">
        <x:v>Disagree</x:v>
      </x:c>
      <x:c r="I252" s="9" t="str">
        <x:v>Low concern</x:v>
      </x:c>
      <x:c r="J252" s="9" t="str">
        <x:v>Adjudicated to Reviewer 1</x:v>
      </x:c>
      <x:c r="K252" s="9" t="str">
        <x:v>The reference/protocol and principal quantitative outcomes are reported.</x:v>
      </x:c>
      <x:c r="L252" s="9" t="str">
        <x:v>PDF pp. 3–9; Figs. 2–10</x:v>
      </x:c>
      <x:c r="M252" s="9" t="str">
        <x:v>Controlled mechanical inputs are used, but independent reference calibration and input uncertainty are limited.</x:v>
      </x:c>
      <x:c r="N252" s="9" t="str">
        <x:v>Article PDF pp. 4-7</x:v>
      </x:c>
      <x:c r="O252" s="9" t="str">
        <x:v>The reference/protocol and principal quantitative outcomes are reported.</x:v>
      </x:c>
      <x:c r="P252" s="9" t="str">
        <x:v>PDF pp. 3–9; Figs. 2–10</x:v>
      </x:c>
    </x:row>
    <x:row r="253">
      <x:c r="A253" s="9" t="n">
        <x:v>32</x:v>
      </x:c>
      <x:c r="B253" s="9" t="str">
        <x:v>S039</x:v>
      </x:c>
      <x:c r="C253" s="9" t="str">
        <x:v>Shin et al. (2022)</x:v>
      </x:c>
      <x:c r="D253" s="9" t="str">
        <x:v>D4</x:v>
      </x:c>
      <x:c r="E253" s="9" t="str">
        <x:v>Low concern</x:v>
      </x:c>
      <x:c r="F253" s="9" t="str">
        <x:v>Low concern</x:v>
      </x:c>
      <x:c r="G253" s="9" t="str">
        <x:v>Yes</x:v>
      </x:c>
      <x:c r="H253" s="9" t="str">
        <x:v>Agree</x:v>
      </x:c>
      <x:c r="I253" s="9" t="str">
        <x:v>Low concern</x:v>
      </x:c>
      <x:c r="J253" s="9" t="str">
        <x:v>Initial agreement</x:v>
      </x:c>
      <x:c r="K253" s="9" t="str">
        <x:v>The reference/protocol and principal quantitative outcomes are reported.</x:v>
      </x:c>
      <x:c r="L253" s="9" t="str">
        <x:v>PDF pp. 3–9; Figs. 2–10</x:v>
      </x:c>
      <x:c r="M253" s="9" t="str">
        <x:v>Relevant loading/exposure range, rate or geometry and measurement conditions are stated.</x:v>
      </x:c>
      <x:c r="N253" s="9" t="str">
        <x:v>Article PDF p. 9</x:v>
      </x:c>
      <x:c r="O253" s="9" t="str">
        <x:v>The reference/protocol and principal quantitative outcomes are reported.</x:v>
      </x:c>
      <x:c r="P253" s="9" t="str">
        <x:v>PDF pp. 3–9; Figs. 2–10</x:v>
      </x:c>
    </x:row>
    <x:row r="254">
      <x:c r="A254" s="9" t="n">
        <x:v>32</x:v>
      </x:c>
      <x:c r="B254" s="9" t="str">
        <x:v>S039</x:v>
      </x:c>
      <x:c r="C254" s="9" t="str">
        <x:v>Shin et al. (2022)</x:v>
      </x:c>
      <x:c r="D254" s="9" t="str">
        <x:v>D5</x:v>
      </x:c>
      <x:c r="E254" s="9" t="str">
        <x:v>Some concern</x:v>
      </x:c>
      <x:c r="F254" s="9" t="str">
        <x:v>Low concern</x:v>
      </x:c>
      <x:c r="G254" s="9" t="str">
        <x:v>Yes</x:v>
      </x:c>
      <x:c r="H254" s="9" t="str">
        <x:v>Disagree</x:v>
      </x:c>
      <x:c r="I254" s="9" t="str">
        <x:v>Some concern</x:v>
      </x:c>
      <x:c r="J254" s="9" t="str">
        <x:v>Adjudicated to Reviewer 1</x:v>
      </x:c>
      <x:c r="K254" s="9" t="str">
        <x:v>Study-specific limitations are recorded in the extraction and REB sheets.</x:v>
      </x:c>
      <x:c r="L254" s="9" t="str">
        <x:v>PDF pp. 3–9; Figs. 2–10</x:v>
      </x:c>
      <x:c r="M254" s="9" t="str">
        <x:v>Repeated units/counts and a stability outcome are defined for the stated protocol.</x:v>
      </x:c>
      <x:c r="N254" s="9" t="str">
        <x:v>Article PDF p. 6</x:v>
      </x:c>
      <x:c r="O254" s="9" t="str">
        <x:v>Study-specific limitations are recorded in the extraction and REB sheets.</x:v>
      </x:c>
      <x:c r="P254" s="9" t="str">
        <x:v>PDF pp. 3–9; Figs. 2–10</x:v>
      </x:c>
    </x:row>
    <x:row r="255">
      <x:c r="A255" s="9" t="n">
        <x:v>32</x:v>
      </x:c>
      <x:c r="B255" s="9" t="str">
        <x:v>S039</x:v>
      </x:c>
      <x:c r="C255" s="9" t="str">
        <x:v>Shin et al. (2022)</x:v>
      </x:c>
      <x:c r="D255" s="9" t="str">
        <x:v>D6</x:v>
      </x:c>
      <x:c r="E255" s="9" t="str">
        <x:v>Low concern</x:v>
      </x:c>
      <x:c r="F255" s="9" t="str">
        <x:v>High concern</x:v>
      </x:c>
      <x:c r="G255" s="9" t="str">
        <x:v>Yes</x:v>
      </x:c>
      <x:c r="H255" s="9" t="str">
        <x:v>Disagree</x:v>
      </x:c>
      <x:c r="I255" s="9" t="str">
        <x:v>Low concern</x:v>
      </x:c>
      <x:c r="J255" s="9" t="str">
        <x:v>Adjudicated to Reviewer 1</x:v>
      </x:c>
      <x:c r="K255" s="9" t="str">
        <x:v>Four separately fabricated devices per FSG type were compared quantitatively.</x:v>
      </x:c>
      <x:c r="L255" s="9" t="str">
        <x:v>PDF pp. 3–9; Figs. 2–10</x:v>
      </x:c>
      <x:c r="M255" s="9" t="str">
        <x:v>Cycles, participants or configurations do not establish replication across three equivalent fabricated devices.</x:v>
      </x:c>
      <x:c r="N255" s="9" t="str">
        <x:v>Article PDF p. 4</x:v>
      </x:c>
      <x:c r="O255" s="9" t="str">
        <x:v>Four separately fabricated devices per FSG type were compared quantitatively.</x:v>
      </x:c>
      <x:c r="P255" s="9" t="str">
        <x:v>PDF pp. 3–9; Figs. 2–10</x:v>
      </x:c>
    </x:row>
    <x:row r="256">
      <x:c r="A256" s="9" t="n">
        <x:v>32</x:v>
      </x:c>
      <x:c r="B256" s="9" t="str">
        <x:v>S039</x:v>
      </x:c>
      <x:c r="C256" s="9" t="str">
        <x:v>Shin et al. (2022)</x:v>
      </x:c>
      <x:c r="D256" s="9" t="str">
        <x:v>D7</x:v>
      </x:c>
      <x:c r="E256" s="9" t="str">
        <x:v>Low concern</x:v>
      </x:c>
      <x:c r="F256" s="9" t="str">
        <x:v>Low concern</x:v>
      </x:c>
      <x:c r="G256" s="9" t="str">
        <x:v>Yes</x:v>
      </x:c>
      <x:c r="H256" s="9" t="str">
        <x:v>Agree</x:v>
      </x:c>
      <x:c r="I256" s="9" t="str">
        <x:v>Low concern</x:v>
      </x:c>
      <x:c r="J256" s="9" t="str">
        <x:v>Initial agreement</x:v>
      </x:c>
      <x:c r="K256" s="9" t="str">
        <x:v>The reference/protocol and principal quantitative outcomes are reported.</x:v>
      </x:c>
      <x:c r="L256" s="9" t="str">
        <x:v>PDF pp. 3–9; Figs. 2–10</x:v>
      </x:c>
      <x:c r="M256" s="9" t="str">
        <x:v>Principal response/stability outcomes and relevant uncertainty are reported without evident unexplained omissions.</x:v>
      </x:c>
      <x:c r="N256" s="9" t="str">
        <x:v>Article PDF p. 5</x:v>
      </x:c>
      <x:c r="O256" s="9" t="str">
        <x:v>The reference/protocol and principal quantitative outcomes are reported.</x:v>
      </x:c>
      <x:c r="P256" s="9" t="str">
        <x:v>PDF pp. 3–9; Figs. 2–10</x:v>
      </x:c>
    </x:row>
    <x:row r="257">
      <x:c r="A257" s="9" t="n">
        <x:v>32</x:v>
      </x:c>
      <x:c r="B257" s="9" t="str">
        <x:v>S039</x:v>
      </x:c>
      <x:c r="C257" s="9" t="str">
        <x:v>Shin et al. (2022)</x:v>
      </x:c>
      <x:c r="D257" s="9" t="str">
        <x:v>D8</x:v>
      </x:c>
      <x:c r="E257" s="9" t="str">
        <x:v>Low concern</x:v>
      </x:c>
      <x:c r="F257" s="9" t="str">
        <x:v>Some concern</x:v>
      </x:c>
      <x:c r="G257" s="9" t="str">
        <x:v>Yes</x:v>
      </x:c>
      <x:c r="H257" s="9" t="str">
        <x:v>Disagree</x:v>
      </x:c>
      <x:c r="I257" s="9" t="str">
        <x:v>Low concern</x:v>
      </x:c>
      <x:c r="J257" s="9" t="str">
        <x:v>Adjudicated to Reviewer 1</x:v>
      </x:c>
      <x:c r="K257" s="9" t="str">
        <x:v>The device was tested in a human-worn configuration.</x:v>
      </x:c>
      <x:c r="L257" s="9" t="str">
        <x:v>PDF pp. 3–9; Figs. 2–10</x:v>
      </x:c>
      <x:c r="M257" s="9" t="str">
        <x:v>A wearable form or application-relevant loading is shown, but direct body-worn validation is limited or absent.</x:v>
      </x:c>
      <x:c r="N257" s="9" t="str">
        <x:v>Article PDF p. 9</x:v>
      </x:c>
      <x:c r="O257" s="9" t="str">
        <x:v>The device was tested in a human-worn configuration.</x:v>
      </x:c>
      <x:c r="P257" s="9" t="str">
        <x:v>PDF pp. 3–9; Figs. 2–10</x:v>
      </x:c>
    </x:row>
    <x:row r="258">
      <x:c r="A258" s="9" t="n">
        <x:v>33</x:v>
      </x:c>
      <x:c r="B258" s="9" t="str">
        <x:v>S043</x:v>
      </x:c>
      <x:c r="C258" s="9" t="str">
        <x:v>Carvalho et al. (2025)</x:v>
      </x:c>
      <x:c r="D258" s="9" t="str">
        <x:v>D1</x:v>
      </x:c>
      <x:c r="E258" s="9" t="str">
        <x:v>Some concern</x:v>
      </x:c>
      <x:c r="F258" s="9" t="str">
        <x:v>Some concern</x:v>
      </x:c>
      <x:c r="G258" s="9" t="str">
        <x:v>Yes</x:v>
      </x:c>
      <x:c r="H258" s="9" t="str">
        <x:v>Agree</x:v>
      </x:c>
      <x:c r="I258" s="9" t="str">
        <x:v>Some concern</x:v>
      </x:c>
      <x:c r="J258" s="9" t="str">
        <x:v>Initial agreement</x:v>
      </x:c>
      <x:c r="K258" s="9" t="str">
        <x:v>Study-specific limitations are recorded in the extraction and REB sheets.</x:v>
      </x:c>
      <x:c r="L258" s="9" t="str">
        <x:v>PDF pp. 2–12; Figs. 1–8; Tables 1–4; cited SI</x:v>
      </x:c>
      <x:c r="M258" s="9" t="str">
        <x:v>Some unit/participant counts or selection details are provided, but fabricated-unit selection and failures are not fully accounted for.</x:v>
      </x:c>
      <x:c r="N258" s="9" t="str">
        <x:v>Article PDF p. 3</x:v>
      </x:c>
      <x:c r="O258" s="9" t="str">
        <x:v>Study-specific limitations are recorded in the extraction and REB sheets.</x:v>
      </x:c>
      <x:c r="P258" s="9" t="str">
        <x:v>PDF pp. 2–12; Figs. 1–8; Tables 1–4; cited SI</x:v>
      </x:c>
    </x:row>
    <x:row r="259">
      <x:c r="A259" s="9" t="n">
        <x:v>33</x:v>
      </x:c>
      <x:c r="B259" s="9" t="str">
        <x:v>S043</x:v>
      </x:c>
      <x:c r="C259" s="9" t="str">
        <x:v>Carvalho et al. (2025)</x:v>
      </x:c>
      <x:c r="D259" s="9" t="str">
        <x:v>D2</x:v>
      </x:c>
      <x:c r="E259" s="9" t="str">
        <x:v>Some concern</x:v>
      </x:c>
      <x:c r="F259" s="9" t="str">
        <x:v>Low concern</x:v>
      </x:c>
      <x:c r="G259" s="9" t="str">
        <x:v>Yes</x:v>
      </x:c>
      <x:c r="H259" s="9" t="str">
        <x:v>Disagree</x:v>
      </x:c>
      <x:c r="I259" s="9" t="str">
        <x:v>Some concern</x:v>
      </x:c>
      <x:c r="J259" s="9" t="str">
        <x:v>Adjudicated to Reviewer 1</x:v>
      </x:c>
      <x:c r="K259" s="9" t="str">
        <x:v>Study-specific limitations are recorded in the extraction and REB sheets.</x:v>
      </x:c>
      <x:c r="L259" s="9" t="str">
        <x:v>PDF pp. 2–12; Figs. 1–8; Tables 1–4; cited SI</x:v>
      </x:c>
      <x:c r="M259" s="9" t="str">
        <x:v>Relevant material, geometry, conditioning and extrusion variables are documented sufficiently for the claimed comparison.</x:v>
      </x:c>
      <x:c r="N259" s="9" t="str">
        <x:v>Article PDF p. 3</x:v>
      </x:c>
      <x:c r="O259" s="9" t="str">
        <x:v>Study-specific limitations are recorded in the extraction and REB sheets.</x:v>
      </x:c>
      <x:c r="P259" s="9" t="str">
        <x:v>PDF pp. 2–12; Figs. 1–8; Tables 1–4; cited SI</x:v>
      </x:c>
    </x:row>
    <x:row r="260">
      <x:c r="A260" s="9" t="n">
        <x:v>33</x:v>
      </x:c>
      <x:c r="B260" s="9" t="str">
        <x:v>S043</x:v>
      </x:c>
      <x:c r="C260" s="9" t="str">
        <x:v>Carvalho et al. (2025)</x:v>
      </x:c>
      <x:c r="D260" s="9" t="str">
        <x:v>D3</x:v>
      </x:c>
      <x:c r="E260" s="9" t="str">
        <x:v>Low concern</x:v>
      </x:c>
      <x:c r="F260" s="9" t="str">
        <x:v>Low concern</x:v>
      </x:c>
      <x:c r="G260" s="9" t="str">
        <x:v>Yes</x:v>
      </x:c>
      <x:c r="H260" s="9" t="str">
        <x:v>Agree</x:v>
      </x:c>
      <x:c r="I260" s="9" t="str">
        <x:v>Low concern</x:v>
      </x:c>
      <x:c r="J260" s="9" t="str">
        <x:v>Initial agreement</x:v>
      </x:c>
      <x:c r="K260" s="9" t="str">
        <x:v>The reference/protocol and principal quantitative outcomes are reported.</x:v>
      </x:c>
      <x:c r="L260" s="9" t="str">
        <x:v>PDF pp. 2–12; Figs. 1–8; Tables 1–4; cited SI</x:v>
      </x:c>
      <x:c r="M260" s="9" t="str">
        <x:v>The controlled input/reference and calibration procedure are appropriate and independently measured.</x:v>
      </x:c>
      <x:c r="N260" s="9" t="str">
        <x:v>Article PDF p. 3</x:v>
      </x:c>
      <x:c r="O260" s="9" t="str">
        <x:v>The reference/protocol and principal quantitative outcomes are reported.</x:v>
      </x:c>
      <x:c r="P260" s="9" t="str">
        <x:v>PDF pp. 2–12; Figs. 1–8; Tables 1–4; cited SI</x:v>
      </x:c>
    </x:row>
    <x:row r="261">
      <x:c r="A261" s="9" t="n">
        <x:v>33</x:v>
      </x:c>
      <x:c r="B261" s="9" t="str">
        <x:v>S043</x:v>
      </x:c>
      <x:c r="C261" s="9" t="str">
        <x:v>Carvalho et al. (2025)</x:v>
      </x:c>
      <x:c r="D261" s="9" t="str">
        <x:v>D4</x:v>
      </x:c>
      <x:c r="E261" s="9" t="str">
        <x:v>Low concern</x:v>
      </x:c>
      <x:c r="F261" s="9" t="str">
        <x:v>Low concern</x:v>
      </x:c>
      <x:c r="G261" s="9" t="str">
        <x:v>Yes</x:v>
      </x:c>
      <x:c r="H261" s="9" t="str">
        <x:v>Agree</x:v>
      </x:c>
      <x:c r="I261" s="9" t="str">
        <x:v>Low concern</x:v>
      </x:c>
      <x:c r="J261" s="9" t="str">
        <x:v>Initial agreement</x:v>
      </x:c>
      <x:c r="K261" s="9" t="str">
        <x:v>The reference/protocol and principal quantitative outcomes are reported.</x:v>
      </x:c>
      <x:c r="L261" s="9" t="str">
        <x:v>PDF pp. 2–12; Figs. 1–8; Tables 1–4; cited SI</x:v>
      </x:c>
      <x:c r="M261" s="9" t="str">
        <x:v>Relevant loading/exposure range, rate or geometry and measurement conditions are stated.</x:v>
      </x:c>
      <x:c r="N261" s="9" t="str">
        <x:v>Article PDF p. 3</x:v>
      </x:c>
      <x:c r="O261" s="9" t="str">
        <x:v>The reference/protocol and principal quantitative outcomes are reported.</x:v>
      </x:c>
      <x:c r="P261" s="9" t="str">
        <x:v>PDF pp. 2–12; Figs. 1–8; Tables 1–4; cited SI</x:v>
      </x:c>
    </x:row>
    <x:row r="262">
      <x:c r="A262" s="9" t="n">
        <x:v>33</x:v>
      </x:c>
      <x:c r="B262" s="9" t="str">
        <x:v>S043</x:v>
      </x:c>
      <x:c r="C262" s="9" t="str">
        <x:v>Carvalho et al. (2025)</x:v>
      </x:c>
      <x:c r="D262" s="9" t="str">
        <x:v>D5</x:v>
      </x:c>
      <x:c r="E262" s="9" t="str">
        <x:v>Some concern</x:v>
      </x:c>
      <x:c r="F262" s="9" t="str">
        <x:v>High concern</x:v>
      </x:c>
      <x:c r="G262" s="9" t="str">
        <x:v>Yes</x:v>
      </x:c>
      <x:c r="H262" s="9" t="str">
        <x:v>Disagree</x:v>
      </x:c>
      <x:c r="I262" s="9" t="str">
        <x:v>Some concern</x:v>
      </x:c>
      <x:c r="J262" s="9" t="str">
        <x:v>Adjudicated to Reviewer 1</x:v>
      </x:c>
      <x:c r="K262" s="9" t="str">
        <x:v>Study-specific limitations are recorded in the extraction and REB sheets.</x:v>
      </x:c>
      <x:c r="L262" s="9" t="str">
        <x:v>PDF pp. 2–12; Figs. 1–8; Tables 1–4; cited SI</x:v>
      </x:c>
      <x:c r="M262" s="9" t="str">
        <x:v>A defined repeated sensor-response stability analysis is absent.</x:v>
      </x:c>
      <x:c r="N262" s="9" t="str">
        <x:v>Article PDF pp. 7-12</x:v>
      </x:c>
      <x:c r="O262" s="9" t="str">
        <x:v>Study-specific limitations are recorded in the extraction and REB sheets.</x:v>
      </x:c>
      <x:c r="P262" s="9" t="str">
        <x:v>PDF pp. 2–12; Figs. 1–8; Tables 1–4; cited SI</x:v>
      </x:c>
    </x:row>
    <x:row r="263">
      <x:c r="A263" s="9" t="n">
        <x:v>33</x:v>
      </x:c>
      <x:c r="B263" s="9" t="str">
        <x:v>S043</x:v>
      </x:c>
      <x:c r="C263" s="9" t="str">
        <x:v>Carvalho et al. (2025)</x:v>
      </x:c>
      <x:c r="D263" s="9" t="str">
        <x:v>D6</x:v>
      </x:c>
      <x:c r="E263" s="9" t="str">
        <x:v>High concern</x:v>
      </x:c>
      <x:c r="F263" s="9" t="str">
        <x:v>High concern</x:v>
      </x:c>
      <x:c r="G263" s="9" t="str">
        <x:v>Yes</x:v>
      </x:c>
      <x:c r="H263" s="9" t="str">
        <x:v>Agree</x:v>
      </x:c>
      <x:c r="I263" s="9" t="str">
        <x:v>High concern</x:v>
      </x:c>
      <x:c r="J263" s="9" t="str">
        <x:v>Initial agreement</x:v>
      </x:c>
      <x:c r="K263" s="9" t="str">
        <x:v>A quantitative comparison of at least three separately fabricated complete sensing systems was not identified.</x:v>
      </x:c>
      <x:c r="L263" s="9" t="str">
        <x:v>PDF pp. 2–12; Figs. 1–8; Tables 1–4; cited SI</x:v>
      </x:c>
      <x:c r="M263" s="9" t="str">
        <x:v>Cycles, participants or configurations do not establish replication across three equivalent fabricated devices.</x:v>
      </x:c>
      <x:c r="N263" s="9" t="str">
        <x:v>Article PDF p. 3</x:v>
      </x:c>
      <x:c r="O263" s="9" t="str">
        <x:v>A quantitative comparison of at least three separately fabricated complete sensing systems was not identified.</x:v>
      </x:c>
      <x:c r="P263" s="9" t="str">
        <x:v>PDF pp. 2–12; Figs. 1–8; Tables 1–4; cited SI</x:v>
      </x:c>
    </x:row>
    <x:row r="264">
      <x:c r="A264" s="9" t="n">
        <x:v>33</x:v>
      </x:c>
      <x:c r="B264" s="9" t="str">
        <x:v>S043</x:v>
      </x:c>
      <x:c r="C264" s="9" t="str">
        <x:v>Carvalho et al. (2025)</x:v>
      </x:c>
      <x:c r="D264" s="9" t="str">
        <x:v>D7</x:v>
      </x:c>
      <x:c r="E264" s="9" t="str">
        <x:v>Low concern</x:v>
      </x:c>
      <x:c r="F264" s="9" t="str">
        <x:v>Some concern</x:v>
      </x:c>
      <x:c r="G264" s="9" t="str">
        <x:v>Yes</x:v>
      </x:c>
      <x:c r="H264" s="9" t="str">
        <x:v>Disagree</x:v>
      </x:c>
      <x:c r="I264" s="9" t="str">
        <x:v>Low concern</x:v>
      </x:c>
      <x:c r="J264" s="9" t="str">
        <x:v>Adjudicated to Reviewer 1</x:v>
      </x:c>
      <x:c r="K264" s="9" t="str">
        <x:v>The reference/protocol and principal quantitative outcomes are reported.</x:v>
      </x:c>
      <x:c r="L264" s="9" t="str">
        <x:v>PDF pp. 2–12; Figs. 1–8; Tables 1–4; cited SI</x:v>
      </x:c>
      <x:c r="M264" s="9" t="str">
        <x:v>Principal calibration outcomes are shown, but device-level uncertainty and complete unit accounting are limited.</x:v>
      </x:c>
      <x:c r="N264" s="9" t="str">
        <x:v>Article PDF pp. 9-12</x:v>
      </x:c>
      <x:c r="O264" s="9" t="str">
        <x:v>The reference/protocol and principal quantitative outcomes are reported.</x:v>
      </x:c>
      <x:c r="P264" s="9" t="str">
        <x:v>PDF pp. 2–12; Figs. 1–8; Tables 1–4; cited SI</x:v>
      </x:c>
    </x:row>
    <x:row r="265">
      <x:c r="A265" s="9" t="n">
        <x:v>33</x:v>
      </x:c>
      <x:c r="B265" s="9" t="str">
        <x:v>S043</x:v>
      </x:c>
      <x:c r="C265" s="9" t="str">
        <x:v>Carvalho et al. (2025)</x:v>
      </x:c>
      <x:c r="D265" s="9" t="str">
        <x:v>D8</x:v>
      </x:c>
      <x:c r="E265" s="9" t="str">
        <x:v>Some concern</x:v>
      </x:c>
      <x:c r="F265" s="9" t="str">
        <x:v>Some concern</x:v>
      </x:c>
      <x:c r="G265" s="9" t="str">
        <x:v>Yes</x:v>
      </x:c>
      <x:c r="H265" s="9" t="str">
        <x:v>Agree</x:v>
      </x:c>
      <x:c r="I265" s="9" t="str">
        <x:v>Some concern</x:v>
      </x:c>
      <x:c r="J265" s="9" t="str">
        <x:v>Initial agreement</x:v>
      </x:c>
      <x:c r="K265" s="9" t="str">
        <x:v>A wearable prototype was demonstrated, but application testing was limited.</x:v>
      </x:c>
      <x:c r="L265" s="9" t="str">
        <x:v>PDF pp. 2–12; Figs. 1–8; Tables 1–4; cited SI</x:v>
      </x:c>
      <x:c r="M265" s="9" t="str">
        <x:v>A wristband configuration analyzed synthetic sweat, but direct body-worn validation was not reported.</x:v>
      </x:c>
      <x:c r="N265" s="9" t="str">
        <x:v>Article PDF pp. 10-12, Figure 6</x:v>
      </x:c>
      <x:c r="O265" s="9" t="str">
        <x:v>A wearable prototype was demonstrated, but application testing was limited.</x:v>
      </x:c>
      <x:c r="P265" s="9" t="str">
        <x:v>PDF pp. 2–12; Figs. 1–8; Tables 1–4; cited SI</x:v>
      </x:c>
    </x:row>
    <x:row r="266">
      <x:c r="A266" s="9" t="n">
        <x:v>34</x:v>
      </x:c>
      <x:c r="B266" s="9" t="str">
        <x:v>S044</x:v>
      </x:c>
      <x:c r="C266" s="9" t="str">
        <x:v>Li et al. (2021)</x:v>
      </x:c>
      <x:c r="D266" s="9" t="str">
        <x:v>D1</x:v>
      </x:c>
      <x:c r="E266" s="9" t="str">
        <x:v>Some concern</x:v>
      </x:c>
      <x:c r="F266" s="9" t="str">
        <x:v>High concern</x:v>
      </x:c>
      <x:c r="G266" s="9" t="str">
        <x:v>Yes</x:v>
      </x:c>
      <x:c r="H266" s="9" t="str">
        <x:v>Disagree</x:v>
      </x:c>
      <x:c r="I266" s="9" t="str">
        <x:v>Some concern</x:v>
      </x:c>
      <x:c r="J266" s="9" t="str">
        <x:v>Adjudicated to Reviewer 1</x:v>
      </x:c>
      <x:c r="K266" s="9" t="str">
        <x:v>Study-specific limitations are recorded in the extraction and REB sheets.</x:v>
      </x:c>
      <x:c r="L266" s="9" t="str">
        <x:v>PDF pp. 4–11; Figs. 1, 5–6; cited SI</x:v>
      </x:c>
      <x:c r="M266" s="9" t="str">
        <x:v>Fabricated-unit counts, selection and failed/excluded specimens are not transparently reported.</x:v>
      </x:c>
      <x:c r="N266" s="9" t="str">
        <x:v>Article PDF p. 8</x:v>
      </x:c>
      <x:c r="O266" s="9" t="str">
        <x:v>Study-specific limitations are recorded in the extraction and REB sheets.</x:v>
      </x:c>
      <x:c r="P266" s="9" t="str">
        <x:v>PDF pp. 4–11; Figs. 1, 5–6; cited SI</x:v>
      </x:c>
    </x:row>
    <x:row r="267">
      <x:c r="A267" s="9" t="n">
        <x:v>34</x:v>
      </x:c>
      <x:c r="B267" s="9" t="str">
        <x:v>S044</x:v>
      </x:c>
      <x:c r="C267" s="9" t="str">
        <x:v>Li et al. (2021)</x:v>
      </x:c>
      <x:c r="D267" s="9" t="str">
        <x:v>D2</x:v>
      </x:c>
      <x:c r="E267" s="9" t="str">
        <x:v>Some concern</x:v>
      </x:c>
      <x:c r="F267" s="9" t="str">
        <x:v>Some concern</x:v>
      </x:c>
      <x:c r="G267" s="9" t="str">
        <x:v>Yes</x:v>
      </x:c>
      <x:c r="H267" s="9" t="str">
        <x:v>Agree</x:v>
      </x:c>
      <x:c r="I267" s="9" t="str">
        <x:v>Some concern</x:v>
      </x:c>
      <x:c r="J267" s="9" t="str">
        <x:v>Initial agreement</x:v>
      </x:c>
      <x:c r="K267" s="9" t="str">
        <x:v>Study-specific limitations are recorded in the extraction and REB sheets.</x:v>
      </x:c>
      <x:c r="L267" s="9" t="str">
        <x:v>PDF pp. 4–11; Figs. 1, 5–6; cited SI</x:v>
      </x:c>
      <x:c r="M267" s="9" t="str">
        <x:v>Several fabrication controls are documented, but omitted settings leave residual process-confounding concern.</x:v>
      </x:c>
      <x:c r="N267" s="9" t="str">
        <x:v>Article PDF p. 4</x:v>
      </x:c>
      <x:c r="O267" s="9" t="str">
        <x:v>Study-specific limitations are recorded in the extraction and REB sheets.</x:v>
      </x:c>
      <x:c r="P267" s="9" t="str">
        <x:v>PDF pp. 4–11; Figs. 1, 5–6; cited SI</x:v>
      </x:c>
    </x:row>
    <x:row r="268">
      <x:c r="A268" s="9" t="n">
        <x:v>34</x:v>
      </x:c>
      <x:c r="B268" s="9" t="str">
        <x:v>S044</x:v>
      </x:c>
      <x:c r="C268" s="9" t="str">
        <x:v>Li et al. (2021)</x:v>
      </x:c>
      <x:c r="D268" s="9" t="str">
        <x:v>D3</x:v>
      </x:c>
      <x:c r="E268" s="9" t="str">
        <x:v>Low concern</x:v>
      </x:c>
      <x:c r="F268" s="9" t="str">
        <x:v>Some concern</x:v>
      </x:c>
      <x:c r="G268" s="9" t="str">
        <x:v>Yes</x:v>
      </x:c>
      <x:c r="H268" s="9" t="str">
        <x:v>Disagree</x:v>
      </x:c>
      <x:c r="I268" s="9" t="str">
        <x:v>Low concern</x:v>
      </x:c>
      <x:c r="J268" s="9" t="str">
        <x:v>Adjudicated to Reviewer 1</x:v>
      </x:c>
      <x:c r="K268" s="9" t="str">
        <x:v>The reference/protocol and principal quantitative outcomes are reported.</x:v>
      </x:c>
      <x:c r="L268" s="9" t="str">
        <x:v>PDF pp. 4–11; Figs. 1, 5–6; cited SI</x:v>
      </x:c>
      <x:c r="M268" s="9" t="str">
        <x:v>Calibration is described, but reference independence or uncertainty is incomplete.</x:v>
      </x:c>
      <x:c r="N268" s="9" t="str">
        <x:v>Article PDF p. 11</x:v>
      </x:c>
      <x:c r="O268" s="9" t="str">
        <x:v>The reference/protocol and principal quantitative outcomes are reported.</x:v>
      </x:c>
      <x:c r="P268" s="9" t="str">
        <x:v>PDF pp. 4–11; Figs. 1, 5–6; cited SI</x:v>
      </x:c>
    </x:row>
    <x:row r="269">
      <x:c r="A269" s="9" t="n">
        <x:v>34</x:v>
      </x:c>
      <x:c r="B269" s="9" t="str">
        <x:v>S044</x:v>
      </x:c>
      <x:c r="C269" s="9" t="str">
        <x:v>Li et al. (2021)</x:v>
      </x:c>
      <x:c r="D269" s="9" t="str">
        <x:v>D4</x:v>
      </x:c>
      <x:c r="E269" s="9" t="str">
        <x:v>Low concern</x:v>
      </x:c>
      <x:c r="F269" s="9" t="str">
        <x:v>Low concern</x:v>
      </x:c>
      <x:c r="G269" s="9" t="str">
        <x:v>Yes</x:v>
      </x:c>
      <x:c r="H269" s="9" t="str">
        <x:v>Agree</x:v>
      </x:c>
      <x:c r="I269" s="9" t="str">
        <x:v>Low concern</x:v>
      </x:c>
      <x:c r="J269" s="9" t="str">
        <x:v>Initial agreement</x:v>
      </x:c>
      <x:c r="K269" s="9" t="str">
        <x:v>The reference/protocol and principal quantitative outcomes are reported.</x:v>
      </x:c>
      <x:c r="L269" s="9" t="str">
        <x:v>PDF pp. 4–11; Figs. 1, 5–6; cited SI</x:v>
      </x:c>
      <x:c r="M269" s="9" t="str">
        <x:v>Relevant loading/exposure range, rate or geometry and measurement conditions are stated.</x:v>
      </x:c>
      <x:c r="N269" s="9" t="str">
        <x:v>Article PDF p. 8</x:v>
      </x:c>
      <x:c r="O269" s="9" t="str">
        <x:v>The reference/protocol and principal quantitative outcomes are reported.</x:v>
      </x:c>
      <x:c r="P269" s="9" t="str">
        <x:v>PDF pp. 4–11; Figs. 1, 5–6; cited SI</x:v>
      </x:c>
    </x:row>
    <x:row r="270">
      <x:c r="A270" s="9" t="n">
        <x:v>34</x:v>
      </x:c>
      <x:c r="B270" s="9" t="str">
        <x:v>S044</x:v>
      </x:c>
      <x:c r="C270" s="9" t="str">
        <x:v>Li et al. (2021)</x:v>
      </x:c>
      <x:c r="D270" s="9" t="str">
        <x:v>D5</x:v>
      </x:c>
      <x:c r="E270" s="9" t="str">
        <x:v>Some concern</x:v>
      </x:c>
      <x:c r="F270" s="9" t="str">
        <x:v>Low concern</x:v>
      </x:c>
      <x:c r="G270" s="9" t="str">
        <x:v>Yes</x:v>
      </x:c>
      <x:c r="H270" s="9" t="str">
        <x:v>Disagree</x:v>
      </x:c>
      <x:c r="I270" s="9" t="str">
        <x:v>Some concern</x:v>
      </x:c>
      <x:c r="J270" s="9" t="str">
        <x:v>Adjudicated to Reviewer 1</x:v>
      </x:c>
      <x:c r="K270" s="9" t="str">
        <x:v>Study-specific limitations are recorded in the extraction and REB sheets.</x:v>
      </x:c>
      <x:c r="L270" s="9" t="str">
        <x:v>PDF pp. 4–11; Figs. 1, 5–6; cited SI</x:v>
      </x:c>
      <x:c r="M270" s="9" t="str">
        <x:v>Repeated units/counts and a stability outcome are defined for the stated protocol.</x:v>
      </x:c>
      <x:c r="N270" s="9" t="str">
        <x:v>Article PDF p. 3</x:v>
      </x:c>
      <x:c r="O270" s="9" t="str">
        <x:v>Study-specific limitations are recorded in the extraction and REB sheets.</x:v>
      </x:c>
      <x:c r="P270" s="9" t="str">
        <x:v>PDF pp. 4–11; Figs. 1, 5–6; cited SI</x:v>
      </x:c>
    </x:row>
    <x:row r="271">
      <x:c r="A271" s="9" t="n">
        <x:v>34</x:v>
      </x:c>
      <x:c r="B271" s="9" t="str">
        <x:v>S044</x:v>
      </x:c>
      <x:c r="C271" s="9" t="str">
        <x:v>Li et al. (2021)</x:v>
      </x:c>
      <x:c r="D271" s="9" t="str">
        <x:v>D6</x:v>
      </x:c>
      <x:c r="E271" s="9" t="str">
        <x:v>High concern</x:v>
      </x:c>
      <x:c r="F271" s="9" t="str">
        <x:v>High concern</x:v>
      </x:c>
      <x:c r="G271" s="9" t="str">
        <x:v>Yes</x:v>
      </x:c>
      <x:c r="H271" s="9" t="str">
        <x:v>Agree</x:v>
      </x:c>
      <x:c r="I271" s="9" t="str">
        <x:v>High concern</x:v>
      </x:c>
      <x:c r="J271" s="9" t="str">
        <x:v>Initial agreement</x:v>
      </x:c>
      <x:c r="K271" s="9" t="str">
        <x:v>A quantitative comparison of at least three separately fabricated complete sensing systems was not identified.</x:v>
      </x:c>
      <x:c r="L271" s="9" t="str">
        <x:v>PDF pp. 4–11; Figs. 1, 5–6; cited SI</x:v>
      </x:c>
      <x:c r="M271" s="9" t="str">
        <x:v>Cycles, participants or configurations do not establish replication across three equivalent fabricated devices.</x:v>
      </x:c>
      <x:c r="N271" s="9" t="str">
        <x:v>Article PDF p. 8</x:v>
      </x:c>
      <x:c r="O271" s="9" t="str">
        <x:v>A quantitative comparison of at least three separately fabricated complete sensing systems was not identified.</x:v>
      </x:c>
      <x:c r="P271" s="9" t="str">
        <x:v>PDF pp. 4–11; Figs. 1, 5–6; cited SI</x:v>
      </x:c>
    </x:row>
    <x:row r="272">
      <x:c r="A272" s="9" t="n">
        <x:v>34</x:v>
      </x:c>
      <x:c r="B272" s="9" t="str">
        <x:v>S044</x:v>
      </x:c>
      <x:c r="C272" s="9" t="str">
        <x:v>Li et al. (2021)</x:v>
      </x:c>
      <x:c r="D272" s="9" t="str">
        <x:v>D7</x:v>
      </x:c>
      <x:c r="E272" s="9" t="str">
        <x:v>Low concern</x:v>
      </x:c>
      <x:c r="F272" s="9" t="str">
        <x:v>Some concern</x:v>
      </x:c>
      <x:c r="G272" s="9" t="str">
        <x:v>Yes</x:v>
      </x:c>
      <x:c r="H272" s="9" t="str">
        <x:v>Disagree</x:v>
      </x:c>
      <x:c r="I272" s="9" t="str">
        <x:v>Low concern</x:v>
      </x:c>
      <x:c r="J272" s="9" t="str">
        <x:v>Adjudicated to Reviewer 1</x:v>
      </x:c>
      <x:c r="K272" s="9" t="str">
        <x:v>The reference/protocol and principal quantitative outcomes are reported.</x:v>
      </x:c>
      <x:c r="L272" s="9" t="str">
        <x:v>PDF pp. 4–11; Figs. 1, 5–6; cited SI</x:v>
      </x:c>
      <x:c r="M272" s="9" t="str">
        <x:v>Principal outcomes are reported, but device-level uncertainty or complete accounting of units/cycles is limited.</x:v>
      </x:c>
      <x:c r="N272" s="9" t="str">
        <x:v>Article PDF p. 12</x:v>
      </x:c>
      <x:c r="O272" s="9" t="str">
        <x:v>The reference/protocol and principal quantitative outcomes are reported.</x:v>
      </x:c>
      <x:c r="P272" s="9" t="str">
        <x:v>PDF pp. 4–11; Figs. 1, 5–6; cited SI</x:v>
      </x:c>
    </x:row>
    <x:row r="273">
      <x:c r="A273" s="9" t="n">
        <x:v>34</x:v>
      </x:c>
      <x:c r="B273" s="9" t="str">
        <x:v>S044</x:v>
      </x:c>
      <x:c r="C273" s="9" t="str">
        <x:v>Li et al. (2021)</x:v>
      </x:c>
      <x:c r="D273" s="9" t="str">
        <x:v>D8</x:v>
      </x:c>
      <x:c r="E273" s="9" t="str">
        <x:v>Low concern</x:v>
      </x:c>
      <x:c r="F273" s="9" t="str">
        <x:v>Low concern</x:v>
      </x:c>
      <x:c r="G273" s="9" t="str">
        <x:v>Yes</x:v>
      </x:c>
      <x:c r="H273" s="9" t="str">
        <x:v>Agree</x:v>
      </x:c>
      <x:c r="I273" s="9" t="str">
        <x:v>Low concern</x:v>
      </x:c>
      <x:c r="J273" s="9" t="str">
        <x:v>Initial agreement</x:v>
      </x:c>
      <x:c r="K273" s="9" t="str">
        <x:v>The device was tested in a human-worn configuration.</x:v>
      </x:c>
      <x:c r="L273" s="9" t="str">
        <x:v>PDF pp. 4–11; Figs. 1, 5–6; cited SI</x:v>
      </x:c>
      <x:c r="M273" s="9" t="str">
        <x:v>The final device was evaluated in a body-worn/use-relevant human configuration.</x:v>
      </x:c>
      <x:c r="N273" s="9" t="str">
        <x:v>Article PDF p. 8</x:v>
      </x:c>
      <x:c r="O273" s="9" t="str">
        <x:v>The device was tested in a human-worn configuration.</x:v>
      </x:c>
      <x:c r="P273" s="9" t="str">
        <x:v>PDF pp. 4–11; Figs. 1, 5–6; cited SI</x:v>
      </x:c>
    </x:row>
    <x:row r="274">
      <x:c r="A274" s="9" t="n">
        <x:v>35</x:v>
      </x:c>
      <x:c r="B274" s="9" t="str">
        <x:v>S046</x:v>
      </x:c>
      <x:c r="C274" s="9" t="str">
        <x:v>Zhou et al. (2024)</x:v>
      </x:c>
      <x:c r="D274" s="9" t="str">
        <x:v>D1</x:v>
      </x:c>
      <x:c r="E274" s="9" t="str">
        <x:v>Some concern</x:v>
      </x:c>
      <x:c r="F274" s="9" t="str">
        <x:v>Some concern</x:v>
      </x:c>
      <x:c r="G274" s="9" t="str">
        <x:v>Yes</x:v>
      </x:c>
      <x:c r="H274" s="9" t="str">
        <x:v>Agree</x:v>
      </x:c>
      <x:c r="I274" s="9" t="str">
        <x:v>Some concern</x:v>
      </x:c>
      <x:c r="J274" s="9" t="str">
        <x:v>Initial agreement</x:v>
      </x:c>
      <x:c r="K274" s="9" t="str">
        <x:v>Study-specific limitations are recorded in the extraction and REB sheets.</x:v>
      </x:c>
      <x:c r="L274" s="9" t="str">
        <x:v>PDF pp. 2–7; Figs. 3–5; cited Supplementary Figs. S1–S5</x:v>
      </x:c>
      <x:c r="M274" s="9" t="str">
        <x:v>Some unit/participant counts or selection details are provided, but fabricated-unit selection and failures are not fully accounted for.</x:v>
      </x:c>
      <x:c r="N274" s="9" t="str">
        <x:v>Article PDF p. 2</x:v>
      </x:c>
      <x:c r="O274" s="9" t="str">
        <x:v>Study-specific limitations are recorded in the extraction and REB sheets.</x:v>
      </x:c>
      <x:c r="P274" s="9" t="str">
        <x:v>PDF pp. 2–7; Figs. 3–5; cited Supplementary Figs. S1–S5</x:v>
      </x:c>
    </x:row>
    <x:row r="275">
      <x:c r="A275" s="9" t="n">
        <x:v>35</x:v>
      </x:c>
      <x:c r="B275" s="9" t="str">
        <x:v>S046</x:v>
      </x:c>
      <x:c r="C275" s="9" t="str">
        <x:v>Zhou et al. (2024)</x:v>
      </x:c>
      <x:c r="D275" s="9" t="str">
        <x:v>D2</x:v>
      </x:c>
      <x:c r="E275" s="9" t="str">
        <x:v>Some concern</x:v>
      </x:c>
      <x:c r="F275" s="9" t="str">
        <x:v>Some concern</x:v>
      </x:c>
      <x:c r="G275" s="9" t="str">
        <x:v>Yes</x:v>
      </x:c>
      <x:c r="H275" s="9" t="str">
        <x:v>Agree</x:v>
      </x:c>
      <x:c r="I275" s="9" t="str">
        <x:v>Some concern</x:v>
      </x:c>
      <x:c r="J275" s="9" t="str">
        <x:v>Initial agreement</x:v>
      </x:c>
      <x:c r="K275" s="9" t="str">
        <x:v>Study-specific limitations are recorded in the extraction and REB sheets.</x:v>
      </x:c>
      <x:c r="L275" s="9" t="str">
        <x:v>PDF pp. 2–7; Figs. 3–5; cited Supplementary Figs. S1–S5</x:v>
      </x:c>
      <x:c r="M275" s="9" t="str">
        <x:v>Several fabrication controls are documented, but omitted settings leave residual process-confounding concern.</x:v>
      </x:c>
      <x:c r="N275" s="9" t="str">
        <x:v>Article PDF p. 3</x:v>
      </x:c>
      <x:c r="O275" s="9" t="str">
        <x:v>Study-specific limitations are recorded in the extraction and REB sheets.</x:v>
      </x:c>
      <x:c r="P275" s="9" t="str">
        <x:v>PDF pp. 2–7; Figs. 3–5; cited Supplementary Figs. S1–S5</x:v>
      </x:c>
    </x:row>
    <x:row r="276">
      <x:c r="A276" s="9" t="n">
        <x:v>35</x:v>
      </x:c>
      <x:c r="B276" s="9" t="str">
        <x:v>S046</x:v>
      </x:c>
      <x:c r="C276" s="9" t="str">
        <x:v>Zhou et al. (2024)</x:v>
      </x:c>
      <x:c r="D276" s="9" t="str">
        <x:v>D3</x:v>
      </x:c>
      <x:c r="E276" s="9" t="str">
        <x:v>Low concern</x:v>
      </x:c>
      <x:c r="F276" s="9" t="str">
        <x:v>Low concern</x:v>
      </x:c>
      <x:c r="G276" s="9" t="str">
        <x:v>Yes</x:v>
      </x:c>
      <x:c r="H276" s="9" t="str">
        <x:v>Agree</x:v>
      </x:c>
      <x:c r="I276" s="9" t="str">
        <x:v>Low concern</x:v>
      </x:c>
      <x:c r="J276" s="9" t="str">
        <x:v>Initial agreement</x:v>
      </x:c>
      <x:c r="K276" s="9" t="str">
        <x:v>The reference/protocol and principal quantitative outcomes are reported.</x:v>
      </x:c>
      <x:c r="L276" s="9" t="str">
        <x:v>PDF pp. 2–7; Figs. 3–5; cited Supplementary Figs. S1–S5</x:v>
      </x:c>
      <x:c r="M276" s="9" t="str">
        <x:v>The controlled input/reference and calibration procedure are appropriate and independently measured.</x:v>
      </x:c>
      <x:c r="N276" s="9" t="str">
        <x:v>Article PDF p. 3</x:v>
      </x:c>
      <x:c r="O276" s="9" t="str">
        <x:v>The reference/protocol and principal quantitative outcomes are reported.</x:v>
      </x:c>
      <x:c r="P276" s="9" t="str">
        <x:v>PDF pp. 2–7; Figs. 3–5; cited Supplementary Figs. S1–S5</x:v>
      </x:c>
    </x:row>
    <x:row r="277">
      <x:c r="A277" s="9" t="n">
        <x:v>35</x:v>
      </x:c>
      <x:c r="B277" s="9" t="str">
        <x:v>S046</x:v>
      </x:c>
      <x:c r="C277" s="9" t="str">
        <x:v>Zhou et al. (2024)</x:v>
      </x:c>
      <x:c r="D277" s="9" t="str">
        <x:v>D4</x:v>
      </x:c>
      <x:c r="E277" s="9" t="str">
        <x:v>Low concern</x:v>
      </x:c>
      <x:c r="F277" s="9" t="str">
        <x:v>Low concern</x:v>
      </x:c>
      <x:c r="G277" s="9" t="str">
        <x:v>Yes</x:v>
      </x:c>
      <x:c r="H277" s="9" t="str">
        <x:v>Agree</x:v>
      </x:c>
      <x:c r="I277" s="9" t="str">
        <x:v>Low concern</x:v>
      </x:c>
      <x:c r="J277" s="9" t="str">
        <x:v>Initial agreement</x:v>
      </x:c>
      <x:c r="K277" s="9" t="str">
        <x:v>The reference/protocol and principal quantitative outcomes are reported.</x:v>
      </x:c>
      <x:c r="L277" s="9" t="str">
        <x:v>PDF pp. 2–7; Figs. 3–5; cited Supplementary Figs. S1–S5</x:v>
      </x:c>
      <x:c r="M277" s="9" t="str">
        <x:v>Relevant loading/exposure range, rate or geometry and measurement conditions are stated.</x:v>
      </x:c>
      <x:c r="N277" s="9" t="str">
        <x:v>Article PDF p. 6</x:v>
      </x:c>
      <x:c r="O277" s="9" t="str">
        <x:v>The reference/protocol and principal quantitative outcomes are reported.</x:v>
      </x:c>
      <x:c r="P277" s="9" t="str">
        <x:v>PDF pp. 2–7; Figs. 3–5; cited Supplementary Figs. S1–S5</x:v>
      </x:c>
    </x:row>
    <x:row r="278">
      <x:c r="A278" s="9" t="n">
        <x:v>35</x:v>
      </x:c>
      <x:c r="B278" s="9" t="str">
        <x:v>S046</x:v>
      </x:c>
      <x:c r="C278" s="9" t="str">
        <x:v>Zhou et al. (2024)</x:v>
      </x:c>
      <x:c r="D278" s="9" t="str">
        <x:v>D5</x:v>
      </x:c>
      <x:c r="E278" s="9" t="str">
        <x:v>Some concern</x:v>
      </x:c>
      <x:c r="F278" s="9" t="str">
        <x:v>High concern</x:v>
      </x:c>
      <x:c r="G278" s="9" t="str">
        <x:v>Yes</x:v>
      </x:c>
      <x:c r="H278" s="9" t="str">
        <x:v>Disagree</x:v>
      </x:c>
      <x:c r="I278" s="9" t="str">
        <x:v>Some concern</x:v>
      </x:c>
      <x:c r="J278" s="9" t="str">
        <x:v>Adjudicated to Reviewer 1</x:v>
      </x:c>
      <x:c r="K278" s="9" t="str">
        <x:v>Study-specific limitations are recorded in the extraction and REB sheets.</x:v>
      </x:c>
      <x:c r="L278" s="9" t="str">
        <x:v>PDF pp. 2–7; Figs. 3–5; cited Supplementary Figs. S1–S5</x:v>
      </x:c>
      <x:c r="M278" s="9" t="str">
        <x:v>A defined repeated-measurement design with an adequate stability analysis is absent.</x:v>
      </x:c>
      <x:c r="N278" s="9" t="str">
        <x:v>Article PDF p. 1</x:v>
      </x:c>
      <x:c r="O278" s="9" t="str">
        <x:v>Study-specific limitations are recorded in the extraction and REB sheets.</x:v>
      </x:c>
      <x:c r="P278" s="9" t="str">
        <x:v>PDF pp. 2–7; Figs. 3–5; cited Supplementary Figs. S1–S5</x:v>
      </x:c>
    </x:row>
    <x:row r="279">
      <x:c r="A279" s="9" t="n">
        <x:v>35</x:v>
      </x:c>
      <x:c r="B279" s="9" t="str">
        <x:v>S046</x:v>
      </x:c>
      <x:c r="C279" s="9" t="str">
        <x:v>Zhou et al. (2024)</x:v>
      </x:c>
      <x:c r="D279" s="9" t="str">
        <x:v>D6</x:v>
      </x:c>
      <x:c r="E279" s="9" t="str">
        <x:v>High concern</x:v>
      </x:c>
      <x:c r="F279" s="9" t="str">
        <x:v>High concern</x:v>
      </x:c>
      <x:c r="G279" s="9" t="str">
        <x:v>Yes</x:v>
      </x:c>
      <x:c r="H279" s="9" t="str">
        <x:v>Agree</x:v>
      </x:c>
      <x:c r="I279" s="9" t="str">
        <x:v>High concern</x:v>
      </x:c>
      <x:c r="J279" s="9" t="str">
        <x:v>Initial agreement</x:v>
      </x:c>
      <x:c r="K279" s="9" t="str">
        <x:v>A quantitative comparison of at least three separately fabricated complete sensing systems was not identified.</x:v>
      </x:c>
      <x:c r="L279" s="9" t="str">
        <x:v>PDF pp. 2–7; Figs. 3–5; cited Supplementary Figs. S1–S5</x:v>
      </x:c>
      <x:c r="M279" s="9" t="str">
        <x:v>Cycles, participants or configurations do not establish replication across three equivalent fabricated devices.</x:v>
      </x:c>
      <x:c r="N279" s="9" t="str">
        <x:v>Article PDF p. 6</x:v>
      </x:c>
      <x:c r="O279" s="9" t="str">
        <x:v>A quantitative comparison of at least three separately fabricated complete sensing systems was not identified.</x:v>
      </x:c>
      <x:c r="P279" s="9" t="str">
        <x:v>PDF pp. 2–7; Figs. 3–5; cited Supplementary Figs. S1–S5</x:v>
      </x:c>
    </x:row>
    <x:row r="280">
      <x:c r="A280" s="9" t="n">
        <x:v>35</x:v>
      </x:c>
      <x:c r="B280" s="9" t="str">
        <x:v>S046</x:v>
      </x:c>
      <x:c r="C280" s="9" t="str">
        <x:v>Zhou et al. (2024)</x:v>
      </x:c>
      <x:c r="D280" s="9" t="str">
        <x:v>D7</x:v>
      </x:c>
      <x:c r="E280" s="9" t="str">
        <x:v>Low concern</x:v>
      </x:c>
      <x:c r="F280" s="9" t="str">
        <x:v>Some concern</x:v>
      </x:c>
      <x:c r="G280" s="9" t="str">
        <x:v>Yes</x:v>
      </x:c>
      <x:c r="H280" s="9" t="str">
        <x:v>Disagree</x:v>
      </x:c>
      <x:c r="I280" s="9" t="str">
        <x:v>Low concern</x:v>
      </x:c>
      <x:c r="J280" s="9" t="str">
        <x:v>Adjudicated to Reviewer 1</x:v>
      </x:c>
      <x:c r="K280" s="9" t="str">
        <x:v>The reference/protocol and principal quantitative outcomes are reported.</x:v>
      </x:c>
      <x:c r="L280" s="9" t="str">
        <x:v>PDF pp. 2–7; Figs. 3–5; cited Supplementary Figs. S1–S5</x:v>
      </x:c>
      <x:c r="M280" s="9" t="str">
        <x:v>Principal outcomes are reported, but device-level uncertainty or complete accounting of units/cycles is limited.</x:v>
      </x:c>
      <x:c r="N280" s="9" t="str">
        <x:v>Article PDF p. 6</x:v>
      </x:c>
      <x:c r="O280" s="9" t="str">
        <x:v>The reference/protocol and principal quantitative outcomes are reported.</x:v>
      </x:c>
      <x:c r="P280" s="9" t="str">
        <x:v>PDF pp. 2–7; Figs. 3–5; cited Supplementary Figs. S1–S5</x:v>
      </x:c>
    </x:row>
    <x:row r="281">
      <x:c r="A281" s="9" t="n">
        <x:v>35</x:v>
      </x:c>
      <x:c r="B281" s="9" t="str">
        <x:v>S046</x:v>
      </x:c>
      <x:c r="C281" s="9" t="str">
        <x:v>Zhou et al. (2024)</x:v>
      </x:c>
      <x:c r="D281" s="9" t="str">
        <x:v>D8</x:v>
      </x:c>
      <x:c r="E281" s="9" t="str">
        <x:v>Low concern</x:v>
      </x:c>
      <x:c r="F281" s="9" t="str">
        <x:v>Low concern</x:v>
      </x:c>
      <x:c r="G281" s="9" t="str">
        <x:v>Yes</x:v>
      </x:c>
      <x:c r="H281" s="9" t="str">
        <x:v>Agree</x:v>
      </x:c>
      <x:c r="I281" s="9" t="str">
        <x:v>Low concern</x:v>
      </x:c>
      <x:c r="J281" s="9" t="str">
        <x:v>Initial agreement</x:v>
      </x:c>
      <x:c r="K281" s="9" t="str">
        <x:v>The device was tested in a human-worn configuration.</x:v>
      </x:c>
      <x:c r="L281" s="9" t="str">
        <x:v>PDF pp. 2–7; Figs. 3–5; cited Supplementary Figs. S1–S5</x:v>
      </x:c>
      <x:c r="M281" s="9" t="str">
        <x:v>The final device was evaluated in a body-worn/use-relevant human configuration.</x:v>
      </x:c>
      <x:c r="N281" s="9" t="str">
        <x:v>Article PDF p. 2</x:v>
      </x:c>
      <x:c r="O281" s="9" t="str">
        <x:v>The device was tested in a human-worn configuration.</x:v>
      </x:c>
      <x:c r="P281" s="9" t="str">
        <x:v>PDF pp. 2–7; Figs. 3–5; cited Supplementary Figs. S1–S5</x:v>
      </x:c>
    </x:row>
    <x:row r="282">
      <x:c r="A282" s="9" t="n">
        <x:v>36</x:v>
      </x:c>
      <x:c r="B282" s="9" t="str">
        <x:v>S047</x:v>
      </x:c>
      <x:c r="C282" s="9" t="str">
        <x:v>Shin et al. (2025)</x:v>
      </x:c>
      <x:c r="D282" s="9" t="str">
        <x:v>D1</x:v>
      </x:c>
      <x:c r="E282" s="9" t="str">
        <x:v>High concern</x:v>
      </x:c>
      <x:c r="F282" s="9" t="str">
        <x:v>Some concern</x:v>
      </x:c>
      <x:c r="G282" s="9" t="str">
        <x:v>Yes</x:v>
      </x:c>
      <x:c r="H282" s="9" t="str">
        <x:v>Disagree</x:v>
      </x:c>
      <x:c r="I282" s="9" t="str">
        <x:v>High concern</x:v>
      </x:c>
      <x:c r="J282" s="9" t="str">
        <x:v>Adjudicated to Reviewer 1</x:v>
      </x:c>
      <x:c r="K282" s="9" t="str">
        <x:v>The clinical feasibility study included two patients and was not prospectively powered.</x:v>
      </x:c>
      <x:c r="L282" s="9" t="str">
        <x:v>PDF pp. 3–13; Figs. 2–12; Table 1</x:v>
      </x:c>
      <x:c r="M282" s="9" t="str">
        <x:v>Some unit/participant counts or selection details are provided, but fabricated-unit selection and failures are not fully accounted for.</x:v>
      </x:c>
      <x:c r="N282" s="9" t="str">
        <x:v>Article PDF p. 7</x:v>
      </x:c>
      <x:c r="O282" s="9" t="str">
        <x:v>The clinical feasibility study included two patients and was not prospectively powered.</x:v>
      </x:c>
      <x:c r="P282" s="9" t="str">
        <x:v>PDF pp. 3–13; Figs. 2–12; Table 1</x:v>
      </x:c>
    </x:row>
    <x:row r="283">
      <x:c r="A283" s="9" t="n">
        <x:v>36</x:v>
      </x:c>
      <x:c r="B283" s="9" t="str">
        <x:v>S047</x:v>
      </x:c>
      <x:c r="C283" s="9" t="str">
        <x:v>Shin et al. (2025)</x:v>
      </x:c>
      <x:c r="D283" s="9" t="str">
        <x:v>D2</x:v>
      </x:c>
      <x:c r="E283" s="9" t="str">
        <x:v>Some concern</x:v>
      </x:c>
      <x:c r="F283" s="9" t="str">
        <x:v>High concern</x:v>
      </x:c>
      <x:c r="G283" s="9" t="str">
        <x:v>Yes</x:v>
      </x:c>
      <x:c r="H283" s="9" t="str">
        <x:v>Disagree</x:v>
      </x:c>
      <x:c r="I283" s="9" t="str">
        <x:v>Some concern</x:v>
      </x:c>
      <x:c r="J283" s="9" t="str">
        <x:v>Adjudicated to Reviewer 1</x:v>
      </x:c>
      <x:c r="K283" s="9" t="str">
        <x:v>Study-specific limitations are recorded in the extraction and REB sheets.</x:v>
      </x:c>
      <x:c r="L283" s="9" t="str">
        <x:v>PDF pp. 3–13; Figs. 2–12; Table 1</x:v>
      </x:c>
      <x:c r="M283" s="9" t="str">
        <x:v>Key fabrication variables are missing, so process variation cannot be separated confidently from sensor effects.</x:v>
      </x:c>
      <x:c r="N283" s="9" t="str">
        <x:v>Article PDF p. 4</x:v>
      </x:c>
      <x:c r="O283" s="9" t="str">
        <x:v>Study-specific limitations are recorded in the extraction and REB sheets.</x:v>
      </x:c>
      <x:c r="P283" s="9" t="str">
        <x:v>PDF pp. 3–13; Figs. 2–12; Table 1</x:v>
      </x:c>
    </x:row>
    <x:row r="284">
      <x:c r="A284" s="9" t="n">
        <x:v>36</x:v>
      </x:c>
      <x:c r="B284" s="9" t="str">
        <x:v>S047</x:v>
      </x:c>
      <x:c r="C284" s="9" t="str">
        <x:v>Shin et al. (2025)</x:v>
      </x:c>
      <x:c r="D284" s="9" t="str">
        <x:v>D3</x:v>
      </x:c>
      <x:c r="E284" s="9" t="str">
        <x:v>Low concern</x:v>
      </x:c>
      <x:c r="F284" s="9" t="str">
        <x:v>Some concern</x:v>
      </x:c>
      <x:c r="G284" s="9" t="str">
        <x:v>Yes</x:v>
      </x:c>
      <x:c r="H284" s="9" t="str">
        <x:v>Disagree</x:v>
      </x:c>
      <x:c r="I284" s="9" t="str">
        <x:v>Low concern</x:v>
      </x:c>
      <x:c r="J284" s="9" t="str">
        <x:v>Adjudicated to Reviewer 1</x:v>
      </x:c>
      <x:c r="K284" s="9" t="str">
        <x:v>The reference/protocol and principal quantitative outcomes are reported.</x:v>
      </x:c>
      <x:c r="L284" s="9" t="str">
        <x:v>PDF pp. 3–13; Figs. 2–12; Table 1</x:v>
      </x:c>
      <x:c r="M284" s="9" t="str">
        <x:v>Calibration is described, but reference independence or uncertainty is incomplete.</x:v>
      </x:c>
      <x:c r="N284" s="9" t="str">
        <x:v>Article PDF p. 7</x:v>
      </x:c>
      <x:c r="O284" s="9" t="str">
        <x:v>The reference/protocol and principal quantitative outcomes are reported.</x:v>
      </x:c>
      <x:c r="P284" s="9" t="str">
        <x:v>PDF pp. 3–13; Figs. 2–12; Table 1</x:v>
      </x:c>
    </x:row>
    <x:row r="285">
      <x:c r="A285" s="9" t="n">
        <x:v>36</x:v>
      </x:c>
      <x:c r="B285" s="9" t="str">
        <x:v>S047</x:v>
      </x:c>
      <x:c r="C285" s="9" t="str">
        <x:v>Shin et al. (2025)</x:v>
      </x:c>
      <x:c r="D285" s="9" t="str">
        <x:v>D4</x:v>
      </x:c>
      <x:c r="E285" s="9" t="str">
        <x:v>Low concern</x:v>
      </x:c>
      <x:c r="F285" s="9" t="str">
        <x:v>Low concern</x:v>
      </x:c>
      <x:c r="G285" s="9" t="str">
        <x:v>Yes</x:v>
      </x:c>
      <x:c r="H285" s="9" t="str">
        <x:v>Agree</x:v>
      </x:c>
      <x:c r="I285" s="9" t="str">
        <x:v>Low concern</x:v>
      </x:c>
      <x:c r="J285" s="9" t="str">
        <x:v>Initial agreement</x:v>
      </x:c>
      <x:c r="K285" s="9" t="str">
        <x:v>The reference/protocol and principal quantitative outcomes are reported.</x:v>
      </x:c>
      <x:c r="L285" s="9" t="str">
        <x:v>PDF pp. 3–13; Figs. 2–12; Table 1</x:v>
      </x:c>
      <x:c r="M285" s="9" t="str">
        <x:v>Relevant loading/exposure range, rate or geometry and measurement conditions are stated.</x:v>
      </x:c>
      <x:c r="N285" s="9" t="str">
        <x:v>Article PDF p. 12</x:v>
      </x:c>
      <x:c r="O285" s="9" t="str">
        <x:v>The reference/protocol and principal quantitative outcomes are reported.</x:v>
      </x:c>
      <x:c r="P285" s="9" t="str">
        <x:v>PDF pp. 3–13; Figs. 2–12; Table 1</x:v>
      </x:c>
    </x:row>
    <x:row r="286">
      <x:c r="A286" s="9" t="n">
        <x:v>36</x:v>
      </x:c>
      <x:c r="B286" s="9" t="str">
        <x:v>S047</x:v>
      </x:c>
      <x:c r="C286" s="9" t="str">
        <x:v>Shin et al. (2025)</x:v>
      </x:c>
      <x:c r="D286" s="9" t="str">
        <x:v>D5</x:v>
      </x:c>
      <x:c r="E286" s="9" t="str">
        <x:v>Some concern</x:v>
      </x:c>
      <x:c r="F286" s="9" t="str">
        <x:v>High concern</x:v>
      </x:c>
      <x:c r="G286" s="9" t="str">
        <x:v>Yes</x:v>
      </x:c>
      <x:c r="H286" s="9" t="str">
        <x:v>Disagree</x:v>
      </x:c>
      <x:c r="I286" s="9" t="str">
        <x:v>Some concern</x:v>
      </x:c>
      <x:c r="J286" s="9" t="str">
        <x:v>Adjudicated to Reviewer 1</x:v>
      </x:c>
      <x:c r="K286" s="9" t="str">
        <x:v>Study-specific limitations are recorded in the extraction and REB sheets.</x:v>
      </x:c>
      <x:c r="L286" s="9" t="str">
        <x:v>PDF pp. 3–13; Figs. 2–12; Table 1</x:v>
      </x:c>
      <x:c r="M286" s="9" t="str">
        <x:v>A defined repeated-measurement design with an adequate stability analysis is absent.</x:v>
      </x:c>
      <x:c r="N286" s="9" t="str">
        <x:v>Article PDF p. 2</x:v>
      </x:c>
      <x:c r="O286" s="9" t="str">
        <x:v>Study-specific limitations are recorded in the extraction and REB sheets.</x:v>
      </x:c>
      <x:c r="P286" s="9" t="str">
        <x:v>PDF pp. 3–13; Figs. 2–12; Table 1</x:v>
      </x:c>
    </x:row>
    <x:row r="287">
      <x:c r="A287" s="9" t="n">
        <x:v>36</x:v>
      </x:c>
      <x:c r="B287" s="9" t="str">
        <x:v>S047</x:v>
      </x:c>
      <x:c r="C287" s="9" t="str">
        <x:v>Shin et al. (2025)</x:v>
      </x:c>
      <x:c r="D287" s="9" t="str">
        <x:v>D6</x:v>
      </x:c>
      <x:c r="E287" s="9" t="str">
        <x:v>High concern</x:v>
      </x:c>
      <x:c r="F287" s="9" t="str">
        <x:v>High concern</x:v>
      </x:c>
      <x:c r="G287" s="9" t="str">
        <x:v>Yes</x:v>
      </x:c>
      <x:c r="H287" s="9" t="str">
        <x:v>Agree</x:v>
      </x:c>
      <x:c r="I287" s="9" t="str">
        <x:v>High concern</x:v>
      </x:c>
      <x:c r="J287" s="9" t="str">
        <x:v>Initial agreement</x:v>
      </x:c>
      <x:c r="K287" s="9" t="str">
        <x:v>A quantitative comparison of at least three separately fabricated complete sensing systems was not identified.</x:v>
      </x:c>
      <x:c r="L287" s="9" t="str">
        <x:v>PDF pp. 3–13; Figs. 2–12; Table 1</x:v>
      </x:c>
      <x:c r="M287" s="9" t="str">
        <x:v>Cycles, participants or configurations do not establish replication across three equivalent fabricated devices.</x:v>
      </x:c>
      <x:c r="N287" s="9" t="str">
        <x:v>Article PDF p. 7</x:v>
      </x:c>
      <x:c r="O287" s="9" t="str">
        <x:v>A quantitative comparison of at least three separately fabricated complete sensing systems was not identified.</x:v>
      </x:c>
      <x:c r="P287" s="9" t="str">
        <x:v>PDF pp. 3–13; Figs. 2–12; Table 1</x:v>
      </x:c>
    </x:row>
    <x:row r="288">
      <x:c r="A288" s="9" t="n">
        <x:v>36</x:v>
      </x:c>
      <x:c r="B288" s="9" t="str">
        <x:v>S047</x:v>
      </x:c>
      <x:c r="C288" s="9" t="str">
        <x:v>Shin et al. (2025)</x:v>
      </x:c>
      <x:c r="D288" s="9" t="str">
        <x:v>D7</x:v>
      </x:c>
      <x:c r="E288" s="9" t="str">
        <x:v>Low concern</x:v>
      </x:c>
      <x:c r="F288" s="9" t="str">
        <x:v>Some concern</x:v>
      </x:c>
      <x:c r="G288" s="9" t="str">
        <x:v>Yes</x:v>
      </x:c>
      <x:c r="H288" s="9" t="str">
        <x:v>Disagree</x:v>
      </x:c>
      <x:c r="I288" s="9" t="str">
        <x:v>Low concern</x:v>
      </x:c>
      <x:c r="J288" s="9" t="str">
        <x:v>Adjudicated to Reviewer 1</x:v>
      </x:c>
      <x:c r="K288" s="9" t="str">
        <x:v>The reference/protocol and principal quantitative outcomes are reported.</x:v>
      </x:c>
      <x:c r="L288" s="9" t="str">
        <x:v>PDF pp. 3–13; Figs. 2–12; Table 1</x:v>
      </x:c>
      <x:c r="M288" s="9" t="str">
        <x:v>Principal outcomes are reported, but device-level uncertainty or complete accounting of units/cycles is limited.</x:v>
      </x:c>
      <x:c r="N288" s="9" t="str">
        <x:v>Article PDF p. 10</x:v>
      </x:c>
      <x:c r="O288" s="9" t="str">
        <x:v>The reference/protocol and principal quantitative outcomes are reported.</x:v>
      </x:c>
      <x:c r="P288" s="9" t="str">
        <x:v>PDF pp. 3–13; Figs. 2–12; Table 1</x:v>
      </x:c>
    </x:row>
    <x:row r="289">
      <x:c r="A289" s="9" t="n">
        <x:v>36</x:v>
      </x:c>
      <x:c r="B289" s="9" t="str">
        <x:v>S047</x:v>
      </x:c>
      <x:c r="C289" s="9" t="str">
        <x:v>Shin et al. (2025)</x:v>
      </x:c>
      <x:c r="D289" s="9" t="str">
        <x:v>D8</x:v>
      </x:c>
      <x:c r="E289" s="9" t="str">
        <x:v>Low concern</x:v>
      </x:c>
      <x:c r="F289" s="9" t="str">
        <x:v>Low concern</x:v>
      </x:c>
      <x:c r="G289" s="9" t="str">
        <x:v>Yes</x:v>
      </x:c>
      <x:c r="H289" s="9" t="str">
        <x:v>Agree</x:v>
      </x:c>
      <x:c r="I289" s="9" t="str">
        <x:v>Low concern</x:v>
      </x:c>
      <x:c r="J289" s="9" t="str">
        <x:v>Initial agreement</x:v>
      </x:c>
      <x:c r="K289" s="9" t="str">
        <x:v>The device was tested in a human-worn configuration.</x:v>
      </x:c>
      <x:c r="L289" s="9" t="str">
        <x:v>PDF pp. 3–13; Figs. 2–12; Table 1</x:v>
      </x:c>
      <x:c r="M289" s="9" t="str">
        <x:v>The final device was evaluated in a body-worn/use-relevant human configuration.</x:v>
      </x:c>
      <x:c r="N289" s="9" t="str">
        <x:v>Article PDF p. 4</x:v>
      </x:c>
      <x:c r="O289" s="9" t="str">
        <x:v>The device was tested in a human-worn configuration.</x:v>
      </x:c>
      <x:c r="P289" s="9" t="str">
        <x:v>PDF pp. 3–13; Figs. 2–12; Table 1</x:v>
      </x:c>
    </x:row>
    <x:row r="290">
      <x:c r="A290" s="9" t="n">
        <x:v>37</x:v>
      </x:c>
      <x:c r="B290" s="9" t="str">
        <x:v>S048</x:v>
      </x:c>
      <x:c r="C290" s="9" t="str">
        <x:v>Gunasekaran et al. (2022)</x:v>
      </x:c>
      <x:c r="D290" s="9" t="str">
        <x:v>D1</x:v>
      </x:c>
      <x:c r="E290" s="9" t="str">
        <x:v>Some concern</x:v>
      </x:c>
      <x:c r="F290" s="9" t="str">
        <x:v>Some concern</x:v>
      </x:c>
      <x:c r="G290" s="9" t="str">
        <x:v>Yes</x:v>
      </x:c>
      <x:c r="H290" s="9" t="str">
        <x:v>Agree</x:v>
      </x:c>
      <x:c r="I290" s="9" t="str">
        <x:v>Some concern</x:v>
      </x:c>
      <x:c r="J290" s="9" t="str">
        <x:v>Initial agreement</x:v>
      </x:c>
      <x:c r="K290" s="9" t="str">
        <x:v>Study-specific limitations are recorded in the extraction and REB sheets.</x:v>
      </x:c>
      <x:c r="L290" s="9" t="str">
        <x:v>PDF pp. 3–9; Figs. 1, 4–9; cited SI</x:v>
      </x:c>
      <x:c r="M290" s="9" t="str">
        <x:v>Some unit/participant counts or selection details are provided, but fabricated-unit selection and failures are not fully accounted for.</x:v>
      </x:c>
      <x:c r="N290" s="9" t="str">
        <x:v>Article PDF p. 3</x:v>
      </x:c>
      <x:c r="O290" s="9" t="str">
        <x:v>Study-specific limitations are recorded in the extraction and REB sheets.</x:v>
      </x:c>
      <x:c r="P290" s="9" t="str">
        <x:v>PDF pp. 3–9; Figs. 1, 4–9; cited SI</x:v>
      </x:c>
    </x:row>
    <x:row r="291">
      <x:c r="A291" s="9" t="n">
        <x:v>37</x:v>
      </x:c>
      <x:c r="B291" s="9" t="str">
        <x:v>S048</x:v>
      </x:c>
      <x:c r="C291" s="9" t="str">
        <x:v>Gunasekaran et al. (2022)</x:v>
      </x:c>
      <x:c r="D291" s="9" t="str">
        <x:v>D2</x:v>
      </x:c>
      <x:c r="E291" s="9" t="str">
        <x:v>Some concern</x:v>
      </x:c>
      <x:c r="F291" s="9" t="str">
        <x:v>Low concern</x:v>
      </x:c>
      <x:c r="G291" s="9" t="str">
        <x:v>Yes</x:v>
      </x:c>
      <x:c r="H291" s="9" t="str">
        <x:v>Disagree</x:v>
      </x:c>
      <x:c r="I291" s="9" t="str">
        <x:v>Some concern</x:v>
      </x:c>
      <x:c r="J291" s="9" t="str">
        <x:v>Adjudicated to Reviewer 1</x:v>
      </x:c>
      <x:c r="K291" s="9" t="str">
        <x:v>Study-specific limitations are recorded in the extraction and REB sheets.</x:v>
      </x:c>
      <x:c r="L291" s="9" t="str">
        <x:v>PDF pp. 3–9; Figs. 1, 4–9; cited SI</x:v>
      </x:c>
      <x:c r="M291" s="9" t="str">
        <x:v>Relevant material, geometry, conditioning and extrusion variables are documented sufficiently for the claimed comparison.</x:v>
      </x:c>
      <x:c r="N291" s="9" t="str">
        <x:v>Article PDF p. 3</x:v>
      </x:c>
      <x:c r="O291" s="9" t="str">
        <x:v>Study-specific limitations are recorded in the extraction and REB sheets.</x:v>
      </x:c>
      <x:c r="P291" s="9" t="str">
        <x:v>PDF pp. 3–9; Figs. 1, 4–9; cited SI</x:v>
      </x:c>
    </x:row>
    <x:row r="292">
      <x:c r="A292" s="9" t="n">
        <x:v>37</x:v>
      </x:c>
      <x:c r="B292" s="9" t="str">
        <x:v>S048</x:v>
      </x:c>
      <x:c r="C292" s="9" t="str">
        <x:v>Gunasekaran et al. (2022)</x:v>
      </x:c>
      <x:c r="D292" s="9" t="str">
        <x:v>D3</x:v>
      </x:c>
      <x:c r="E292" s="9" t="str">
        <x:v>Low concern</x:v>
      </x:c>
      <x:c r="F292" s="9" t="str">
        <x:v>Low concern</x:v>
      </x:c>
      <x:c r="G292" s="9" t="str">
        <x:v>Yes</x:v>
      </x:c>
      <x:c r="H292" s="9" t="str">
        <x:v>Agree</x:v>
      </x:c>
      <x:c r="I292" s="9" t="str">
        <x:v>Low concern</x:v>
      </x:c>
      <x:c r="J292" s="9" t="str">
        <x:v>Initial agreement</x:v>
      </x:c>
      <x:c r="K292" s="9" t="str">
        <x:v>The reference/protocol and principal quantitative outcomes are reported.</x:v>
      </x:c>
      <x:c r="L292" s="9" t="str">
        <x:v>PDF pp. 3–9; Figs. 1, 4–9; cited SI</x:v>
      </x:c>
      <x:c r="M292" s="9" t="str">
        <x:v>Controlled load-frame input provides an independent mechanical reference.</x:v>
      </x:c>
      <x:c r="N292" s="9" t="str">
        <x:v>Article PDF p. 7</x:v>
      </x:c>
      <x:c r="O292" s="9" t="str">
        <x:v>The reference/protocol and principal quantitative outcomes are reported.</x:v>
      </x:c>
      <x:c r="P292" s="9" t="str">
        <x:v>PDF pp. 3–9; Figs. 1, 4–9; cited SI</x:v>
      </x:c>
    </x:row>
    <x:row r="293">
      <x:c r="A293" s="9" t="n">
        <x:v>37</x:v>
      </x:c>
      <x:c r="B293" s="9" t="str">
        <x:v>S048</x:v>
      </x:c>
      <x:c r="C293" s="9" t="str">
        <x:v>Gunasekaran et al. (2022)</x:v>
      </x:c>
      <x:c r="D293" s="9" t="str">
        <x:v>D4</x:v>
      </x:c>
      <x:c r="E293" s="9" t="str">
        <x:v>Low concern</x:v>
      </x:c>
      <x:c r="F293" s="9" t="str">
        <x:v>Low concern</x:v>
      </x:c>
      <x:c r="G293" s="9" t="str">
        <x:v>Yes</x:v>
      </x:c>
      <x:c r="H293" s="9" t="str">
        <x:v>Agree</x:v>
      </x:c>
      <x:c r="I293" s="9" t="str">
        <x:v>Low concern</x:v>
      </x:c>
      <x:c r="J293" s="9" t="str">
        <x:v>Initial agreement</x:v>
      </x:c>
      <x:c r="K293" s="9" t="str">
        <x:v>The reference/protocol and principal quantitative outcomes are reported.</x:v>
      </x:c>
      <x:c r="L293" s="9" t="str">
        <x:v>PDF pp. 3–9; Figs. 1, 4–9; cited SI</x:v>
      </x:c>
      <x:c r="M293" s="9" t="str">
        <x:v>Specimen geometry, tensile/compression rates, strains and electrical acquisition are specified.</x:v>
      </x:c>
      <x:c r="N293" s="9" t="str">
        <x:v>Article PDF pp. 5-8</x:v>
      </x:c>
      <x:c r="O293" s="9" t="str">
        <x:v>The reference/protocol and principal quantitative outcomes are reported.</x:v>
      </x:c>
      <x:c r="P293" s="9" t="str">
        <x:v>PDF pp. 3–9; Figs. 1, 4–9; cited SI</x:v>
      </x:c>
    </x:row>
    <x:row r="294">
      <x:c r="A294" s="9" t="n">
        <x:v>37</x:v>
      </x:c>
      <x:c r="B294" s="9" t="str">
        <x:v>S048</x:v>
      </x:c>
      <x:c r="C294" s="9" t="str">
        <x:v>Gunasekaran et al. (2022)</x:v>
      </x:c>
      <x:c r="D294" s="9" t="str">
        <x:v>D5</x:v>
      </x:c>
      <x:c r="E294" s="9" t="str">
        <x:v>Some concern</x:v>
      </x:c>
      <x:c r="F294" s="9" t="str">
        <x:v>Low concern</x:v>
      </x:c>
      <x:c r="G294" s="9" t="str">
        <x:v>Yes</x:v>
      </x:c>
      <x:c r="H294" s="9" t="str">
        <x:v>Disagree</x:v>
      </x:c>
      <x:c r="I294" s="9" t="str">
        <x:v>Some concern</x:v>
      </x:c>
      <x:c r="J294" s="9" t="str">
        <x:v>Adjudicated to Reviewer 1</x:v>
      </x:c>
      <x:c r="K294" s="9" t="str">
        <x:v>Study-specific limitations are recorded in the extraction and REB sheets.</x:v>
      </x:c>
      <x:c r="L294" s="9" t="str">
        <x:v>PDF pp. 3–9; Figs. 1, 4–9; cited SI</x:v>
      </x:c>
      <x:c r="M294" s="9" t="str">
        <x:v>Repeated units/counts and a stability outcome are defined for the stated protocol.</x:v>
      </x:c>
      <x:c r="N294" s="9" t="str">
        <x:v>Article PDF p. 7</x:v>
      </x:c>
      <x:c r="O294" s="9" t="str">
        <x:v>Study-specific limitations are recorded in the extraction and REB sheets.</x:v>
      </x:c>
      <x:c r="P294" s="9" t="str">
        <x:v>PDF pp. 3–9; Figs. 1, 4–9; cited SI</x:v>
      </x:c>
    </x:row>
    <x:row r="295">
      <x:c r="A295" s="9" t="n">
        <x:v>37</x:v>
      </x:c>
      <x:c r="B295" s="9" t="str">
        <x:v>S048</x:v>
      </x:c>
      <x:c r="C295" s="9" t="str">
        <x:v>Gunasekaran et al. (2022)</x:v>
      </x:c>
      <x:c r="D295" s="9" t="str">
        <x:v>D6</x:v>
      </x:c>
      <x:c r="E295" s="9" t="str">
        <x:v>High concern</x:v>
      </x:c>
      <x:c r="F295" s="9" t="str">
        <x:v>High concern</x:v>
      </x:c>
      <x:c r="G295" s="9" t="str">
        <x:v>Yes</x:v>
      </x:c>
      <x:c r="H295" s="9" t="str">
        <x:v>Agree</x:v>
      </x:c>
      <x:c r="I295" s="9" t="str">
        <x:v>High concern</x:v>
      </x:c>
      <x:c r="J295" s="9" t="str">
        <x:v>Initial agreement</x:v>
      </x:c>
      <x:c r="K295" s="9" t="str">
        <x:v>A quantitative comparison of at least three separately fabricated complete sensing systems was not identified.</x:v>
      </x:c>
      <x:c r="L295" s="9" t="str">
        <x:v>PDF pp. 3–9; Figs. 1, 4–9; cited SI</x:v>
      </x:c>
      <x:c r="M295" s="9" t="str">
        <x:v>Cycles, participants or configurations do not establish replication across three equivalent fabricated devices.</x:v>
      </x:c>
      <x:c r="N295" s="9" t="str">
        <x:v>Article PDF p. 5</x:v>
      </x:c>
      <x:c r="O295" s="9" t="str">
        <x:v>A quantitative comparison of at least three separately fabricated complete sensing systems was not identified.</x:v>
      </x:c>
      <x:c r="P295" s="9" t="str">
        <x:v>PDF pp. 3–9; Figs. 1, 4–9; cited SI</x:v>
      </x:c>
    </x:row>
    <x:row r="296">
      <x:c r="A296" s="9" t="n">
        <x:v>37</x:v>
      </x:c>
      <x:c r="B296" s="9" t="str">
        <x:v>S048</x:v>
      </x:c>
      <x:c r="C296" s="9" t="str">
        <x:v>Gunasekaran et al. (2022)</x:v>
      </x:c>
      <x:c r="D296" s="9" t="str">
        <x:v>D7</x:v>
      </x:c>
      <x:c r="E296" s="9" t="str">
        <x:v>Low concern</x:v>
      </x:c>
      <x:c r="F296" s="9" t="str">
        <x:v>Some concern</x:v>
      </x:c>
      <x:c r="G296" s="9" t="str">
        <x:v>Yes</x:v>
      </x:c>
      <x:c r="H296" s="9" t="str">
        <x:v>Disagree</x:v>
      </x:c>
      <x:c r="I296" s="9" t="str">
        <x:v>Low concern</x:v>
      </x:c>
      <x:c r="J296" s="9" t="str">
        <x:v>Adjudicated to Reviewer 1</x:v>
      </x:c>
      <x:c r="K296" s="9" t="str">
        <x:v>The reference/protocol and principal quantitative outcomes are reported.</x:v>
      </x:c>
      <x:c r="L296" s="9" t="str">
        <x:v>PDF pp. 3–9; Figs. 1, 4–9; cited SI</x:v>
      </x:c>
      <x:c r="M296" s="9" t="str">
        <x:v>Principal outcomes are reported, but device-level uncertainty or complete accounting of units/cycles is limited.</x:v>
      </x:c>
      <x:c r="N296" s="9" t="str">
        <x:v>Article PDF p. 10</x:v>
      </x:c>
      <x:c r="O296" s="9" t="str">
        <x:v>The reference/protocol and principal quantitative outcomes are reported.</x:v>
      </x:c>
      <x:c r="P296" s="9" t="str">
        <x:v>PDF pp. 3–9; Figs. 1, 4–9; cited SI</x:v>
      </x:c>
    </x:row>
    <x:row r="297">
      <x:c r="A297" s="9" t="n">
        <x:v>37</x:v>
      </x:c>
      <x:c r="B297" s="9" t="str">
        <x:v>S048</x:v>
      </x:c>
      <x:c r="C297" s="9" t="str">
        <x:v>Gunasekaran et al. (2022)</x:v>
      </x:c>
      <x:c r="D297" s="9" t="str">
        <x:v>D8</x:v>
      </x:c>
      <x:c r="E297" s="9" t="str">
        <x:v>Low concern</x:v>
      </x:c>
      <x:c r="F297" s="9" t="str">
        <x:v>Low concern</x:v>
      </x:c>
      <x:c r="G297" s="9" t="str">
        <x:v>Yes</x:v>
      </x:c>
      <x:c r="H297" s="9" t="str">
        <x:v>Agree</x:v>
      </x:c>
      <x:c r="I297" s="9" t="str">
        <x:v>Low concern</x:v>
      </x:c>
      <x:c r="J297" s="9" t="str">
        <x:v>Initial agreement</x:v>
      </x:c>
      <x:c r="K297" s="9" t="str">
        <x:v>The device was tested in a human-worn configuration.</x:v>
      </x:c>
      <x:c r="L297" s="9" t="str">
        <x:v>PDF pp. 3–9; Figs. 1, 4–9; cited SI</x:v>
      </x:c>
      <x:c r="M297" s="9" t="str">
        <x:v>The final device was evaluated in a body-worn/use-relevant human configuration.</x:v>
      </x:c>
      <x:c r="N297" s="9" t="str">
        <x:v>Article PDF p. 3</x:v>
      </x:c>
      <x:c r="O297" s="9" t="str">
        <x:v>The device was tested in a human-worn configuration.</x:v>
      </x:c>
      <x:c r="P297" s="9" t="str">
        <x:v>PDF pp. 3–9; Figs. 1, 4–9; cited SI</x:v>
      </x:c>
    </x:row>
    <x:row r="298">
      <x:c r="A298" s="9" t="n">
        <x:v>38</x:v>
      </x:c>
      <x:c r="B298" s="9" t="str">
        <x:v>S050</x:v>
      </x:c>
      <x:c r="C298" s="9" t="str">
        <x:v>Leal-Junior et al. (2018)</x:v>
      </x:c>
      <x:c r="D298" s="9" t="str">
        <x:v>D1</x:v>
      </x:c>
      <x:c r="E298" s="9" t="str">
        <x:v>Some concern</x:v>
      </x:c>
      <x:c r="F298" s="9" t="str">
        <x:v>High concern</x:v>
      </x:c>
      <x:c r="G298" s="9" t="str">
        <x:v>Yes</x:v>
      </x:c>
      <x:c r="H298" s="9" t="str">
        <x:v>Disagree</x:v>
      </x:c>
      <x:c r="I298" s="9" t="str">
        <x:v>Some concern</x:v>
      </x:c>
      <x:c r="J298" s="9" t="str">
        <x:v>Adjudicated to Reviewer 1</x:v>
      </x:c>
      <x:c r="K298" s="9" t="str">
        <x:v>Study-specific evidence is documented in the extraction and REB sheets.</x:v>
      </x:c>
      <x:c r="L298" s="9" t="str">
        <x:v>PDF pp. 3–10; Figs. 1–8</x:v>
      </x:c>
      <x:c r="M298" s="9" t="str">
        <x:v>Fabricated-unit counts, selection and failed/excluded specimens are not transparently reported.</x:v>
      </x:c>
      <x:c r="N298" s="9" t="str">
        <x:v>Article PDF p. 7</x:v>
      </x:c>
      <x:c r="O298" s="9" t="str">
        <x:v>Study-specific evidence is documented in the extraction and REB sheets.</x:v>
      </x:c>
      <x:c r="P298" s="9" t="str">
        <x:v>PDF pp. 3–10; Figs. 1–8</x:v>
      </x:c>
    </x:row>
    <x:row r="299">
      <x:c r="A299" s="9" t="n">
        <x:v>38</x:v>
      </x:c>
      <x:c r="B299" s="9" t="str">
        <x:v>S050</x:v>
      </x:c>
      <x:c r="C299" s="9" t="str">
        <x:v>Leal-Junior et al. (2018)</x:v>
      </x:c>
      <x:c r="D299" s="9" t="str">
        <x:v>D2</x:v>
      </x:c>
      <x:c r="E299" s="9" t="str">
        <x:v>Some concern</x:v>
      </x:c>
      <x:c r="F299" s="9" t="str">
        <x:v>High concern</x:v>
      </x:c>
      <x:c r="G299" s="9" t="str">
        <x:v>Yes</x:v>
      </x:c>
      <x:c r="H299" s="9" t="str">
        <x:v>Disagree</x:v>
      </x:c>
      <x:c r="I299" s="9" t="str">
        <x:v>Some concern</x:v>
      </x:c>
      <x:c r="J299" s="9" t="str">
        <x:v>Adjudicated to Reviewer 1</x:v>
      </x:c>
      <x:c r="K299" s="9" t="str">
        <x:v>Study-specific evidence is documented in the extraction and REB sheets.</x:v>
      </x:c>
      <x:c r="L299" s="9" t="str">
        <x:v>PDF pp. 3–10; Figs. 1–8</x:v>
      </x:c>
      <x:c r="M299" s="9" t="str">
        <x:v>Key fabrication variables are missing, so process variation cannot be separated confidently from sensor effects.</x:v>
      </x:c>
      <x:c r="N299" s="9" t="str">
        <x:v>Article PDF p. 3</x:v>
      </x:c>
      <x:c r="O299" s="9" t="str">
        <x:v>Study-specific evidence is documented in the extraction and REB sheets.</x:v>
      </x:c>
      <x:c r="P299" s="9" t="str">
        <x:v>PDF pp. 3–10; Figs. 1–8</x:v>
      </x:c>
    </x:row>
    <x:row r="300">
      <x:c r="A300" s="9" t="n">
        <x:v>38</x:v>
      </x:c>
      <x:c r="B300" s="9" t="str">
        <x:v>S050</x:v>
      </x:c>
      <x:c r="C300" s="9" t="str">
        <x:v>Leal-Junior et al. (2018)</x:v>
      </x:c>
      <x:c r="D300" s="9" t="str">
        <x:v>D3</x:v>
      </x:c>
      <x:c r="E300" s="9" t="str">
        <x:v>Low concern</x:v>
      </x:c>
      <x:c r="F300" s="9" t="str">
        <x:v>Low concern</x:v>
      </x:c>
      <x:c r="G300" s="9" t="str">
        <x:v>Yes</x:v>
      </x:c>
      <x:c r="H300" s="9" t="str">
        <x:v>Agree</x:v>
      </x:c>
      <x:c r="I300" s="9" t="str">
        <x:v>Low concern</x:v>
      </x:c>
      <x:c r="J300" s="9" t="str">
        <x:v>Initial agreement</x:v>
      </x:c>
      <x:c r="K300" s="9" t="str">
        <x:v>Study-specific evidence is documented in the extraction and REB sheets.</x:v>
      </x:c>
      <x:c r="L300" s="9" t="str">
        <x:v>PDF pp. 3–10; Figs. 1–8</x:v>
      </x:c>
      <x:c r="M300" s="9" t="str">
        <x:v>The controlled input/reference and calibration procedure are appropriate and independently measured.</x:v>
      </x:c>
      <x:c r="N300" s="9" t="str">
        <x:v>Article PDF p. 6</x:v>
      </x:c>
      <x:c r="O300" s="9" t="str">
        <x:v>Study-specific evidence is documented in the extraction and REB sheets.</x:v>
      </x:c>
      <x:c r="P300" s="9" t="str">
        <x:v>PDF pp. 3–10; Figs. 1–8</x:v>
      </x:c>
    </x:row>
    <x:row r="301">
      <x:c r="A301" s="9" t="n">
        <x:v>38</x:v>
      </x:c>
      <x:c r="B301" s="9" t="str">
        <x:v>S050</x:v>
      </x:c>
      <x:c r="C301" s="9" t="str">
        <x:v>Leal-Junior et al. (2018)</x:v>
      </x:c>
      <x:c r="D301" s="9" t="str">
        <x:v>D4</x:v>
      </x:c>
      <x:c r="E301" s="9" t="str">
        <x:v>Low concern</x:v>
      </x:c>
      <x:c r="F301" s="9" t="str">
        <x:v>Low concern</x:v>
      </x:c>
      <x:c r="G301" s="9" t="str">
        <x:v>Yes</x:v>
      </x:c>
      <x:c r="H301" s="9" t="str">
        <x:v>Agree</x:v>
      </x:c>
      <x:c r="I301" s="9" t="str">
        <x:v>Low concern</x:v>
      </x:c>
      <x:c r="J301" s="9" t="str">
        <x:v>Initial agreement</x:v>
      </x:c>
      <x:c r="K301" s="9" t="str">
        <x:v>Study-specific evidence is documented in the extraction and REB sheets.</x:v>
      </x:c>
      <x:c r="L301" s="9" t="str">
        <x:v>PDF pp. 3–10; Figs. 1–8</x:v>
      </x:c>
      <x:c r="M301" s="9" t="str">
        <x:v>Relevant loading/exposure range, rate or geometry and measurement conditions are stated.</x:v>
      </x:c>
      <x:c r="N301" s="9" t="str">
        <x:v>Article PDF p. 3</x:v>
      </x:c>
      <x:c r="O301" s="9" t="str">
        <x:v>Study-specific evidence is documented in the extraction and REB sheets.</x:v>
      </x:c>
      <x:c r="P301" s="9" t="str">
        <x:v>PDF pp. 3–10; Figs. 1–8</x:v>
      </x:c>
    </x:row>
    <x:row r="302">
      <x:c r="A302" s="9" t="n">
        <x:v>38</x:v>
      </x:c>
      <x:c r="B302" s="9" t="str">
        <x:v>S050</x:v>
      </x:c>
      <x:c r="C302" s="9" t="str">
        <x:v>Leal-Junior et al. (2018)</x:v>
      </x:c>
      <x:c r="D302" s="9" t="str">
        <x:v>D5</x:v>
      </x:c>
      <x:c r="E302" s="9" t="str">
        <x:v>Some concern</x:v>
      </x:c>
      <x:c r="F302" s="9" t="str">
        <x:v>High concern</x:v>
      </x:c>
      <x:c r="G302" s="9" t="str">
        <x:v>Yes</x:v>
      </x:c>
      <x:c r="H302" s="9" t="str">
        <x:v>Disagree</x:v>
      </x:c>
      <x:c r="I302" s="9" t="str">
        <x:v>Some concern</x:v>
      </x:c>
      <x:c r="J302" s="9" t="str">
        <x:v>Adjudicated to Reviewer 1</x:v>
      </x:c>
      <x:c r="K302" s="9" t="str">
        <x:v>Study-specific evidence is documented in the extraction and REB sheets.</x:v>
      </x:c>
      <x:c r="L302" s="9" t="str">
        <x:v>PDF pp. 3–10; Figs. 1–8</x:v>
      </x:c>
      <x:c r="M302" s="9" t="str">
        <x:v>A defined repeated-measurement design with an adequate stability analysis is absent.</x:v>
      </x:c>
      <x:c r="N302" s="9" t="str">
        <x:v>Article PDF p. 3</x:v>
      </x:c>
      <x:c r="O302" s="9" t="str">
        <x:v>Study-specific evidence is documented in the extraction and REB sheets.</x:v>
      </x:c>
      <x:c r="P302" s="9" t="str">
        <x:v>PDF pp. 3–10; Figs. 1–8</x:v>
      </x:c>
    </x:row>
    <x:row r="303">
      <x:c r="A303" s="9" t="n">
        <x:v>38</x:v>
      </x:c>
      <x:c r="B303" s="9" t="str">
        <x:v>S050</x:v>
      </x:c>
      <x:c r="C303" s="9" t="str">
        <x:v>Leal-Junior et al. (2018)</x:v>
      </x:c>
      <x:c r="D303" s="9" t="str">
        <x:v>D6</x:v>
      </x:c>
      <x:c r="E303" s="9" t="str">
        <x:v>High concern</x:v>
      </x:c>
      <x:c r="F303" s="9" t="str">
        <x:v>High concern</x:v>
      </x:c>
      <x:c r="G303" s="9" t="str">
        <x:v>Yes</x:v>
      </x:c>
      <x:c r="H303" s="9" t="str">
        <x:v>Agree</x:v>
      </x:c>
      <x:c r="I303" s="9" t="str">
        <x:v>High concern</x:v>
      </x:c>
      <x:c r="J303" s="9" t="str">
        <x:v>Initial agreement</x:v>
      </x:c>
      <x:c r="K303" s="9" t="str">
        <x:v>A quantitative comparison of at least three separately fabricated complete sensors was not identified.</x:v>
      </x:c>
      <x:c r="L303" s="9" t="str">
        <x:v>PDF pp. 3–10; Figs. 1–8</x:v>
      </x:c>
      <x:c r="M303" s="9" t="str">
        <x:v>Cycles, participants or configurations do not establish replication across three equivalent fabricated devices.</x:v>
      </x:c>
      <x:c r="N303" s="9" t="str">
        <x:v>Article PDF p. 6</x:v>
      </x:c>
      <x:c r="O303" s="9" t="str">
        <x:v>A quantitative comparison of at least three separately fabricated complete sensors was not identified.</x:v>
      </x:c>
      <x:c r="P303" s="9" t="str">
        <x:v>PDF pp. 3–10; Figs. 1–8</x:v>
      </x:c>
    </x:row>
    <x:row r="304">
      <x:c r="A304" s="9" t="n">
        <x:v>38</x:v>
      </x:c>
      <x:c r="B304" s="9" t="str">
        <x:v>S050</x:v>
      </x:c>
      <x:c r="C304" s="9" t="str">
        <x:v>Leal-Junior et al. (2018)</x:v>
      </x:c>
      <x:c r="D304" s="9" t="str">
        <x:v>D7</x:v>
      </x:c>
      <x:c r="E304" s="9" t="str">
        <x:v>Low concern</x:v>
      </x:c>
      <x:c r="F304" s="9" t="str">
        <x:v>Some concern</x:v>
      </x:c>
      <x:c r="G304" s="9" t="str">
        <x:v>Yes</x:v>
      </x:c>
      <x:c r="H304" s="9" t="str">
        <x:v>Disagree</x:v>
      </x:c>
      <x:c r="I304" s="9" t="str">
        <x:v>Low concern</x:v>
      </x:c>
      <x:c r="J304" s="9" t="str">
        <x:v>Adjudicated to Reviewer 1</x:v>
      </x:c>
      <x:c r="K304" s="9" t="str">
        <x:v>Study-specific evidence is documented in the extraction and REB sheets.</x:v>
      </x:c>
      <x:c r="L304" s="9" t="str">
        <x:v>PDF pp. 3–10; Figs. 1–8</x:v>
      </x:c>
      <x:c r="M304" s="9" t="str">
        <x:v>Principal outcomes are reported, but device-level uncertainty or complete accounting of units/cycles is limited.</x:v>
      </x:c>
      <x:c r="N304" s="9" t="str">
        <x:v>Article PDF p. 3</x:v>
      </x:c>
      <x:c r="O304" s="9" t="str">
        <x:v>Study-specific evidence is documented in the extraction and REB sheets.</x:v>
      </x:c>
      <x:c r="P304" s="9" t="str">
        <x:v>PDF pp. 3–10; Figs. 1–8</x:v>
      </x:c>
    </x:row>
    <x:row r="305">
      <x:c r="A305" s="9" t="n">
        <x:v>38</x:v>
      </x:c>
      <x:c r="B305" s="9" t="str">
        <x:v>S050</x:v>
      </x:c>
      <x:c r="C305" s="9" t="str">
        <x:v>Leal-Junior et al. (2018)</x:v>
      </x:c>
      <x:c r="D305" s="9" t="str">
        <x:v>D8</x:v>
      </x:c>
      <x:c r="E305" s="9" t="str">
        <x:v>Some concern</x:v>
      </x:c>
      <x:c r="F305" s="9" t="str">
        <x:v>Low concern</x:v>
      </x:c>
      <x:c r="G305" s="9" t="str">
        <x:v>Yes</x:v>
      </x:c>
      <x:c r="H305" s="9" t="str">
        <x:v>Disagree</x:v>
      </x:c>
      <x:c r="I305" s="9" t="str">
        <x:v>Some concern</x:v>
      </x:c>
      <x:c r="J305" s="9" t="str">
        <x:v>Adjudicated to Reviewer 1</x:v>
      </x:c>
      <x:c r="K305" s="9" t="str">
        <x:v>The wearable configuration and extent of application testing are documented.</x:v>
      </x:c>
      <x:c r="L305" s="9" t="str">
        <x:v>PDF pp. 3–10; Figs. 1–8</x:v>
      </x:c>
      <x:c r="M305" s="9" t="str">
        <x:v>The final device was evaluated in a body-worn/use-relevant human configuration.</x:v>
      </x:c>
      <x:c r="N305" s="9" t="str">
        <x:v>Article PDF p. 13</x:v>
      </x:c>
      <x:c r="O305" s="9" t="str">
        <x:v>The wearable configuration and extent of application testing are documented.</x:v>
      </x:c>
      <x:c r="P305" s="9" t="str">
        <x:v>PDF pp. 3–10; Figs. 1–8</x:v>
      </x:c>
    </x:row>
    <x:row r="306">
      <x:c r="A306" s="9" t="n">
        <x:v>39</x:v>
      </x:c>
      <x:c r="B306" s="9" t="str">
        <x:v>S051</x:v>
      </x:c>
      <x:c r="C306" s="9" t="str">
        <x:v>Ota et al. (2017)</x:v>
      </x:c>
      <x:c r="D306" s="9" t="str">
        <x:v>D1</x:v>
      </x:c>
      <x:c r="E306" s="9" t="str">
        <x:v>High concern</x:v>
      </x:c>
      <x:c r="F306" s="9" t="str">
        <x:v>Some concern</x:v>
      </x:c>
      <x:c r="G306" s="9" t="str">
        <x:v>Yes</x:v>
      </x:c>
      <x:c r="H306" s="9" t="str">
        <x:v>Disagree</x:v>
      </x:c>
      <x:c r="I306" s="9" t="str">
        <x:v>High concern</x:v>
      </x:c>
      <x:c r="J306" s="9" t="str">
        <x:v>Adjudicated to Reviewer 1</x:v>
      </x:c>
      <x:c r="K306" s="9" t="str">
        <x:v>The on-body study involved one subject.</x:v>
      </x:c>
      <x:c r="L306" s="9" t="str">
        <x:v>PDF pp. 2–7; Figs. 1–5</x:v>
      </x:c>
      <x:c r="M306" s="9" t="str">
        <x:v>Some unit/participant counts or selection details are provided, but fabricated-unit selection and failures are not fully accounted for.</x:v>
      </x:c>
      <x:c r="N306" s="9" t="str">
        <x:v>Article PDF p. 6</x:v>
      </x:c>
      <x:c r="O306" s="9" t="str">
        <x:v>The on-body study involved one subject.</x:v>
      </x:c>
      <x:c r="P306" s="9" t="str">
        <x:v>PDF pp. 2–7; Figs. 1–5</x:v>
      </x:c>
    </x:row>
    <x:row r="307">
      <x:c r="A307" s="9" t="n">
        <x:v>39</x:v>
      </x:c>
      <x:c r="B307" s="9" t="str">
        <x:v>S051</x:v>
      </x:c>
      <x:c r="C307" s="9" t="str">
        <x:v>Ota et al. (2017)</x:v>
      </x:c>
      <x:c r="D307" s="9" t="str">
        <x:v>D2</x:v>
      </x:c>
      <x:c r="E307" s="9" t="str">
        <x:v>Some concern</x:v>
      </x:c>
      <x:c r="F307" s="9" t="str">
        <x:v>Some concern</x:v>
      </x:c>
      <x:c r="G307" s="9" t="str">
        <x:v>Yes</x:v>
      </x:c>
      <x:c r="H307" s="9" t="str">
        <x:v>Agree</x:v>
      </x:c>
      <x:c r="I307" s="9" t="str">
        <x:v>Some concern</x:v>
      </x:c>
      <x:c r="J307" s="9" t="str">
        <x:v>Initial agreement</x:v>
      </x:c>
      <x:c r="K307" s="9" t="str">
        <x:v>Study-specific evidence is documented in the extraction and REB sheets.</x:v>
      </x:c>
      <x:c r="L307" s="9" t="str">
        <x:v>PDF pp. 2–7; Figs. 1–5</x:v>
      </x:c>
      <x:c r="M307" s="9" t="str">
        <x:v>Several fabrication controls are documented, but omitted settings leave residual process-confounding concern.</x:v>
      </x:c>
      <x:c r="N307" s="9" t="str">
        <x:v>Article PDF p. 5</x:v>
      </x:c>
      <x:c r="O307" s="9" t="str">
        <x:v>Study-specific evidence is documented in the extraction and REB sheets.</x:v>
      </x:c>
      <x:c r="P307" s="9" t="str">
        <x:v>PDF pp. 2–7; Figs. 1–5</x:v>
      </x:c>
    </x:row>
    <x:row r="308">
      <x:c r="A308" s="9" t="n">
        <x:v>39</x:v>
      </x:c>
      <x:c r="B308" s="9" t="str">
        <x:v>S051</x:v>
      </x:c>
      <x:c r="C308" s="9" t="str">
        <x:v>Ota et al. (2017)</x:v>
      </x:c>
      <x:c r="D308" s="9" t="str">
        <x:v>D3</x:v>
      </x:c>
      <x:c r="E308" s="9" t="str">
        <x:v>Low concern</x:v>
      </x:c>
      <x:c r="F308" s="9" t="str">
        <x:v>Some concern</x:v>
      </x:c>
      <x:c r="G308" s="9" t="str">
        <x:v>Yes</x:v>
      </x:c>
      <x:c r="H308" s="9" t="str">
        <x:v>Disagree</x:v>
      </x:c>
      <x:c r="I308" s="9" t="str">
        <x:v>Low concern</x:v>
      </x:c>
      <x:c r="J308" s="9" t="str">
        <x:v>Adjudicated to Reviewer 1</x:v>
      </x:c>
      <x:c r="K308" s="9" t="str">
        <x:v>Study-specific evidence is documented in the extraction and REB sheets.</x:v>
      </x:c>
      <x:c r="L308" s="9" t="str">
        <x:v>PDF pp. 2–7; Figs. 1–5</x:v>
      </x:c>
      <x:c r="M308" s="9" t="str">
        <x:v>Calibration is described, but reference independence or uncertainty is incomplete.</x:v>
      </x:c>
      <x:c r="N308" s="9" t="str">
        <x:v>Article PDF p. 6</x:v>
      </x:c>
      <x:c r="O308" s="9" t="str">
        <x:v>Study-specific evidence is documented in the extraction and REB sheets.</x:v>
      </x:c>
      <x:c r="P308" s="9" t="str">
        <x:v>PDF pp. 2–7; Figs. 1–5</x:v>
      </x:c>
    </x:row>
    <x:row r="309">
      <x:c r="A309" s="9" t="n">
        <x:v>39</x:v>
      </x:c>
      <x:c r="B309" s="9" t="str">
        <x:v>S051</x:v>
      </x:c>
      <x:c r="C309" s="9" t="str">
        <x:v>Ota et al. (2017)</x:v>
      </x:c>
      <x:c r="D309" s="9" t="str">
        <x:v>D4</x:v>
      </x:c>
      <x:c r="E309" s="9" t="str">
        <x:v>Low concern</x:v>
      </x:c>
      <x:c r="F309" s="9" t="str">
        <x:v>Low concern</x:v>
      </x:c>
      <x:c r="G309" s="9" t="str">
        <x:v>Yes</x:v>
      </x:c>
      <x:c r="H309" s="9" t="str">
        <x:v>Agree</x:v>
      </x:c>
      <x:c r="I309" s="9" t="str">
        <x:v>Low concern</x:v>
      </x:c>
      <x:c r="J309" s="9" t="str">
        <x:v>Initial agreement</x:v>
      </x:c>
      <x:c r="K309" s="9" t="str">
        <x:v>Study-specific evidence is documented in the extraction and REB sheets.</x:v>
      </x:c>
      <x:c r="L309" s="9" t="str">
        <x:v>PDF pp. 2–7; Figs. 1–5</x:v>
      </x:c>
      <x:c r="M309" s="9" t="str">
        <x:v>Relevant loading/exposure range, rate or geometry and measurement conditions are stated.</x:v>
      </x:c>
      <x:c r="N309" s="9" t="str">
        <x:v>Article PDF p. 6</x:v>
      </x:c>
      <x:c r="O309" s="9" t="str">
        <x:v>Study-specific evidence is documented in the extraction and REB sheets.</x:v>
      </x:c>
      <x:c r="P309" s="9" t="str">
        <x:v>PDF pp. 2–7; Figs. 1–5</x:v>
      </x:c>
    </x:row>
    <x:row r="310">
      <x:c r="A310" s="9" t="n">
        <x:v>39</x:v>
      </x:c>
      <x:c r="B310" s="9" t="str">
        <x:v>S051</x:v>
      </x:c>
      <x:c r="C310" s="9" t="str">
        <x:v>Ota et al. (2017)</x:v>
      </x:c>
      <x:c r="D310" s="9" t="str">
        <x:v>D5</x:v>
      </x:c>
      <x:c r="E310" s="9" t="str">
        <x:v>High concern</x:v>
      </x:c>
      <x:c r="F310" s="9" t="str">
        <x:v>High concern</x:v>
      </x:c>
      <x:c r="G310" s="9" t="str">
        <x:v>Yes</x:v>
      </x:c>
      <x:c r="H310" s="9" t="str">
        <x:v>Agree</x:v>
      </x:c>
      <x:c r="I310" s="9" t="str">
        <x:v>High concern</x:v>
      </x:c>
      <x:c r="J310" s="9" t="str">
        <x:v>Initial agreement</x:v>
      </x:c>
      <x:c r="K310" s="9" t="str">
        <x:v>Study-specific evidence is documented in the extraction and REB sheets.</x:v>
      </x:c>
      <x:c r="L310" s="9" t="str">
        <x:v>PDF pp. 2–7; Figs. 1–5</x:v>
      </x:c>
      <x:c r="M310" s="9" t="str">
        <x:v>A defined repeated-measurement design with an adequate stability analysis is absent.</x:v>
      </x:c>
      <x:c r="N310" s="9" t="str">
        <x:v>Article PDF p. 1</x:v>
      </x:c>
      <x:c r="O310" s="9" t="str">
        <x:v>Study-specific evidence is documented in the extraction and REB sheets.</x:v>
      </x:c>
      <x:c r="P310" s="9" t="str">
        <x:v>PDF pp. 2–7; Figs. 1–5</x:v>
      </x:c>
    </x:row>
    <x:row r="311">
      <x:c r="A311" s="9" t="n">
        <x:v>39</x:v>
      </x:c>
      <x:c r="B311" s="9" t="str">
        <x:v>S051</x:v>
      </x:c>
      <x:c r="C311" s="9" t="str">
        <x:v>Ota et al. (2017)</x:v>
      </x:c>
      <x:c r="D311" s="9" t="str">
        <x:v>D6</x:v>
      </x:c>
      <x:c r="E311" s="9" t="str">
        <x:v>High concern</x:v>
      </x:c>
      <x:c r="F311" s="9" t="str">
        <x:v>High concern</x:v>
      </x:c>
      <x:c r="G311" s="9" t="str">
        <x:v>Yes</x:v>
      </x:c>
      <x:c r="H311" s="9" t="str">
        <x:v>Agree</x:v>
      </x:c>
      <x:c r="I311" s="9" t="str">
        <x:v>High concern</x:v>
      </x:c>
      <x:c r="J311" s="9" t="str">
        <x:v>Initial agreement</x:v>
      </x:c>
      <x:c r="K311" s="9" t="str">
        <x:v>A quantitative comparison of at least three separately fabricated complete sensors was not identified.</x:v>
      </x:c>
      <x:c r="L311" s="9" t="str">
        <x:v>PDF pp. 2–7; Figs. 1–5</x:v>
      </x:c>
      <x:c r="M311" s="9" t="str">
        <x:v>Cycles, participants or configurations do not establish replication across three equivalent fabricated devices.</x:v>
      </x:c>
      <x:c r="N311" s="9" t="str">
        <x:v>Article PDF p. 1</x:v>
      </x:c>
      <x:c r="O311" s="9" t="str">
        <x:v>A quantitative comparison of at least three separately fabricated complete sensors was not identified.</x:v>
      </x:c>
      <x:c r="P311" s="9" t="str">
        <x:v>PDF pp. 2–7; Figs. 1–5</x:v>
      </x:c>
    </x:row>
    <x:row r="312">
      <x:c r="A312" s="9" t="n">
        <x:v>39</x:v>
      </x:c>
      <x:c r="B312" s="9" t="str">
        <x:v>S051</x:v>
      </x:c>
      <x:c r="C312" s="9" t="str">
        <x:v>Ota et al. (2017)</x:v>
      </x:c>
      <x:c r="D312" s="9" t="str">
        <x:v>D7</x:v>
      </x:c>
      <x:c r="E312" s="9" t="str">
        <x:v>Low concern</x:v>
      </x:c>
      <x:c r="F312" s="9" t="str">
        <x:v>Some concern</x:v>
      </x:c>
      <x:c r="G312" s="9" t="str">
        <x:v>Yes</x:v>
      </x:c>
      <x:c r="H312" s="9" t="str">
        <x:v>Disagree</x:v>
      </x:c>
      <x:c r="I312" s="9" t="str">
        <x:v>Low concern</x:v>
      </x:c>
      <x:c r="J312" s="9" t="str">
        <x:v>Adjudicated to Reviewer 1</x:v>
      </x:c>
      <x:c r="K312" s="9" t="str">
        <x:v>Study-specific evidence is documented in the extraction and REB sheets.</x:v>
      </x:c>
      <x:c r="L312" s="9" t="str">
        <x:v>PDF pp. 2–7; Figs. 1–5</x:v>
      </x:c>
      <x:c r="M312" s="9" t="str">
        <x:v>Principal outcomes are reported, but device-level uncertainty or complete accounting of units/cycles is limited.</x:v>
      </x:c>
      <x:c r="N312" s="9" t="str">
        <x:v>Article PDF p. 6</x:v>
      </x:c>
      <x:c r="O312" s="9" t="str">
        <x:v>Study-specific evidence is documented in the extraction and REB sheets.</x:v>
      </x:c>
      <x:c r="P312" s="9" t="str">
        <x:v>PDF pp. 2–7; Figs. 1–5</x:v>
      </x:c>
    </x:row>
    <x:row r="313">
      <x:c r="A313" s="9" t="n">
        <x:v>39</x:v>
      </x:c>
      <x:c r="B313" s="9" t="str">
        <x:v>S051</x:v>
      </x:c>
      <x:c r="C313" s="9" t="str">
        <x:v>Ota et al. (2017)</x:v>
      </x:c>
      <x:c r="D313" s="9" t="str">
        <x:v>D8</x:v>
      </x:c>
      <x:c r="E313" s="9" t="str">
        <x:v>Some concern</x:v>
      </x:c>
      <x:c r="F313" s="9" t="str">
        <x:v>Low concern</x:v>
      </x:c>
      <x:c r="G313" s="9" t="str">
        <x:v>Yes</x:v>
      </x:c>
      <x:c r="H313" s="9" t="str">
        <x:v>Disagree</x:v>
      </x:c>
      <x:c r="I313" s="9" t="str">
        <x:v>Some concern</x:v>
      </x:c>
      <x:c r="J313" s="9" t="str">
        <x:v>Adjudicated to Reviewer 1</x:v>
      </x:c>
      <x:c r="K313" s="9" t="str">
        <x:v>The wearable configuration and extent of application testing are documented.</x:v>
      </x:c>
      <x:c r="L313" s="9" t="str">
        <x:v>PDF pp. 2–7; Figs. 1–5</x:v>
      </x:c>
      <x:c r="M313" s="9" t="str">
        <x:v>The final device was evaluated in a body-worn/use-relevant human configuration.</x:v>
      </x:c>
      <x:c r="N313" s="9" t="str">
        <x:v>Article PDF p. 6</x:v>
      </x:c>
      <x:c r="O313" s="9" t="str">
        <x:v>The wearable configuration and extent of application testing are documented.</x:v>
      </x:c>
      <x:c r="P313" s="9" t="str">
        <x:v>PDF pp. 2–7; Figs. 1–5</x:v>
      </x:c>
    </x:row>
    <x:row r="314">
      <x:c r="A314" s="9" t="n">
        <x:v>40</x:v>
      </x:c>
      <x:c r="B314" s="9" t="str">
        <x:v>S052</x:v>
      </x:c>
      <x:c r="C314" s="9" t="str">
        <x:v>Li et al. (2026)</x:v>
      </x:c>
      <x:c r="D314" s="9" t="str">
        <x:v>D1</x:v>
      </x:c>
      <x:c r="E314" s="9" t="str">
        <x:v>Some concern</x:v>
      </x:c>
      <x:c r="F314" s="9" t="str">
        <x:v>Some concern</x:v>
      </x:c>
      <x:c r="G314" s="9" t="str">
        <x:v>Yes</x:v>
      </x:c>
      <x:c r="H314" s="9" t="str">
        <x:v>Agree</x:v>
      </x:c>
      <x:c r="I314" s="9" t="str">
        <x:v>Some concern</x:v>
      </x:c>
      <x:c r="J314" s="9" t="str">
        <x:v>Initial agreement</x:v>
      </x:c>
      <x:c r="K314" s="9" t="str">
        <x:v>Study-specific evidence is documented in the extraction and REB sheets.</x:v>
      </x:c>
      <x:c r="L314" s="9" t="str">
        <x:v>PDF pp. 2–12; Figs. 1–6; cited Supplementary Table S1 and Figs. S1–S21</x:v>
      </x:c>
      <x:c r="M314" s="9" t="str">
        <x:v>Some unit/participant counts or selection details are provided, but fabricated-unit selection and failures are not fully accounted for.</x:v>
      </x:c>
      <x:c r="N314" s="9" t="str">
        <x:v>S052_Supplementary.docx, Normal</x:v>
      </x:c>
      <x:c r="O314" s="9" t="str">
        <x:v>Study-specific evidence is documented in the extraction and REB sheets.</x:v>
      </x:c>
      <x:c r="P314" s="9" t="str">
        <x:v>PDF pp. 2–12; Figs. 1–6; cited Supplementary Table S1 and Figs. S1–S21</x:v>
      </x:c>
    </x:row>
    <x:row r="315">
      <x:c r="A315" s="9" t="n">
        <x:v>40</x:v>
      </x:c>
      <x:c r="B315" s="9" t="str">
        <x:v>S052</x:v>
      </x:c>
      <x:c r="C315" s="9" t="str">
        <x:v>Li et al. (2026)</x:v>
      </x:c>
      <x:c r="D315" s="9" t="str">
        <x:v>D2</x:v>
      </x:c>
      <x:c r="E315" s="9" t="str">
        <x:v>Some concern</x:v>
      </x:c>
      <x:c r="F315" s="9" t="str">
        <x:v>Some concern</x:v>
      </x:c>
      <x:c r="G315" s="9" t="str">
        <x:v>Yes</x:v>
      </x:c>
      <x:c r="H315" s="9" t="str">
        <x:v>Agree</x:v>
      </x:c>
      <x:c r="I315" s="9" t="str">
        <x:v>Some concern</x:v>
      </x:c>
      <x:c r="J315" s="9" t="str">
        <x:v>Initial agreement</x:v>
      </x:c>
      <x:c r="K315" s="9" t="str">
        <x:v>Study-specific evidence is documented in the extraction and REB sheets.</x:v>
      </x:c>
      <x:c r="L315" s="9" t="str">
        <x:v>PDF pp. 2–12; Figs. 1–6; cited Supplementary Table S1 and Figs. S1–S21</x:v>
      </x:c>
      <x:c r="M315" s="9" t="str">
        <x:v>Several fabrication controls are documented, but omitted settings leave residual process-confounding concern.</x:v>
      </x:c>
      <x:c r="N315" s="9" t="str">
        <x:v>Article PDF p. 2</x:v>
      </x:c>
      <x:c r="O315" s="9" t="str">
        <x:v>Study-specific evidence is documented in the extraction and REB sheets.</x:v>
      </x:c>
      <x:c r="P315" s="9" t="str">
        <x:v>PDF pp. 2–12; Figs. 1–6; cited Supplementary Table S1 and Figs. S1–S21</x:v>
      </x:c>
    </x:row>
    <x:row r="316">
      <x:c r="A316" s="9" t="n">
        <x:v>40</x:v>
      </x:c>
      <x:c r="B316" s="9" t="str">
        <x:v>S052</x:v>
      </x:c>
      <x:c r="C316" s="9" t="str">
        <x:v>Li et al. (2026)</x:v>
      </x:c>
      <x:c r="D316" s="9" t="str">
        <x:v>D3</x:v>
      </x:c>
      <x:c r="E316" s="9" t="str">
        <x:v>Low concern</x:v>
      </x:c>
      <x:c r="F316" s="9" t="str">
        <x:v>Some concern</x:v>
      </x:c>
      <x:c r="G316" s="9" t="str">
        <x:v>Yes</x:v>
      </x:c>
      <x:c r="H316" s="9" t="str">
        <x:v>Disagree</x:v>
      </x:c>
      <x:c r="I316" s="9" t="str">
        <x:v>Low concern</x:v>
      </x:c>
      <x:c r="J316" s="9" t="str">
        <x:v>Adjudicated to Reviewer 1</x:v>
      </x:c>
      <x:c r="K316" s="9" t="str">
        <x:v>Study-specific evidence is documented in the extraction and REB sheets.</x:v>
      </x:c>
      <x:c r="L316" s="9" t="str">
        <x:v>PDF pp. 2–12; Figs. 1–6; cited Supplementary Table S1 and Figs. S1–S21</x:v>
      </x:c>
      <x:c r="M316" s="9" t="str">
        <x:v>Mechanical excitation is controlled, but reference-force calibration and uncertainty are incompletely documented.</x:v>
      </x:c>
      <x:c r="N316" s="9" t="str">
        <x:v>Article PDF pp. 8-11</x:v>
      </x:c>
      <x:c r="O316" s="9" t="str">
        <x:v>Study-specific evidence is documented in the extraction and REB sheets.</x:v>
      </x:c>
      <x:c r="P316" s="9" t="str">
        <x:v>PDF pp. 2–12; Figs. 1–6; cited Supplementary Table S1 and Figs. S1–S21</x:v>
      </x:c>
    </x:row>
    <x:row r="317">
      <x:c r="A317" s="9" t="n">
        <x:v>40</x:v>
      </x:c>
      <x:c r="B317" s="9" t="str">
        <x:v>S052</x:v>
      </x:c>
      <x:c r="C317" s="9" t="str">
        <x:v>Li et al. (2026)</x:v>
      </x:c>
      <x:c r="D317" s="9" t="str">
        <x:v>D4</x:v>
      </x:c>
      <x:c r="E317" s="9" t="str">
        <x:v>Low concern</x:v>
      </x:c>
      <x:c r="F317" s="9" t="str">
        <x:v>Some concern</x:v>
      </x:c>
      <x:c r="G317" s="9" t="str">
        <x:v>Yes</x:v>
      </x:c>
      <x:c r="H317" s="9" t="str">
        <x:v>Disagree</x:v>
      </x:c>
      <x:c r="I317" s="9" t="str">
        <x:v>Low concern</x:v>
      </x:c>
      <x:c r="J317" s="9" t="str">
        <x:v>Adjudicated to Reviewer 1</x:v>
      </x:c>
      <x:c r="K317" s="9" t="str">
        <x:v>Study-specific evidence is documented in the extraction and REB sheets.</x:v>
      </x:c>
      <x:c r="L317" s="9" t="str">
        <x:v>PDF pp. 2–12; Figs. 1–6; cited Supplementary Table S1 and Figs. S1–S21</x:v>
      </x:c>
      <x:c r="M317" s="9" t="str">
        <x:v>Loading, mounting or environmental conditions are only partly specified or controlled.</x:v>
      </x:c>
      <x:c r="N317" s="9" t="str">
        <x:v>Article PDF p. 3</x:v>
      </x:c>
      <x:c r="O317" s="9" t="str">
        <x:v>Study-specific evidence is documented in the extraction and REB sheets.</x:v>
      </x:c>
      <x:c r="P317" s="9" t="str">
        <x:v>PDF pp. 2–12; Figs. 1–6; cited Supplementary Table S1 and Figs. S1–S21</x:v>
      </x:c>
    </x:row>
    <x:row r="318">
      <x:c r="A318" s="9" t="n">
        <x:v>40</x:v>
      </x:c>
      <x:c r="B318" s="9" t="str">
        <x:v>S052</x:v>
      </x:c>
      <x:c r="C318" s="9" t="str">
        <x:v>Li et al. (2026)</x:v>
      </x:c>
      <x:c r="D318" s="9" t="str">
        <x:v>D5</x:v>
      </x:c>
      <x:c r="E318" s="9" t="str">
        <x:v>Low concern</x:v>
      </x:c>
      <x:c r="F318" s="9" t="str">
        <x:v>Low concern</x:v>
      </x:c>
      <x:c r="G318" s="9" t="str">
        <x:v>Yes</x:v>
      </x:c>
      <x:c r="H318" s="9" t="str">
        <x:v>Agree</x:v>
      </x:c>
      <x:c r="I318" s="9" t="str">
        <x:v>Low concern</x:v>
      </x:c>
      <x:c r="J318" s="9" t="str">
        <x:v>Initial agreement</x:v>
      </x:c>
      <x:c r="K318" s="9" t="str">
        <x:v>Study-specific evidence is documented in the extraction and REB sheets.</x:v>
      </x:c>
      <x:c r="L318" s="9" t="str">
        <x:v>PDF pp. 2–12; Figs. 1–6; cited Supplementary Table S1 and Figs. S1–S21</x:v>
      </x:c>
      <x:c r="M318" s="9" t="str">
        <x:v>A 5000-cycle loading test reports retained output stability.</x:v>
      </x:c>
      <x:c r="N318" s="9" t="str">
        <x:v>Article PDF p. 9</x:v>
      </x:c>
      <x:c r="O318" s="9" t="str">
        <x:v>Study-specific evidence is documented in the extraction and REB sheets.</x:v>
      </x:c>
      <x:c r="P318" s="9" t="str">
        <x:v>PDF pp. 2–12; Figs. 1–6; cited Supplementary Table S1 and Figs. S1–S21</x:v>
      </x:c>
    </x:row>
    <x:row r="319">
      <x:c r="A319" s="9" t="n">
        <x:v>40</x:v>
      </x:c>
      <x:c r="B319" s="9" t="str">
        <x:v>S052</x:v>
      </x:c>
      <x:c r="C319" s="9" t="str">
        <x:v>Li et al. (2026)</x:v>
      </x:c>
      <x:c r="D319" s="9" t="str">
        <x:v>D6</x:v>
      </x:c>
      <x:c r="E319" s="9" t="str">
        <x:v>High concern</x:v>
      </x:c>
      <x:c r="F319" s="9" t="str">
        <x:v>Unclear</x:v>
      </x:c>
      <x:c r="G319" s="9" t="str">
        <x:v>No</x:v>
      </x:c>
      <x:c r="H319" s="9" t="str">
        <x:v>Not comparable</x:v>
      </x:c>
      <x:c r="I319" s="9" t="str">
        <x:v>High concern</x:v>
      </x:c>
      <x:c r="J319" s="9" t="str">
        <x:v>Unclear resolved</x:v>
      </x:c>
      <x:c r="K319" s="9" t="str">
        <x:v>A quantitative comparison of at least three separately fabricated complete sensors was not identified.</x:v>
      </x:c>
      <x:c r="L319" s="9" t="str">
        <x:v>PDF pp. 2–12; Figs. 1–6; cited Supplementary Table S1 and Figs. S1–S21</x:v>
      </x:c>
      <x:c r="M319" s="9" t="str">
        <x:v>Batch-to-batch variation is stated, but the number of independent fabricated devices/batches is not clear.</x:v>
      </x:c>
      <x:c r="N319" s="9" t="str">
        <x:v>Article PDF p. 8, Figure 4h-i</x:v>
      </x:c>
      <x:c r="O319" s="9" t="str">
        <x:v>A quantitative comparison of at least three separately fabricated complete sensors was not identified.</x:v>
      </x:c>
      <x:c r="P319" s="9" t="str">
        <x:v>PDF pp. 2–12; Figs. 1–6; cited Supplementary Table S1 and Figs. S1–S21</x:v>
      </x:c>
    </x:row>
    <x:row r="320">
      <x:c r="A320" s="9" t="n">
        <x:v>40</x:v>
      </x:c>
      <x:c r="B320" s="9" t="str">
        <x:v>S052</x:v>
      </x:c>
      <x:c r="C320" s="9" t="str">
        <x:v>Li et al. (2026)</x:v>
      </x:c>
      <x:c r="D320" s="9" t="str">
        <x:v>D7</x:v>
      </x:c>
      <x:c r="E320" s="9" t="str">
        <x:v>Low concern</x:v>
      </x:c>
      <x:c r="F320" s="9" t="str">
        <x:v>Some concern</x:v>
      </x:c>
      <x:c r="G320" s="9" t="str">
        <x:v>Yes</x:v>
      </x:c>
      <x:c r="H320" s="9" t="str">
        <x:v>Disagree</x:v>
      </x:c>
      <x:c r="I320" s="9" t="str">
        <x:v>Low concern</x:v>
      </x:c>
      <x:c r="J320" s="9" t="str">
        <x:v>Adjudicated to Reviewer 1</x:v>
      </x:c>
      <x:c r="K320" s="9" t="str">
        <x:v>Study-specific evidence is documented in the extraction and REB sheets.</x:v>
      </x:c>
      <x:c r="L320" s="9" t="str">
        <x:v>PDF pp. 2–12; Figs. 1–6; cited Supplementary Table S1 and Figs. S1–S21</x:v>
      </x:c>
      <x:c r="M320" s="9" t="str">
        <x:v>Principal outcomes are reported, but device-level uncertainty or complete accounting of units/cycles is limited.</x:v>
      </x:c>
      <x:c r="N320" s="9" t="str">
        <x:v>Article PDF p. 12</x:v>
      </x:c>
      <x:c r="O320" s="9" t="str">
        <x:v>Study-specific evidence is documented in the extraction and REB sheets.</x:v>
      </x:c>
      <x:c r="P320" s="9" t="str">
        <x:v>PDF pp. 2–12; Figs. 1–6; cited Supplementary Table S1 and Figs. S1–S21</x:v>
      </x:c>
    </x:row>
    <x:row r="321">
      <x:c r="A321" s="9" t="n">
        <x:v>40</x:v>
      </x:c>
      <x:c r="B321" s="9" t="str">
        <x:v>S052</x:v>
      </x:c>
      <x:c r="C321" s="9" t="str">
        <x:v>Li et al. (2026)</x:v>
      </x:c>
      <x:c r="D321" s="9" t="str">
        <x:v>D8</x:v>
      </x:c>
      <x:c r="E321" s="9" t="str">
        <x:v>Some concern</x:v>
      </x:c>
      <x:c r="F321" s="9" t="str">
        <x:v>Some concern</x:v>
      </x:c>
      <x:c r="G321" s="9" t="str">
        <x:v>Yes</x:v>
      </x:c>
      <x:c r="H321" s="9" t="str">
        <x:v>Agree</x:v>
      </x:c>
      <x:c r="I321" s="9" t="str">
        <x:v>Some concern</x:v>
      </x:c>
      <x:c r="J321" s="9" t="str">
        <x:v>Initial agreement</x:v>
      </x:c>
      <x:c r="K321" s="9" t="str">
        <x:v>The wearable configuration and extent of application testing are documented.</x:v>
      </x:c>
      <x:c r="L321" s="9" t="str">
        <x:v>PDF pp. 2–12; Figs. 1–6; cited Supplementary Table S1 and Figs. S1–S21</x:v>
      </x:c>
      <x:c r="M321" s="9" t="str">
        <x:v>Wearable-conforming structures and object-recognition tests are shown, but no body-worn human test is reported.</x:v>
      </x:c>
      <x:c r="N321" s="9" t="str">
        <x:v>Article PDF pp. 6 and 11-12</x:v>
      </x:c>
      <x:c r="O321" s="9" t="str">
        <x:v>The wearable configuration and extent of application testing are documented.</x:v>
      </x:c>
      <x:c r="P321" s="9" t="str">
        <x:v>PDF pp. 2–12; Figs. 1–6; cited Supplementary Table S1 and Figs. S1–S21</x:v>
      </x:c>
    </x:row>
    <x:row r="322">
      <x:c r="A322" s="9" t="n">
        <x:v>41</x:v>
      </x:c>
      <x:c r="B322" s="9" t="str">
        <x:v>S053</x:v>
      </x:c>
      <x:c r="C322" s="9" t="str">
        <x:v>Li et al. (2023)</x:v>
      </x:c>
      <x:c r="D322" s="9" t="str">
        <x:v>D1</x:v>
      </x:c>
      <x:c r="E322" s="9" t="str">
        <x:v>Some concern</x:v>
      </x:c>
      <x:c r="F322" s="9" t="str">
        <x:v>High concern</x:v>
      </x:c>
      <x:c r="G322" s="9" t="str">
        <x:v>Yes</x:v>
      </x:c>
      <x:c r="H322" s="9" t="str">
        <x:v>Disagree</x:v>
      </x:c>
      <x:c r="I322" s="9" t="str">
        <x:v>Some concern</x:v>
      </x:c>
      <x:c r="J322" s="9" t="str">
        <x:v>Adjudicated to Reviewer 1</x:v>
      </x:c>
      <x:c r="K322" s="9" t="str">
        <x:v>Study-specific evidence is documented in the extraction and REB sheets.</x:v>
      </x:c>
      <x:c r="L322" s="9" t="str">
        <x:v>PDF pp. 3–13; Figs. 1–9</x:v>
      </x:c>
      <x:c r="M322" s="9" t="str">
        <x:v>Fabricated-unit counts, selection and failed/excluded specimens are not transparently reported.</x:v>
      </x:c>
      <x:c r="N322" s="9" t="str">
        <x:v>Article PDF p. 10</x:v>
      </x:c>
      <x:c r="O322" s="9" t="str">
        <x:v>Study-specific evidence is documented in the extraction and REB sheets.</x:v>
      </x:c>
      <x:c r="P322" s="9" t="str">
        <x:v>PDF pp. 3–13; Figs. 1–9</x:v>
      </x:c>
    </x:row>
    <x:row r="323">
      <x:c r="A323" s="9" t="n">
        <x:v>41</x:v>
      </x:c>
      <x:c r="B323" s="9" t="str">
        <x:v>S053</x:v>
      </x:c>
      <x:c r="C323" s="9" t="str">
        <x:v>Li et al. (2023)</x:v>
      </x:c>
      <x:c r="D323" s="9" t="str">
        <x:v>D2</x:v>
      </x:c>
      <x:c r="E323" s="9" t="str">
        <x:v>Some concern</x:v>
      </x:c>
      <x:c r="F323" s="9" t="str">
        <x:v>Some concern</x:v>
      </x:c>
      <x:c r="G323" s="9" t="str">
        <x:v>Yes</x:v>
      </x:c>
      <x:c r="H323" s="9" t="str">
        <x:v>Agree</x:v>
      </x:c>
      <x:c r="I323" s="9" t="str">
        <x:v>Some concern</x:v>
      </x:c>
      <x:c r="J323" s="9" t="str">
        <x:v>Initial agreement</x:v>
      </x:c>
      <x:c r="K323" s="9" t="str">
        <x:v>Study-specific evidence is documented in the extraction and REB sheets.</x:v>
      </x:c>
      <x:c r="L323" s="9" t="str">
        <x:v>PDF pp. 3–13; Figs. 1–9</x:v>
      </x:c>
      <x:c r="M323" s="9" t="str">
        <x:v>Several fabrication controls are documented, but omitted settings leave residual process-confounding concern.</x:v>
      </x:c>
      <x:c r="N323" s="9" t="str">
        <x:v>Article PDF p. 12</x:v>
      </x:c>
      <x:c r="O323" s="9" t="str">
        <x:v>Study-specific evidence is documented in the extraction and REB sheets.</x:v>
      </x:c>
      <x:c r="P323" s="9" t="str">
        <x:v>PDF pp. 3–13; Figs. 1–9</x:v>
      </x:c>
    </x:row>
    <x:row r="324">
      <x:c r="A324" s="9" t="n">
        <x:v>41</x:v>
      </x:c>
      <x:c r="B324" s="9" t="str">
        <x:v>S053</x:v>
      </x:c>
      <x:c r="C324" s="9" t="str">
        <x:v>Li et al. (2023)</x:v>
      </x:c>
      <x:c r="D324" s="9" t="str">
        <x:v>D3</x:v>
      </x:c>
      <x:c r="E324" s="9" t="str">
        <x:v>Low concern</x:v>
      </x:c>
      <x:c r="F324" s="9" t="str">
        <x:v>Low concern</x:v>
      </x:c>
      <x:c r="G324" s="9" t="str">
        <x:v>Yes</x:v>
      </x:c>
      <x:c r="H324" s="9" t="str">
        <x:v>Agree</x:v>
      </x:c>
      <x:c r="I324" s="9" t="str">
        <x:v>Low concern</x:v>
      </x:c>
      <x:c r="J324" s="9" t="str">
        <x:v>Initial agreement</x:v>
      </x:c>
      <x:c r="K324" s="9" t="str">
        <x:v>Study-specific evidence is documented in the extraction and REB sheets.</x:v>
      </x:c>
      <x:c r="L324" s="9" t="str">
        <x:v>PDF pp. 3–13; Figs. 1–9</x:v>
      </x:c>
      <x:c r="M324" s="9" t="str">
        <x:v>The controlled input/reference and calibration procedure are appropriate and independently measured.</x:v>
      </x:c>
      <x:c r="N324" s="9" t="str">
        <x:v>Article PDF p. 2</x:v>
      </x:c>
      <x:c r="O324" s="9" t="str">
        <x:v>Study-specific evidence is documented in the extraction and REB sheets.</x:v>
      </x:c>
      <x:c r="P324" s="9" t="str">
        <x:v>PDF pp. 3–13; Figs. 1–9</x:v>
      </x:c>
    </x:row>
    <x:row r="325">
      <x:c r="A325" s="9" t="n">
        <x:v>41</x:v>
      </x:c>
      <x:c r="B325" s="9" t="str">
        <x:v>S053</x:v>
      </x:c>
      <x:c r="C325" s="9" t="str">
        <x:v>Li et al. (2023)</x:v>
      </x:c>
      <x:c r="D325" s="9" t="str">
        <x:v>D4</x:v>
      </x:c>
      <x:c r="E325" s="9" t="str">
        <x:v>Low concern</x:v>
      </x:c>
      <x:c r="F325" s="9" t="str">
        <x:v>Low concern</x:v>
      </x:c>
      <x:c r="G325" s="9" t="str">
        <x:v>Yes</x:v>
      </x:c>
      <x:c r="H325" s="9" t="str">
        <x:v>Agree</x:v>
      </x:c>
      <x:c r="I325" s="9" t="str">
        <x:v>Low concern</x:v>
      </x:c>
      <x:c r="J325" s="9" t="str">
        <x:v>Initial agreement</x:v>
      </x:c>
      <x:c r="K325" s="9" t="str">
        <x:v>Study-specific evidence is documented in the extraction and REB sheets.</x:v>
      </x:c>
      <x:c r="L325" s="9" t="str">
        <x:v>PDF pp. 3–13; Figs. 1–9</x:v>
      </x:c>
      <x:c r="M325" s="9" t="str">
        <x:v>Relevant loading/exposure range, rate or geometry and measurement conditions are stated.</x:v>
      </x:c>
      <x:c r="N325" s="9" t="str">
        <x:v>Article PDF p. 2</x:v>
      </x:c>
      <x:c r="O325" s="9" t="str">
        <x:v>Study-specific evidence is documented in the extraction and REB sheets.</x:v>
      </x:c>
      <x:c r="P325" s="9" t="str">
        <x:v>PDF pp. 3–13; Figs. 1–9</x:v>
      </x:c>
    </x:row>
    <x:row r="326">
      <x:c r="A326" s="9" t="n">
        <x:v>41</x:v>
      </x:c>
      <x:c r="B326" s="9" t="str">
        <x:v>S053</x:v>
      </x:c>
      <x:c r="C326" s="9" t="str">
        <x:v>Li et al. (2023)</x:v>
      </x:c>
      <x:c r="D326" s="9" t="str">
        <x:v>D5</x:v>
      </x:c>
      <x:c r="E326" s="9" t="str">
        <x:v>Low concern</x:v>
      </x:c>
      <x:c r="F326" s="9" t="str">
        <x:v>Low concern</x:v>
      </x:c>
      <x:c r="G326" s="9" t="str">
        <x:v>Yes</x:v>
      </x:c>
      <x:c r="H326" s="9" t="str">
        <x:v>Agree</x:v>
      </x:c>
      <x:c r="I326" s="9" t="str">
        <x:v>Low concern</x:v>
      </x:c>
      <x:c r="J326" s="9" t="str">
        <x:v>Initial agreement</x:v>
      </x:c>
      <x:c r="K326" s="9" t="str">
        <x:v>Study-specific evidence is documented in the extraction and REB sheets.</x:v>
      </x:c>
      <x:c r="L326" s="9" t="str">
        <x:v>PDF pp. 3–13; Figs. 1–9</x:v>
      </x:c>
      <x:c r="M326" s="9" t="str">
        <x:v>Repeated units/counts and a stability outcome are defined for the stated protocol.</x:v>
      </x:c>
      <x:c r="N326" s="9" t="str">
        <x:v>Article PDF p. 10</x:v>
      </x:c>
      <x:c r="O326" s="9" t="str">
        <x:v>Study-specific evidence is documented in the extraction and REB sheets.</x:v>
      </x:c>
      <x:c r="P326" s="9" t="str">
        <x:v>PDF pp. 3–13; Figs. 1–9</x:v>
      </x:c>
    </x:row>
    <x:row r="327">
      <x:c r="A327" s="9" t="n">
        <x:v>41</x:v>
      </x:c>
      <x:c r="B327" s="9" t="str">
        <x:v>S053</x:v>
      </x:c>
      <x:c r="C327" s="9" t="str">
        <x:v>Li et al. (2023)</x:v>
      </x:c>
      <x:c r="D327" s="9" t="str">
        <x:v>D6</x:v>
      </x:c>
      <x:c r="E327" s="9" t="str">
        <x:v>High concern</x:v>
      </x:c>
      <x:c r="F327" s="9" t="str">
        <x:v>High concern</x:v>
      </x:c>
      <x:c r="G327" s="9" t="str">
        <x:v>Yes</x:v>
      </x:c>
      <x:c r="H327" s="9" t="str">
        <x:v>Agree</x:v>
      </x:c>
      <x:c r="I327" s="9" t="str">
        <x:v>High concern</x:v>
      </x:c>
      <x:c r="J327" s="9" t="str">
        <x:v>Initial agreement</x:v>
      </x:c>
      <x:c r="K327" s="9" t="str">
        <x:v>A quantitative comparison of at least three separately fabricated complete sensors was not identified.</x:v>
      </x:c>
      <x:c r="L327" s="9" t="str">
        <x:v>PDF pp. 3–13; Figs. 1–9</x:v>
      </x:c>
      <x:c r="M327" s="9" t="str">
        <x:v>Cycles, participants or configurations do not establish replication across three equivalent fabricated devices.</x:v>
      </x:c>
      <x:c r="N327" s="9" t="str">
        <x:v>Article PDF p. 12</x:v>
      </x:c>
      <x:c r="O327" s="9" t="str">
        <x:v>A quantitative comparison of at least three separately fabricated complete sensors was not identified.</x:v>
      </x:c>
      <x:c r="P327" s="9" t="str">
        <x:v>PDF pp. 3–13; Figs. 1–9</x:v>
      </x:c>
    </x:row>
    <x:row r="328">
      <x:c r="A328" s="9" t="n">
        <x:v>41</x:v>
      </x:c>
      <x:c r="B328" s="9" t="str">
        <x:v>S053</x:v>
      </x:c>
      <x:c r="C328" s="9" t="str">
        <x:v>Li et al. (2023)</x:v>
      </x:c>
      <x:c r="D328" s="9" t="str">
        <x:v>D7</x:v>
      </x:c>
      <x:c r="E328" s="9" t="str">
        <x:v>Low concern</x:v>
      </x:c>
      <x:c r="F328" s="9" t="str">
        <x:v>Some concern</x:v>
      </x:c>
      <x:c r="G328" s="9" t="str">
        <x:v>Yes</x:v>
      </x:c>
      <x:c r="H328" s="9" t="str">
        <x:v>Disagree</x:v>
      </x:c>
      <x:c r="I328" s="9" t="str">
        <x:v>Low concern</x:v>
      </x:c>
      <x:c r="J328" s="9" t="str">
        <x:v>Adjudicated to Reviewer 1</x:v>
      </x:c>
      <x:c r="K328" s="9" t="str">
        <x:v>Study-specific evidence is documented in the extraction and REB sheets.</x:v>
      </x:c>
      <x:c r="L328" s="9" t="str">
        <x:v>PDF pp. 3–13; Figs. 1–9</x:v>
      </x:c>
      <x:c r="M328" s="9" t="str">
        <x:v>Principal outcomes are reported, but device-level uncertainty or complete accounting of units/cycles is limited.</x:v>
      </x:c>
      <x:c r="N328" s="9" t="str">
        <x:v>Article PDF p. 10</x:v>
      </x:c>
      <x:c r="O328" s="9" t="str">
        <x:v>Study-specific evidence is documented in the extraction and REB sheets.</x:v>
      </x:c>
      <x:c r="P328" s="9" t="str">
        <x:v>PDF pp. 3–13; Figs. 1–9</x:v>
      </x:c>
    </x:row>
    <x:row r="329">
      <x:c r="A329" s="9" t="n">
        <x:v>41</x:v>
      </x:c>
      <x:c r="B329" s="9" t="str">
        <x:v>S053</x:v>
      </x:c>
      <x:c r="C329" s="9" t="str">
        <x:v>Li et al. (2023)</x:v>
      </x:c>
      <x:c r="D329" s="9" t="str">
        <x:v>D8</x:v>
      </x:c>
      <x:c r="E329" s="9" t="str">
        <x:v>Some concern</x:v>
      </x:c>
      <x:c r="F329" s="9" t="str">
        <x:v>Low concern</x:v>
      </x:c>
      <x:c r="G329" s="9" t="str">
        <x:v>Yes</x:v>
      </x:c>
      <x:c r="H329" s="9" t="str">
        <x:v>Disagree</x:v>
      </x:c>
      <x:c r="I329" s="9" t="str">
        <x:v>Some concern</x:v>
      </x:c>
      <x:c r="J329" s="9" t="str">
        <x:v>Adjudicated to Reviewer 1</x:v>
      </x:c>
      <x:c r="K329" s="9" t="str">
        <x:v>The wearable configuration and extent of application testing are documented.</x:v>
      </x:c>
      <x:c r="L329" s="9" t="str">
        <x:v>PDF pp. 3–13; Figs. 1–9</x:v>
      </x:c>
      <x:c r="M329" s="9" t="str">
        <x:v>The final device was evaluated in a body-worn/use-relevant human configuration.</x:v>
      </x:c>
      <x:c r="N329" s="9" t="str">
        <x:v>Article PDF p. 10</x:v>
      </x:c>
      <x:c r="O329" s="9" t="str">
        <x:v>The wearable configuration and extent of application testing are documented.</x:v>
      </x:c>
      <x:c r="P329" s="9" t="str">
        <x:v>PDF pp. 3–13; Figs. 1–9</x:v>
      </x:c>
    </x:row>
    <x:row r="330">
      <x:c r="A330" s="9" t="n">
        <x:v>42</x:v>
      </x:c>
      <x:c r="B330" s="9" t="str">
        <x:v>S054</x:v>
      </x:c>
      <x:c r="C330" s="9" t="str">
        <x:v>Chatzistergos et al. (2021)</x:v>
      </x:c>
      <x:c r="D330" s="9" t="str">
        <x:v>D1</x:v>
      </x:c>
      <x:c r="E330" s="9" t="str">
        <x:v>Low concern</x:v>
      </x:c>
      <x:c r="F330" s="9" t="str">
        <x:v>Some concern</x:v>
      </x:c>
      <x:c r="G330" s="9" t="str">
        <x:v>Yes</x:v>
      </x:c>
      <x:c r="H330" s="9" t="str">
        <x:v>Disagree</x:v>
      </x:c>
      <x:c r="I330" s="9" t="str">
        <x:v>Low concern</x:v>
      </x:c>
      <x:c r="J330" s="9" t="str">
        <x:v>Adjudicated to Reviewer 1</x:v>
      </x:c>
      <x:c r="K330" s="9" t="str">
        <x:v>Study-specific evidence is documented in the extraction and REB sheets.</x:v>
      </x:c>
      <x:c r="L330" s="9" t="str">
        <x:v>PDF pp. 3–9; Figs. 1–7; Appendix 1</x:v>
      </x:c>
      <x:c r="M330" s="9" t="str">
        <x:v>Some unit/participant counts or selection details are provided, but fabricated-unit selection and failures are not fully accounted for.</x:v>
      </x:c>
      <x:c r="N330" s="9" t="str">
        <x:v>Article PDF p. 9</x:v>
      </x:c>
      <x:c r="O330" s="9" t="str">
        <x:v>Study-specific evidence is documented in the extraction and REB sheets.</x:v>
      </x:c>
      <x:c r="P330" s="9" t="str">
        <x:v>PDF pp. 3–9; Figs. 1–7; Appendix 1</x:v>
      </x:c>
    </x:row>
    <x:row r="331">
      <x:c r="A331" s="9" t="n">
        <x:v>42</x:v>
      </x:c>
      <x:c r="B331" s="9" t="str">
        <x:v>S054</x:v>
      </x:c>
      <x:c r="C331" s="9" t="str">
        <x:v>Chatzistergos et al. (2021)</x:v>
      </x:c>
      <x:c r="D331" s="9" t="str">
        <x:v>D2</x:v>
      </x:c>
      <x:c r="E331" s="9" t="str">
        <x:v>Low concern</x:v>
      </x:c>
      <x:c r="F331" s="9" t="str">
        <x:v>High concern</x:v>
      </x:c>
      <x:c r="G331" s="9" t="str">
        <x:v>Yes</x:v>
      </x:c>
      <x:c r="H331" s="9" t="str">
        <x:v>Disagree</x:v>
      </x:c>
      <x:c r="I331" s="9" t="str">
        <x:v>Low concern</x:v>
      </x:c>
      <x:c r="J331" s="9" t="str">
        <x:v>Adjudicated to Reviewer 1</x:v>
      </x:c>
      <x:c r="K331" s="9" t="str">
        <x:v>Study-specific evidence is documented in the extraction and REB sheets.</x:v>
      </x:c>
      <x:c r="L331" s="9" t="str">
        <x:v>PDF pp. 3–9; Figs. 1–7; Appendix 1</x:v>
      </x:c>
      <x:c r="M331" s="9" t="str">
        <x:v>Key fabrication variables are missing, so process variation cannot be separated confidently from sensor effects.</x:v>
      </x:c>
      <x:c r="N331" s="9" t="str">
        <x:v>Article PDF p. 1</x:v>
      </x:c>
      <x:c r="O331" s="9" t="str">
        <x:v>Study-specific evidence is documented in the extraction and REB sheets.</x:v>
      </x:c>
      <x:c r="P331" s="9" t="str">
        <x:v>PDF pp. 3–9; Figs. 1–7; Appendix 1</x:v>
      </x:c>
    </x:row>
    <x:row r="332">
      <x:c r="A332" s="9" t="n">
        <x:v>42</x:v>
      </x:c>
      <x:c r="B332" s="9" t="str">
        <x:v>S054</x:v>
      </x:c>
      <x:c r="C332" s="9" t="str">
        <x:v>Chatzistergos et al. (2021)</x:v>
      </x:c>
      <x:c r="D332" s="9" t="str">
        <x:v>D3</x:v>
      </x:c>
      <x:c r="E332" s="9" t="str">
        <x:v>Low concern</x:v>
      </x:c>
      <x:c r="F332" s="9" t="str">
        <x:v>Some concern</x:v>
      </x:c>
      <x:c r="G332" s="9" t="str">
        <x:v>Yes</x:v>
      </x:c>
      <x:c r="H332" s="9" t="str">
        <x:v>Disagree</x:v>
      </x:c>
      <x:c r="I332" s="9" t="str">
        <x:v>Low concern</x:v>
      </x:c>
      <x:c r="J332" s="9" t="str">
        <x:v>Adjudicated to Reviewer 1</x:v>
      </x:c>
      <x:c r="K332" s="9" t="str">
        <x:v>Study-specific evidence is documented in the extraction and REB sheets.</x:v>
      </x:c>
      <x:c r="L332" s="9" t="str">
        <x:v>PDF pp. 3–9; Figs. 1–7; Appendix 1</x:v>
      </x:c>
      <x:c r="M332" s="9" t="str">
        <x:v>Loads are controlled, but the pressure-reference calibration and uncertainty are only partly documented.</x:v>
      </x:c>
      <x:c r="N332" s="9" t="str">
        <x:v>Article PDF pp. 3-6</x:v>
      </x:c>
      <x:c r="O332" s="9" t="str">
        <x:v>Study-specific evidence is documented in the extraction and REB sheets.</x:v>
      </x:c>
      <x:c r="P332" s="9" t="str">
        <x:v>PDF pp. 3–9; Figs. 1–7; Appendix 1</x:v>
      </x:c>
    </x:row>
    <x:row r="333">
      <x:c r="A333" s="9" t="n">
        <x:v>42</x:v>
      </x:c>
      <x:c r="B333" s="9" t="str">
        <x:v>S054</x:v>
      </x:c>
      <x:c r="C333" s="9" t="str">
        <x:v>Chatzistergos et al. (2021)</x:v>
      </x:c>
      <x:c r="D333" s="9" t="str">
        <x:v>D4</x:v>
      </x:c>
      <x:c r="E333" s="9" t="str">
        <x:v>Low concern</x:v>
      </x:c>
      <x:c r="F333" s="9" t="str">
        <x:v>Low concern</x:v>
      </x:c>
      <x:c r="G333" s="9" t="str">
        <x:v>Yes</x:v>
      </x:c>
      <x:c r="H333" s="9" t="str">
        <x:v>Agree</x:v>
      </x:c>
      <x:c r="I333" s="9" t="str">
        <x:v>Low concern</x:v>
      </x:c>
      <x:c r="J333" s="9" t="str">
        <x:v>Initial agreement</x:v>
      </x:c>
      <x:c r="K333" s="9" t="str">
        <x:v>Study-specific evidence is documented in the extraction and REB sheets.</x:v>
      </x:c>
      <x:c r="L333" s="9" t="str">
        <x:v>PDF pp. 3–9; Figs. 1–7; Appendix 1</x:v>
      </x:c>
      <x:c r="M333" s="9" t="str">
        <x:v>Relevant loading/exposure range, rate or geometry and measurement conditions are stated.</x:v>
      </x:c>
      <x:c r="N333" s="9" t="str">
        <x:v>Article PDF p. 9</x:v>
      </x:c>
      <x:c r="O333" s="9" t="str">
        <x:v>Study-specific evidence is documented in the extraction and REB sheets.</x:v>
      </x:c>
      <x:c r="P333" s="9" t="str">
        <x:v>PDF pp. 3–9; Figs. 1–7; Appendix 1</x:v>
      </x:c>
    </x:row>
    <x:row r="334">
      <x:c r="A334" s="9" t="n">
        <x:v>42</x:v>
      </x:c>
      <x:c r="B334" s="9" t="str">
        <x:v>S054</x:v>
      </x:c>
      <x:c r="C334" s="9" t="str">
        <x:v>Chatzistergos et al. (2021)</x:v>
      </x:c>
      <x:c r="D334" s="9" t="str">
        <x:v>D5</x:v>
      </x:c>
      <x:c r="E334" s="9" t="str">
        <x:v>Low concern</x:v>
      </x:c>
      <x:c r="F334" s="9" t="str">
        <x:v>Low concern</x:v>
      </x:c>
      <x:c r="G334" s="9" t="str">
        <x:v>Yes</x:v>
      </x:c>
      <x:c r="H334" s="9" t="str">
        <x:v>Agree</x:v>
      </x:c>
      <x:c r="I334" s="9" t="str">
        <x:v>Low concern</x:v>
      </x:c>
      <x:c r="J334" s="9" t="str">
        <x:v>Initial agreement</x:v>
      </x:c>
      <x:c r="K334" s="9" t="str">
        <x:v>Study-specific evidence is documented in the extraction and REB sheets.</x:v>
      </x:c>
      <x:c r="L334" s="9" t="str">
        <x:v>PDF pp. 3–9; Figs. 1–7; Appendix 1</x:v>
      </x:c>
      <x:c r="M334" s="9" t="str">
        <x:v>The repeated overload protocol and stiffness-change outcome are explicitly defined.</x:v>
      </x:c>
      <x:c r="N334" s="9" t="str">
        <x:v>Article PDF pp. 3-8</x:v>
      </x:c>
      <x:c r="O334" s="9" t="str">
        <x:v>Study-specific evidence is documented in the extraction and REB sheets.</x:v>
      </x:c>
      <x:c r="P334" s="9" t="str">
        <x:v>PDF pp. 3–9; Figs. 1–7; Appendix 1</x:v>
      </x:c>
    </x:row>
    <x:row r="335">
      <x:c r="A335" s="9" t="n">
        <x:v>42</x:v>
      </x:c>
      <x:c r="B335" s="9" t="str">
        <x:v>S054</x:v>
      </x:c>
      <x:c r="C335" s="9" t="str">
        <x:v>Chatzistergos et al. (2021)</x:v>
      </x:c>
      <x:c r="D335" s="9" t="str">
        <x:v>D6</x:v>
      </x:c>
      <x:c r="E335" s="9" t="str">
        <x:v>Low concern</x:v>
      </x:c>
      <x:c r="F335" s="9" t="str">
        <x:v>High concern</x:v>
      </x:c>
      <x:c r="G335" s="9" t="str">
        <x:v>Yes</x:v>
      </x:c>
      <x:c r="H335" s="9" t="str">
        <x:v>Disagree</x:v>
      </x:c>
      <x:c r="I335" s="9" t="str">
        <x:v>Low concern</x:v>
      </x:c>
      <x:c r="J335" s="9" t="str">
        <x:v>Adjudicated to Reviewer 1</x:v>
      </x:c>
      <x:c r="K335" s="9" t="str">
        <x:v>At least three independently fabricated sensing units/specimens were quantitatively compared.</x:v>
      </x:c>
      <x:c r="L335" s="9" t="str">
        <x:v>PDF pp. 3–9; Figs. 1–7; Appendix 1</x:v>
      </x:c>
      <x:c r="M335" s="9" t="str">
        <x:v>Cycles, participants or configurations do not establish replication across three equivalent fabricated devices.</x:v>
      </x:c>
      <x:c r="N335" s="9" t="str">
        <x:v>Article PDF p. 5</x:v>
      </x:c>
      <x:c r="O335" s="9" t="str">
        <x:v>At least three independently fabricated sensing units/specimens were quantitatively compared.</x:v>
      </x:c>
      <x:c r="P335" s="9" t="str">
        <x:v>PDF pp. 3–9; Figs. 1–7; Appendix 1</x:v>
      </x:c>
    </x:row>
    <x:row r="336">
      <x:c r="A336" s="9" t="n">
        <x:v>42</x:v>
      </x:c>
      <x:c r="B336" s="9" t="str">
        <x:v>S054</x:v>
      </x:c>
      <x:c r="C336" s="9" t="str">
        <x:v>Chatzistergos et al. (2021)</x:v>
      </x:c>
      <x:c r="D336" s="9" t="str">
        <x:v>D7</x:v>
      </x:c>
      <x:c r="E336" s="9" t="str">
        <x:v>Low concern</x:v>
      </x:c>
      <x:c r="F336" s="9" t="str">
        <x:v>Some concern</x:v>
      </x:c>
      <x:c r="G336" s="9" t="str">
        <x:v>Yes</x:v>
      </x:c>
      <x:c r="H336" s="9" t="str">
        <x:v>Disagree</x:v>
      </x:c>
      <x:c r="I336" s="9" t="str">
        <x:v>Low concern</x:v>
      </x:c>
      <x:c r="J336" s="9" t="str">
        <x:v>Adjudicated to Reviewer 1</x:v>
      </x:c>
      <x:c r="K336" s="9" t="str">
        <x:v>Study-specific evidence is documented in the extraction and REB sheets.</x:v>
      </x:c>
      <x:c r="L336" s="9" t="str">
        <x:v>PDF pp. 3–9; Figs. 1–7; Appendix 1</x:v>
      </x:c>
      <x:c r="M336" s="9" t="str">
        <x:v>Principal outcomes are reported, but device-level uncertainty or complete accounting of units/cycles is limited.</x:v>
      </x:c>
      <x:c r="N336" s="9" t="str">
        <x:v>Article PDF p. 9</x:v>
      </x:c>
      <x:c r="O336" s="9" t="str">
        <x:v>Study-specific evidence is documented in the extraction and REB sheets.</x:v>
      </x:c>
      <x:c r="P336" s="9" t="str">
        <x:v>PDF pp. 3–9; Figs. 1–7; Appendix 1</x:v>
      </x:c>
    </x:row>
    <x:row r="337">
      <x:c r="A337" s="9" t="n">
        <x:v>42</x:v>
      </x:c>
      <x:c r="B337" s="9" t="str">
        <x:v>S054</x:v>
      </x:c>
      <x:c r="C337" s="9" t="str">
        <x:v>Chatzistergos et al. (2021)</x:v>
      </x:c>
      <x:c r="D337" s="9" t="str">
        <x:v>D8</x:v>
      </x:c>
      <x:c r="E337" s="9" t="str">
        <x:v>Some concern</x:v>
      </x:c>
      <x:c r="F337" s="9" t="str">
        <x:v>Some concern</x:v>
      </x:c>
      <x:c r="G337" s="9" t="str">
        <x:v>Yes</x:v>
      </x:c>
      <x:c r="H337" s="9" t="str">
        <x:v>Agree</x:v>
      </x:c>
      <x:c r="I337" s="9" t="str">
        <x:v>Some concern</x:v>
      </x:c>
      <x:c r="J337" s="9" t="str">
        <x:v>Initial agreement</x:v>
      </x:c>
      <x:c r="K337" s="9" t="str">
        <x:v>Wearable relevance is based on a footwear-specific bench simulation; the final in-shoe assembly was not tested.</x:v>
      </x:c>
      <x:c r="L337" s="9" t="str">
        <x:v>PDF pp. 3–9; Figs. 1–7; Appendix 1</x:v>
      </x:c>
      <x:c r="M337" s="9" t="str">
        <x:v>An insole sensor concept is tested mechanically, without body-worn gait validation.</x:v>
      </x:c>
      <x:c r="N337" s="9" t="str">
        <x:v>Article PDF pp. 3-8</x:v>
      </x:c>
      <x:c r="O337" s="9" t="str">
        <x:v>Wearable relevance is based on a footwear-specific bench simulation; the final in-shoe assembly was not tested.</x:v>
      </x:c>
      <x:c r="P337" s="9" t="str">
        <x:v>PDF pp. 3–9; Figs. 1–7; Appendix 1</x:v>
      </x:c>
    </x:row>
    <x:row r="338">
      <x:c r="A338" s="9" t="n">
        <x:v>43</x:v>
      </x:c>
      <x:c r="B338" s="9" t="str">
        <x:v>S055</x:v>
      </x:c>
      <x:c r="C338" s="9" t="str">
        <x:v>Ben Harrath et al. (2026)</x:v>
      </x:c>
      <x:c r="D338" s="9" t="str">
        <x:v>D1</x:v>
      </x:c>
      <x:c r="E338" s="9" t="str">
        <x:v>Some concern</x:v>
      </x:c>
      <x:c r="F338" s="9" t="str">
        <x:v>Some concern</x:v>
      </x:c>
      <x:c r="G338" s="9" t="str">
        <x:v>Yes</x:v>
      </x:c>
      <x:c r="H338" s="9" t="str">
        <x:v>Agree</x:v>
      </x:c>
      <x:c r="I338" s="9" t="str">
        <x:v>Some concern</x:v>
      </x:c>
      <x:c r="J338" s="9" t="str">
        <x:v>Initial agreement</x:v>
      </x:c>
      <x:c r="K338" s="9" t="str">
        <x:v>Study-specific evidence is documented in the extraction and REB sheets.</x:v>
      </x:c>
      <x:c r="L338" s="9" t="str">
        <x:v>PDF pp. 3–9; Figs. 1–10</x:v>
      </x:c>
      <x:c r="M338" s="9" t="str">
        <x:v>Some unit/participant counts or selection details are provided, but fabricated-unit selection and failures are not fully accounted for.</x:v>
      </x:c>
      <x:c r="N338" s="9" t="str">
        <x:v>Article PDF p. 7</x:v>
      </x:c>
      <x:c r="O338" s="9" t="str">
        <x:v>Study-specific evidence is documented in the extraction and REB sheets.</x:v>
      </x:c>
      <x:c r="P338" s="9" t="str">
        <x:v>PDF pp. 3–9; Figs. 1–10</x:v>
      </x:c>
    </x:row>
    <x:row r="339">
      <x:c r="A339" s="9" t="n">
        <x:v>43</x:v>
      </x:c>
      <x:c r="B339" s="9" t="str">
        <x:v>S055</x:v>
      </x:c>
      <x:c r="C339" s="9" t="str">
        <x:v>Ben Harrath et al. (2026)</x:v>
      </x:c>
      <x:c r="D339" s="9" t="str">
        <x:v>D2</x:v>
      </x:c>
      <x:c r="E339" s="9" t="str">
        <x:v>Some concern</x:v>
      </x:c>
      <x:c r="F339" s="9" t="str">
        <x:v>Low concern</x:v>
      </x:c>
      <x:c r="G339" s="9" t="str">
        <x:v>Yes</x:v>
      </x:c>
      <x:c r="H339" s="9" t="str">
        <x:v>Disagree</x:v>
      </x:c>
      <x:c r="I339" s="9" t="str">
        <x:v>Some concern</x:v>
      </x:c>
      <x:c r="J339" s="9" t="str">
        <x:v>Adjudicated to Reviewer 1</x:v>
      </x:c>
      <x:c r="K339" s="9" t="str">
        <x:v>Study-specific evidence is documented in the extraction and REB sheets.</x:v>
      </x:c>
      <x:c r="L339" s="9" t="str">
        <x:v>PDF pp. 3–9; Figs. 1–10</x:v>
      </x:c>
      <x:c r="M339" s="9" t="str">
        <x:v>Relevant material, geometry, conditioning and extrusion variables are documented sufficiently for the claimed comparison.</x:v>
      </x:c>
      <x:c r="N339" s="9" t="str">
        <x:v>Article PDF p. 9</x:v>
      </x:c>
      <x:c r="O339" s="9" t="str">
        <x:v>Study-specific evidence is documented in the extraction and REB sheets.</x:v>
      </x:c>
      <x:c r="P339" s="9" t="str">
        <x:v>PDF pp. 3–9; Figs. 1–10</x:v>
      </x:c>
    </x:row>
    <x:row r="340">
      <x:c r="A340" s="9" t="n">
        <x:v>43</x:v>
      </x:c>
      <x:c r="B340" s="9" t="str">
        <x:v>S055</x:v>
      </x:c>
      <x:c r="C340" s="9" t="str">
        <x:v>Ben Harrath et al. (2026)</x:v>
      </x:c>
      <x:c r="D340" s="9" t="str">
        <x:v>D3</x:v>
      </x:c>
      <x:c r="E340" s="9" t="str">
        <x:v>Low concern</x:v>
      </x:c>
      <x:c r="F340" s="9" t="str">
        <x:v>Some concern</x:v>
      </x:c>
      <x:c r="G340" s="9" t="str">
        <x:v>Yes</x:v>
      </x:c>
      <x:c r="H340" s="9" t="str">
        <x:v>Disagree</x:v>
      </x:c>
      <x:c r="I340" s="9" t="str">
        <x:v>Low concern</x:v>
      </x:c>
      <x:c r="J340" s="9" t="str">
        <x:v>Adjudicated to Reviewer 1</x:v>
      </x:c>
      <x:c r="K340" s="9" t="str">
        <x:v>Study-specific evidence is documented in the extraction and REB sheets.</x:v>
      </x:c>
      <x:c r="L340" s="9" t="str">
        <x:v>PDF pp. 3–9; Figs. 1–10</x:v>
      </x:c>
      <x:c r="M340" s="9" t="str">
        <x:v>Calibration is described, but reference independence or uncertainty is incomplete.</x:v>
      </x:c>
      <x:c r="N340" s="9" t="str">
        <x:v>Article PDF p. 7</x:v>
      </x:c>
      <x:c r="O340" s="9" t="str">
        <x:v>Study-specific evidence is documented in the extraction and REB sheets.</x:v>
      </x:c>
      <x:c r="P340" s="9" t="str">
        <x:v>PDF pp. 3–9; Figs. 1–10</x:v>
      </x:c>
    </x:row>
    <x:row r="341">
      <x:c r="A341" s="9" t="n">
        <x:v>43</x:v>
      </x:c>
      <x:c r="B341" s="9" t="str">
        <x:v>S055</x:v>
      </x:c>
      <x:c r="C341" s="9" t="str">
        <x:v>Ben Harrath et al. (2026)</x:v>
      </x:c>
      <x:c r="D341" s="9" t="str">
        <x:v>D4</x:v>
      </x:c>
      <x:c r="E341" s="9" t="str">
        <x:v>Low concern</x:v>
      </x:c>
      <x:c r="F341" s="9" t="str">
        <x:v>Low concern</x:v>
      </x:c>
      <x:c r="G341" s="9" t="str">
        <x:v>Yes</x:v>
      </x:c>
      <x:c r="H341" s="9" t="str">
        <x:v>Agree</x:v>
      </x:c>
      <x:c r="I341" s="9" t="str">
        <x:v>Low concern</x:v>
      </x:c>
      <x:c r="J341" s="9" t="str">
        <x:v>Initial agreement</x:v>
      </x:c>
      <x:c r="K341" s="9" t="str">
        <x:v>Study-specific evidence is documented in the extraction and REB sheets.</x:v>
      </x:c>
      <x:c r="L341" s="9" t="str">
        <x:v>PDF pp. 3–9; Figs. 1–10</x:v>
      </x:c>
      <x:c r="M341" s="9" t="str">
        <x:v>Relevant loading/exposure range, rate or geometry and measurement conditions are stated.</x:v>
      </x:c>
      <x:c r="N341" s="9" t="str">
        <x:v>Article PDF p. 7</x:v>
      </x:c>
      <x:c r="O341" s="9" t="str">
        <x:v>Study-specific evidence is documented in the extraction and REB sheets.</x:v>
      </x:c>
      <x:c r="P341" s="9" t="str">
        <x:v>PDF pp. 3–9; Figs. 1–10</x:v>
      </x:c>
    </x:row>
    <x:row r="342">
      <x:c r="A342" s="9" t="n">
        <x:v>43</x:v>
      </x:c>
      <x:c r="B342" s="9" t="str">
        <x:v>S055</x:v>
      </x:c>
      <x:c r="C342" s="9" t="str">
        <x:v>Ben Harrath et al. (2026)</x:v>
      </x:c>
      <x:c r="D342" s="9" t="str">
        <x:v>D5</x:v>
      </x:c>
      <x:c r="E342" s="9" t="str">
        <x:v>Low concern</x:v>
      </x:c>
      <x:c r="F342" s="9" t="str">
        <x:v>Low concern</x:v>
      </x:c>
      <x:c r="G342" s="9" t="str">
        <x:v>Yes</x:v>
      </x:c>
      <x:c r="H342" s="9" t="str">
        <x:v>Agree</x:v>
      </x:c>
      <x:c r="I342" s="9" t="str">
        <x:v>Low concern</x:v>
      </x:c>
      <x:c r="J342" s="9" t="str">
        <x:v>Initial agreement</x:v>
      </x:c>
      <x:c r="K342" s="9" t="str">
        <x:v>Study-specific evidence is documented in the extraction and REB sheets.</x:v>
      </x:c>
      <x:c r="L342" s="9" t="str">
        <x:v>PDF pp. 3–9; Figs. 1–10</x:v>
      </x:c>
      <x:c r="M342" s="9" t="str">
        <x:v>Repeated units/counts and a stability outcome are defined for the stated protocol.</x:v>
      </x:c>
      <x:c r="N342" s="9" t="str">
        <x:v>Article PDF p. 7</x:v>
      </x:c>
      <x:c r="O342" s="9" t="str">
        <x:v>Study-specific evidence is documented in the extraction and REB sheets.</x:v>
      </x:c>
      <x:c r="P342" s="9" t="str">
        <x:v>PDF pp. 3–9; Figs. 1–10</x:v>
      </x:c>
    </x:row>
    <x:row r="343">
      <x:c r="A343" s="9" t="n">
        <x:v>43</x:v>
      </x:c>
      <x:c r="B343" s="9" t="str">
        <x:v>S055</x:v>
      </x:c>
      <x:c r="C343" s="9" t="str">
        <x:v>Ben Harrath et al. (2026)</x:v>
      </x:c>
      <x:c r="D343" s="9" t="str">
        <x:v>D6</x:v>
      </x:c>
      <x:c r="E343" s="9" t="str">
        <x:v>High concern</x:v>
      </x:c>
      <x:c r="F343" s="9" t="str">
        <x:v>High concern</x:v>
      </x:c>
      <x:c r="G343" s="9" t="str">
        <x:v>Yes</x:v>
      </x:c>
      <x:c r="H343" s="9" t="str">
        <x:v>Agree</x:v>
      </x:c>
      <x:c r="I343" s="9" t="str">
        <x:v>High concern</x:v>
      </x:c>
      <x:c r="J343" s="9" t="str">
        <x:v>Initial agreement</x:v>
      </x:c>
      <x:c r="K343" s="9" t="str">
        <x:v>A quantitative comparison of at least three separately fabricated complete sensors was not identified.</x:v>
      </x:c>
      <x:c r="L343" s="9" t="str">
        <x:v>PDF pp. 3–9; Figs. 1–10</x:v>
      </x:c>
      <x:c r="M343" s="9" t="str">
        <x:v>Cycles, participants or configurations do not establish replication across three equivalent fabricated devices.</x:v>
      </x:c>
      <x:c r="N343" s="9" t="str">
        <x:v>Article PDF p. 7</x:v>
      </x:c>
      <x:c r="O343" s="9" t="str">
        <x:v>A quantitative comparison of at least three separately fabricated complete sensors was not identified.</x:v>
      </x:c>
      <x:c r="P343" s="9" t="str">
        <x:v>PDF pp. 3–9; Figs. 1–10</x:v>
      </x:c>
    </x:row>
    <x:row r="344">
      <x:c r="A344" s="9" t="n">
        <x:v>43</x:v>
      </x:c>
      <x:c r="B344" s="9" t="str">
        <x:v>S055</x:v>
      </x:c>
      <x:c r="C344" s="9" t="str">
        <x:v>Ben Harrath et al. (2026)</x:v>
      </x:c>
      <x:c r="D344" s="9" t="str">
        <x:v>D7</x:v>
      </x:c>
      <x:c r="E344" s="9" t="str">
        <x:v>Low concern</x:v>
      </x:c>
      <x:c r="F344" s="9" t="str">
        <x:v>Low concern</x:v>
      </x:c>
      <x:c r="G344" s="9" t="str">
        <x:v>Yes</x:v>
      </x:c>
      <x:c r="H344" s="9" t="str">
        <x:v>Agree</x:v>
      </x:c>
      <x:c r="I344" s="9" t="str">
        <x:v>Low concern</x:v>
      </x:c>
      <x:c r="J344" s="9" t="str">
        <x:v>Initial agreement</x:v>
      </x:c>
      <x:c r="K344" s="9" t="str">
        <x:v>Study-specific evidence is documented in the extraction and REB sheets.</x:v>
      </x:c>
      <x:c r="L344" s="9" t="str">
        <x:v>PDF pp. 3–9; Figs. 1–10</x:v>
      </x:c>
      <x:c r="M344" s="9" t="str">
        <x:v>Principal response/stability outcomes and relevant uncertainty are reported without evident unexplained omissions.</x:v>
      </x:c>
      <x:c r="N344" s="9" t="str">
        <x:v>Article PDF p. 7</x:v>
      </x:c>
      <x:c r="O344" s="9" t="str">
        <x:v>Study-specific evidence is documented in the extraction and REB sheets.</x:v>
      </x:c>
      <x:c r="P344" s="9" t="str">
        <x:v>PDF pp. 3–9; Figs. 1–10</x:v>
      </x:c>
    </x:row>
    <x:row r="345">
      <x:c r="A345" s="9" t="n">
        <x:v>43</x:v>
      </x:c>
      <x:c r="B345" s="9" t="str">
        <x:v>S055</x:v>
      </x:c>
      <x:c r="C345" s="9" t="str">
        <x:v>Ben Harrath et al. (2026)</x:v>
      </x:c>
      <x:c r="D345" s="9" t="str">
        <x:v>D8</x:v>
      </x:c>
      <x:c r="E345" s="9" t="str">
        <x:v>Some concern</x:v>
      </x:c>
      <x:c r="F345" s="9" t="str">
        <x:v>Low concern</x:v>
      </x:c>
      <x:c r="G345" s="9" t="str">
        <x:v>Yes</x:v>
      </x:c>
      <x:c r="H345" s="9" t="str">
        <x:v>Disagree</x:v>
      </x:c>
      <x:c r="I345" s="9" t="str">
        <x:v>Some concern</x:v>
      </x:c>
      <x:c r="J345" s="9" t="str">
        <x:v>Adjudicated to Reviewer 1</x:v>
      </x:c>
      <x:c r="K345" s="9" t="str">
        <x:v>The wearable configuration and extent of application testing are documented.</x:v>
      </x:c>
      <x:c r="L345" s="9" t="str">
        <x:v>PDF pp. 3–9; Figs. 1–10</x:v>
      </x:c>
      <x:c r="M345" s="9" t="str">
        <x:v>The final device was evaluated in a body-worn/use-relevant human configuration.</x:v>
      </x:c>
      <x:c r="N345" s="9" t="str">
        <x:v>Article PDF p. 7</x:v>
      </x:c>
      <x:c r="O345" s="9" t="str">
        <x:v>The wearable configuration and extent of application testing are documented.</x:v>
      </x:c>
      <x:c r="P345" s="9" t="str">
        <x:v>PDF pp. 3–9; Figs. 1–10</x:v>
      </x:c>
    </x:row>
    <x:row r="346">
      <x:c r="A346" s="9" t="n">
        <x:v>44</x:v>
      </x:c>
      <x:c r="B346" s="9" t="str">
        <x:v>S056</x:v>
      </x:c>
      <x:c r="C346" s="9" t="str">
        <x:v>Wei et al. (2026)</x:v>
      </x:c>
      <x:c r="D346" s="9" t="str">
        <x:v>D1</x:v>
      </x:c>
      <x:c r="E346" s="9" t="str">
        <x:v>Some concern</x:v>
      </x:c>
      <x:c r="F346" s="9" t="str">
        <x:v>Some concern</x:v>
      </x:c>
      <x:c r="G346" s="9" t="str">
        <x:v>Yes</x:v>
      </x:c>
      <x:c r="H346" s="9" t="str">
        <x:v>Agree</x:v>
      </x:c>
      <x:c r="I346" s="9" t="str">
        <x:v>Some concern</x:v>
      </x:c>
      <x:c r="J346" s="9" t="str">
        <x:v>Initial agreement</x:v>
      </x:c>
      <x:c r="K346" s="9" t="str">
        <x:v>Study-specific evidence is documented in the extraction and REB sheets.</x:v>
      </x:c>
      <x:c r="L346" s="9" t="str">
        <x:v>PDF pp. 3–15; Figs. 1–9; Tables 1–2</x:v>
      </x:c>
      <x:c r="M346" s="9" t="str">
        <x:v>Some unit/participant counts or selection details are provided, but fabricated-unit selection and failures are not fully accounted for.</x:v>
      </x:c>
      <x:c r="N346" s="9" t="str">
        <x:v>Article PDF p. 3</x:v>
      </x:c>
      <x:c r="O346" s="9" t="str">
        <x:v>Study-specific evidence is documented in the extraction and REB sheets.</x:v>
      </x:c>
      <x:c r="P346" s="9" t="str">
        <x:v>PDF pp. 3–15; Figs. 1–9; Tables 1–2</x:v>
      </x:c>
    </x:row>
    <x:row r="347">
      <x:c r="A347" s="9" t="n">
        <x:v>44</x:v>
      </x:c>
      <x:c r="B347" s="9" t="str">
        <x:v>S056</x:v>
      </x:c>
      <x:c r="C347" s="9" t="str">
        <x:v>Wei et al. (2026)</x:v>
      </x:c>
      <x:c r="D347" s="9" t="str">
        <x:v>D2</x:v>
      </x:c>
      <x:c r="E347" s="9" t="str">
        <x:v>Some concern</x:v>
      </x:c>
      <x:c r="F347" s="9" t="str">
        <x:v>Low concern</x:v>
      </x:c>
      <x:c r="G347" s="9" t="str">
        <x:v>Yes</x:v>
      </x:c>
      <x:c r="H347" s="9" t="str">
        <x:v>Disagree</x:v>
      </x:c>
      <x:c r="I347" s="9" t="str">
        <x:v>Some concern</x:v>
      </x:c>
      <x:c r="J347" s="9" t="str">
        <x:v>Adjudicated to Reviewer 1</x:v>
      </x:c>
      <x:c r="K347" s="9" t="str">
        <x:v>Study-specific evidence is documented in the extraction and REB sheets.</x:v>
      </x:c>
      <x:c r="L347" s="9" t="str">
        <x:v>PDF pp. 3–15; Figs. 1–9; Tables 1–2</x:v>
      </x:c>
      <x:c r="M347" s="9" t="str">
        <x:v>Relevant material, geometry, conditioning and extrusion variables are documented sufficiently for the claimed comparison.</x:v>
      </x:c>
      <x:c r="N347" s="9" t="str">
        <x:v>Article PDF p. 3</x:v>
      </x:c>
      <x:c r="O347" s="9" t="str">
        <x:v>Study-specific evidence is documented in the extraction and REB sheets.</x:v>
      </x:c>
      <x:c r="P347" s="9" t="str">
        <x:v>PDF pp. 3–15; Figs. 1–9; Tables 1–2</x:v>
      </x:c>
    </x:row>
    <x:row r="348">
      <x:c r="A348" s="9" t="n">
        <x:v>44</x:v>
      </x:c>
      <x:c r="B348" s="9" t="str">
        <x:v>S056</x:v>
      </x:c>
      <x:c r="C348" s="9" t="str">
        <x:v>Wei et al. (2026)</x:v>
      </x:c>
      <x:c r="D348" s="9" t="str">
        <x:v>D3</x:v>
      </x:c>
      <x:c r="E348" s="9" t="str">
        <x:v>Low concern</x:v>
      </x:c>
      <x:c r="F348" s="9" t="str">
        <x:v>Low concern</x:v>
      </x:c>
      <x:c r="G348" s="9" t="str">
        <x:v>Yes</x:v>
      </x:c>
      <x:c r="H348" s="9" t="str">
        <x:v>Agree</x:v>
      </x:c>
      <x:c r="I348" s="9" t="str">
        <x:v>Low concern</x:v>
      </x:c>
      <x:c r="J348" s="9" t="str">
        <x:v>Initial agreement</x:v>
      </x:c>
      <x:c r="K348" s="9" t="str">
        <x:v>Study-specific evidence is documented in the extraction and REB sheets.</x:v>
      </x:c>
      <x:c r="L348" s="9" t="str">
        <x:v>PDF pp. 3–15; Figs. 1–9; Tables 1–2</x:v>
      </x:c>
      <x:c r="M348" s="9" t="str">
        <x:v>The controlled input/reference and calibration procedure are appropriate and independently measured.</x:v>
      </x:c>
      <x:c r="N348" s="9" t="str">
        <x:v>Article PDF p. 7</x:v>
      </x:c>
      <x:c r="O348" s="9" t="str">
        <x:v>Study-specific evidence is documented in the extraction and REB sheets.</x:v>
      </x:c>
      <x:c r="P348" s="9" t="str">
        <x:v>PDF pp. 3–15; Figs. 1–9; Tables 1–2</x:v>
      </x:c>
    </x:row>
    <x:row r="349">
      <x:c r="A349" s="9" t="n">
        <x:v>44</x:v>
      </x:c>
      <x:c r="B349" s="9" t="str">
        <x:v>S056</x:v>
      </x:c>
      <x:c r="C349" s="9" t="str">
        <x:v>Wei et al. (2026)</x:v>
      </x:c>
      <x:c r="D349" s="9" t="str">
        <x:v>D4</x:v>
      </x:c>
      <x:c r="E349" s="9" t="str">
        <x:v>Low concern</x:v>
      </x:c>
      <x:c r="F349" s="9" t="str">
        <x:v>Low concern</x:v>
      </x:c>
      <x:c r="G349" s="9" t="str">
        <x:v>Yes</x:v>
      </x:c>
      <x:c r="H349" s="9" t="str">
        <x:v>Agree</x:v>
      </x:c>
      <x:c r="I349" s="9" t="str">
        <x:v>Low concern</x:v>
      </x:c>
      <x:c r="J349" s="9" t="str">
        <x:v>Initial agreement</x:v>
      </x:c>
      <x:c r="K349" s="9" t="str">
        <x:v>Study-specific evidence is documented in the extraction and REB sheets.</x:v>
      </x:c>
      <x:c r="L349" s="9" t="str">
        <x:v>PDF pp. 3–15; Figs. 1–9; Tables 1–2</x:v>
      </x:c>
      <x:c r="M349" s="9" t="str">
        <x:v>Relevant loading/exposure range, rate or geometry and measurement conditions are stated.</x:v>
      </x:c>
      <x:c r="N349" s="9" t="str">
        <x:v>Article PDF p. 17</x:v>
      </x:c>
      <x:c r="O349" s="9" t="str">
        <x:v>Study-specific evidence is documented in the extraction and REB sheets.</x:v>
      </x:c>
      <x:c r="P349" s="9" t="str">
        <x:v>PDF pp. 3–15; Figs. 1–9; Tables 1–2</x:v>
      </x:c>
    </x:row>
    <x:row r="350">
      <x:c r="A350" s="9" t="n">
        <x:v>44</x:v>
      </x:c>
      <x:c r="B350" s="9" t="str">
        <x:v>S056</x:v>
      </x:c>
      <x:c r="C350" s="9" t="str">
        <x:v>Wei et al. (2026)</x:v>
      </x:c>
      <x:c r="D350" s="9" t="str">
        <x:v>D5</x:v>
      </x:c>
      <x:c r="E350" s="9" t="str">
        <x:v>Low concern</x:v>
      </x:c>
      <x:c r="F350" s="9" t="str">
        <x:v>Low concern</x:v>
      </x:c>
      <x:c r="G350" s="9" t="str">
        <x:v>Yes</x:v>
      </x:c>
      <x:c r="H350" s="9" t="str">
        <x:v>Agree</x:v>
      </x:c>
      <x:c r="I350" s="9" t="str">
        <x:v>Low concern</x:v>
      </x:c>
      <x:c r="J350" s="9" t="str">
        <x:v>Initial agreement</x:v>
      </x:c>
      <x:c r="K350" s="9" t="str">
        <x:v>Study-specific evidence is documented in the extraction and REB sheets.</x:v>
      </x:c>
      <x:c r="L350" s="9" t="str">
        <x:v>PDF pp. 3–15; Figs. 1–9; Tables 1–2</x:v>
      </x:c>
      <x:c r="M350" s="9" t="str">
        <x:v>Repeated units/counts and a stability outcome are defined for the stated protocol.</x:v>
      </x:c>
      <x:c r="N350" s="9" t="str">
        <x:v>Article PDF p. 17</x:v>
      </x:c>
      <x:c r="O350" s="9" t="str">
        <x:v>Study-specific evidence is documented in the extraction and REB sheets.</x:v>
      </x:c>
      <x:c r="P350" s="9" t="str">
        <x:v>PDF pp. 3–15; Figs. 1–9; Tables 1–2</x:v>
      </x:c>
    </x:row>
    <x:row r="351">
      <x:c r="A351" s="9" t="n">
        <x:v>44</x:v>
      </x:c>
      <x:c r="B351" s="9" t="str">
        <x:v>S056</x:v>
      </x:c>
      <x:c r="C351" s="9" t="str">
        <x:v>Wei et al. (2026)</x:v>
      </x:c>
      <x:c r="D351" s="9" t="str">
        <x:v>D6</x:v>
      </x:c>
      <x:c r="E351" s="9" t="str">
        <x:v>High concern</x:v>
      </x:c>
      <x:c r="F351" s="9" t="str">
        <x:v>High concern</x:v>
      </x:c>
      <x:c r="G351" s="9" t="str">
        <x:v>Yes</x:v>
      </x:c>
      <x:c r="H351" s="9" t="str">
        <x:v>Agree</x:v>
      </x:c>
      <x:c r="I351" s="9" t="str">
        <x:v>High concern</x:v>
      </x:c>
      <x:c r="J351" s="9" t="str">
        <x:v>Initial agreement</x:v>
      </x:c>
      <x:c r="K351" s="9" t="str">
        <x:v>A quantitative comparison of at least three separately fabricated complete sensors was not identified.</x:v>
      </x:c>
      <x:c r="L351" s="9" t="str">
        <x:v>PDF pp. 3–15; Figs. 1–9; Tables 1–2</x:v>
      </x:c>
      <x:c r="M351" s="9" t="str">
        <x:v>Cycles, participants or configurations do not establish replication across three equivalent fabricated devices.</x:v>
      </x:c>
      <x:c r="N351" s="9" t="str">
        <x:v>Article PDF p. 1</x:v>
      </x:c>
      <x:c r="O351" s="9" t="str">
        <x:v>A quantitative comparison of at least three separately fabricated complete sensors was not identified.</x:v>
      </x:c>
      <x:c r="P351" s="9" t="str">
        <x:v>PDF pp. 3–15; Figs. 1–9; Tables 1–2</x:v>
      </x:c>
    </x:row>
    <x:row r="352">
      <x:c r="A352" s="9" t="n">
        <x:v>44</x:v>
      </x:c>
      <x:c r="B352" s="9" t="str">
        <x:v>S056</x:v>
      </x:c>
      <x:c r="C352" s="9" t="str">
        <x:v>Wei et al. (2026)</x:v>
      </x:c>
      <x:c r="D352" s="9" t="str">
        <x:v>D7</x:v>
      </x:c>
      <x:c r="E352" s="9" t="str">
        <x:v>Low concern</x:v>
      </x:c>
      <x:c r="F352" s="9" t="str">
        <x:v>Some concern</x:v>
      </x:c>
      <x:c r="G352" s="9" t="str">
        <x:v>Yes</x:v>
      </x:c>
      <x:c r="H352" s="9" t="str">
        <x:v>Disagree</x:v>
      </x:c>
      <x:c r="I352" s="9" t="str">
        <x:v>Low concern</x:v>
      </x:c>
      <x:c r="J352" s="9" t="str">
        <x:v>Adjudicated to Reviewer 1</x:v>
      </x:c>
      <x:c r="K352" s="9" t="str">
        <x:v>Study-specific evidence is documented in the extraction and REB sheets.</x:v>
      </x:c>
      <x:c r="L352" s="9" t="str">
        <x:v>PDF pp. 3–15; Figs. 1–9; Tables 1–2</x:v>
      </x:c>
      <x:c r="M352" s="9" t="str">
        <x:v>Principal outcomes are reported, but device-level uncertainty or complete accounting of units/cycles is limited.</x:v>
      </x:c>
      <x:c r="N352" s="9" t="str">
        <x:v>Article PDF p. 5</x:v>
      </x:c>
      <x:c r="O352" s="9" t="str">
        <x:v>Study-specific evidence is documented in the extraction and REB sheets.</x:v>
      </x:c>
      <x:c r="P352" s="9" t="str">
        <x:v>PDF pp. 3–15; Figs. 1–9; Tables 1–2</x:v>
      </x:c>
    </x:row>
    <x:row r="353">
      <x:c r="A353" s="9" t="n">
        <x:v>44</x:v>
      </x:c>
      <x:c r="B353" s="9" t="str">
        <x:v>S056</x:v>
      </x:c>
      <x:c r="C353" s="9" t="str">
        <x:v>Wei et al. (2026)</x:v>
      </x:c>
      <x:c r="D353" s="9" t="str">
        <x:v>D8</x:v>
      </x:c>
      <x:c r="E353" s="9" t="str">
        <x:v>Some concern</x:v>
      </x:c>
      <x:c r="F353" s="9" t="str">
        <x:v>Low concern</x:v>
      </x:c>
      <x:c r="G353" s="9" t="str">
        <x:v>Yes</x:v>
      </x:c>
      <x:c r="H353" s="9" t="str">
        <x:v>Disagree</x:v>
      </x:c>
      <x:c r="I353" s="9" t="str">
        <x:v>Some concern</x:v>
      </x:c>
      <x:c r="J353" s="9" t="str">
        <x:v>Adjudicated to Reviewer 1</x:v>
      </x:c>
      <x:c r="K353" s="9" t="str">
        <x:v>The wearable configuration and extent of application testing are documented.</x:v>
      </x:c>
      <x:c r="L353" s="9" t="str">
        <x:v>PDF pp. 3–15; Figs. 1–9; Tables 1–2</x:v>
      </x:c>
      <x:c r="M353" s="9" t="str">
        <x:v>The final device was evaluated in a body-worn/use-relevant human configuration.</x:v>
      </x:c>
      <x:c r="N353" s="9" t="str">
        <x:v>Article PDF p. 3</x:v>
      </x:c>
      <x:c r="O353" s="9" t="str">
        <x:v>The wearable configuration and extent of application testing are documented.</x:v>
      </x:c>
      <x:c r="P353" s="9" t="str">
        <x:v>PDF pp. 3–15; Figs. 1–9; Tables 1–2</x:v>
      </x:c>
    </x:row>
    <x:row r="354">
      <x:c r="A354" s="9" t="n">
        <x:v>45</x:v>
      </x:c>
      <x:c r="B354" s="9" t="str">
        <x:v>S057</x:v>
      </x:c>
      <x:c r="C354" s="9" t="str">
        <x:v>Wei et al. (2026)</x:v>
      </x:c>
      <x:c r="D354" s="9" t="str">
        <x:v>D1</x:v>
      </x:c>
      <x:c r="E354" s="9" t="str">
        <x:v>Some concern</x:v>
      </x:c>
      <x:c r="F354" s="9" t="str">
        <x:v>Some concern</x:v>
      </x:c>
      <x:c r="G354" s="9" t="str">
        <x:v>Yes</x:v>
      </x:c>
      <x:c r="H354" s="9" t="str">
        <x:v>Agree</x:v>
      </x:c>
      <x:c r="I354" s="9" t="str">
        <x:v>Some concern</x:v>
      </x:c>
      <x:c r="J354" s="9" t="str">
        <x:v>Initial agreement</x:v>
      </x:c>
      <x:c r="K354" s="9" t="str">
        <x:v>Study-specific evidence is documented in the extraction and REB sheets.</x:v>
      </x:c>
      <x:c r="L354" s="9" t="str">
        <x:v>PDF pp. 3–15; Figs. 1–10</x:v>
      </x:c>
      <x:c r="M354" s="9" t="str">
        <x:v>Some unit/participant counts or selection details are provided, but fabricated-unit selection and failures are not fully accounted for.</x:v>
      </x:c>
      <x:c r="N354" s="9" t="str">
        <x:v>Article PDF p. 2</x:v>
      </x:c>
      <x:c r="O354" s="9" t="str">
        <x:v>Study-specific evidence is documented in the extraction and REB sheets.</x:v>
      </x:c>
      <x:c r="P354" s="9" t="str">
        <x:v>PDF pp. 3–15; Figs. 1–10</x:v>
      </x:c>
    </x:row>
    <x:row r="355">
      <x:c r="A355" s="9" t="n">
        <x:v>45</x:v>
      </x:c>
      <x:c r="B355" s="9" t="str">
        <x:v>S057</x:v>
      </x:c>
      <x:c r="C355" s="9" t="str">
        <x:v>Wei et al. (2026)</x:v>
      </x:c>
      <x:c r="D355" s="9" t="str">
        <x:v>D2</x:v>
      </x:c>
      <x:c r="E355" s="9" t="str">
        <x:v>Some concern</x:v>
      </x:c>
      <x:c r="F355" s="9" t="str">
        <x:v>Low concern</x:v>
      </x:c>
      <x:c r="G355" s="9" t="str">
        <x:v>Yes</x:v>
      </x:c>
      <x:c r="H355" s="9" t="str">
        <x:v>Disagree</x:v>
      </x:c>
      <x:c r="I355" s="9" t="str">
        <x:v>Some concern</x:v>
      </x:c>
      <x:c r="J355" s="9" t="str">
        <x:v>Adjudicated to Reviewer 1</x:v>
      </x:c>
      <x:c r="K355" s="9" t="str">
        <x:v>Study-specific evidence is documented in the extraction and REB sheets.</x:v>
      </x:c>
      <x:c r="L355" s="9" t="str">
        <x:v>PDF pp. 3–15; Figs. 1–10</x:v>
      </x:c>
      <x:c r="M355" s="9" t="str">
        <x:v>Relevant material, geometry, conditioning and extrusion variables are documented sufficiently for the claimed comparison.</x:v>
      </x:c>
      <x:c r="N355" s="9" t="str">
        <x:v>Article PDF p. 3</x:v>
      </x:c>
      <x:c r="O355" s="9" t="str">
        <x:v>Study-specific evidence is documented in the extraction and REB sheets.</x:v>
      </x:c>
      <x:c r="P355" s="9" t="str">
        <x:v>PDF pp. 3–15; Figs. 1–10</x:v>
      </x:c>
    </x:row>
    <x:row r="356">
      <x:c r="A356" s="9" t="n">
        <x:v>45</x:v>
      </x:c>
      <x:c r="B356" s="9" t="str">
        <x:v>S057</x:v>
      </x:c>
      <x:c r="C356" s="9" t="str">
        <x:v>Wei et al. (2026)</x:v>
      </x:c>
      <x:c r="D356" s="9" t="str">
        <x:v>D3</x:v>
      </x:c>
      <x:c r="E356" s="9" t="str">
        <x:v>Low concern</x:v>
      </x:c>
      <x:c r="F356" s="9" t="str">
        <x:v>Low concern</x:v>
      </x:c>
      <x:c r="G356" s="9" t="str">
        <x:v>Yes</x:v>
      </x:c>
      <x:c r="H356" s="9" t="str">
        <x:v>Agree</x:v>
      </x:c>
      <x:c r="I356" s="9" t="str">
        <x:v>Low concern</x:v>
      </x:c>
      <x:c r="J356" s="9" t="str">
        <x:v>Initial agreement</x:v>
      </x:c>
      <x:c r="K356" s="9" t="str">
        <x:v>Study-specific evidence is documented in the extraction and REB sheets.</x:v>
      </x:c>
      <x:c r="L356" s="9" t="str">
        <x:v>PDF pp. 3–15; Figs. 1–10</x:v>
      </x:c>
      <x:c r="M356" s="9" t="str">
        <x:v>The controlled input/reference and calibration procedure are appropriate and independently measured.</x:v>
      </x:c>
      <x:c r="N356" s="9" t="str">
        <x:v>Article PDF p. 16</x:v>
      </x:c>
      <x:c r="O356" s="9" t="str">
        <x:v>Study-specific evidence is documented in the extraction and REB sheets.</x:v>
      </x:c>
      <x:c r="P356" s="9" t="str">
        <x:v>PDF pp. 3–15; Figs. 1–10</x:v>
      </x:c>
    </x:row>
    <x:row r="357">
      <x:c r="A357" s="9" t="n">
        <x:v>45</x:v>
      </x:c>
      <x:c r="B357" s="9" t="str">
        <x:v>S057</x:v>
      </x:c>
      <x:c r="C357" s="9" t="str">
        <x:v>Wei et al. (2026)</x:v>
      </x:c>
      <x:c r="D357" s="9" t="str">
        <x:v>D4</x:v>
      </x:c>
      <x:c r="E357" s="9" t="str">
        <x:v>Low concern</x:v>
      </x:c>
      <x:c r="F357" s="9" t="str">
        <x:v>Low concern</x:v>
      </x:c>
      <x:c r="G357" s="9" t="str">
        <x:v>Yes</x:v>
      </x:c>
      <x:c r="H357" s="9" t="str">
        <x:v>Agree</x:v>
      </x:c>
      <x:c r="I357" s="9" t="str">
        <x:v>Low concern</x:v>
      </x:c>
      <x:c r="J357" s="9" t="str">
        <x:v>Initial agreement</x:v>
      </x:c>
      <x:c r="K357" s="9" t="str">
        <x:v>Study-specific evidence is documented in the extraction and REB sheets.</x:v>
      </x:c>
      <x:c r="L357" s="9" t="str">
        <x:v>PDF pp. 3–15; Figs. 1–10</x:v>
      </x:c>
      <x:c r="M357" s="9" t="str">
        <x:v>Relevant loading/exposure range, rate or geometry and measurement conditions are stated.</x:v>
      </x:c>
      <x:c r="N357" s="9" t="str">
        <x:v>Article PDF p. 16</x:v>
      </x:c>
      <x:c r="O357" s="9" t="str">
        <x:v>Study-specific evidence is documented in the extraction and REB sheets.</x:v>
      </x:c>
      <x:c r="P357" s="9" t="str">
        <x:v>PDF pp. 3–15; Figs. 1–10</x:v>
      </x:c>
    </x:row>
    <x:row r="358">
      <x:c r="A358" s="9" t="n">
        <x:v>45</x:v>
      </x:c>
      <x:c r="B358" s="9" t="str">
        <x:v>S057</x:v>
      </x:c>
      <x:c r="C358" s="9" t="str">
        <x:v>Wei et al. (2026)</x:v>
      </x:c>
      <x:c r="D358" s="9" t="str">
        <x:v>D5</x:v>
      </x:c>
      <x:c r="E358" s="9" t="str">
        <x:v>Low concern</x:v>
      </x:c>
      <x:c r="F358" s="9" t="str">
        <x:v>Low concern</x:v>
      </x:c>
      <x:c r="G358" s="9" t="str">
        <x:v>Yes</x:v>
      </x:c>
      <x:c r="H358" s="9" t="str">
        <x:v>Agree</x:v>
      </x:c>
      <x:c r="I358" s="9" t="str">
        <x:v>Low concern</x:v>
      </x:c>
      <x:c r="J358" s="9" t="str">
        <x:v>Initial agreement</x:v>
      </x:c>
      <x:c r="K358" s="9" t="str">
        <x:v>Study-specific evidence is documented in the extraction and REB sheets.</x:v>
      </x:c>
      <x:c r="L358" s="9" t="str">
        <x:v>PDF pp. 3–15; Figs. 1–10</x:v>
      </x:c>
      <x:c r="M358" s="9" t="str">
        <x:v>Repeated units/counts and a stability outcome are defined for the stated protocol.</x:v>
      </x:c>
      <x:c r="N358" s="9" t="str">
        <x:v>Article PDF p. 2</x:v>
      </x:c>
      <x:c r="O358" s="9" t="str">
        <x:v>Study-specific evidence is documented in the extraction and REB sheets.</x:v>
      </x:c>
      <x:c r="P358" s="9" t="str">
        <x:v>PDF pp. 3–15; Figs. 1–10</x:v>
      </x:c>
    </x:row>
    <x:row r="359">
      <x:c r="A359" s="9" t="n">
        <x:v>45</x:v>
      </x:c>
      <x:c r="B359" s="9" t="str">
        <x:v>S057</x:v>
      </x:c>
      <x:c r="C359" s="9" t="str">
        <x:v>Wei et al. (2026)</x:v>
      </x:c>
      <x:c r="D359" s="9" t="str">
        <x:v>D6</x:v>
      </x:c>
      <x:c r="E359" s="9" t="str">
        <x:v>High concern</x:v>
      </x:c>
      <x:c r="F359" s="9" t="str">
        <x:v>High concern</x:v>
      </x:c>
      <x:c r="G359" s="9" t="str">
        <x:v>Yes</x:v>
      </x:c>
      <x:c r="H359" s="9" t="str">
        <x:v>Agree</x:v>
      </x:c>
      <x:c r="I359" s="9" t="str">
        <x:v>High concern</x:v>
      </x:c>
      <x:c r="J359" s="9" t="str">
        <x:v>Initial agreement</x:v>
      </x:c>
      <x:c r="K359" s="9" t="str">
        <x:v>A quantitative comparison of at least three separately fabricated complete sensors was not identified.</x:v>
      </x:c>
      <x:c r="L359" s="9" t="str">
        <x:v>PDF pp. 3–15; Figs. 1–10</x:v>
      </x:c>
      <x:c r="M359" s="9" t="str">
        <x:v>Cycles, participants or configurations do not establish replication across three equivalent fabricated devices.</x:v>
      </x:c>
      <x:c r="N359" s="9" t="str">
        <x:v>Article PDF p. 7</x:v>
      </x:c>
      <x:c r="O359" s="9" t="str">
        <x:v>A quantitative comparison of at least three separately fabricated complete sensors was not identified.</x:v>
      </x:c>
      <x:c r="P359" s="9" t="str">
        <x:v>PDF pp. 3–15; Figs. 1–10</x:v>
      </x:c>
    </x:row>
    <x:row r="360">
      <x:c r="A360" s="9" t="n">
        <x:v>45</x:v>
      </x:c>
      <x:c r="B360" s="9" t="str">
        <x:v>S057</x:v>
      </x:c>
      <x:c r="C360" s="9" t="str">
        <x:v>Wei et al. (2026)</x:v>
      </x:c>
      <x:c r="D360" s="9" t="str">
        <x:v>D7</x:v>
      </x:c>
      <x:c r="E360" s="9" t="str">
        <x:v>Low concern</x:v>
      </x:c>
      <x:c r="F360" s="9" t="str">
        <x:v>Low concern</x:v>
      </x:c>
      <x:c r="G360" s="9" t="str">
        <x:v>Yes</x:v>
      </x:c>
      <x:c r="H360" s="9" t="str">
        <x:v>Agree</x:v>
      </x:c>
      <x:c r="I360" s="9" t="str">
        <x:v>Low concern</x:v>
      </x:c>
      <x:c r="J360" s="9" t="str">
        <x:v>Initial agreement</x:v>
      </x:c>
      <x:c r="K360" s="9" t="str">
        <x:v>Study-specific evidence is documented in the extraction and REB sheets.</x:v>
      </x:c>
      <x:c r="L360" s="9" t="str">
        <x:v>PDF pp. 3–15; Figs. 1–10</x:v>
      </x:c>
      <x:c r="M360" s="9" t="str">
        <x:v>Principal response/stability outcomes and relevant uncertainty are reported without evident unexplained omissions.</x:v>
      </x:c>
      <x:c r="N360" s="9" t="str">
        <x:v>Article PDF p. 7</x:v>
      </x:c>
      <x:c r="O360" s="9" t="str">
        <x:v>Study-specific evidence is documented in the extraction and REB sheets.</x:v>
      </x:c>
      <x:c r="P360" s="9" t="str">
        <x:v>PDF pp. 3–15; Figs. 1–10</x:v>
      </x:c>
    </x:row>
    <x:row r="361">
      <x:c r="A361" s="9" t="n">
        <x:v>45</x:v>
      </x:c>
      <x:c r="B361" s="9" t="str">
        <x:v>S057</x:v>
      </x:c>
      <x:c r="C361" s="9" t="str">
        <x:v>Wei et al. (2026)</x:v>
      </x:c>
      <x:c r="D361" s="9" t="str">
        <x:v>D8</x:v>
      </x:c>
      <x:c r="E361" s="9" t="str">
        <x:v>Some concern</x:v>
      </x:c>
      <x:c r="F361" s="9" t="str">
        <x:v>Low concern</x:v>
      </x:c>
      <x:c r="G361" s="9" t="str">
        <x:v>Yes</x:v>
      </x:c>
      <x:c r="H361" s="9" t="str">
        <x:v>Disagree</x:v>
      </x:c>
      <x:c r="I361" s="9" t="str">
        <x:v>Some concern</x:v>
      </x:c>
      <x:c r="J361" s="9" t="str">
        <x:v>Adjudicated to Reviewer 1</x:v>
      </x:c>
      <x:c r="K361" s="9" t="str">
        <x:v>The wearable configuration and extent of application testing are documented.</x:v>
      </x:c>
      <x:c r="L361" s="9" t="str">
        <x:v>PDF pp. 3–15; Figs. 1–10</x:v>
      </x:c>
      <x:c r="M361" s="9" t="str">
        <x:v>The final device was evaluated in a body-worn/use-relevant human configuration.</x:v>
      </x:c>
      <x:c r="N361" s="9" t="str">
        <x:v>Article PDF p. 11</x:v>
      </x:c>
      <x:c r="O361" s="9" t="str">
        <x:v>The wearable configuration and extent of application testing are documented.</x:v>
      </x:c>
      <x:c r="P361" s="9" t="str">
        <x:v>PDF pp. 3–15; Figs. 1–10</x:v>
      </x:c>
    </x:row>
    <x:row r="362">
      <x:c r="A362" s="9" t="n">
        <x:v>46</x:v>
      </x:c>
      <x:c r="B362" s="9" t="str">
        <x:v>S058</x:v>
      </x:c>
      <x:c r="C362" s="9" t="str">
        <x:v>Yang et al. (2026)</x:v>
      </x:c>
      <x:c r="D362" s="9" t="str">
        <x:v>D1</x:v>
      </x:c>
      <x:c r="E362" s="9" t="str">
        <x:v>Some concern</x:v>
      </x:c>
      <x:c r="F362" s="9" t="str">
        <x:v>Low concern</x:v>
      </x:c>
      <x:c r="G362" s="9" t="str">
        <x:v>Yes</x:v>
      </x:c>
      <x:c r="H362" s="9" t="str">
        <x:v>Disagree</x:v>
      </x:c>
      <x:c r="I362" s="9" t="str">
        <x:v>Some concern</x:v>
      </x:c>
      <x:c r="J362" s="9" t="str">
        <x:v>Adjudicated to Reviewer 1</x:v>
      </x:c>
      <x:c r="K362" s="9" t="str">
        <x:v>Study-specific evidence is documented in the extraction and REB sheets.</x:v>
      </x:c>
      <x:c r="L362" s="9" t="str">
        <x:v>PDF pp. 3–13; Figs. 1–8; cited Supplementary Table S1</x:v>
      </x:c>
      <x:c r="M362" s="9" t="str">
        <x:v>Twenty-five sensors from five independent batches are explicitly included in the reproducibility analysis.</x:v>
      </x:c>
      <x:c r="N362" s="9" t="str">
        <x:v>Article PDF p. 12, Section on reproducibility</x:v>
      </x:c>
      <x:c r="O362" s="9" t="str">
        <x:v>Study-specific evidence is documented in the extraction and REB sheets.</x:v>
      </x:c>
      <x:c r="P362" s="9" t="str">
        <x:v>PDF pp. 3–13; Figs. 1–8; cited Supplementary Table S1</x:v>
      </x:c>
    </x:row>
    <x:row r="363">
      <x:c r="A363" s="9" t="n">
        <x:v>46</x:v>
      </x:c>
      <x:c r="B363" s="9" t="str">
        <x:v>S058</x:v>
      </x:c>
      <x:c r="C363" s="9" t="str">
        <x:v>Yang et al. (2026)</x:v>
      </x:c>
      <x:c r="D363" s="9" t="str">
        <x:v>D2</x:v>
      </x:c>
      <x:c r="E363" s="9" t="str">
        <x:v>Low concern</x:v>
      </x:c>
      <x:c r="F363" s="9" t="str">
        <x:v>Some concern</x:v>
      </x:c>
      <x:c r="G363" s="9" t="str">
        <x:v>Yes</x:v>
      </x:c>
      <x:c r="H363" s="9" t="str">
        <x:v>Disagree</x:v>
      </x:c>
      <x:c r="I363" s="9" t="str">
        <x:v>Low concern</x:v>
      </x:c>
      <x:c r="J363" s="9" t="str">
        <x:v>Adjudicated to Reviewer 1</x:v>
      </x:c>
      <x:c r="K363" s="9" t="str">
        <x:v>Study-specific evidence is documented in the extraction and REB sheets.</x:v>
      </x:c>
      <x:c r="L363" s="9" t="str">
        <x:v>PDF pp. 3–13; Figs. 1–8; cited Supplementary Table S1</x:v>
      </x:c>
      <x:c r="M363" s="9" t="str">
        <x:v>Several fabrication controls are documented, but omitted settings leave residual process-confounding concern.</x:v>
      </x:c>
      <x:c r="N363" s="9" t="str">
        <x:v>Article PDF p. 11</x:v>
      </x:c>
      <x:c r="O363" s="9" t="str">
        <x:v>Study-specific evidence is documented in the extraction and REB sheets.</x:v>
      </x:c>
      <x:c r="P363" s="9" t="str">
        <x:v>PDF pp. 3–13; Figs. 1–8; cited Supplementary Table S1</x:v>
      </x:c>
    </x:row>
    <x:row r="364">
      <x:c r="A364" s="9" t="n">
        <x:v>46</x:v>
      </x:c>
      <x:c r="B364" s="9" t="str">
        <x:v>S058</x:v>
      </x:c>
      <x:c r="C364" s="9" t="str">
        <x:v>Yang et al. (2026)</x:v>
      </x:c>
      <x:c r="D364" s="9" t="str">
        <x:v>D3</x:v>
      </x:c>
      <x:c r="E364" s="9" t="str">
        <x:v>Low concern</x:v>
      </x:c>
      <x:c r="F364" s="9" t="str">
        <x:v>Low concern</x:v>
      </x:c>
      <x:c r="G364" s="9" t="str">
        <x:v>Yes</x:v>
      </x:c>
      <x:c r="H364" s="9" t="str">
        <x:v>Agree</x:v>
      </x:c>
      <x:c r="I364" s="9" t="str">
        <x:v>Low concern</x:v>
      </x:c>
      <x:c r="J364" s="9" t="str">
        <x:v>Initial agreement</x:v>
      </x:c>
      <x:c r="K364" s="9" t="str">
        <x:v>Study-specific evidence is documented in the extraction and REB sheets.</x:v>
      </x:c>
      <x:c r="L364" s="9" t="str">
        <x:v>PDF pp. 3–13; Figs. 1–8; cited Supplementary Table S1</x:v>
      </x:c>
      <x:c r="M364" s="9" t="str">
        <x:v>The controlled input/reference and calibration procedure are appropriate and independently measured.</x:v>
      </x:c>
      <x:c r="N364" s="9" t="str">
        <x:v>Article PDF p. 5</x:v>
      </x:c>
      <x:c r="O364" s="9" t="str">
        <x:v>Study-specific evidence is documented in the extraction and REB sheets.</x:v>
      </x:c>
      <x:c r="P364" s="9" t="str">
        <x:v>PDF pp. 3–13; Figs. 1–8; cited Supplementary Table S1</x:v>
      </x:c>
    </x:row>
    <x:row r="365">
      <x:c r="A365" s="9" t="n">
        <x:v>46</x:v>
      </x:c>
      <x:c r="B365" s="9" t="str">
        <x:v>S058</x:v>
      </x:c>
      <x:c r="C365" s="9" t="str">
        <x:v>Yang et al. (2026)</x:v>
      </x:c>
      <x:c r="D365" s="9" t="str">
        <x:v>D4</x:v>
      </x:c>
      <x:c r="E365" s="9" t="str">
        <x:v>Low concern</x:v>
      </x:c>
      <x:c r="F365" s="9" t="str">
        <x:v>Low concern</x:v>
      </x:c>
      <x:c r="G365" s="9" t="str">
        <x:v>Yes</x:v>
      </x:c>
      <x:c r="H365" s="9" t="str">
        <x:v>Agree</x:v>
      </x:c>
      <x:c r="I365" s="9" t="str">
        <x:v>Low concern</x:v>
      </x:c>
      <x:c r="J365" s="9" t="str">
        <x:v>Initial agreement</x:v>
      </x:c>
      <x:c r="K365" s="9" t="str">
        <x:v>Study-specific evidence is documented in the extraction and REB sheets.</x:v>
      </x:c>
      <x:c r="L365" s="9" t="str">
        <x:v>PDF pp. 3–13; Figs. 1–8; cited Supplementary Table S1</x:v>
      </x:c>
      <x:c r="M365" s="9" t="str">
        <x:v>Relevant loading/exposure range, rate or geometry and measurement conditions are stated.</x:v>
      </x:c>
      <x:c r="N365" s="9" t="str">
        <x:v>Article PDF p. 5</x:v>
      </x:c>
      <x:c r="O365" s="9" t="str">
        <x:v>Study-specific evidence is documented in the extraction and REB sheets.</x:v>
      </x:c>
      <x:c r="P365" s="9" t="str">
        <x:v>PDF pp. 3–13; Figs. 1–8; cited Supplementary Table S1</x:v>
      </x:c>
    </x:row>
    <x:row r="366">
      <x:c r="A366" s="9" t="n">
        <x:v>46</x:v>
      </x:c>
      <x:c r="B366" s="9" t="str">
        <x:v>S058</x:v>
      </x:c>
      <x:c r="C366" s="9" t="str">
        <x:v>Yang et al. (2026)</x:v>
      </x:c>
      <x:c r="D366" s="9" t="str">
        <x:v>D5</x:v>
      </x:c>
      <x:c r="E366" s="9" t="str">
        <x:v>Low concern</x:v>
      </x:c>
      <x:c r="F366" s="9" t="str">
        <x:v>Low concern</x:v>
      </x:c>
      <x:c r="G366" s="9" t="str">
        <x:v>Yes</x:v>
      </x:c>
      <x:c r="H366" s="9" t="str">
        <x:v>Agree</x:v>
      </x:c>
      <x:c r="I366" s="9" t="str">
        <x:v>Low concern</x:v>
      </x:c>
      <x:c r="J366" s="9" t="str">
        <x:v>Initial agreement</x:v>
      </x:c>
      <x:c r="K366" s="9" t="str">
        <x:v>Study-specific evidence is documented in the extraction and REB sheets.</x:v>
      </x:c>
      <x:c r="L366" s="9" t="str">
        <x:v>PDF pp. 3–13; Figs. 1–8; cited Supplementary Table S1</x:v>
      </x:c>
      <x:c r="M366" s="9" t="str">
        <x:v>Repeated units/counts and a stability outcome are defined for the stated protocol.</x:v>
      </x:c>
      <x:c r="N366" s="9" t="str">
        <x:v>Article PDF p. 8</x:v>
      </x:c>
      <x:c r="O366" s="9" t="str">
        <x:v>Study-specific evidence is documented in the extraction and REB sheets.</x:v>
      </x:c>
      <x:c r="P366" s="9" t="str">
        <x:v>PDF pp. 3–13; Figs. 1–8; cited Supplementary Table S1</x:v>
      </x:c>
    </x:row>
    <x:row r="367">
      <x:c r="A367" s="9" t="n">
        <x:v>46</x:v>
      </x:c>
      <x:c r="B367" s="9" t="str">
        <x:v>S058</x:v>
      </x:c>
      <x:c r="C367" s="9" t="str">
        <x:v>Yang et al. (2026)</x:v>
      </x:c>
      <x:c r="D367" s="9" t="str">
        <x:v>D6</x:v>
      </x:c>
      <x:c r="E367" s="9" t="str">
        <x:v>Low concern</x:v>
      </x:c>
      <x:c r="F367" s="9" t="str">
        <x:v>Low concern</x:v>
      </x:c>
      <x:c r="G367" s="9" t="str">
        <x:v>Yes</x:v>
      </x:c>
      <x:c r="H367" s="9" t="str">
        <x:v>Agree</x:v>
      </x:c>
      <x:c r="I367" s="9" t="str">
        <x:v>Low concern</x:v>
      </x:c>
      <x:c r="J367" s="9" t="str">
        <x:v>Initial agreement</x:v>
      </x:c>
      <x:c r="K367" s="9" t="str">
        <x:v>At least three independently fabricated sensing units/specimens were quantitatively compared.</x:v>
      </x:c>
      <x:c r="L367" s="9" t="str">
        <x:v>PDF pp. 3–13; Figs. 1–8; cited Supplementary Table S1</x:v>
      </x:c>
      <x:c r="M367" s="9" t="str">
        <x:v>Five sensors from each of five fabrication batches were compared at device and batch levels.</x:v>
      </x:c>
      <x:c r="N367" s="9" t="str">
        <x:v>Article PDF p. 12</x:v>
      </x:c>
      <x:c r="O367" s="9" t="str">
        <x:v>At least three independently fabricated sensing units/specimens were quantitatively compared.</x:v>
      </x:c>
      <x:c r="P367" s="9" t="str">
        <x:v>PDF pp. 3–13; Figs. 1–8; cited Supplementary Table S1</x:v>
      </x:c>
    </x:row>
    <x:row r="368">
      <x:c r="A368" s="9" t="n">
        <x:v>46</x:v>
      </x:c>
      <x:c r="B368" s="9" t="str">
        <x:v>S058</x:v>
      </x:c>
      <x:c r="C368" s="9" t="str">
        <x:v>Yang et al. (2026)</x:v>
      </x:c>
      <x:c r="D368" s="9" t="str">
        <x:v>D7</x:v>
      </x:c>
      <x:c r="E368" s="9" t="str">
        <x:v>Low concern</x:v>
      </x:c>
      <x:c r="F368" s="9" t="str">
        <x:v>Low concern</x:v>
      </x:c>
      <x:c r="G368" s="9" t="str">
        <x:v>Yes</x:v>
      </x:c>
      <x:c r="H368" s="9" t="str">
        <x:v>Agree</x:v>
      </x:c>
      <x:c r="I368" s="9" t="str">
        <x:v>Low concern</x:v>
      </x:c>
      <x:c r="J368" s="9" t="str">
        <x:v>Initial agreement</x:v>
      </x:c>
      <x:c r="K368" s="9" t="str">
        <x:v>Study-specific evidence is documented in the extraction and REB sheets.</x:v>
      </x:c>
      <x:c r="L368" s="9" t="str">
        <x:v>PDF pp. 3–13; Figs. 1–8; cited Supplementary Table S1</x:v>
      </x:c>
      <x:c r="M368" s="9" t="str">
        <x:v>Durability, environmental and device/batch reproducibility outcomes include quantitative retention and dispersion.</x:v>
      </x:c>
      <x:c r="N368" s="9" t="str">
        <x:v>Article PDF pp. 6-12</x:v>
      </x:c>
      <x:c r="O368" s="9" t="str">
        <x:v>Study-specific evidence is documented in the extraction and REB sheets.</x:v>
      </x:c>
      <x:c r="P368" s="9" t="str">
        <x:v>PDF pp. 3–13; Figs. 1–8; cited Supplementary Table S1</x:v>
      </x:c>
    </x:row>
    <x:row r="369">
      <x:c r="A369" s="9" t="n">
        <x:v>46</x:v>
      </x:c>
      <x:c r="B369" s="9" t="str">
        <x:v>S058</x:v>
      </x:c>
      <x:c r="C369" s="9" t="str">
        <x:v>Yang et al. (2026)</x:v>
      </x:c>
      <x:c r="D369" s="9" t="str">
        <x:v>D8</x:v>
      </x:c>
      <x:c r="E369" s="9" t="str">
        <x:v>Low concern</x:v>
      </x:c>
      <x:c r="F369" s="9" t="str">
        <x:v>Low concern</x:v>
      </x:c>
      <x:c r="G369" s="9" t="str">
        <x:v>Yes</x:v>
      </x:c>
      <x:c r="H369" s="9" t="str">
        <x:v>Agree</x:v>
      </x:c>
      <x:c r="I369" s="9" t="str">
        <x:v>Low concern</x:v>
      </x:c>
      <x:c r="J369" s="9" t="str">
        <x:v>Initial agreement</x:v>
      </x:c>
      <x:c r="K369" s="9" t="str">
        <x:v>The wearable configuration and extent of application testing are documented.</x:v>
      </x:c>
      <x:c r="L369" s="9" t="str">
        <x:v>PDF pp. 3–13; Figs. 1–8; cited Supplementary Table S1</x:v>
      </x:c>
      <x:c r="M369" s="9" t="str">
        <x:v>The final device was evaluated in a body-worn/use-relevant human configuration.</x:v>
      </x:c>
      <x:c r="N369" s="9" t="str">
        <x:v>Article PDF p. 14</x:v>
      </x:c>
      <x:c r="O369" s="9" t="str">
        <x:v>The wearable configuration and extent of application testing are documented.</x:v>
      </x:c>
      <x:c r="P369" s="9" t="str">
        <x:v>PDF pp. 3–13; Figs. 1–8; cited Supplementary Table S1</x:v>
      </x:c>
    </x:row>
    <x:row r="370">
      <x:c r="A370" s="9" t="n">
        <x:v>47</x:v>
      </x:c>
      <x:c r="B370" s="9" t="str">
        <x:v>S059</x:v>
      </x:c>
      <x:c r="C370" s="9" t="str">
        <x:v>Saroli et al. (2026)</x:v>
      </x:c>
      <x:c r="D370" s="9" t="str">
        <x:v>D1</x:v>
      </x:c>
      <x:c r="E370" s="9" t="str">
        <x:v>Some concern</x:v>
      </x:c>
      <x:c r="F370" s="9" t="str">
        <x:v>Some concern</x:v>
      </x:c>
      <x:c r="G370" s="9" t="str">
        <x:v>Yes</x:v>
      </x:c>
      <x:c r="H370" s="9" t="str">
        <x:v>Agree</x:v>
      </x:c>
      <x:c r="I370" s="9" t="str">
        <x:v>Some concern</x:v>
      </x:c>
      <x:c r="J370" s="9" t="str">
        <x:v>Initial agreement</x:v>
      </x:c>
      <x:c r="K370" s="9" t="str">
        <x:v>Study-specific evidence is documented in the extraction and REB sheets.</x:v>
      </x:c>
      <x:c r="L370" s="9" t="str">
        <x:v>PDF pp. 3–15; Figs. 1–9; cited Supplementary Table S1</x:v>
      </x:c>
      <x:c r="M370" s="9" t="str">
        <x:v>Some unit/participant counts or selection details are provided, but fabricated-unit selection and failures are not fully accounted for.</x:v>
      </x:c>
      <x:c r="N370" s="9" t="str">
        <x:v>Article PDF p. 5</x:v>
      </x:c>
      <x:c r="O370" s="9" t="str">
        <x:v>Study-specific evidence is documented in the extraction and REB sheets.</x:v>
      </x:c>
      <x:c r="P370" s="9" t="str">
        <x:v>PDF pp. 3–15; Figs. 1–9; cited Supplementary Table S1</x:v>
      </x:c>
    </x:row>
    <x:row r="371">
      <x:c r="A371" s="9" t="n">
        <x:v>47</x:v>
      </x:c>
      <x:c r="B371" s="9" t="str">
        <x:v>S059</x:v>
      </x:c>
      <x:c r="C371" s="9" t="str">
        <x:v>Saroli et al. (2026)</x:v>
      </x:c>
      <x:c r="D371" s="9" t="str">
        <x:v>D2</x:v>
      </x:c>
      <x:c r="E371" s="9" t="str">
        <x:v>Some concern</x:v>
      </x:c>
      <x:c r="F371" s="9" t="str">
        <x:v>Low concern</x:v>
      </x:c>
      <x:c r="G371" s="9" t="str">
        <x:v>Yes</x:v>
      </x:c>
      <x:c r="H371" s="9" t="str">
        <x:v>Disagree</x:v>
      </x:c>
      <x:c r="I371" s="9" t="str">
        <x:v>Some concern</x:v>
      </x:c>
      <x:c r="J371" s="9" t="str">
        <x:v>Adjudicated to Reviewer 1</x:v>
      </x:c>
      <x:c r="K371" s="9" t="str">
        <x:v>Study-specific evidence is documented in the extraction and REB sheets.</x:v>
      </x:c>
      <x:c r="L371" s="9" t="str">
        <x:v>PDF pp. 3–15; Figs. 1–9; cited Supplementary Table S1</x:v>
      </x:c>
      <x:c r="M371" s="9" t="str">
        <x:v>Relevant material, geometry, conditioning and extrusion variables are documented sufficiently for the claimed comparison.</x:v>
      </x:c>
      <x:c r="N371" s="9" t="str">
        <x:v>S059_Supplementary.pdf, PDF p. 2</x:v>
      </x:c>
      <x:c r="O371" s="9" t="str">
        <x:v>Study-specific evidence is documented in the extraction and REB sheets.</x:v>
      </x:c>
      <x:c r="P371" s="9" t="str">
        <x:v>PDF pp. 3–15; Figs. 1–9; cited Supplementary Table S1</x:v>
      </x:c>
    </x:row>
    <x:row r="372">
      <x:c r="A372" s="9" t="n">
        <x:v>47</x:v>
      </x:c>
      <x:c r="B372" s="9" t="str">
        <x:v>S059</x:v>
      </x:c>
      <x:c r="C372" s="9" t="str">
        <x:v>Saroli et al. (2026)</x:v>
      </x:c>
      <x:c r="D372" s="9" t="str">
        <x:v>D3</x:v>
      </x:c>
      <x:c r="E372" s="9" t="str">
        <x:v>Low concern</x:v>
      </x:c>
      <x:c r="F372" s="9" t="str">
        <x:v>Low concern</x:v>
      </x:c>
      <x:c r="G372" s="9" t="str">
        <x:v>Yes</x:v>
      </x:c>
      <x:c r="H372" s="9" t="str">
        <x:v>Agree</x:v>
      </x:c>
      <x:c r="I372" s="9" t="str">
        <x:v>Low concern</x:v>
      </x:c>
      <x:c r="J372" s="9" t="str">
        <x:v>Initial agreement</x:v>
      </x:c>
      <x:c r="K372" s="9" t="str">
        <x:v>Study-specific evidence is documented in the extraction and REB sheets.</x:v>
      </x:c>
      <x:c r="L372" s="9" t="str">
        <x:v>PDF pp. 3–15; Figs. 1–9; cited Supplementary Table S1</x:v>
      </x:c>
      <x:c r="M372" s="9" t="str">
        <x:v>The controlled input/reference and calibration procedure are appropriate and independently measured.</x:v>
      </x:c>
      <x:c r="N372" s="9" t="str">
        <x:v>Article PDF p. 5</x:v>
      </x:c>
      <x:c r="O372" s="9" t="str">
        <x:v>Study-specific evidence is documented in the extraction and REB sheets.</x:v>
      </x:c>
      <x:c r="P372" s="9" t="str">
        <x:v>PDF pp. 3–15; Figs. 1–9; cited Supplementary Table S1</x:v>
      </x:c>
    </x:row>
    <x:row r="373">
      <x:c r="A373" s="9" t="n">
        <x:v>47</x:v>
      </x:c>
      <x:c r="B373" s="9" t="str">
        <x:v>S059</x:v>
      </x:c>
      <x:c r="C373" s="9" t="str">
        <x:v>Saroli et al. (2026)</x:v>
      </x:c>
      <x:c r="D373" s="9" t="str">
        <x:v>D4</x:v>
      </x:c>
      <x:c r="E373" s="9" t="str">
        <x:v>Low concern</x:v>
      </x:c>
      <x:c r="F373" s="9" t="str">
        <x:v>Low concern</x:v>
      </x:c>
      <x:c r="G373" s="9" t="str">
        <x:v>Yes</x:v>
      </x:c>
      <x:c r="H373" s="9" t="str">
        <x:v>Agree</x:v>
      </x:c>
      <x:c r="I373" s="9" t="str">
        <x:v>Low concern</x:v>
      </x:c>
      <x:c r="J373" s="9" t="str">
        <x:v>Initial agreement</x:v>
      </x:c>
      <x:c r="K373" s="9" t="str">
        <x:v>Study-specific evidence is documented in the extraction and REB sheets.</x:v>
      </x:c>
      <x:c r="L373" s="9" t="str">
        <x:v>PDF pp. 3–15; Figs. 1–9; cited Supplementary Table S1</x:v>
      </x:c>
      <x:c r="M373" s="9" t="str">
        <x:v>Relevant loading/exposure range, rate or geometry and measurement conditions are stated.</x:v>
      </x:c>
      <x:c r="N373" s="9" t="str">
        <x:v>Article PDF p. 5</x:v>
      </x:c>
      <x:c r="O373" s="9" t="str">
        <x:v>Study-specific evidence is documented in the extraction and REB sheets.</x:v>
      </x:c>
      <x:c r="P373" s="9" t="str">
        <x:v>PDF pp. 3–15; Figs. 1–9; cited Supplementary Table S1</x:v>
      </x:c>
    </x:row>
    <x:row r="374">
      <x:c r="A374" s="9" t="n">
        <x:v>47</x:v>
      </x:c>
      <x:c r="B374" s="9" t="str">
        <x:v>S059</x:v>
      </x:c>
      <x:c r="C374" s="9" t="str">
        <x:v>Saroli et al. (2026)</x:v>
      </x:c>
      <x:c r="D374" s="9" t="str">
        <x:v>D5</x:v>
      </x:c>
      <x:c r="E374" s="9" t="str">
        <x:v>Low concern</x:v>
      </x:c>
      <x:c r="F374" s="9" t="str">
        <x:v>Low concern</x:v>
      </x:c>
      <x:c r="G374" s="9" t="str">
        <x:v>Yes</x:v>
      </x:c>
      <x:c r="H374" s="9" t="str">
        <x:v>Agree</x:v>
      </x:c>
      <x:c r="I374" s="9" t="str">
        <x:v>Low concern</x:v>
      </x:c>
      <x:c r="J374" s="9" t="str">
        <x:v>Initial agreement</x:v>
      </x:c>
      <x:c r="K374" s="9" t="str">
        <x:v>Study-specific evidence is documented in the extraction and REB sheets.</x:v>
      </x:c>
      <x:c r="L374" s="9" t="str">
        <x:v>PDF pp. 3–15; Figs. 1–9; cited Supplementary Table S1</x:v>
      </x:c>
      <x:c r="M374" s="9" t="str">
        <x:v>Repeated units/counts and a stability outcome are defined for the stated protocol.</x:v>
      </x:c>
      <x:c r="N374" s="9" t="str">
        <x:v>Article PDF p. 5</x:v>
      </x:c>
      <x:c r="O374" s="9" t="str">
        <x:v>Study-specific evidence is documented in the extraction and REB sheets.</x:v>
      </x:c>
      <x:c r="P374" s="9" t="str">
        <x:v>PDF pp. 3–15; Figs. 1–9; cited Supplementary Table S1</x:v>
      </x:c>
    </x:row>
    <x:row r="375">
      <x:c r="A375" s="9" t="n">
        <x:v>47</x:v>
      </x:c>
      <x:c r="B375" s="9" t="str">
        <x:v>S059</x:v>
      </x:c>
      <x:c r="C375" s="9" t="str">
        <x:v>Saroli et al. (2026)</x:v>
      </x:c>
      <x:c r="D375" s="9" t="str">
        <x:v>D6</x:v>
      </x:c>
      <x:c r="E375" s="9" t="str">
        <x:v>High concern</x:v>
      </x:c>
      <x:c r="F375" s="9" t="str">
        <x:v>High concern</x:v>
      </x:c>
      <x:c r="G375" s="9" t="str">
        <x:v>Yes</x:v>
      </x:c>
      <x:c r="H375" s="9" t="str">
        <x:v>Agree</x:v>
      </x:c>
      <x:c r="I375" s="9" t="str">
        <x:v>High concern</x:v>
      </x:c>
      <x:c r="J375" s="9" t="str">
        <x:v>Initial agreement</x:v>
      </x:c>
      <x:c r="K375" s="9" t="str">
        <x:v>A quantitative comparison of at least three separately fabricated complete sensors was not identified.</x:v>
      </x:c>
      <x:c r="L375" s="9" t="str">
        <x:v>PDF pp. 3–15; Figs. 1–9; cited Supplementary Table S1</x:v>
      </x:c>
      <x:c r="M375" s="9" t="str">
        <x:v>Cycles, participants or configurations do not establish replication across three equivalent fabricated devices.</x:v>
      </x:c>
      <x:c r="N375" s="9" t="str">
        <x:v>Article PDF p. 5</x:v>
      </x:c>
      <x:c r="O375" s="9" t="str">
        <x:v>A quantitative comparison of at least three separately fabricated complete sensors was not identified.</x:v>
      </x:c>
      <x:c r="P375" s="9" t="str">
        <x:v>PDF pp. 3–15; Figs. 1–9; cited Supplementary Table S1</x:v>
      </x:c>
    </x:row>
    <x:row r="376">
      <x:c r="A376" s="9" t="n">
        <x:v>47</x:v>
      </x:c>
      <x:c r="B376" s="9" t="str">
        <x:v>S059</x:v>
      </x:c>
      <x:c r="C376" s="9" t="str">
        <x:v>Saroli et al. (2026)</x:v>
      </x:c>
      <x:c r="D376" s="9" t="str">
        <x:v>D7</x:v>
      </x:c>
      <x:c r="E376" s="9" t="str">
        <x:v>Low concern</x:v>
      </x:c>
      <x:c r="F376" s="9" t="str">
        <x:v>Low concern</x:v>
      </x:c>
      <x:c r="G376" s="9" t="str">
        <x:v>Yes</x:v>
      </x:c>
      <x:c r="H376" s="9" t="str">
        <x:v>Agree</x:v>
      </x:c>
      <x:c r="I376" s="9" t="str">
        <x:v>Low concern</x:v>
      </x:c>
      <x:c r="J376" s="9" t="str">
        <x:v>Initial agreement</x:v>
      </x:c>
      <x:c r="K376" s="9" t="str">
        <x:v>Study-specific evidence is documented in the extraction and REB sheets.</x:v>
      </x:c>
      <x:c r="L376" s="9" t="str">
        <x:v>PDF pp. 3–15; Figs. 1–9; cited Supplementary Table S1</x:v>
      </x:c>
      <x:c r="M376" s="9" t="str">
        <x:v>Principal response/stability outcomes and relevant uncertainty are reported without evident unexplained omissions.</x:v>
      </x:c>
      <x:c r="N376" s="9" t="str">
        <x:v>Article PDF p. 7</x:v>
      </x:c>
      <x:c r="O376" s="9" t="str">
        <x:v>Study-specific evidence is documented in the extraction and REB sheets.</x:v>
      </x:c>
      <x:c r="P376" s="9" t="str">
        <x:v>PDF pp. 3–15; Figs. 1–9; cited Supplementary Table S1</x:v>
      </x:c>
    </x:row>
    <x:row r="377">
      <x:c r="A377" s="9" t="n">
        <x:v>47</x:v>
      </x:c>
      <x:c r="B377" s="9" t="str">
        <x:v>S059</x:v>
      </x:c>
      <x:c r="C377" s="9" t="str">
        <x:v>Saroli et al. (2026)</x:v>
      </x:c>
      <x:c r="D377" s="9" t="str">
        <x:v>D8</x:v>
      </x:c>
      <x:c r="E377" s="9" t="str">
        <x:v>Some concern</x:v>
      </x:c>
      <x:c r="F377" s="9" t="str">
        <x:v>Low concern</x:v>
      </x:c>
      <x:c r="G377" s="9" t="str">
        <x:v>Yes</x:v>
      </x:c>
      <x:c r="H377" s="9" t="str">
        <x:v>Disagree</x:v>
      </x:c>
      <x:c r="I377" s="9" t="str">
        <x:v>Some concern</x:v>
      </x:c>
      <x:c r="J377" s="9" t="str">
        <x:v>Adjudicated to Reviewer 1</x:v>
      </x:c>
      <x:c r="K377" s="9" t="str">
        <x:v>The wearable configuration and extent of application testing are documented.</x:v>
      </x:c>
      <x:c r="L377" s="9" t="str">
        <x:v>PDF pp. 3–15; Figs. 1–9; cited Supplementary Table S1</x:v>
      </x:c>
      <x:c r="M377" s="9" t="str">
        <x:v>The final device was evaluated in a body-worn/use-relevant human configuration.</x:v>
      </x:c>
      <x:c r="N377" s="9" t="str">
        <x:v>Article PDF p. 5</x:v>
      </x:c>
      <x:c r="O377" s="9" t="str">
        <x:v>The wearable configuration and extent of application testing are documented.</x:v>
      </x:c>
      <x:c r="P377" s="9" t="str">
        <x:v>PDF pp. 3–15; Figs. 1–9; cited Supplementary Table S1</x:v>
      </x:c>
    </x:row>
    <x:row r="378">
      <x:c r="A378" s="9" t="n">
        <x:v>48</x:v>
      </x:c>
      <x:c r="B378" s="9" t="str">
        <x:v>S060</x:v>
      </x:c>
      <x:c r="C378" s="9" t="str">
        <x:v>Porfyrakis et al. (2026)</x:v>
      </x:c>
      <x:c r="D378" s="9" t="str">
        <x:v>D1</x:v>
      </x:c>
      <x:c r="E378" s="9" t="str">
        <x:v>High concern</x:v>
      </x:c>
      <x:c r="F378" s="9" t="str">
        <x:v>Some concern</x:v>
      </x:c>
      <x:c r="G378" s="9" t="str">
        <x:v>Yes</x:v>
      </x:c>
      <x:c r="H378" s="9" t="str">
        <x:v>Disagree</x:v>
      </x:c>
      <x:c r="I378" s="9" t="str">
        <x:v>High concern</x:v>
      </x:c>
      <x:c r="J378" s="9" t="str">
        <x:v>Adjudicated to Reviewer 1</x:v>
      </x:c>
      <x:c r="K378" s="9" t="str">
        <x:v>Study-specific basis is documented in the extraction and REB sheets.</x:v>
      </x:c>
      <x:c r="L378" s="9" t="str">
        <x:v>PDF pp. 2–15; Figs. 1–10; Tables 1–4</x:v>
      </x:c>
      <x:c r="M378" s="9" t="str">
        <x:v>Some unit/participant counts or selection details are provided, but fabricated-unit selection and failures are not fully accounted for.</x:v>
      </x:c>
      <x:c r="N378" s="9" t="str">
        <x:v>Article PDF p. 15</x:v>
      </x:c>
      <x:c r="O378" s="9" t="str">
        <x:v>Study-specific basis is documented in the extraction and REB sheets.</x:v>
      </x:c>
      <x:c r="P378" s="9" t="str">
        <x:v>PDF pp. 2–15; Figs. 1–10; Tables 1–4</x:v>
      </x:c>
    </x:row>
    <x:row r="379">
      <x:c r="A379" s="9" t="n">
        <x:v>48</x:v>
      </x:c>
      <x:c r="B379" s="9" t="str">
        <x:v>S060</x:v>
      </x:c>
      <x:c r="C379" s="9" t="str">
        <x:v>Porfyrakis et al. (2026)</x:v>
      </x:c>
      <x:c r="D379" s="9" t="str">
        <x:v>D2</x:v>
      </x:c>
      <x:c r="E379" s="9" t="str">
        <x:v>Some concern</x:v>
      </x:c>
      <x:c r="F379" s="9" t="str">
        <x:v>Low concern</x:v>
      </x:c>
      <x:c r="G379" s="9" t="str">
        <x:v>Yes</x:v>
      </x:c>
      <x:c r="H379" s="9" t="str">
        <x:v>Disagree</x:v>
      </x:c>
      <x:c r="I379" s="9" t="str">
        <x:v>Some concern</x:v>
      </x:c>
      <x:c r="J379" s="9" t="str">
        <x:v>Adjudicated to Reviewer 1</x:v>
      </x:c>
      <x:c r="K379" s="9" t="str">
        <x:v>Study-specific basis is documented in the extraction and REB sheets.</x:v>
      </x:c>
      <x:c r="L379" s="9" t="str">
        <x:v>PDF pp. 2–15; Figs. 1–10; Tables 1–4</x:v>
      </x:c>
      <x:c r="M379" s="9" t="str">
        <x:v>Relevant material, geometry, conditioning and extrusion variables are documented sufficiently for the claimed comparison.</x:v>
      </x:c>
      <x:c r="N379" s="9" t="str">
        <x:v>Article PDF p. 3</x:v>
      </x:c>
      <x:c r="O379" s="9" t="str">
        <x:v>Study-specific basis is documented in the extraction and REB sheets.</x:v>
      </x:c>
      <x:c r="P379" s="9" t="str">
        <x:v>PDF pp. 2–15; Figs. 1–10; Tables 1–4</x:v>
      </x:c>
    </x:row>
    <x:row r="380">
      <x:c r="A380" s="9" t="n">
        <x:v>48</x:v>
      </x:c>
      <x:c r="B380" s="9" t="str">
        <x:v>S060</x:v>
      </x:c>
      <x:c r="C380" s="9" t="str">
        <x:v>Porfyrakis et al. (2026)</x:v>
      </x:c>
      <x:c r="D380" s="9" t="str">
        <x:v>D3</x:v>
      </x:c>
      <x:c r="E380" s="9" t="str">
        <x:v>Low concern</x:v>
      </x:c>
      <x:c r="F380" s="9" t="str">
        <x:v>Low concern</x:v>
      </x:c>
      <x:c r="G380" s="9" t="str">
        <x:v>Yes</x:v>
      </x:c>
      <x:c r="H380" s="9" t="str">
        <x:v>Agree</x:v>
      </x:c>
      <x:c r="I380" s="9" t="str">
        <x:v>Low concern</x:v>
      </x:c>
      <x:c r="J380" s="9" t="str">
        <x:v>Initial agreement</x:v>
      </x:c>
      <x:c r="K380" s="9" t="str">
        <x:v>Study-specific basis is documented in the extraction and REB sheets.</x:v>
      </x:c>
      <x:c r="L380" s="9" t="str">
        <x:v>PDF pp. 2–15; Figs. 1–10; Tables 1–4</x:v>
      </x:c>
      <x:c r="M380" s="9" t="str">
        <x:v>The controlled input/reference and calibration procedure are appropriate and independently measured.</x:v>
      </x:c>
      <x:c r="N380" s="9" t="str">
        <x:v>Article PDF p. 15</x:v>
      </x:c>
      <x:c r="O380" s="9" t="str">
        <x:v>Study-specific basis is documented in the extraction and REB sheets.</x:v>
      </x:c>
      <x:c r="P380" s="9" t="str">
        <x:v>PDF pp. 2–15; Figs. 1–10; Tables 1–4</x:v>
      </x:c>
    </x:row>
    <x:row r="381">
      <x:c r="A381" s="9" t="n">
        <x:v>48</x:v>
      </x:c>
      <x:c r="B381" s="9" t="str">
        <x:v>S060</x:v>
      </x:c>
      <x:c r="C381" s="9" t="str">
        <x:v>Porfyrakis et al. (2026)</x:v>
      </x:c>
      <x:c r="D381" s="9" t="str">
        <x:v>D4</x:v>
      </x:c>
      <x:c r="E381" s="9" t="str">
        <x:v>Low concern</x:v>
      </x:c>
      <x:c r="F381" s="9" t="str">
        <x:v>Low concern</x:v>
      </x:c>
      <x:c r="G381" s="9" t="str">
        <x:v>Yes</x:v>
      </x:c>
      <x:c r="H381" s="9" t="str">
        <x:v>Agree</x:v>
      </x:c>
      <x:c r="I381" s="9" t="str">
        <x:v>Low concern</x:v>
      </x:c>
      <x:c r="J381" s="9" t="str">
        <x:v>Initial agreement</x:v>
      </x:c>
      <x:c r="K381" s="9" t="str">
        <x:v>Study-specific basis is documented in the extraction and REB sheets.</x:v>
      </x:c>
      <x:c r="L381" s="9" t="str">
        <x:v>PDF pp. 2–15; Figs. 1–10; Tables 1–4</x:v>
      </x:c>
      <x:c r="M381" s="9" t="str">
        <x:v>Relevant loading/exposure range, rate or geometry and measurement conditions are stated.</x:v>
      </x:c>
      <x:c r="N381" s="9" t="str">
        <x:v>Article PDF p. 15</x:v>
      </x:c>
      <x:c r="O381" s="9" t="str">
        <x:v>Study-specific basis is documented in the extraction and REB sheets.</x:v>
      </x:c>
      <x:c r="P381" s="9" t="str">
        <x:v>PDF pp. 2–15; Figs. 1–10; Tables 1–4</x:v>
      </x:c>
    </x:row>
    <x:row r="382">
      <x:c r="A382" s="9" t="n">
        <x:v>48</x:v>
      </x:c>
      <x:c r="B382" s="9" t="str">
        <x:v>S060</x:v>
      </x:c>
      <x:c r="C382" s="9" t="str">
        <x:v>Porfyrakis et al. (2026)</x:v>
      </x:c>
      <x:c r="D382" s="9" t="str">
        <x:v>D5</x:v>
      </x:c>
      <x:c r="E382" s="9" t="str">
        <x:v>Low concern</x:v>
      </x:c>
      <x:c r="F382" s="9" t="str">
        <x:v>Low concern</x:v>
      </x:c>
      <x:c r="G382" s="9" t="str">
        <x:v>Yes</x:v>
      </x:c>
      <x:c r="H382" s="9" t="str">
        <x:v>Agree</x:v>
      </x:c>
      <x:c r="I382" s="9" t="str">
        <x:v>Low concern</x:v>
      </x:c>
      <x:c r="J382" s="9" t="str">
        <x:v>Initial agreement</x:v>
      </x:c>
      <x:c r="K382" s="9" t="str">
        <x:v>Study-specific basis is documented in the extraction and REB sheets.</x:v>
      </x:c>
      <x:c r="L382" s="9" t="str">
        <x:v>PDF pp. 2–15; Figs. 1–10; Tables 1–4</x:v>
      </x:c>
      <x:c r="M382" s="9" t="str">
        <x:v>Repeated units/counts and a stability outcome are defined for the stated protocol.</x:v>
      </x:c>
      <x:c r="N382" s="9" t="str">
        <x:v>Article PDF p. 13</x:v>
      </x:c>
      <x:c r="O382" s="9" t="str">
        <x:v>Study-specific basis is documented in the extraction and REB sheets.</x:v>
      </x:c>
      <x:c r="P382" s="9" t="str">
        <x:v>PDF pp. 2–15; Figs. 1–10; Tables 1–4</x:v>
      </x:c>
    </x:row>
    <x:row r="383">
      <x:c r="A383" s="9" t="n">
        <x:v>48</x:v>
      </x:c>
      <x:c r="B383" s="9" t="str">
        <x:v>S060</x:v>
      </x:c>
      <x:c r="C383" s="9" t="str">
        <x:v>Porfyrakis et al. (2026)</x:v>
      </x:c>
      <x:c r="D383" s="9" t="str">
        <x:v>D6</x:v>
      </x:c>
      <x:c r="E383" s="9" t="str">
        <x:v>High concern</x:v>
      </x:c>
      <x:c r="F383" s="9" t="str">
        <x:v>High concern</x:v>
      </x:c>
      <x:c r="G383" s="9" t="str">
        <x:v>Yes</x:v>
      </x:c>
      <x:c r="H383" s="9" t="str">
        <x:v>Agree</x:v>
      </x:c>
      <x:c r="I383" s="9" t="str">
        <x:v>High concern</x:v>
      </x:c>
      <x:c r="J383" s="9" t="str">
        <x:v>Initial agreement</x:v>
      </x:c>
      <x:c r="K383" s="9" t="str">
        <x:v>A qualifying same-condition comparison of at least three separately fabricated complete sensors was not identified.</x:v>
      </x:c>
      <x:c r="L383" s="9" t="str">
        <x:v>PDF pp. 2–15; Figs. 1–10; Tables 1–4</x:v>
      </x:c>
      <x:c r="M383" s="9" t="str">
        <x:v>Cycles, participants or configurations do not establish replication across three equivalent fabricated devices.</x:v>
      </x:c>
      <x:c r="N383" s="9" t="str">
        <x:v>Article PDF p. 15</x:v>
      </x:c>
      <x:c r="O383" s="9" t="str">
        <x:v>A qualifying same-condition comparison of at least three separately fabricated complete sensors was not identified.</x:v>
      </x:c>
      <x:c r="P383" s="9" t="str">
        <x:v>PDF pp. 2–15; Figs. 1–10; Tables 1–4</x:v>
      </x:c>
    </x:row>
    <x:row r="384">
      <x:c r="A384" s="9" t="n">
        <x:v>48</x:v>
      </x:c>
      <x:c r="B384" s="9" t="str">
        <x:v>S060</x:v>
      </x:c>
      <x:c r="C384" s="9" t="str">
        <x:v>Porfyrakis et al. (2026)</x:v>
      </x:c>
      <x:c r="D384" s="9" t="str">
        <x:v>D7</x:v>
      </x:c>
      <x:c r="E384" s="9" t="str">
        <x:v>Low concern</x:v>
      </x:c>
      <x:c r="F384" s="9" t="str">
        <x:v>Some concern</x:v>
      </x:c>
      <x:c r="G384" s="9" t="str">
        <x:v>Yes</x:v>
      </x:c>
      <x:c r="H384" s="9" t="str">
        <x:v>Disagree</x:v>
      </x:c>
      <x:c r="I384" s="9" t="str">
        <x:v>Low concern</x:v>
      </x:c>
      <x:c r="J384" s="9" t="str">
        <x:v>Adjudicated to Reviewer 1</x:v>
      </x:c>
      <x:c r="K384" s="9" t="str">
        <x:v>Study-specific basis is documented in the extraction and REB sheets.</x:v>
      </x:c>
      <x:c r="L384" s="9" t="str">
        <x:v>PDF pp. 2–15; Figs. 1–10; Tables 1–4</x:v>
      </x:c>
      <x:c r="M384" s="9" t="str">
        <x:v>Principal outcomes are reported, but device-level uncertainty or complete accounting of units/cycles is limited.</x:v>
      </x:c>
      <x:c r="N384" s="9" t="str">
        <x:v>Article PDF p. 5</x:v>
      </x:c>
      <x:c r="O384" s="9" t="str">
        <x:v>Study-specific basis is documented in the extraction and REB sheets.</x:v>
      </x:c>
      <x:c r="P384" s="9" t="str">
        <x:v>PDF pp. 2–15; Figs. 1–10; Tables 1–4</x:v>
      </x:c>
    </x:row>
    <x:row r="385">
      <x:c r="A385" s="9" t="n">
        <x:v>48</x:v>
      </x:c>
      <x:c r="B385" s="9" t="str">
        <x:v>S060</x:v>
      </x:c>
      <x:c r="C385" s="9" t="str">
        <x:v>Porfyrakis et al. (2026)</x:v>
      </x:c>
      <x:c r="D385" s="9" t="str">
        <x:v>D8</x:v>
      </x:c>
      <x:c r="E385" s="9" t="str">
        <x:v>High concern</x:v>
      </x:c>
      <x:c r="F385" s="9" t="str">
        <x:v>Some concern</x:v>
      </x:c>
      <x:c r="G385" s="9" t="str">
        <x:v>Yes</x:v>
      </x:c>
      <x:c r="H385" s="9" t="str">
        <x:v>Disagree</x:v>
      </x:c>
      <x:c r="I385" s="9" t="str">
        <x:v>High concern</x:v>
      </x:c>
      <x:c r="J385" s="9" t="str">
        <x:v>Adjudicated to Reviewer 1</x:v>
      </x:c>
      <x:c r="K385" s="9" t="str">
        <x:v>Wearable configuration and extent of application testing are documented in the sensor and experiment sheets.</x:v>
      </x:c>
      <x:c r="L385" s="9" t="str">
        <x:v>PDF pp. 2–15; Figs. 1–10; Tables 1–4</x:v>
      </x:c>
      <x:c r="M385" s="9" t="str">
        <x:v>A sensorized midsole proof of concept is demonstrated, but participant-based body-worn gait validation is deferred to future work.</x:v>
      </x:c>
      <x:c r="N385" s="9" t="str">
        <x:v>Article PDF pp. 14-15, Figure 11</x:v>
      </x:c>
      <x:c r="O385" s="9" t="str">
        <x:v>Wearable configuration and extent of application testing are documented in the sensor and experiment sheets.</x:v>
      </x:c>
      <x:c r="P385" s="9" t="str">
        <x:v>PDF pp. 2–15; Figs. 1–10; Tables 1–4</x:v>
      </x:c>
    </x:row>
    <x:row r="386">
      <x:c r="A386" s="9" t="n">
        <x:v>49</x:v>
      </x:c>
      <x:c r="B386" s="9" t="str">
        <x:v>S061</x:v>
      </x:c>
      <x:c r="C386" s="9" t="str">
        <x:v>Kumar et al. (2026)</x:v>
      </x:c>
      <x:c r="D386" s="9" t="str">
        <x:v>D1</x:v>
      </x:c>
      <x:c r="E386" s="9" t="str">
        <x:v>Some concern</x:v>
      </x:c>
      <x:c r="F386" s="9" t="str">
        <x:v>Some concern</x:v>
      </x:c>
      <x:c r="G386" s="9" t="str">
        <x:v>Yes</x:v>
      </x:c>
      <x:c r="H386" s="9" t="str">
        <x:v>Agree</x:v>
      </x:c>
      <x:c r="I386" s="9" t="str">
        <x:v>Some concern</x:v>
      </x:c>
      <x:c r="J386" s="9" t="str">
        <x:v>Initial agreement</x:v>
      </x:c>
      <x:c r="K386" s="9" t="str">
        <x:v>Study-specific basis is documented in the extraction and REB sheets.</x:v>
      </x:c>
      <x:c r="L386" s="9" t="str">
        <x:v>PDF pp. 2–11; Figs. 1–13; Table 1</x:v>
      </x:c>
      <x:c r="M386" s="9" t="str">
        <x:v>Some unit/participant counts or selection details are provided, but fabricated-unit selection and failures are not fully accounted for.</x:v>
      </x:c>
      <x:c r="N386" s="9" t="str">
        <x:v>Article PDF p. 12</x:v>
      </x:c>
      <x:c r="O386" s="9" t="str">
        <x:v>Study-specific basis is documented in the extraction and REB sheets.</x:v>
      </x:c>
      <x:c r="P386" s="9" t="str">
        <x:v>PDF pp. 2–11; Figs. 1–13; Table 1</x:v>
      </x:c>
    </x:row>
    <x:row r="387">
      <x:c r="A387" s="9" t="n">
        <x:v>49</x:v>
      </x:c>
      <x:c r="B387" s="9" t="str">
        <x:v>S061</x:v>
      </x:c>
      <x:c r="C387" s="9" t="str">
        <x:v>Kumar et al. (2026)</x:v>
      </x:c>
      <x:c r="D387" s="9" t="str">
        <x:v>D2</x:v>
      </x:c>
      <x:c r="E387" s="9" t="str">
        <x:v>Some concern</x:v>
      </x:c>
      <x:c r="F387" s="9" t="str">
        <x:v>Some concern</x:v>
      </x:c>
      <x:c r="G387" s="9" t="str">
        <x:v>Yes</x:v>
      </x:c>
      <x:c r="H387" s="9" t="str">
        <x:v>Agree</x:v>
      </x:c>
      <x:c r="I387" s="9" t="str">
        <x:v>Some concern</x:v>
      </x:c>
      <x:c r="J387" s="9" t="str">
        <x:v>Initial agreement</x:v>
      </x:c>
      <x:c r="K387" s="9" t="str">
        <x:v>Study-specific basis is documented in the extraction and REB sheets.</x:v>
      </x:c>
      <x:c r="L387" s="9" t="str">
        <x:v>PDF pp. 2–11; Figs. 1–13; Table 1</x:v>
      </x:c>
      <x:c r="M387" s="9" t="str">
        <x:v>Several fabrication controls are documented, but omitted settings leave residual process-confounding concern.</x:v>
      </x:c>
      <x:c r="N387" s="9" t="str">
        <x:v>Article PDF p. 2</x:v>
      </x:c>
      <x:c r="O387" s="9" t="str">
        <x:v>Study-specific basis is documented in the extraction and REB sheets.</x:v>
      </x:c>
      <x:c r="P387" s="9" t="str">
        <x:v>PDF pp. 2–11; Figs. 1–13; Table 1</x:v>
      </x:c>
    </x:row>
    <x:row r="388">
      <x:c r="A388" s="9" t="n">
        <x:v>49</x:v>
      </x:c>
      <x:c r="B388" s="9" t="str">
        <x:v>S061</x:v>
      </x:c>
      <x:c r="C388" s="9" t="str">
        <x:v>Kumar et al. (2026)</x:v>
      </x:c>
      <x:c r="D388" s="9" t="str">
        <x:v>D3</x:v>
      </x:c>
      <x:c r="E388" s="9" t="str">
        <x:v>Some concern</x:v>
      </x:c>
      <x:c r="F388" s="9" t="str">
        <x:v>High concern</x:v>
      </x:c>
      <x:c r="G388" s="9" t="str">
        <x:v>Yes</x:v>
      </x:c>
      <x:c r="H388" s="9" t="str">
        <x:v>Disagree</x:v>
      </x:c>
      <x:c r="I388" s="9" t="str">
        <x:v>Some concern</x:v>
      </x:c>
      <x:c r="J388" s="9" t="str">
        <x:v>Adjudicated to Reviewer 1</x:v>
      </x:c>
      <x:c r="K388" s="9" t="str">
        <x:v>Study-specific basis is documented in the extraction and REB sheets.</x:v>
      </x:c>
      <x:c r="L388" s="9" t="str">
        <x:v>PDF pp. 2–11; Figs. 1–13; Table 1</x:v>
      </x:c>
      <x:c r="M388" s="9" t="str">
        <x:v>A valid controlled/independent calibration reference is not adequately established.</x:v>
      </x:c>
      <x:c r="N388" s="9" t="str">
        <x:v>Article PDF p. 9</x:v>
      </x:c>
      <x:c r="O388" s="9" t="str">
        <x:v>Study-specific basis is documented in the extraction and REB sheets.</x:v>
      </x:c>
      <x:c r="P388" s="9" t="str">
        <x:v>PDF pp. 2–11; Figs. 1–13; Table 1</x:v>
      </x:c>
    </x:row>
    <x:row r="389">
      <x:c r="A389" s="9" t="n">
        <x:v>49</x:v>
      </x:c>
      <x:c r="B389" s="9" t="str">
        <x:v>S061</x:v>
      </x:c>
      <x:c r="C389" s="9" t="str">
        <x:v>Kumar et al. (2026)</x:v>
      </x:c>
      <x:c r="D389" s="9" t="str">
        <x:v>D4</x:v>
      </x:c>
      <x:c r="E389" s="9" t="str">
        <x:v>Low concern</x:v>
      </x:c>
      <x:c r="F389" s="9" t="str">
        <x:v>Some concern</x:v>
      </x:c>
      <x:c r="G389" s="9" t="str">
        <x:v>Yes</x:v>
      </x:c>
      <x:c r="H389" s="9" t="str">
        <x:v>Disagree</x:v>
      </x:c>
      <x:c r="I389" s="9" t="str">
        <x:v>Low concern</x:v>
      </x:c>
      <x:c r="J389" s="9" t="str">
        <x:v>Adjudicated to Reviewer 1</x:v>
      </x:c>
      <x:c r="K389" s="9" t="str">
        <x:v>Study-specific basis is documented in the extraction and REB sheets.</x:v>
      </x:c>
      <x:c r="L389" s="9" t="str">
        <x:v>PDF pp. 2–11; Figs. 1–13; Table 1</x:v>
      </x:c>
      <x:c r="M389" s="9" t="str">
        <x:v>Loading, mounting or environmental conditions are only partly specified or controlled.</x:v>
      </x:c>
      <x:c r="N389" s="9" t="str">
        <x:v>Article PDF p. 2</x:v>
      </x:c>
      <x:c r="O389" s="9" t="str">
        <x:v>Study-specific basis is documented in the extraction and REB sheets.</x:v>
      </x:c>
      <x:c r="P389" s="9" t="str">
        <x:v>PDF pp. 2–11; Figs. 1–13; Table 1</x:v>
      </x:c>
    </x:row>
    <x:row r="390">
      <x:c r="A390" s="9" t="n">
        <x:v>49</x:v>
      </x:c>
      <x:c r="B390" s="9" t="str">
        <x:v>S061</x:v>
      </x:c>
      <x:c r="C390" s="9" t="str">
        <x:v>Kumar et al. (2026)</x:v>
      </x:c>
      <x:c r="D390" s="9" t="str">
        <x:v>D5</x:v>
      </x:c>
      <x:c r="E390" s="9" t="str">
        <x:v>High concern</x:v>
      </x:c>
      <x:c r="F390" s="9" t="str">
        <x:v>High concern</x:v>
      </x:c>
      <x:c r="G390" s="9" t="str">
        <x:v>Yes</x:v>
      </x:c>
      <x:c r="H390" s="9" t="str">
        <x:v>Agree</x:v>
      </x:c>
      <x:c r="I390" s="9" t="str">
        <x:v>High concern</x:v>
      </x:c>
      <x:c r="J390" s="9" t="str">
        <x:v>Initial agreement</x:v>
      </x:c>
      <x:c r="K390" s="9" t="str">
        <x:v>Study-specific basis is documented in the extraction and REB sheets.</x:v>
      </x:c>
      <x:c r="L390" s="9" t="str">
        <x:v>PDF pp. 2–11; Figs. 1–13; Table 1</x:v>
      </x:c>
      <x:c r="M390" s="9" t="str">
        <x:v>A defined repeated-measurement design with an adequate stability analysis is absent.</x:v>
      </x:c>
      <x:c r="N390" s="9" t="str">
        <x:v>Article PDF p. 12</x:v>
      </x:c>
      <x:c r="O390" s="9" t="str">
        <x:v>Study-specific basis is documented in the extraction and REB sheets.</x:v>
      </x:c>
      <x:c r="P390" s="9" t="str">
        <x:v>PDF pp. 2–11; Figs. 1–13; Table 1</x:v>
      </x:c>
    </x:row>
    <x:row r="391">
      <x:c r="A391" s="9" t="n">
        <x:v>49</x:v>
      </x:c>
      <x:c r="B391" s="9" t="str">
        <x:v>S061</x:v>
      </x:c>
      <x:c r="C391" s="9" t="str">
        <x:v>Kumar et al. (2026)</x:v>
      </x:c>
      <x:c r="D391" s="9" t="str">
        <x:v>D6</x:v>
      </x:c>
      <x:c r="E391" s="9" t="str">
        <x:v>High concern</x:v>
      </x:c>
      <x:c r="F391" s="9" t="str">
        <x:v>High concern</x:v>
      </x:c>
      <x:c r="G391" s="9" t="str">
        <x:v>Yes</x:v>
      </x:c>
      <x:c r="H391" s="9" t="str">
        <x:v>Agree</x:v>
      </x:c>
      <x:c r="I391" s="9" t="str">
        <x:v>High concern</x:v>
      </x:c>
      <x:c r="J391" s="9" t="str">
        <x:v>Initial agreement</x:v>
      </x:c>
      <x:c r="K391" s="9" t="str">
        <x:v>A qualifying same-condition comparison of at least three separately fabricated complete sensors was not identified.</x:v>
      </x:c>
      <x:c r="L391" s="9" t="str">
        <x:v>PDF pp. 2–11; Figs. 1–13; Table 1</x:v>
      </x:c>
      <x:c r="M391" s="9" t="str">
        <x:v>Cycles, participants or configurations do not establish replication across three equivalent fabricated devices.</x:v>
      </x:c>
      <x:c r="N391" s="9" t="str">
        <x:v>Article PDF p. 6</x:v>
      </x:c>
      <x:c r="O391" s="9" t="str">
        <x:v>A qualifying same-condition comparison of at least three separately fabricated complete sensors was not identified.</x:v>
      </x:c>
      <x:c r="P391" s="9" t="str">
        <x:v>PDF pp. 2–11; Figs. 1–13; Table 1</x:v>
      </x:c>
    </x:row>
    <x:row r="392">
      <x:c r="A392" s="9" t="n">
        <x:v>49</x:v>
      </x:c>
      <x:c r="B392" s="9" t="str">
        <x:v>S061</x:v>
      </x:c>
      <x:c r="C392" s="9" t="str">
        <x:v>Kumar et al. (2026)</x:v>
      </x:c>
      <x:c r="D392" s="9" t="str">
        <x:v>D7</x:v>
      </x:c>
      <x:c r="E392" s="9" t="str">
        <x:v>Some concern</x:v>
      </x:c>
      <x:c r="F392" s="9" t="str">
        <x:v>Some concern</x:v>
      </x:c>
      <x:c r="G392" s="9" t="str">
        <x:v>Yes</x:v>
      </x:c>
      <x:c r="H392" s="9" t="str">
        <x:v>Agree</x:v>
      </x:c>
      <x:c r="I392" s="9" t="str">
        <x:v>Some concern</x:v>
      </x:c>
      <x:c r="J392" s="9" t="str">
        <x:v>Initial agreement</x:v>
      </x:c>
      <x:c r="K392" s="9" t="str">
        <x:v>Study-specific basis is documented in the extraction and REB sheets.</x:v>
      </x:c>
      <x:c r="L392" s="9" t="str">
        <x:v>PDF pp. 2–11; Figs. 1–13; Table 1</x:v>
      </x:c>
      <x:c r="M392" s="9" t="str">
        <x:v>Principal outcomes are reported, but device-level uncertainty or complete accounting of units/cycles is limited.</x:v>
      </x:c>
      <x:c r="N392" s="9" t="str">
        <x:v>Article PDF p. 2</x:v>
      </x:c>
      <x:c r="O392" s="9" t="str">
        <x:v>Study-specific basis is documented in the extraction and REB sheets.</x:v>
      </x:c>
      <x:c r="P392" s="9" t="str">
        <x:v>PDF pp. 2–11; Figs. 1–13; Table 1</x:v>
      </x:c>
    </x:row>
    <x:row r="393">
      <x:c r="A393" s="9" t="n">
        <x:v>49</x:v>
      </x:c>
      <x:c r="B393" s="9" t="str">
        <x:v>S061</x:v>
      </x:c>
      <x:c r="C393" s="9" t="str">
        <x:v>Kumar et al. (2026)</x:v>
      </x:c>
      <x:c r="D393" s="9" t="str">
        <x:v>D8</x:v>
      </x:c>
      <x:c r="E393" s="9" t="str">
        <x:v>Some concern</x:v>
      </x:c>
      <x:c r="F393" s="9" t="str">
        <x:v>Low concern</x:v>
      </x:c>
      <x:c r="G393" s="9" t="str">
        <x:v>Yes</x:v>
      </x:c>
      <x:c r="H393" s="9" t="str">
        <x:v>Disagree</x:v>
      </x:c>
      <x:c r="I393" s="9" t="str">
        <x:v>Some concern</x:v>
      </x:c>
      <x:c r="J393" s="9" t="str">
        <x:v>Adjudicated to Reviewer 1</x:v>
      </x:c>
      <x:c r="K393" s="9" t="str">
        <x:v>Wearable configuration and extent of application testing are documented in the sensor and experiment sheets.</x:v>
      </x:c>
      <x:c r="L393" s="9" t="str">
        <x:v>PDF pp. 2–11; Figs. 1–13; Table 1</x:v>
      </x:c>
      <x:c r="M393" s="9" t="str">
        <x:v>The final device was evaluated in a body-worn/use-relevant human configuration.</x:v>
      </x:c>
      <x:c r="N393" s="9" t="str">
        <x:v>Article PDF p. 2</x:v>
      </x:c>
      <x:c r="O393" s="9" t="str">
        <x:v>Wearable configuration and extent of application testing are documented in the sensor and experiment sheets.</x:v>
      </x:c>
      <x:c r="P393" s="9" t="str">
        <x:v>PDF pp. 2–11; Figs. 1–13; Table 1</x:v>
      </x:c>
    </x:row>
    <x:row r="394">
      <x:c r="A394" s="9" t="n">
        <x:v>50</x:v>
      </x:c>
      <x:c r="B394" s="9" t="str">
        <x:v>S063</x:v>
      </x:c>
      <x:c r="C394" s="9" t="str">
        <x:v>Wu et al. (2026)</x:v>
      </x:c>
      <x:c r="D394" s="9" t="str">
        <x:v>D1</x:v>
      </x:c>
      <x:c r="E394" s="9" t="str">
        <x:v>Some concern</x:v>
      </x:c>
      <x:c r="F394" s="9" t="str">
        <x:v>Some concern</x:v>
      </x:c>
      <x:c r="G394" s="9" t="str">
        <x:v>Yes</x:v>
      </x:c>
      <x:c r="H394" s="9" t="str">
        <x:v>Agree</x:v>
      </x:c>
      <x:c r="I394" s="9" t="str">
        <x:v>Some concern</x:v>
      </x:c>
      <x:c r="J394" s="9" t="str">
        <x:v>Initial agreement</x:v>
      </x:c>
      <x:c r="K394" s="9" t="str">
        <x:v>Study-specific basis is documented in the extraction and REB sheets.</x:v>
      </x:c>
      <x:c r="L394" s="9" t="str">
        <x:v>PDF pp. 2–12; Figs. 1–9; Tables 1–2</x:v>
      </x:c>
      <x:c r="M394" s="9" t="str">
        <x:v>Some unit/participant counts or selection details are provided, but fabricated-unit selection and failures are not fully accounted for.</x:v>
      </x:c>
      <x:c r="N394" s="9" t="str">
        <x:v>Article PDF p. 2</x:v>
      </x:c>
      <x:c r="O394" s="9" t="str">
        <x:v>Study-specific basis is documented in the extraction and REB sheets.</x:v>
      </x:c>
      <x:c r="P394" s="9" t="str">
        <x:v>PDF pp. 2–12; Figs. 1–9; Tables 1–2</x:v>
      </x:c>
    </x:row>
    <x:row r="395">
      <x:c r="A395" s="9" t="n">
        <x:v>50</x:v>
      </x:c>
      <x:c r="B395" s="9" t="str">
        <x:v>S063</x:v>
      </x:c>
      <x:c r="C395" s="9" t="str">
        <x:v>Wu et al. (2026)</x:v>
      </x:c>
      <x:c r="D395" s="9" t="str">
        <x:v>D2</x:v>
      </x:c>
      <x:c r="E395" s="9" t="str">
        <x:v>Low concern</x:v>
      </x:c>
      <x:c r="F395" s="9" t="str">
        <x:v>Low concern</x:v>
      </x:c>
      <x:c r="G395" s="9" t="str">
        <x:v>Yes</x:v>
      </x:c>
      <x:c r="H395" s="9" t="str">
        <x:v>Agree</x:v>
      </x:c>
      <x:c r="I395" s="9" t="str">
        <x:v>Low concern</x:v>
      </x:c>
      <x:c r="J395" s="9" t="str">
        <x:v>Initial agreement</x:v>
      </x:c>
      <x:c r="K395" s="9" t="str">
        <x:v>Study-specific basis is documented in the extraction and REB sheets.</x:v>
      </x:c>
      <x:c r="L395" s="9" t="str">
        <x:v>PDF pp. 2–12; Figs. 1–9; Tables 1–2</x:v>
      </x:c>
      <x:c r="M395" s="9" t="str">
        <x:v>Relevant material, geometry, conditioning and extrusion variables are documented sufficiently for the claimed comparison.</x:v>
      </x:c>
      <x:c r="N395" s="9" t="str">
        <x:v>Article PDF p. 3</x:v>
      </x:c>
      <x:c r="O395" s="9" t="str">
        <x:v>Study-specific basis is documented in the extraction and REB sheets.</x:v>
      </x:c>
      <x:c r="P395" s="9" t="str">
        <x:v>PDF pp. 2–12; Figs. 1–9; Tables 1–2</x:v>
      </x:c>
    </x:row>
    <x:row r="396">
      <x:c r="A396" s="9" t="n">
        <x:v>50</x:v>
      </x:c>
      <x:c r="B396" s="9" t="str">
        <x:v>S063</x:v>
      </x:c>
      <x:c r="C396" s="9" t="str">
        <x:v>Wu et al. (2026)</x:v>
      </x:c>
      <x:c r="D396" s="9" t="str">
        <x:v>D3</x:v>
      </x:c>
      <x:c r="E396" s="9" t="str">
        <x:v>Low concern</x:v>
      </x:c>
      <x:c r="F396" s="9" t="str">
        <x:v>Low concern</x:v>
      </x:c>
      <x:c r="G396" s="9" t="str">
        <x:v>Yes</x:v>
      </x:c>
      <x:c r="H396" s="9" t="str">
        <x:v>Agree</x:v>
      </x:c>
      <x:c r="I396" s="9" t="str">
        <x:v>Low concern</x:v>
      </x:c>
      <x:c r="J396" s="9" t="str">
        <x:v>Initial agreement</x:v>
      </x:c>
      <x:c r="K396" s="9" t="str">
        <x:v>Study-specific basis is documented in the extraction and REB sheets.</x:v>
      </x:c>
      <x:c r="L396" s="9" t="str">
        <x:v>PDF pp. 2–12; Figs. 1–9; Tables 1–2</x:v>
      </x:c>
      <x:c r="M396" s="9" t="str">
        <x:v>The controlled input/reference and calibration procedure are appropriate and independently measured.</x:v>
      </x:c>
      <x:c r="N396" s="9" t="str">
        <x:v>Article PDF p. 2</x:v>
      </x:c>
      <x:c r="O396" s="9" t="str">
        <x:v>Study-specific basis is documented in the extraction and REB sheets.</x:v>
      </x:c>
      <x:c r="P396" s="9" t="str">
        <x:v>PDF pp. 2–12; Figs. 1–9; Tables 1–2</x:v>
      </x:c>
    </x:row>
    <x:row r="397">
      <x:c r="A397" s="9" t="n">
        <x:v>50</x:v>
      </x:c>
      <x:c r="B397" s="9" t="str">
        <x:v>S063</x:v>
      </x:c>
      <x:c r="C397" s="9" t="str">
        <x:v>Wu et al. (2026)</x:v>
      </x:c>
      <x:c r="D397" s="9" t="str">
        <x:v>D4</x:v>
      </x:c>
      <x:c r="E397" s="9" t="str">
        <x:v>Low concern</x:v>
      </x:c>
      <x:c r="F397" s="9" t="str">
        <x:v>Low concern</x:v>
      </x:c>
      <x:c r="G397" s="9" t="str">
        <x:v>Yes</x:v>
      </x:c>
      <x:c r="H397" s="9" t="str">
        <x:v>Agree</x:v>
      </x:c>
      <x:c r="I397" s="9" t="str">
        <x:v>Low concern</x:v>
      </x:c>
      <x:c r="J397" s="9" t="str">
        <x:v>Initial agreement</x:v>
      </x:c>
      <x:c r="K397" s="9" t="str">
        <x:v>Study-specific basis is documented in the extraction and REB sheets.</x:v>
      </x:c>
      <x:c r="L397" s="9" t="str">
        <x:v>PDF pp. 2–12; Figs. 1–9; Tables 1–2</x:v>
      </x:c>
      <x:c r="M397" s="9" t="str">
        <x:v>Relevant loading/exposure range, rate or geometry and measurement conditions are stated.</x:v>
      </x:c>
      <x:c r="N397" s="9" t="str">
        <x:v>Article PDF p. 2</x:v>
      </x:c>
      <x:c r="O397" s="9" t="str">
        <x:v>Study-specific basis is documented in the extraction and REB sheets.</x:v>
      </x:c>
      <x:c r="P397" s="9" t="str">
        <x:v>PDF pp. 2–12; Figs. 1–9; Tables 1–2</x:v>
      </x:c>
    </x:row>
    <x:row r="398">
      <x:c r="A398" s="9" t="n">
        <x:v>50</x:v>
      </x:c>
      <x:c r="B398" s="9" t="str">
        <x:v>S063</x:v>
      </x:c>
      <x:c r="C398" s="9" t="str">
        <x:v>Wu et al. (2026)</x:v>
      </x:c>
      <x:c r="D398" s="9" t="str">
        <x:v>D5</x:v>
      </x:c>
      <x:c r="E398" s="9" t="str">
        <x:v>Low concern</x:v>
      </x:c>
      <x:c r="F398" s="9" t="str">
        <x:v>Low concern</x:v>
      </x:c>
      <x:c r="G398" s="9" t="str">
        <x:v>Yes</x:v>
      </x:c>
      <x:c r="H398" s="9" t="str">
        <x:v>Agree</x:v>
      </x:c>
      <x:c r="I398" s="9" t="str">
        <x:v>Low concern</x:v>
      </x:c>
      <x:c r="J398" s="9" t="str">
        <x:v>Initial agreement</x:v>
      </x:c>
      <x:c r="K398" s="9" t="str">
        <x:v>Study-specific basis is documented in the extraction and REB sheets.</x:v>
      </x:c>
      <x:c r="L398" s="9" t="str">
        <x:v>PDF pp. 2–12; Figs. 1–9; Tables 1–2</x:v>
      </x:c>
      <x:c r="M398" s="9" t="str">
        <x:v>Repeated units/counts and a stability outcome are defined for the stated protocol.</x:v>
      </x:c>
      <x:c r="N398" s="9" t="str">
        <x:v>Article PDF p. 12</x:v>
      </x:c>
      <x:c r="O398" s="9" t="str">
        <x:v>Study-specific basis is documented in the extraction and REB sheets.</x:v>
      </x:c>
      <x:c r="P398" s="9" t="str">
        <x:v>PDF pp. 2–12; Figs. 1–9; Tables 1–2</x:v>
      </x:c>
    </x:row>
    <x:row r="399">
      <x:c r="A399" s="9" t="n">
        <x:v>50</x:v>
      </x:c>
      <x:c r="B399" s="9" t="str">
        <x:v>S063</x:v>
      </x:c>
      <x:c r="C399" s="9" t="str">
        <x:v>Wu et al. (2026)</x:v>
      </x:c>
      <x:c r="D399" s="9" t="str">
        <x:v>D6</x:v>
      </x:c>
      <x:c r="E399" s="9" t="str">
        <x:v>High concern</x:v>
      </x:c>
      <x:c r="F399" s="9" t="str">
        <x:v>High concern</x:v>
      </x:c>
      <x:c r="G399" s="9" t="str">
        <x:v>Yes</x:v>
      </x:c>
      <x:c r="H399" s="9" t="str">
        <x:v>Agree</x:v>
      </x:c>
      <x:c r="I399" s="9" t="str">
        <x:v>High concern</x:v>
      </x:c>
      <x:c r="J399" s="9" t="str">
        <x:v>Initial agreement</x:v>
      </x:c>
      <x:c r="K399" s="9" t="str">
        <x:v>A qualifying same-condition comparison of at least three separately fabricated complete sensors was not identified.</x:v>
      </x:c>
      <x:c r="L399" s="9" t="str">
        <x:v>PDF pp. 2–12; Figs. 1–9; Tables 1–2</x:v>
      </x:c>
      <x:c r="M399" s="9" t="str">
        <x:v>Cycles, participants or configurations do not establish replication across three equivalent fabricated devices.</x:v>
      </x:c>
      <x:c r="N399" s="9" t="str">
        <x:v>Article PDF p. 12</x:v>
      </x:c>
      <x:c r="O399" s="9" t="str">
        <x:v>A qualifying same-condition comparison of at least three separately fabricated complete sensors was not identified.</x:v>
      </x:c>
      <x:c r="P399" s="9" t="str">
        <x:v>PDF pp. 2–12; Figs. 1–9; Tables 1–2</x:v>
      </x:c>
    </x:row>
    <x:row r="400">
      <x:c r="A400" s="9" t="n">
        <x:v>50</x:v>
      </x:c>
      <x:c r="B400" s="9" t="str">
        <x:v>S063</x:v>
      </x:c>
      <x:c r="C400" s="9" t="str">
        <x:v>Wu et al. (2026)</x:v>
      </x:c>
      <x:c r="D400" s="9" t="str">
        <x:v>D7</x:v>
      </x:c>
      <x:c r="E400" s="9" t="str">
        <x:v>Low concern</x:v>
      </x:c>
      <x:c r="F400" s="9" t="str">
        <x:v>Some concern</x:v>
      </x:c>
      <x:c r="G400" s="9" t="str">
        <x:v>Yes</x:v>
      </x:c>
      <x:c r="H400" s="9" t="str">
        <x:v>Disagree</x:v>
      </x:c>
      <x:c r="I400" s="9" t="str">
        <x:v>Low concern</x:v>
      </x:c>
      <x:c r="J400" s="9" t="str">
        <x:v>Adjudicated to Reviewer 1</x:v>
      </x:c>
      <x:c r="K400" s="9" t="str">
        <x:v>Study-specific basis is documented in the extraction and REB sheets.</x:v>
      </x:c>
      <x:c r="L400" s="9" t="str">
        <x:v>PDF pp. 2–12; Figs. 1–9; Tables 1–2</x:v>
      </x:c>
      <x:c r="M400" s="9" t="str">
        <x:v>Principal outcomes are reported, but device-level uncertainty or complete accounting of units/cycles is limited.</x:v>
      </x:c>
      <x:c r="N400" s="9" t="str">
        <x:v>Article PDF p. 2</x:v>
      </x:c>
      <x:c r="O400" s="9" t="str">
        <x:v>Study-specific basis is documented in the extraction and REB sheets.</x:v>
      </x:c>
      <x:c r="P400" s="9" t="str">
        <x:v>PDF pp. 2–12; Figs. 1–9; Tables 1–2</x:v>
      </x:c>
    </x:row>
    <x:row r="401">
      <x:c r="A401" s="9" t="n">
        <x:v>50</x:v>
      </x:c>
      <x:c r="B401" s="9" t="str">
        <x:v>S063</x:v>
      </x:c>
      <x:c r="C401" s="9" t="str">
        <x:v>Wu et al. (2026)</x:v>
      </x:c>
      <x:c r="D401" s="9" t="str">
        <x:v>D8</x:v>
      </x:c>
      <x:c r="E401" s="9" t="str">
        <x:v>Some concern</x:v>
      </x:c>
      <x:c r="F401" s="9" t="str">
        <x:v>Some concern</x:v>
      </x:c>
      <x:c r="G401" s="9" t="str">
        <x:v>Yes</x:v>
      </x:c>
      <x:c r="H401" s="9" t="str">
        <x:v>Agree</x:v>
      </x:c>
      <x:c r="I401" s="9" t="str">
        <x:v>Some concern</x:v>
      </x:c>
      <x:c r="J401" s="9" t="str">
        <x:v>Initial agreement</x:v>
      </x:c>
      <x:c r="K401" s="9" t="str">
        <x:v>Wearable configuration and extent of application testing are documented in the sensor and experiment sheets.</x:v>
      </x:c>
      <x:c r="L401" s="9" t="str">
        <x:v>PDF pp. 2–12; Figs. 1–9; Tables 1–2</x:v>
      </x:c>
      <x:c r="M401" s="9" t="str">
        <x:v>Wearable use is discussed, but the reported experiments are bench compression tests rather than body-worn validation.</x:v>
      </x:c>
      <x:c r="N401" s="9" t="str">
        <x:v>Article PDF pp. 12-13</x:v>
      </x:c>
      <x:c r="O401" s="9" t="str">
        <x:v>Wearable configuration and extent of application testing are documented in the sensor and experiment sheets.</x:v>
      </x:c>
      <x:c r="P401" s="9" t="str">
        <x:v>PDF pp. 2–12; Figs. 1–9; Tables 1–2</x:v>
      </x:c>
    </x:row>
    <x:row r="402">
      <x:c r="A402" s="9" t="n">
        <x:v>51</x:v>
      </x:c>
      <x:c r="B402" s="9" t="str">
        <x:v>S064</x:v>
      </x:c>
      <x:c r="C402" s="9" t="str">
        <x:v>Tao et al. (2026)</x:v>
      </x:c>
      <x:c r="D402" s="9" t="str">
        <x:v>D1</x:v>
      </x:c>
      <x:c r="E402" s="9" t="str">
        <x:v>Some concern</x:v>
      </x:c>
      <x:c r="F402" s="9" t="str">
        <x:v>Some concern</x:v>
      </x:c>
      <x:c r="G402" s="9" t="str">
        <x:v>Yes</x:v>
      </x:c>
      <x:c r="H402" s="9" t="str">
        <x:v>Agree</x:v>
      </x:c>
      <x:c r="I402" s="9" t="str">
        <x:v>Some concern</x:v>
      </x:c>
      <x:c r="J402" s="9" t="str">
        <x:v>Initial agreement</x:v>
      </x:c>
      <x:c r="K402" s="9" t="str">
        <x:v>Study-specific basis is documented in the extraction and REB sheets.</x:v>
      </x:c>
      <x:c r="L402" s="9" t="str">
        <x:v>PDF pp. 2–12; Figs. 1–10; Table 1</x:v>
      </x:c>
      <x:c r="M402" s="9" t="str">
        <x:v>Some unit/participant counts or selection details are provided, but fabricated-unit selection and failures are not fully accounted for.</x:v>
      </x:c>
      <x:c r="N402" s="9" t="str">
        <x:v>Article PDF p. 11</x:v>
      </x:c>
      <x:c r="O402" s="9" t="str">
        <x:v>Study-specific basis is documented in the extraction and REB sheets.</x:v>
      </x:c>
      <x:c r="P402" s="9" t="str">
        <x:v>PDF pp. 2–12; Figs. 1–10; Table 1</x:v>
      </x:c>
    </x:row>
    <x:row r="403">
      <x:c r="A403" s="9" t="n">
        <x:v>51</x:v>
      </x:c>
      <x:c r="B403" s="9" t="str">
        <x:v>S064</x:v>
      </x:c>
      <x:c r="C403" s="9" t="str">
        <x:v>Tao et al. (2026)</x:v>
      </x:c>
      <x:c r="D403" s="9" t="str">
        <x:v>D2</x:v>
      </x:c>
      <x:c r="E403" s="9" t="str">
        <x:v>Some concern</x:v>
      </x:c>
      <x:c r="F403" s="9" t="str">
        <x:v>Low concern</x:v>
      </x:c>
      <x:c r="G403" s="9" t="str">
        <x:v>Yes</x:v>
      </x:c>
      <x:c r="H403" s="9" t="str">
        <x:v>Disagree</x:v>
      </x:c>
      <x:c r="I403" s="9" t="str">
        <x:v>Some concern</x:v>
      </x:c>
      <x:c r="J403" s="9" t="str">
        <x:v>Adjudicated to Reviewer 1</x:v>
      </x:c>
      <x:c r="K403" s="9" t="str">
        <x:v>Study-specific basis is documented in the extraction and REB sheets.</x:v>
      </x:c>
      <x:c r="L403" s="9" t="str">
        <x:v>PDF pp. 2–12; Figs. 1–10; Table 1</x:v>
      </x:c>
      <x:c r="M403" s="9" t="str">
        <x:v>Relevant material, geometry, conditioning and extrusion variables are documented sufficiently for the claimed comparison.</x:v>
      </x:c>
      <x:c r="N403" s="9" t="str">
        <x:v>Article PDF p. 3</x:v>
      </x:c>
      <x:c r="O403" s="9" t="str">
        <x:v>Study-specific basis is documented in the extraction and REB sheets.</x:v>
      </x:c>
      <x:c r="P403" s="9" t="str">
        <x:v>PDF pp. 2–12; Figs. 1–10; Table 1</x:v>
      </x:c>
    </x:row>
    <x:row r="404">
      <x:c r="A404" s="9" t="n">
        <x:v>51</x:v>
      </x:c>
      <x:c r="B404" s="9" t="str">
        <x:v>S064</x:v>
      </x:c>
      <x:c r="C404" s="9" t="str">
        <x:v>Tao et al. (2026)</x:v>
      </x:c>
      <x:c r="D404" s="9" t="str">
        <x:v>D3</x:v>
      </x:c>
      <x:c r="E404" s="9" t="str">
        <x:v>Some concern</x:v>
      </x:c>
      <x:c r="F404" s="9" t="str">
        <x:v>Some concern</x:v>
      </x:c>
      <x:c r="G404" s="9" t="str">
        <x:v>Yes</x:v>
      </x:c>
      <x:c r="H404" s="9" t="str">
        <x:v>Agree</x:v>
      </x:c>
      <x:c r="I404" s="9" t="str">
        <x:v>Some concern</x:v>
      </x:c>
      <x:c r="J404" s="9" t="str">
        <x:v>Initial agreement</x:v>
      </x:c>
      <x:c r="K404" s="9" t="str">
        <x:v>Study-specific basis is documented in the extraction and REB sheets.</x:v>
      </x:c>
      <x:c r="L404" s="9" t="str">
        <x:v>PDF pp. 2–12; Figs. 1–10; Table 1</x:v>
      </x:c>
      <x:c r="M404" s="9" t="str">
        <x:v>Controlled inputs and simulation comparisons are used, but calibration traceability/uncertainty is incomplete.</x:v>
      </x:c>
      <x:c r="N404" s="9" t="str">
        <x:v>Article PDF pp. 4-7</x:v>
      </x:c>
      <x:c r="O404" s="9" t="str">
        <x:v>Study-specific basis is documented in the extraction and REB sheets.</x:v>
      </x:c>
      <x:c r="P404" s="9" t="str">
        <x:v>PDF pp. 2–12; Figs. 1–10; Table 1</x:v>
      </x:c>
    </x:row>
    <x:row r="405">
      <x:c r="A405" s="9" t="n">
        <x:v>51</x:v>
      </x:c>
      <x:c r="B405" s="9" t="str">
        <x:v>S064</x:v>
      </x:c>
      <x:c r="C405" s="9" t="str">
        <x:v>Tao et al. (2026)</x:v>
      </x:c>
      <x:c r="D405" s="9" t="str">
        <x:v>D4</x:v>
      </x:c>
      <x:c r="E405" s="9" t="str">
        <x:v>Low concern</x:v>
      </x:c>
      <x:c r="F405" s="9" t="str">
        <x:v>Low concern</x:v>
      </x:c>
      <x:c r="G405" s="9" t="str">
        <x:v>Yes</x:v>
      </x:c>
      <x:c r="H405" s="9" t="str">
        <x:v>Agree</x:v>
      </x:c>
      <x:c r="I405" s="9" t="str">
        <x:v>Low concern</x:v>
      </x:c>
      <x:c r="J405" s="9" t="str">
        <x:v>Initial agreement</x:v>
      </x:c>
      <x:c r="K405" s="9" t="str">
        <x:v>Study-specific basis is documented in the extraction and REB sheets.</x:v>
      </x:c>
      <x:c r="L405" s="9" t="str">
        <x:v>PDF pp. 2–12; Figs. 1–10; Table 1</x:v>
      </x:c>
      <x:c r="M405" s="9" t="str">
        <x:v>Specimen geometry, strain rates, impact velocities, locations and mounting are specified.</x:v>
      </x:c>
      <x:c r="N405" s="9" t="str">
        <x:v>Article PDF pp. 3-7</x:v>
      </x:c>
      <x:c r="O405" s="9" t="str">
        <x:v>Study-specific basis is documented in the extraction and REB sheets.</x:v>
      </x:c>
      <x:c r="P405" s="9" t="str">
        <x:v>PDF pp. 2–12; Figs. 1–10; Table 1</x:v>
      </x:c>
    </x:row>
    <x:row r="406">
      <x:c r="A406" s="9" t="n">
        <x:v>51</x:v>
      </x:c>
      <x:c r="B406" s="9" t="str">
        <x:v>S064</x:v>
      </x:c>
      <x:c r="C406" s="9" t="str">
        <x:v>Tao et al. (2026)</x:v>
      </x:c>
      <x:c r="D406" s="9" t="str">
        <x:v>D5</x:v>
      </x:c>
      <x:c r="E406" s="9" t="str">
        <x:v>Some concern</x:v>
      </x:c>
      <x:c r="F406" s="9" t="str">
        <x:v>High concern</x:v>
      </x:c>
      <x:c r="G406" s="9" t="str">
        <x:v>Yes</x:v>
      </x:c>
      <x:c r="H406" s="9" t="str">
        <x:v>Disagree</x:v>
      </x:c>
      <x:c r="I406" s="9" t="str">
        <x:v>Some concern</x:v>
      </x:c>
      <x:c r="J406" s="9" t="str">
        <x:v>Adjudicated to Reviewer 1</x:v>
      </x:c>
      <x:c r="K406" s="9" t="str">
        <x:v>Study-specific basis is documented in the extraction and REB sheets.</x:v>
      </x:c>
      <x:c r="L406" s="9" t="str">
        <x:v>PDF pp. 2–12; Figs. 1–10; Table 1</x:v>
      </x:c>
      <x:c r="M406" s="9" t="str">
        <x:v>A defined repeated-measurement design with an adequate stability analysis is absent.</x:v>
      </x:c>
      <x:c r="N406" s="9" t="str">
        <x:v>Article PDF p. 7</x:v>
      </x:c>
      <x:c r="O406" s="9" t="str">
        <x:v>Study-specific basis is documented in the extraction and REB sheets.</x:v>
      </x:c>
      <x:c r="P406" s="9" t="str">
        <x:v>PDF pp. 2–12; Figs. 1–10; Table 1</x:v>
      </x:c>
    </x:row>
    <x:row r="407">
      <x:c r="A407" s="9" t="n">
        <x:v>51</x:v>
      </x:c>
      <x:c r="B407" s="9" t="str">
        <x:v>S064</x:v>
      </x:c>
      <x:c r="C407" s="9" t="str">
        <x:v>Tao et al. (2026)</x:v>
      </x:c>
      <x:c r="D407" s="9" t="str">
        <x:v>D6</x:v>
      </x:c>
      <x:c r="E407" s="9" t="str">
        <x:v>High concern</x:v>
      </x:c>
      <x:c r="F407" s="9" t="str">
        <x:v>Low concern</x:v>
      </x:c>
      <x:c r="G407" s="9" t="str">
        <x:v>Yes</x:v>
      </x:c>
      <x:c r="H407" s="9" t="str">
        <x:v>Disagree</x:v>
      </x:c>
      <x:c r="I407" s="9" t="str">
        <x:v>High concern</x:v>
      </x:c>
      <x:c r="J407" s="9" t="str">
        <x:v>Adjudicated to Reviewer 1</x:v>
      </x:c>
      <x:c r="K407" s="9" t="str">
        <x:v>A qualifying same-condition comparison of at least three separately fabricated complete sensors was not identified.</x:v>
      </x:c>
      <x:c r="L407" s="9" t="str">
        <x:v>PDF pp. 2–12; Figs. 1–10; Table 1</x:v>
      </x:c>
      <x:c r="M407" s="9" t="str">
        <x:v>Functional response was evaluated across three independent specimens.</x:v>
      </x:c>
      <x:c r="N407" s="9" t="str">
        <x:v>Article PDF pp. 4-5</x:v>
      </x:c>
      <x:c r="O407" s="9" t="str">
        <x:v>A qualifying same-condition comparison of at least three separately fabricated complete sensors was not identified.</x:v>
      </x:c>
      <x:c r="P407" s="9" t="str">
        <x:v>PDF pp. 2–12; Figs. 1–10; Table 1</x:v>
      </x:c>
    </x:row>
    <x:row r="408">
      <x:c r="A408" s="9" t="n">
        <x:v>51</x:v>
      </x:c>
      <x:c r="B408" s="9" t="str">
        <x:v>S064</x:v>
      </x:c>
      <x:c r="C408" s="9" t="str">
        <x:v>Tao et al. (2026)</x:v>
      </x:c>
      <x:c r="D408" s="9" t="str">
        <x:v>D7</x:v>
      </x:c>
      <x:c r="E408" s="9" t="str">
        <x:v>Low concern</x:v>
      </x:c>
      <x:c r="F408" s="9" t="str">
        <x:v>Low concern</x:v>
      </x:c>
      <x:c r="G408" s="9" t="str">
        <x:v>Yes</x:v>
      </x:c>
      <x:c r="H408" s="9" t="str">
        <x:v>Agree</x:v>
      </x:c>
      <x:c r="I408" s="9" t="str">
        <x:v>Low concern</x:v>
      </x:c>
      <x:c r="J408" s="9" t="str">
        <x:v>Initial agreement</x:v>
      </x:c>
      <x:c r="K408" s="9" t="str">
        <x:v>Study-specific basis is documented in the extraction and REB sheets.</x:v>
      </x:c>
      <x:c r="L408" s="9" t="str">
        <x:v>PDF pp. 2–12; Figs. 1–10; Table 1</x:v>
      </x:c>
      <x:c r="M408" s="9" t="str">
        <x:v>Device-level response across independent samples and repeated impact outcomes are reported.</x:v>
      </x:c>
      <x:c r="N408" s="9" t="str">
        <x:v>Article PDF pp. 4-7</x:v>
      </x:c>
      <x:c r="O408" s="9" t="str">
        <x:v>Study-specific basis is documented in the extraction and REB sheets.</x:v>
      </x:c>
      <x:c r="P408" s="9" t="str">
        <x:v>PDF pp. 2–12; Figs. 1–10; Table 1</x:v>
      </x:c>
    </x:row>
    <x:row r="409">
      <x:c r="A409" s="9" t="n">
        <x:v>51</x:v>
      </x:c>
      <x:c r="B409" s="9" t="str">
        <x:v>S064</x:v>
      </x:c>
      <x:c r="C409" s="9" t="str">
        <x:v>Tao et al. (2026)</x:v>
      </x:c>
      <x:c r="D409" s="9" t="str">
        <x:v>D8</x:v>
      </x:c>
      <x:c r="E409" s="9" t="str">
        <x:v>Some concern</x:v>
      </x:c>
      <x:c r="F409" s="9" t="str">
        <x:v>Low concern</x:v>
      </x:c>
      <x:c r="G409" s="9" t="str">
        <x:v>Yes</x:v>
      </x:c>
      <x:c r="H409" s="9" t="str">
        <x:v>Disagree</x:v>
      </x:c>
      <x:c r="I409" s="9" t="str">
        <x:v>Some concern</x:v>
      </x:c>
      <x:c r="J409" s="9" t="str">
        <x:v>Adjudicated to Reviewer 1</x:v>
      </x:c>
      <x:c r="K409" s="9" t="str">
        <x:v>Wearable configuration and extent of application testing are documented in the sensor and experiment sheets.</x:v>
      </x:c>
      <x:c r="L409" s="9" t="str">
        <x:v>PDF pp. 2–12; Figs. 1–10; Table 1</x:v>
      </x:c>
      <x:c r="M409" s="9" t="str">
        <x:v>The final device was evaluated in a body-worn/use-relevant human configuration.</x:v>
      </x:c>
      <x:c r="N409" s="9" t="str">
        <x:v>Article PDF p. 11</x:v>
      </x:c>
      <x:c r="O409" s="9" t="str">
        <x:v>Wearable configuration and extent of application testing are documented in the sensor and experiment sheets.</x:v>
      </x:c>
      <x:c r="P409" s="9" t="str">
        <x:v>PDF pp. 2–12; Figs. 1–10; Table 1</x:v>
      </x:c>
    </x:row>
    <x:row r="410">
      <x:c r="A410" s="9" t="n">
        <x:v>52</x:v>
      </x:c>
      <x:c r="B410" s="9" t="str">
        <x:v>S065</x:v>
      </x:c>
      <x:c r="C410" s="9" t="str">
        <x:v>Han et al. (2026)</x:v>
      </x:c>
      <x:c r="D410" s="9" t="str">
        <x:v>D1</x:v>
      </x:c>
      <x:c r="E410" s="9" t="str">
        <x:v>Some concern</x:v>
      </x:c>
      <x:c r="F410" s="9" t="str">
        <x:v>Some concern</x:v>
      </x:c>
      <x:c r="G410" s="9" t="str">
        <x:v>Yes</x:v>
      </x:c>
      <x:c r="H410" s="9" t="str">
        <x:v>Agree</x:v>
      </x:c>
      <x:c r="I410" s="9" t="str">
        <x:v>Some concern</x:v>
      </x:c>
      <x:c r="J410" s="9" t="str">
        <x:v>Initial agreement</x:v>
      </x:c>
      <x:c r="K410" s="9" t="str">
        <x:v>Study-specific basis is documented in the extraction and REB sheets.</x:v>
      </x:c>
      <x:c r="L410" s="9" t="str">
        <x:v>PDF pp. 2–9; Figs. 1–7</x:v>
      </x:c>
      <x:c r="M410" s="9" t="str">
        <x:v>Some unit/participant counts or selection details are provided, but fabricated-unit selection and failures are not fully accounted for.</x:v>
      </x:c>
      <x:c r="N410" s="9" t="str">
        <x:v>Article PDF p. 5</x:v>
      </x:c>
      <x:c r="O410" s="9" t="str">
        <x:v>Study-specific basis is documented in the extraction and REB sheets.</x:v>
      </x:c>
      <x:c r="P410" s="9" t="str">
        <x:v>PDF pp. 2–9; Figs. 1–7</x:v>
      </x:c>
    </x:row>
    <x:row r="411">
      <x:c r="A411" s="9" t="n">
        <x:v>52</x:v>
      </x:c>
      <x:c r="B411" s="9" t="str">
        <x:v>S065</x:v>
      </x:c>
      <x:c r="C411" s="9" t="str">
        <x:v>Han et al. (2026)</x:v>
      </x:c>
      <x:c r="D411" s="9" t="str">
        <x:v>D2</x:v>
      </x:c>
      <x:c r="E411" s="9" t="str">
        <x:v>Some concern</x:v>
      </x:c>
      <x:c r="F411" s="9" t="str">
        <x:v>Some concern</x:v>
      </x:c>
      <x:c r="G411" s="9" t="str">
        <x:v>Yes</x:v>
      </x:c>
      <x:c r="H411" s="9" t="str">
        <x:v>Agree</x:v>
      </x:c>
      <x:c r="I411" s="9" t="str">
        <x:v>Some concern</x:v>
      </x:c>
      <x:c r="J411" s="9" t="str">
        <x:v>Initial agreement</x:v>
      </x:c>
      <x:c r="K411" s="9" t="str">
        <x:v>Study-specific basis is documented in the extraction and REB sheets.</x:v>
      </x:c>
      <x:c r="L411" s="9" t="str">
        <x:v>PDF pp. 2–9; Figs. 1–7</x:v>
      </x:c>
      <x:c r="M411" s="9" t="str">
        <x:v>Several fabrication controls are documented, but omitted settings leave residual process-confounding concern.</x:v>
      </x:c>
      <x:c r="N411" s="9" t="str">
        <x:v>Article PDF p. 2</x:v>
      </x:c>
      <x:c r="O411" s="9" t="str">
        <x:v>Study-specific basis is documented in the extraction and REB sheets.</x:v>
      </x:c>
      <x:c r="P411" s="9" t="str">
        <x:v>PDF pp. 2–9; Figs. 1–7</x:v>
      </x:c>
    </x:row>
    <x:row r="412">
      <x:c r="A412" s="9" t="n">
        <x:v>52</x:v>
      </x:c>
      <x:c r="B412" s="9" t="str">
        <x:v>S065</x:v>
      </x:c>
      <x:c r="C412" s="9" t="str">
        <x:v>Han et al. (2026)</x:v>
      </x:c>
      <x:c r="D412" s="9" t="str">
        <x:v>D3</x:v>
      </x:c>
      <x:c r="E412" s="9" t="str">
        <x:v>Low concern</x:v>
      </x:c>
      <x:c r="F412" s="9" t="str">
        <x:v>Low concern</x:v>
      </x:c>
      <x:c r="G412" s="9" t="str">
        <x:v>Yes</x:v>
      </x:c>
      <x:c r="H412" s="9" t="str">
        <x:v>Agree</x:v>
      </x:c>
      <x:c r="I412" s="9" t="str">
        <x:v>Low concern</x:v>
      </x:c>
      <x:c r="J412" s="9" t="str">
        <x:v>Initial agreement</x:v>
      </x:c>
      <x:c r="K412" s="9" t="str">
        <x:v>Study-specific basis is documented in the extraction and REB sheets.</x:v>
      </x:c>
      <x:c r="L412" s="9" t="str">
        <x:v>PDF pp. 2–9; Figs. 1–7</x:v>
      </x:c>
      <x:c r="M412" s="9" t="str">
        <x:v>The controlled input/reference and calibration procedure are appropriate and independently measured.</x:v>
      </x:c>
      <x:c r="N412" s="9" t="str">
        <x:v>Article PDF p. 5</x:v>
      </x:c>
      <x:c r="O412" s="9" t="str">
        <x:v>Study-specific basis is documented in the extraction and REB sheets.</x:v>
      </x:c>
      <x:c r="P412" s="9" t="str">
        <x:v>PDF pp. 2–9; Figs. 1–7</x:v>
      </x:c>
    </x:row>
    <x:row r="413">
      <x:c r="A413" s="9" t="n">
        <x:v>52</x:v>
      </x:c>
      <x:c r="B413" s="9" t="str">
        <x:v>S065</x:v>
      </x:c>
      <x:c r="C413" s="9" t="str">
        <x:v>Han et al. (2026)</x:v>
      </x:c>
      <x:c r="D413" s="9" t="str">
        <x:v>D4</x:v>
      </x:c>
      <x:c r="E413" s="9" t="str">
        <x:v>Low concern</x:v>
      </x:c>
      <x:c r="F413" s="9" t="str">
        <x:v>Low concern</x:v>
      </x:c>
      <x:c r="G413" s="9" t="str">
        <x:v>Yes</x:v>
      </x:c>
      <x:c r="H413" s="9" t="str">
        <x:v>Agree</x:v>
      </x:c>
      <x:c r="I413" s="9" t="str">
        <x:v>Low concern</x:v>
      </x:c>
      <x:c r="J413" s="9" t="str">
        <x:v>Initial agreement</x:v>
      </x:c>
      <x:c r="K413" s="9" t="str">
        <x:v>Study-specific basis is documented in the extraction and REB sheets.</x:v>
      </x:c>
      <x:c r="L413" s="9" t="str">
        <x:v>PDF pp. 2–9; Figs. 1–7</x:v>
      </x:c>
      <x:c r="M413" s="9" t="str">
        <x:v>Relevant loading/exposure range, rate or geometry and measurement conditions are stated.</x:v>
      </x:c>
      <x:c r="N413" s="9" t="str">
        <x:v>Article PDF p. 2</x:v>
      </x:c>
      <x:c r="O413" s="9" t="str">
        <x:v>Study-specific basis is documented in the extraction and REB sheets.</x:v>
      </x:c>
      <x:c r="P413" s="9" t="str">
        <x:v>PDF pp. 2–9; Figs. 1–7</x:v>
      </x:c>
    </x:row>
    <x:row r="414">
      <x:c r="A414" s="9" t="n">
        <x:v>52</x:v>
      </x:c>
      <x:c r="B414" s="9" t="str">
        <x:v>S065</x:v>
      </x:c>
      <x:c r="C414" s="9" t="str">
        <x:v>Han et al. (2026)</x:v>
      </x:c>
      <x:c r="D414" s="9" t="str">
        <x:v>D5</x:v>
      </x:c>
      <x:c r="E414" s="9" t="str">
        <x:v>Low concern</x:v>
      </x:c>
      <x:c r="F414" s="9" t="str">
        <x:v>Low concern</x:v>
      </x:c>
      <x:c r="G414" s="9" t="str">
        <x:v>Yes</x:v>
      </x:c>
      <x:c r="H414" s="9" t="str">
        <x:v>Agree</x:v>
      </x:c>
      <x:c r="I414" s="9" t="str">
        <x:v>Low concern</x:v>
      </x:c>
      <x:c r="J414" s="9" t="str">
        <x:v>Initial agreement</x:v>
      </x:c>
      <x:c r="K414" s="9" t="str">
        <x:v>Study-specific basis is documented in the extraction and REB sheets.</x:v>
      </x:c>
      <x:c r="L414" s="9" t="str">
        <x:v>PDF pp. 2–9; Figs. 1–7</x:v>
      </x:c>
      <x:c r="M414" s="9" t="str">
        <x:v>Repeated units/counts and a stability outcome are defined for the stated protocol.</x:v>
      </x:c>
      <x:c r="N414" s="9" t="str">
        <x:v>Article PDF p. 8</x:v>
      </x:c>
      <x:c r="O414" s="9" t="str">
        <x:v>Study-specific basis is documented in the extraction and REB sheets.</x:v>
      </x:c>
      <x:c r="P414" s="9" t="str">
        <x:v>PDF pp. 2–9; Figs. 1–7</x:v>
      </x:c>
    </x:row>
    <x:row r="415">
      <x:c r="A415" s="9" t="n">
        <x:v>52</x:v>
      </x:c>
      <x:c r="B415" s="9" t="str">
        <x:v>S065</x:v>
      </x:c>
      <x:c r="C415" s="9" t="str">
        <x:v>Han et al. (2026)</x:v>
      </x:c>
      <x:c r="D415" s="9" t="str">
        <x:v>D6</x:v>
      </x:c>
      <x:c r="E415" s="9" t="str">
        <x:v>Low concern</x:v>
      </x:c>
      <x:c r="F415" s="9" t="str">
        <x:v>High concern</x:v>
      </x:c>
      <x:c r="G415" s="9" t="str">
        <x:v>Yes</x:v>
      </x:c>
      <x:c r="H415" s="9" t="str">
        <x:v>Disagree</x:v>
      </x:c>
      <x:c r="I415" s="9" t="str">
        <x:v>Low concern</x:v>
      </x:c>
      <x:c r="J415" s="9" t="str">
        <x:v>Adjudicated to Reviewer 1</x:v>
      </x:c>
      <x:c r="K415" s="9" t="str">
        <x:v>At least three separately fabricated complete devices were quantitatively compared.</x:v>
      </x:c>
      <x:c r="L415" s="9" t="str">
        <x:v>PDF pp. 2–9; Figs. 1–7</x:v>
      </x:c>
      <x:c r="M415" s="9" t="str">
        <x:v>Cycles, participants or configurations do not establish replication across three equivalent fabricated devices.</x:v>
      </x:c>
      <x:c r="N415" s="9" t="str">
        <x:v>Article PDF p. 8</x:v>
      </x:c>
      <x:c r="O415" s="9" t="str">
        <x:v>At least three separately fabricated complete devices were quantitatively compared.</x:v>
      </x:c>
      <x:c r="P415" s="9" t="str">
        <x:v>PDF pp. 2–9; Figs. 1–7</x:v>
      </x:c>
    </x:row>
    <x:row r="416">
      <x:c r="A416" s="9" t="n">
        <x:v>52</x:v>
      </x:c>
      <x:c r="B416" s="9" t="str">
        <x:v>S065</x:v>
      </x:c>
      <x:c r="C416" s="9" t="str">
        <x:v>Han et al. (2026)</x:v>
      </x:c>
      <x:c r="D416" s="9" t="str">
        <x:v>D7</x:v>
      </x:c>
      <x:c r="E416" s="9" t="str">
        <x:v>Low concern</x:v>
      </x:c>
      <x:c r="F416" s="9" t="str">
        <x:v>Some concern</x:v>
      </x:c>
      <x:c r="G416" s="9" t="str">
        <x:v>Yes</x:v>
      </x:c>
      <x:c r="H416" s="9" t="str">
        <x:v>Disagree</x:v>
      </x:c>
      <x:c r="I416" s="9" t="str">
        <x:v>Low concern</x:v>
      </x:c>
      <x:c r="J416" s="9" t="str">
        <x:v>Adjudicated to Reviewer 1</x:v>
      </x:c>
      <x:c r="K416" s="9" t="str">
        <x:v>Study-specific basis is documented in the extraction and REB sheets.</x:v>
      </x:c>
      <x:c r="L416" s="9" t="str">
        <x:v>PDF pp. 2–9; Figs. 1–7</x:v>
      </x:c>
      <x:c r="M416" s="9" t="str">
        <x:v>Principal outcomes are reported, but device-level uncertainty or complete accounting of units/cycles is limited.</x:v>
      </x:c>
      <x:c r="N416" s="9" t="str">
        <x:v>Article PDF p. 5</x:v>
      </x:c>
      <x:c r="O416" s="9" t="str">
        <x:v>Study-specific basis is documented in the extraction and REB sheets.</x:v>
      </x:c>
      <x:c r="P416" s="9" t="str">
        <x:v>PDF pp. 2–9; Figs. 1–7</x:v>
      </x:c>
    </x:row>
    <x:row r="417">
      <x:c r="A417" s="9" t="n">
        <x:v>52</x:v>
      </x:c>
      <x:c r="B417" s="9" t="str">
        <x:v>S065</x:v>
      </x:c>
      <x:c r="C417" s="9" t="str">
        <x:v>Han et al. (2026)</x:v>
      </x:c>
      <x:c r="D417" s="9" t="str">
        <x:v>D8</x:v>
      </x:c>
      <x:c r="E417" s="9" t="str">
        <x:v>Some concern</x:v>
      </x:c>
      <x:c r="F417" s="9" t="str">
        <x:v>Low concern</x:v>
      </x:c>
      <x:c r="G417" s="9" t="str">
        <x:v>Yes</x:v>
      </x:c>
      <x:c r="H417" s="9" t="str">
        <x:v>Disagree</x:v>
      </x:c>
      <x:c r="I417" s="9" t="str">
        <x:v>Some concern</x:v>
      </x:c>
      <x:c r="J417" s="9" t="str">
        <x:v>Adjudicated to Reviewer 1</x:v>
      </x:c>
      <x:c r="K417" s="9" t="str">
        <x:v>Wearable configuration and extent of application testing are documented in the sensor and experiment sheets.</x:v>
      </x:c>
      <x:c r="L417" s="9" t="str">
        <x:v>PDF pp. 2–9; Figs. 1–7</x:v>
      </x:c>
      <x:c r="M417" s="9" t="str">
        <x:v>The final device was evaluated in a body-worn/use-relevant human configuration.</x:v>
      </x:c>
      <x:c r="N417" s="9" t="str">
        <x:v>Article PDF p. 2</x:v>
      </x:c>
      <x:c r="O417" s="9" t="str">
        <x:v>Wearable configuration and extent of application testing are documented in the sensor and experiment sheets.</x:v>
      </x:c>
      <x:c r="P417" s="9" t="str">
        <x:v>PDF pp. 2–9; Figs. 1–7</x:v>
      </x:c>
    </x:row>
    <x:row r="418">
      <x:c r="A418" s="9" t="n">
        <x:v>53</x:v>
      </x:c>
      <x:c r="B418" s="9" t="str">
        <x:v>S066</x:v>
      </x:c>
      <x:c r="C418" s="9" t="str">
        <x:v>Saroli et al. (2026)</x:v>
      </x:c>
      <x:c r="D418" s="9" t="str">
        <x:v>D1</x:v>
      </x:c>
      <x:c r="E418" s="9" t="str">
        <x:v>Low concern</x:v>
      </x:c>
      <x:c r="F418" s="9" t="str">
        <x:v>Some concern</x:v>
      </x:c>
      <x:c r="G418" s="9" t="str">
        <x:v>Yes</x:v>
      </x:c>
      <x:c r="H418" s="9" t="str">
        <x:v>Disagree</x:v>
      </x:c>
      <x:c r="I418" s="9" t="str">
        <x:v>Low concern</x:v>
      </x:c>
      <x:c r="J418" s="9" t="str">
        <x:v>Adjudicated to Reviewer 1</x:v>
      </x:c>
      <x:c r="K418" s="9" t="str">
        <x:v>Study-specific basis is documented in the extraction and REB sheets.</x:v>
      </x:c>
      <x:c r="L418" s="9" t="str">
        <x:v>PDF pp. 2–8; Figs. 1–8; Table I</x:v>
      </x:c>
      <x:c r="M418" s="9" t="str">
        <x:v>Some unit/participant counts or selection details are provided, but fabricated-unit selection and failures are not fully accounted for.</x:v>
      </x:c>
      <x:c r="N418" s="9" t="str">
        <x:v>Article PDF p. 8</x:v>
      </x:c>
      <x:c r="O418" s="9" t="str">
        <x:v>Study-specific basis is documented in the extraction and REB sheets.</x:v>
      </x:c>
      <x:c r="P418" s="9" t="str">
        <x:v>PDF pp. 2–8; Figs. 1–8; Table I</x:v>
      </x:c>
    </x:row>
    <x:row r="419">
      <x:c r="A419" s="9" t="n">
        <x:v>53</x:v>
      </x:c>
      <x:c r="B419" s="9" t="str">
        <x:v>S066</x:v>
      </x:c>
      <x:c r="C419" s="9" t="str">
        <x:v>Saroli et al. (2026)</x:v>
      </x:c>
      <x:c r="D419" s="9" t="str">
        <x:v>D2</x:v>
      </x:c>
      <x:c r="E419" s="9" t="str">
        <x:v>Some concern</x:v>
      </x:c>
      <x:c r="F419" s="9" t="str">
        <x:v>High concern</x:v>
      </x:c>
      <x:c r="G419" s="9" t="str">
        <x:v>Yes</x:v>
      </x:c>
      <x:c r="H419" s="9" t="str">
        <x:v>Disagree</x:v>
      </x:c>
      <x:c r="I419" s="9" t="str">
        <x:v>Some concern</x:v>
      </x:c>
      <x:c r="J419" s="9" t="str">
        <x:v>Adjudicated to Reviewer 1</x:v>
      </x:c>
      <x:c r="K419" s="9" t="str">
        <x:v>Study-specific basis is documented in the extraction and REB sheets.</x:v>
      </x:c>
      <x:c r="L419" s="9" t="str">
        <x:v>PDF pp. 2–8; Figs. 1–8; Table I</x:v>
      </x:c>
      <x:c r="M419" s="9" t="str">
        <x:v>Key fabrication variables are missing, so process variation cannot be separated confidently from sensor effects.</x:v>
      </x:c>
      <x:c r="N419" s="9" t="str">
        <x:v>Article PDF p. 2</x:v>
      </x:c>
      <x:c r="O419" s="9" t="str">
        <x:v>Study-specific basis is documented in the extraction and REB sheets.</x:v>
      </x:c>
      <x:c r="P419" s="9" t="str">
        <x:v>PDF pp. 2–8; Figs. 1–8; Table I</x:v>
      </x:c>
    </x:row>
    <x:row r="420">
      <x:c r="A420" s="9" t="n">
        <x:v>53</x:v>
      </x:c>
      <x:c r="B420" s="9" t="str">
        <x:v>S066</x:v>
      </x:c>
      <x:c r="C420" s="9" t="str">
        <x:v>Saroli et al. (2026)</x:v>
      </x:c>
      <x:c r="D420" s="9" t="str">
        <x:v>D3</x:v>
      </x:c>
      <x:c r="E420" s="9" t="str">
        <x:v>Some concern</x:v>
      </x:c>
      <x:c r="F420" s="9" t="str">
        <x:v>Low concern</x:v>
      </x:c>
      <x:c r="G420" s="9" t="str">
        <x:v>Yes</x:v>
      </x:c>
      <x:c r="H420" s="9" t="str">
        <x:v>Disagree</x:v>
      </x:c>
      <x:c r="I420" s="9" t="str">
        <x:v>Some concern</x:v>
      </x:c>
      <x:c r="J420" s="9" t="str">
        <x:v>Adjudicated to Reviewer 1</x:v>
      </x:c>
      <x:c r="K420" s="9" t="str">
        <x:v>Study-specific basis is documented in the extraction and REB sheets.</x:v>
      </x:c>
      <x:c r="L420" s="9" t="str">
        <x:v>PDF pp. 2–8; Figs. 1–8; Table I</x:v>
      </x:c>
      <x:c r="M420" s="9" t="str">
        <x:v>A synchronized commercial chest-worn system provides the independent reference.</x:v>
      </x:c>
      <x:c r="N420" s="9" t="str">
        <x:v>Article PDF pp. 5-7</x:v>
      </x:c>
      <x:c r="O420" s="9" t="str">
        <x:v>Study-specific basis is documented in the extraction and REB sheets.</x:v>
      </x:c>
      <x:c r="P420" s="9" t="str">
        <x:v>PDF pp. 2–8; Figs. 1–8; Table I</x:v>
      </x:c>
    </x:row>
    <x:row r="421">
      <x:c r="A421" s="9" t="n">
        <x:v>53</x:v>
      </x:c>
      <x:c r="B421" s="9" t="str">
        <x:v>S066</x:v>
      </x:c>
      <x:c r="C421" s="9" t="str">
        <x:v>Saroli et al. (2026)</x:v>
      </x:c>
      <x:c r="D421" s="9" t="str">
        <x:v>D4</x:v>
      </x:c>
      <x:c r="E421" s="9" t="str">
        <x:v>Low concern</x:v>
      </x:c>
      <x:c r="F421" s="9" t="str">
        <x:v>Low concern</x:v>
      </x:c>
      <x:c r="G421" s="9" t="str">
        <x:v>Yes</x:v>
      </x:c>
      <x:c r="H421" s="9" t="str">
        <x:v>Agree</x:v>
      </x:c>
      <x:c r="I421" s="9" t="str">
        <x:v>Low concern</x:v>
      </x:c>
      <x:c r="J421" s="9" t="str">
        <x:v>Initial agreement</x:v>
      </x:c>
      <x:c r="K421" s="9" t="str">
        <x:v>Study-specific basis is documented in the extraction and REB sheets.</x:v>
      </x:c>
      <x:c r="L421" s="9" t="str">
        <x:v>PDF pp. 2–8; Figs. 1–8; Table I</x:v>
      </x:c>
      <x:c r="M421" s="9" t="str">
        <x:v>Static breathing rates, dynamic activities, placement and analysis are prespecified.</x:v>
      </x:c>
      <x:c r="N421" s="9" t="str">
        <x:v>Article PDF pp. 5-7</x:v>
      </x:c>
      <x:c r="O421" s="9" t="str">
        <x:v>Study-specific basis is documented in the extraction and REB sheets.</x:v>
      </x:c>
      <x:c r="P421" s="9" t="str">
        <x:v>PDF pp. 2–8; Figs. 1–8; Table I</x:v>
      </x:c>
    </x:row>
    <x:row r="422">
      <x:c r="A422" s="9" t="n">
        <x:v>53</x:v>
      </x:c>
      <x:c r="B422" s="9" t="str">
        <x:v>S066</x:v>
      </x:c>
      <x:c r="C422" s="9" t="str">
        <x:v>Saroli et al. (2026)</x:v>
      </x:c>
      <x:c r="D422" s="9" t="str">
        <x:v>D5</x:v>
      </x:c>
      <x:c r="E422" s="9" t="str">
        <x:v>Low concern</x:v>
      </x:c>
      <x:c r="F422" s="9" t="str">
        <x:v>Low concern</x:v>
      </x:c>
      <x:c r="G422" s="9" t="str">
        <x:v>Yes</x:v>
      </x:c>
      <x:c r="H422" s="9" t="str">
        <x:v>Agree</x:v>
      </x:c>
      <x:c r="I422" s="9" t="str">
        <x:v>Low concern</x:v>
      </x:c>
      <x:c r="J422" s="9" t="str">
        <x:v>Initial agreement</x:v>
      </x:c>
      <x:c r="K422" s="9" t="str">
        <x:v>Study-specific basis is documented in the extraction and REB sheets.</x:v>
      </x:c>
      <x:c r="L422" s="9" t="str">
        <x:v>PDF pp. 2–8; Figs. 1–8; Table I</x:v>
      </x:c>
      <x:c r="M422" s="9" t="str">
        <x:v>Long-duration repeated respiratory motion includes a reported drift/stability outcome.</x:v>
      </x:c>
      <x:c r="N422" s="9" t="str">
        <x:v>Article PDF p. 8</x:v>
      </x:c>
      <x:c r="O422" s="9" t="str">
        <x:v>Study-specific basis is documented in the extraction and REB sheets.</x:v>
      </x:c>
      <x:c r="P422" s="9" t="str">
        <x:v>PDF pp. 2–8; Figs. 1–8; Table I</x:v>
      </x:c>
    </x:row>
    <x:row r="423">
      <x:c r="A423" s="9" t="n">
        <x:v>53</x:v>
      </x:c>
      <x:c r="B423" s="9" t="str">
        <x:v>S066</x:v>
      </x:c>
      <x:c r="C423" s="9" t="str">
        <x:v>Saroli et al. (2026)</x:v>
      </x:c>
      <x:c r="D423" s="9" t="str">
        <x:v>D6</x:v>
      </x:c>
      <x:c r="E423" s="9" t="str">
        <x:v>High concern</x:v>
      </x:c>
      <x:c r="F423" s="9" t="str">
        <x:v>High concern</x:v>
      </x:c>
      <x:c r="G423" s="9" t="str">
        <x:v>Yes</x:v>
      </x:c>
      <x:c r="H423" s="9" t="str">
        <x:v>Agree</x:v>
      </x:c>
      <x:c r="I423" s="9" t="str">
        <x:v>High concern</x:v>
      </x:c>
      <x:c r="J423" s="9" t="str">
        <x:v>Initial agreement</x:v>
      </x:c>
      <x:c r="K423" s="9" t="str">
        <x:v>A qualifying same-condition comparison of at least three separately fabricated complete sensors was not identified.</x:v>
      </x:c>
      <x:c r="L423" s="9" t="str">
        <x:v>PDF pp. 2–8; Figs. 1–8; Table I</x:v>
      </x:c>
      <x:c r="M423" s="9" t="str">
        <x:v>Cycles, participants or configurations do not establish replication across three equivalent fabricated devices.</x:v>
      </x:c>
      <x:c r="N423" s="9" t="str">
        <x:v>Article PDF p. 2</x:v>
      </x:c>
      <x:c r="O423" s="9" t="str">
        <x:v>A qualifying same-condition comparison of at least three separately fabricated complete sensors was not identified.</x:v>
      </x:c>
      <x:c r="P423" s="9" t="str">
        <x:v>PDF pp. 2–8; Figs. 1–8; Table I</x:v>
      </x:c>
    </x:row>
    <x:row r="424">
      <x:c r="A424" s="9" t="n">
        <x:v>53</x:v>
      </x:c>
      <x:c r="B424" s="9" t="str">
        <x:v>S066</x:v>
      </x:c>
      <x:c r="C424" s="9" t="str">
        <x:v>Saroli et al. (2026)</x:v>
      </x:c>
      <x:c r="D424" s="9" t="str">
        <x:v>D7</x:v>
      </x:c>
      <x:c r="E424" s="9" t="str">
        <x:v>Low concern</x:v>
      </x:c>
      <x:c r="F424" s="9" t="str">
        <x:v>Some concern</x:v>
      </x:c>
      <x:c r="G424" s="9" t="str">
        <x:v>Yes</x:v>
      </x:c>
      <x:c r="H424" s="9" t="str">
        <x:v>Disagree</x:v>
      </x:c>
      <x:c r="I424" s="9" t="str">
        <x:v>Low concern</x:v>
      </x:c>
      <x:c r="J424" s="9" t="str">
        <x:v>Adjudicated to Reviewer 1</x:v>
      </x:c>
      <x:c r="K424" s="9" t="str">
        <x:v>Study-specific basis is documented in the extraction and REB sheets.</x:v>
      </x:c>
      <x:c r="L424" s="9" t="str">
        <x:v>PDF pp. 2–8; Figs. 1–8; Table I</x:v>
      </x:c>
      <x:c r="M424" s="9" t="str">
        <x:v>Principal outcomes are reported, but device-level uncertainty or complete accounting of units/cycles is limited.</x:v>
      </x:c>
      <x:c r="N424" s="9" t="str">
        <x:v>Article PDF p. 7</x:v>
      </x:c>
      <x:c r="O424" s="9" t="str">
        <x:v>Study-specific basis is documented in the extraction and REB sheets.</x:v>
      </x:c>
      <x:c r="P424" s="9" t="str">
        <x:v>PDF pp. 2–8; Figs. 1–8; Table I</x:v>
      </x:c>
    </x:row>
    <x:row r="425">
      <x:c r="A425" s="9" t="n">
        <x:v>53</x:v>
      </x:c>
      <x:c r="B425" s="9" t="str">
        <x:v>S066</x:v>
      </x:c>
      <x:c r="C425" s="9" t="str">
        <x:v>Saroli et al. (2026)</x:v>
      </x:c>
      <x:c r="D425" s="9" t="str">
        <x:v>D8</x:v>
      </x:c>
      <x:c r="E425" s="9" t="str">
        <x:v>Low concern</x:v>
      </x:c>
      <x:c r="F425" s="9" t="str">
        <x:v>Low concern</x:v>
      </x:c>
      <x:c r="G425" s="9" t="str">
        <x:v>Yes</x:v>
      </x:c>
      <x:c r="H425" s="9" t="str">
        <x:v>Agree</x:v>
      </x:c>
      <x:c r="I425" s="9" t="str">
        <x:v>Low concern</x:v>
      </x:c>
      <x:c r="J425" s="9" t="str">
        <x:v>Initial agreement</x:v>
      </x:c>
      <x:c r="K425" s="9" t="str">
        <x:v>Wearable configuration and extent of application testing are documented in the sensor and experiment sheets.</x:v>
      </x:c>
      <x:c r="L425" s="9" t="str">
        <x:v>PDF pp. 2–8; Figs. 1–8; Table I</x:v>
      </x:c>
      <x:c r="M425" s="9" t="str">
        <x:v>The final device was evaluated in a body-worn/use-relevant human configuration.</x:v>
      </x:c>
      <x:c r="N425" s="9" t="str">
        <x:v>Article PDF p. 8</x:v>
      </x:c>
      <x:c r="O425" s="9" t="str">
        <x:v>Wearable configuration and extent of application testing are documented in the sensor and experiment sheets.</x:v>
      </x:c>
      <x:c r="P425" s="9" t="str">
        <x:v>PDF pp. 2–8; Figs. 1–8; Table I</x:v>
      </x:c>
    </x:row>
    <x:row r="426">
      <x:c r="A426" s="9" t="n">
        <x:v>54</x:v>
      </x:c>
      <x:c r="B426" s="9" t="str">
        <x:v>S067</x:v>
      </x:c>
      <x:c r="C426" s="9" t="str">
        <x:v>Yang et al. (2026)</x:v>
      </x:c>
      <x:c r="D426" s="9" t="str">
        <x:v>D1</x:v>
      </x:c>
      <x:c r="E426" s="9" t="str">
        <x:v>High concern</x:v>
      </x:c>
      <x:c r="F426" s="9" t="str">
        <x:v>Some concern</x:v>
      </x:c>
      <x:c r="G426" s="9" t="str">
        <x:v>Yes</x:v>
      </x:c>
      <x:c r="H426" s="9" t="str">
        <x:v>Disagree</x:v>
      </x:c>
      <x:c r="I426" s="9" t="str">
        <x:v>High concern</x:v>
      </x:c>
      <x:c r="J426" s="9" t="str">
        <x:v>Adjudicated to Reviewer 1</x:v>
      </x:c>
      <x:c r="K426" s="9" t="str">
        <x:v>Study-specific basis is documented in the extraction and REB sheets.</x:v>
      </x:c>
      <x:c r="L426" s="9" t="str">
        <x:v>PDF pp. 2–9; Figs. 1–8</x:v>
      </x:c>
      <x:c r="M426" s="9" t="str">
        <x:v>Some unit/participant counts or selection details are provided, but fabricated-unit selection and failures are not fully accounted for.</x:v>
      </x:c>
      <x:c r="N426" s="9" t="str">
        <x:v>Article PDF p. 9</x:v>
      </x:c>
      <x:c r="O426" s="9" t="str">
        <x:v>Study-specific basis is documented in the extraction and REB sheets.</x:v>
      </x:c>
      <x:c r="P426" s="9" t="str">
        <x:v>PDF pp. 2–9; Figs. 1–8</x:v>
      </x:c>
    </x:row>
    <x:row r="427">
      <x:c r="A427" s="9" t="n">
        <x:v>54</x:v>
      </x:c>
      <x:c r="B427" s="9" t="str">
        <x:v>S067</x:v>
      </x:c>
      <x:c r="C427" s="9" t="str">
        <x:v>Yang et al. (2026)</x:v>
      </x:c>
      <x:c r="D427" s="9" t="str">
        <x:v>D2</x:v>
      </x:c>
      <x:c r="E427" s="9" t="str">
        <x:v>Some concern</x:v>
      </x:c>
      <x:c r="F427" s="9" t="str">
        <x:v>High concern</x:v>
      </x:c>
      <x:c r="G427" s="9" t="str">
        <x:v>Yes</x:v>
      </x:c>
      <x:c r="H427" s="9" t="str">
        <x:v>Disagree</x:v>
      </x:c>
      <x:c r="I427" s="9" t="str">
        <x:v>Some concern</x:v>
      </x:c>
      <x:c r="J427" s="9" t="str">
        <x:v>Adjudicated to Reviewer 1</x:v>
      </x:c>
      <x:c r="K427" s="9" t="str">
        <x:v>Study-specific basis is documented in the extraction and REB sheets.</x:v>
      </x:c>
      <x:c r="L427" s="9" t="str">
        <x:v>PDF pp. 2–9; Figs. 1–8</x:v>
      </x:c>
      <x:c r="M427" s="9" t="str">
        <x:v>Key fabrication variables are missing, so process variation cannot be separated confidently from sensor effects.</x:v>
      </x:c>
      <x:c r="N427" s="9" t="str">
        <x:v>Article PDF p. 4</x:v>
      </x:c>
      <x:c r="O427" s="9" t="str">
        <x:v>Study-specific basis is documented in the extraction and REB sheets.</x:v>
      </x:c>
      <x:c r="P427" s="9" t="str">
        <x:v>PDF pp. 2–9; Figs. 1–8</x:v>
      </x:c>
    </x:row>
    <x:row r="428">
      <x:c r="A428" s="9" t="n">
        <x:v>54</x:v>
      </x:c>
      <x:c r="B428" s="9" t="str">
        <x:v>S067</x:v>
      </x:c>
      <x:c r="C428" s="9" t="str">
        <x:v>Yang et al. (2026)</x:v>
      </x:c>
      <x:c r="D428" s="9" t="str">
        <x:v>D3</x:v>
      </x:c>
      <x:c r="E428" s="9" t="str">
        <x:v>Low concern</x:v>
      </x:c>
      <x:c r="F428" s="9" t="str">
        <x:v>Low concern</x:v>
      </x:c>
      <x:c r="G428" s="9" t="str">
        <x:v>Yes</x:v>
      </x:c>
      <x:c r="H428" s="9" t="str">
        <x:v>Agree</x:v>
      </x:c>
      <x:c r="I428" s="9" t="str">
        <x:v>Low concern</x:v>
      </x:c>
      <x:c r="J428" s="9" t="str">
        <x:v>Initial agreement</x:v>
      </x:c>
      <x:c r="K428" s="9" t="str">
        <x:v>Study-specific basis is documented in the extraction and REB sheets.</x:v>
      </x:c>
      <x:c r="L428" s="9" t="str">
        <x:v>PDF pp. 2–9; Figs. 1–8</x:v>
      </x:c>
      <x:c r="M428" s="9" t="str">
        <x:v>The controlled input/reference and calibration procedure are appropriate and independently measured.</x:v>
      </x:c>
      <x:c r="N428" s="9" t="str">
        <x:v>Article PDF p. 5</x:v>
      </x:c>
      <x:c r="O428" s="9" t="str">
        <x:v>Study-specific basis is documented in the extraction and REB sheets.</x:v>
      </x:c>
      <x:c r="P428" s="9" t="str">
        <x:v>PDF pp. 2–9; Figs. 1–8</x:v>
      </x:c>
    </x:row>
    <x:row r="429">
      <x:c r="A429" s="9" t="n">
        <x:v>54</x:v>
      </x:c>
      <x:c r="B429" s="9" t="str">
        <x:v>S067</x:v>
      </x:c>
      <x:c r="C429" s="9" t="str">
        <x:v>Yang et al. (2026)</x:v>
      </x:c>
      <x:c r="D429" s="9" t="str">
        <x:v>D4</x:v>
      </x:c>
      <x:c r="E429" s="9" t="str">
        <x:v>Low concern</x:v>
      </x:c>
      <x:c r="F429" s="9" t="str">
        <x:v>Low concern</x:v>
      </x:c>
      <x:c r="G429" s="9" t="str">
        <x:v>Yes</x:v>
      </x:c>
      <x:c r="H429" s="9" t="str">
        <x:v>Agree</x:v>
      </x:c>
      <x:c r="I429" s="9" t="str">
        <x:v>Low concern</x:v>
      </x:c>
      <x:c r="J429" s="9" t="str">
        <x:v>Initial agreement</x:v>
      </x:c>
      <x:c r="K429" s="9" t="str">
        <x:v>Study-specific basis is documented in the extraction and REB sheets.</x:v>
      </x:c>
      <x:c r="L429" s="9" t="str">
        <x:v>PDF pp. 2–9; Figs. 1–8</x:v>
      </x:c>
      <x:c r="M429" s="9" t="str">
        <x:v>Relevant loading/exposure range, rate or geometry and measurement conditions are stated.</x:v>
      </x:c>
      <x:c r="N429" s="9" t="str">
        <x:v>Article PDF p. 9</x:v>
      </x:c>
      <x:c r="O429" s="9" t="str">
        <x:v>Study-specific basis is documented in the extraction and REB sheets.</x:v>
      </x:c>
      <x:c r="P429" s="9" t="str">
        <x:v>PDF pp. 2–9; Figs. 1–8</x:v>
      </x:c>
    </x:row>
    <x:row r="430">
      <x:c r="A430" s="9" t="n">
        <x:v>54</x:v>
      </x:c>
      <x:c r="B430" s="9" t="str">
        <x:v>S067</x:v>
      </x:c>
      <x:c r="C430" s="9" t="str">
        <x:v>Yang et al. (2026)</x:v>
      </x:c>
      <x:c r="D430" s="9" t="str">
        <x:v>D5</x:v>
      </x:c>
      <x:c r="E430" s="9" t="str">
        <x:v>Low concern</x:v>
      </x:c>
      <x:c r="F430" s="9" t="str">
        <x:v>Low concern</x:v>
      </x:c>
      <x:c r="G430" s="9" t="str">
        <x:v>Yes</x:v>
      </x:c>
      <x:c r="H430" s="9" t="str">
        <x:v>Agree</x:v>
      </x:c>
      <x:c r="I430" s="9" t="str">
        <x:v>Low concern</x:v>
      </x:c>
      <x:c r="J430" s="9" t="str">
        <x:v>Initial agreement</x:v>
      </x:c>
      <x:c r="K430" s="9" t="str">
        <x:v>Study-specific basis is documented in the extraction and REB sheets.</x:v>
      </x:c>
      <x:c r="L430" s="9" t="str">
        <x:v>PDF pp. 2–9; Figs. 1–8</x:v>
      </x:c>
      <x:c r="M430" s="9" t="str">
        <x:v>A 10,000-cycle stability protocol with force and frequency is reported.</x:v>
      </x:c>
      <x:c r="N430" s="9" t="str">
        <x:v>Article PDF p. 9</x:v>
      </x:c>
      <x:c r="O430" s="9" t="str">
        <x:v>Study-specific basis is documented in the extraction and REB sheets.</x:v>
      </x:c>
      <x:c r="P430" s="9" t="str">
        <x:v>PDF pp. 2–9; Figs. 1–8</x:v>
      </x:c>
    </x:row>
    <x:row r="431">
      <x:c r="A431" s="9" t="n">
        <x:v>54</x:v>
      </x:c>
      <x:c r="B431" s="9" t="str">
        <x:v>S067</x:v>
      </x:c>
      <x:c r="C431" s="9" t="str">
        <x:v>Yang et al. (2026)</x:v>
      </x:c>
      <x:c r="D431" s="9" t="str">
        <x:v>D6</x:v>
      </x:c>
      <x:c r="E431" s="9" t="str">
        <x:v>High concern</x:v>
      </x:c>
      <x:c r="F431" s="9" t="str">
        <x:v>High concern</x:v>
      </x:c>
      <x:c r="G431" s="9" t="str">
        <x:v>Yes</x:v>
      </x:c>
      <x:c r="H431" s="9" t="str">
        <x:v>Agree</x:v>
      </x:c>
      <x:c r="I431" s="9" t="str">
        <x:v>High concern</x:v>
      </x:c>
      <x:c r="J431" s="9" t="str">
        <x:v>Initial agreement</x:v>
      </x:c>
      <x:c r="K431" s="9" t="str">
        <x:v>A qualifying same-condition comparison of at least three separately fabricated complete sensors was not identified.</x:v>
      </x:c>
      <x:c r="L431" s="9" t="str">
        <x:v>PDF pp. 2–9; Figs. 1–8</x:v>
      </x:c>
      <x:c r="M431" s="9" t="str">
        <x:v>Cycles, participants or configurations do not establish replication across three equivalent fabricated devices.</x:v>
      </x:c>
      <x:c r="N431" s="9" t="str">
        <x:v>Article PDF p. 8</x:v>
      </x:c>
      <x:c r="O431" s="9" t="str">
        <x:v>A qualifying same-condition comparison of at least three separately fabricated complete sensors was not identified.</x:v>
      </x:c>
      <x:c r="P431" s="9" t="str">
        <x:v>PDF pp. 2–9; Figs. 1–8</x:v>
      </x:c>
    </x:row>
    <x:row r="432">
      <x:c r="A432" s="9" t="n">
        <x:v>54</x:v>
      </x:c>
      <x:c r="B432" s="9" t="str">
        <x:v>S067</x:v>
      </x:c>
      <x:c r="C432" s="9" t="str">
        <x:v>Yang et al. (2026)</x:v>
      </x:c>
      <x:c r="D432" s="9" t="str">
        <x:v>D7</x:v>
      </x:c>
      <x:c r="E432" s="9" t="str">
        <x:v>Low concern</x:v>
      </x:c>
      <x:c r="F432" s="9" t="str">
        <x:v>Some concern</x:v>
      </x:c>
      <x:c r="G432" s="9" t="str">
        <x:v>Yes</x:v>
      </x:c>
      <x:c r="H432" s="9" t="str">
        <x:v>Disagree</x:v>
      </x:c>
      <x:c r="I432" s="9" t="str">
        <x:v>Low concern</x:v>
      </x:c>
      <x:c r="J432" s="9" t="str">
        <x:v>Adjudicated to Reviewer 1</x:v>
      </x:c>
      <x:c r="K432" s="9" t="str">
        <x:v>Study-specific basis is documented in the extraction and REB sheets.</x:v>
      </x:c>
      <x:c r="L432" s="9" t="str">
        <x:v>PDF pp. 2–9; Figs. 1–8</x:v>
      </x:c>
      <x:c r="M432" s="9" t="str">
        <x:v>Principal outcomes are reported, but device-level uncertainty or complete accounting of units/cycles is limited.</x:v>
      </x:c>
      <x:c r="N432" s="9" t="str">
        <x:v>Article PDF p. 4</x:v>
      </x:c>
      <x:c r="O432" s="9" t="str">
        <x:v>Study-specific basis is documented in the extraction and REB sheets.</x:v>
      </x:c>
      <x:c r="P432" s="9" t="str">
        <x:v>PDF pp. 2–9; Figs. 1–8</x:v>
      </x:c>
    </x:row>
    <x:row r="433">
      <x:c r="A433" s="9" t="n">
        <x:v>54</x:v>
      </x:c>
      <x:c r="B433" s="9" t="str">
        <x:v>S067</x:v>
      </x:c>
      <x:c r="C433" s="9" t="str">
        <x:v>Yang et al. (2026)</x:v>
      </x:c>
      <x:c r="D433" s="9" t="str">
        <x:v>D8</x:v>
      </x:c>
      <x:c r="E433" s="9" t="str">
        <x:v>Some concern</x:v>
      </x:c>
      <x:c r="F433" s="9" t="str">
        <x:v>Low concern</x:v>
      </x:c>
      <x:c r="G433" s="9" t="str">
        <x:v>Yes</x:v>
      </x:c>
      <x:c r="H433" s="9" t="str">
        <x:v>Disagree</x:v>
      </x:c>
      <x:c r="I433" s="9" t="str">
        <x:v>Some concern</x:v>
      </x:c>
      <x:c r="J433" s="9" t="str">
        <x:v>Adjudicated to Reviewer 1</x:v>
      </x:c>
      <x:c r="K433" s="9" t="str">
        <x:v>Wearable configuration and extent of application testing are documented in the sensor and experiment sheets.</x:v>
      </x:c>
      <x:c r="L433" s="9" t="str">
        <x:v>PDF pp. 2–9; Figs. 1–8</x:v>
      </x:c>
      <x:c r="M433" s="9" t="str">
        <x:v>The final device was evaluated in a body-worn/use-relevant human configuration.</x:v>
      </x:c>
      <x:c r="N433" s="9" t="str">
        <x:v>Article PDF p. 4</x:v>
      </x:c>
      <x:c r="O433" s="9" t="str">
        <x:v>Wearable configuration and extent of application testing are documented in the sensor and experiment sheets.</x:v>
      </x:c>
      <x:c r="P433" s="9" t="str">
        <x:v>PDF pp. 2–9; Figs. 1–8</x:v>
      </x:c>
    </x:row>
    <x:row r="434">
      <x:c r="A434" s="9" t="n">
        <x:v>55</x:v>
      </x:c>
      <x:c r="B434" s="9" t="str">
        <x:v>S068</x:v>
      </x:c>
      <x:c r="C434" s="9" t="str">
        <x:v>Sánchez et al. (2025)</x:v>
      </x:c>
      <x:c r="D434" s="9" t="str">
        <x:v>D1</x:v>
      </x:c>
      <x:c r="E434" s="9" t="str">
        <x:v>High concern</x:v>
      </x:c>
      <x:c r="F434" s="9" t="str">
        <x:v>Some concern</x:v>
      </x:c>
      <x:c r="G434" s="9" t="str">
        <x:v>Yes</x:v>
      </x:c>
      <x:c r="H434" s="9" t="str">
        <x:v>Disagree</x:v>
      </x:c>
      <x:c r="I434" s="9" t="str">
        <x:v>High concern</x:v>
      </x:c>
      <x:c r="J434" s="9" t="str">
        <x:v>Adjudicated to Reviewer 1</x:v>
      </x:c>
      <x:c r="K434" s="9" t="str">
        <x:v>Study-specific basis is documented in the extraction and REB sheets.</x:v>
      </x:c>
      <x:c r="L434" s="9" t="str">
        <x:v>PDF pp. 2–10; Figs. 1–7; Table 1</x:v>
      </x:c>
      <x:c r="M434" s="9" t="str">
        <x:v>Some unit/participant counts or selection details are provided, but fabricated-unit selection and failures are not fully accounted for.</x:v>
      </x:c>
      <x:c r="N434" s="9" t="str">
        <x:v>Article PDF p. 8</x:v>
      </x:c>
      <x:c r="O434" s="9" t="str">
        <x:v>Study-specific basis is documented in the extraction and REB sheets.</x:v>
      </x:c>
      <x:c r="P434" s="9" t="str">
        <x:v>PDF pp. 2–10; Figs. 1–7; Table 1</x:v>
      </x:c>
    </x:row>
    <x:row r="435">
      <x:c r="A435" s="9" t="n">
        <x:v>55</x:v>
      </x:c>
      <x:c r="B435" s="9" t="str">
        <x:v>S068</x:v>
      </x:c>
      <x:c r="C435" s="9" t="str">
        <x:v>Sánchez et al. (2025)</x:v>
      </x:c>
      <x:c r="D435" s="9" t="str">
        <x:v>D2</x:v>
      </x:c>
      <x:c r="E435" s="9" t="str">
        <x:v>Some concern</x:v>
      </x:c>
      <x:c r="F435" s="9" t="str">
        <x:v>Low concern</x:v>
      </x:c>
      <x:c r="G435" s="9" t="str">
        <x:v>Yes</x:v>
      </x:c>
      <x:c r="H435" s="9" t="str">
        <x:v>Disagree</x:v>
      </x:c>
      <x:c r="I435" s="9" t="str">
        <x:v>Some concern</x:v>
      </x:c>
      <x:c r="J435" s="9" t="str">
        <x:v>Adjudicated to Reviewer 1</x:v>
      </x:c>
      <x:c r="K435" s="9" t="str">
        <x:v>Study-specific basis is documented in the extraction and REB sheets.</x:v>
      </x:c>
      <x:c r="L435" s="9" t="str">
        <x:v>PDF pp. 2–10; Figs. 1–7; Table 1</x:v>
      </x:c>
      <x:c r="M435" s="9" t="str">
        <x:v>Relevant material, geometry, conditioning and extrusion variables are documented sufficiently for the claimed comparison.</x:v>
      </x:c>
      <x:c r="N435" s="9" t="str">
        <x:v>Article PDF p. 3</x:v>
      </x:c>
      <x:c r="O435" s="9" t="str">
        <x:v>Study-specific basis is documented in the extraction and REB sheets.</x:v>
      </x:c>
      <x:c r="P435" s="9" t="str">
        <x:v>PDF pp. 2–10; Figs. 1–7; Table 1</x:v>
      </x:c>
    </x:row>
    <x:row r="436">
      <x:c r="A436" s="9" t="n">
        <x:v>55</x:v>
      </x:c>
      <x:c r="B436" s="9" t="str">
        <x:v>S068</x:v>
      </x:c>
      <x:c r="C436" s="9" t="str">
        <x:v>Sánchez et al. (2025)</x:v>
      </x:c>
      <x:c r="D436" s="9" t="str">
        <x:v>D3</x:v>
      </x:c>
      <x:c r="E436" s="9" t="str">
        <x:v>Low concern</x:v>
      </x:c>
      <x:c r="F436" s="9" t="str">
        <x:v>Low concern</x:v>
      </x:c>
      <x:c r="G436" s="9" t="str">
        <x:v>Yes</x:v>
      </x:c>
      <x:c r="H436" s="9" t="str">
        <x:v>Agree</x:v>
      </x:c>
      <x:c r="I436" s="9" t="str">
        <x:v>Low concern</x:v>
      </x:c>
      <x:c r="J436" s="9" t="str">
        <x:v>Initial agreement</x:v>
      </x:c>
      <x:c r="K436" s="9" t="str">
        <x:v>Study-specific basis is documented in the extraction and REB sheets.</x:v>
      </x:c>
      <x:c r="L436" s="9" t="str">
        <x:v>PDF pp. 2–10; Figs. 1–7; Table 1</x:v>
      </x:c>
      <x:c r="M436" s="9" t="str">
        <x:v>The controlled input/reference and calibration procedure are appropriate and independently measured.</x:v>
      </x:c>
      <x:c r="N436" s="9" t="str">
        <x:v>Article PDF p. 3</x:v>
      </x:c>
      <x:c r="O436" s="9" t="str">
        <x:v>Study-specific basis is documented in the extraction and REB sheets.</x:v>
      </x:c>
      <x:c r="P436" s="9" t="str">
        <x:v>PDF pp. 2–10; Figs. 1–7; Table 1</x:v>
      </x:c>
    </x:row>
    <x:row r="437">
      <x:c r="A437" s="9" t="n">
        <x:v>55</x:v>
      </x:c>
      <x:c r="B437" s="9" t="str">
        <x:v>S068</x:v>
      </x:c>
      <x:c r="C437" s="9" t="str">
        <x:v>Sánchez et al. (2025)</x:v>
      </x:c>
      <x:c r="D437" s="9" t="str">
        <x:v>D4</x:v>
      </x:c>
      <x:c r="E437" s="9" t="str">
        <x:v>Low concern</x:v>
      </x:c>
      <x:c r="F437" s="9" t="str">
        <x:v>Low concern</x:v>
      </x:c>
      <x:c r="G437" s="9" t="str">
        <x:v>Yes</x:v>
      </x:c>
      <x:c r="H437" s="9" t="str">
        <x:v>Agree</x:v>
      </x:c>
      <x:c r="I437" s="9" t="str">
        <x:v>Low concern</x:v>
      </x:c>
      <x:c r="J437" s="9" t="str">
        <x:v>Initial agreement</x:v>
      </x:c>
      <x:c r="K437" s="9" t="str">
        <x:v>Study-specific basis is documented in the extraction and REB sheets.</x:v>
      </x:c>
      <x:c r="L437" s="9" t="str">
        <x:v>PDF pp. 2–10; Figs. 1–7; Table 1</x:v>
      </x:c>
      <x:c r="M437" s="9" t="str">
        <x:v>Relevant loading/exposure range, rate or geometry and measurement conditions are stated.</x:v>
      </x:c>
      <x:c r="N437" s="9" t="str">
        <x:v>Article PDF p. 7</x:v>
      </x:c>
      <x:c r="O437" s="9" t="str">
        <x:v>Study-specific basis is documented in the extraction and REB sheets.</x:v>
      </x:c>
      <x:c r="P437" s="9" t="str">
        <x:v>PDF pp. 2–10; Figs. 1–7; Table 1</x:v>
      </x:c>
    </x:row>
    <x:row r="438">
      <x:c r="A438" s="9" t="n">
        <x:v>55</x:v>
      </x:c>
      <x:c r="B438" s="9" t="str">
        <x:v>S068</x:v>
      </x:c>
      <x:c r="C438" s="9" t="str">
        <x:v>Sánchez et al. (2025)</x:v>
      </x:c>
      <x:c r="D438" s="9" t="str">
        <x:v>D5</x:v>
      </x:c>
      <x:c r="E438" s="9" t="str">
        <x:v>Low concern</x:v>
      </x:c>
      <x:c r="F438" s="9" t="str">
        <x:v>Low concern</x:v>
      </x:c>
      <x:c r="G438" s="9" t="str">
        <x:v>Yes</x:v>
      </x:c>
      <x:c r="H438" s="9" t="str">
        <x:v>Agree</x:v>
      </x:c>
      <x:c r="I438" s="9" t="str">
        <x:v>Low concern</x:v>
      </x:c>
      <x:c r="J438" s="9" t="str">
        <x:v>Initial agreement</x:v>
      </x:c>
      <x:c r="K438" s="9" t="str">
        <x:v>Study-specific basis is documented in the extraction and REB sheets.</x:v>
      </x:c>
      <x:c r="L438" s="9" t="str">
        <x:v>PDF pp. 2–10; Figs. 1–7; Table 1</x:v>
      </x:c>
      <x:c r="M438" s="9" t="str">
        <x:v>Repeated units/counts and a stability outcome are defined for the stated protocol.</x:v>
      </x:c>
      <x:c r="N438" s="9" t="str">
        <x:v>Article PDF p. 7</x:v>
      </x:c>
      <x:c r="O438" s="9" t="str">
        <x:v>Study-specific basis is documented in the extraction and REB sheets.</x:v>
      </x:c>
      <x:c r="P438" s="9" t="str">
        <x:v>PDF pp. 2–10; Figs. 1–7; Table 1</x:v>
      </x:c>
    </x:row>
    <x:row r="439">
      <x:c r="A439" s="9" t="n">
        <x:v>55</x:v>
      </x:c>
      <x:c r="B439" s="9" t="str">
        <x:v>S068</x:v>
      </x:c>
      <x:c r="C439" s="9" t="str">
        <x:v>Sánchez et al. (2025)</x:v>
      </x:c>
      <x:c r="D439" s="9" t="str">
        <x:v>D6</x:v>
      </x:c>
      <x:c r="E439" s="9" t="str">
        <x:v>High concern</x:v>
      </x:c>
      <x:c r="F439" s="9" t="str">
        <x:v>Low concern</x:v>
      </x:c>
      <x:c r="G439" s="9" t="str">
        <x:v>Yes</x:v>
      </x:c>
      <x:c r="H439" s="9" t="str">
        <x:v>Disagree</x:v>
      </x:c>
      <x:c r="I439" s="9" t="str">
        <x:v>High concern</x:v>
      </x:c>
      <x:c r="J439" s="9" t="str">
        <x:v>Adjudicated to Reviewer 1</x:v>
      </x:c>
      <x:c r="K439" s="9" t="str">
        <x:v>A qualifying same-condition comparison of at least three separately fabricated complete sensors was not identified.</x:v>
      </x:c>
      <x:c r="L439" s="9" t="str">
        <x:v>PDF pp. 2–10; Figs. 1–7; Table 1</x:v>
      </x:c>
      <x:c r="M439" s="9" t="str">
        <x:v>Three replicate sensors support device-level functional comparison.</x:v>
      </x:c>
      <x:c r="N439" s="9" t="str">
        <x:v>Article PDF pp. 4-5</x:v>
      </x:c>
      <x:c r="O439" s="9" t="str">
        <x:v>A qualifying same-condition comparison of at least three separately fabricated complete sensors was not identified.</x:v>
      </x:c>
      <x:c r="P439" s="9" t="str">
        <x:v>PDF pp. 2–10; Figs. 1–7; Table 1</x:v>
      </x:c>
    </x:row>
    <x:row r="440">
      <x:c r="A440" s="9" t="n">
        <x:v>55</x:v>
      </x:c>
      <x:c r="B440" s="9" t="str">
        <x:v>S068</x:v>
      </x:c>
      <x:c r="C440" s="9" t="str">
        <x:v>Sánchez et al. (2025)</x:v>
      </x:c>
      <x:c r="D440" s="9" t="str">
        <x:v>D7</x:v>
      </x:c>
      <x:c r="E440" s="9" t="str">
        <x:v>Low concern</x:v>
      </x:c>
      <x:c r="F440" s="9" t="str">
        <x:v>Low concern</x:v>
      </x:c>
      <x:c r="G440" s="9" t="str">
        <x:v>Yes</x:v>
      </x:c>
      <x:c r="H440" s="9" t="str">
        <x:v>Agree</x:v>
      </x:c>
      <x:c r="I440" s="9" t="str">
        <x:v>Low concern</x:v>
      </x:c>
      <x:c r="J440" s="9" t="str">
        <x:v>Initial agreement</x:v>
      </x:c>
      <x:c r="K440" s="9" t="str">
        <x:v>Study-specific basis is documented in the extraction and REB sheets.</x:v>
      </x:c>
      <x:c r="L440" s="9" t="str">
        <x:v>PDF pp. 2–10; Figs. 1–7; Table 1</x:v>
      </x:c>
      <x:c r="M440" s="9" t="str">
        <x:v>Principal response/stability outcomes and relevant uncertainty are reported without evident unexplained omissions.</x:v>
      </x:c>
      <x:c r="N440" s="9" t="str">
        <x:v>Article PDF p. 5</x:v>
      </x:c>
      <x:c r="O440" s="9" t="str">
        <x:v>Study-specific basis is documented in the extraction and REB sheets.</x:v>
      </x:c>
      <x:c r="P440" s="9" t="str">
        <x:v>PDF pp. 2–10; Figs. 1–7; Table 1</x:v>
      </x:c>
    </x:row>
    <x:row r="441">
      <x:c r="A441" s="9" t="n">
        <x:v>55</x:v>
      </x:c>
      <x:c r="B441" s="9" t="str">
        <x:v>S068</x:v>
      </x:c>
      <x:c r="C441" s="9" t="str">
        <x:v>Sánchez et al. (2025)</x:v>
      </x:c>
      <x:c r="D441" s="9" t="str">
        <x:v>D8</x:v>
      </x:c>
      <x:c r="E441" s="9" t="str">
        <x:v>Some concern</x:v>
      </x:c>
      <x:c r="F441" s="9" t="str">
        <x:v>Low concern</x:v>
      </x:c>
      <x:c r="G441" s="9" t="str">
        <x:v>Yes</x:v>
      </x:c>
      <x:c r="H441" s="9" t="str">
        <x:v>Disagree</x:v>
      </x:c>
      <x:c r="I441" s="9" t="str">
        <x:v>Some concern</x:v>
      </x:c>
      <x:c r="J441" s="9" t="str">
        <x:v>Adjudicated to Reviewer 1</x:v>
      </x:c>
      <x:c r="K441" s="9" t="str">
        <x:v>Wearable configuration and extent of application testing are documented in the sensor and experiment sheets.</x:v>
      </x:c>
      <x:c r="L441" s="9" t="str">
        <x:v>PDF pp. 2–10; Figs. 1–7; Table 1</x:v>
      </x:c>
      <x:c r="M441" s="9" t="str">
        <x:v>The final device was evaluated in a body-worn/use-relevant human configuration.</x:v>
      </x:c>
      <x:c r="N441" s="9" t="str">
        <x:v>Article PDF p. 8</x:v>
      </x:c>
      <x:c r="O441" s="9" t="str">
        <x:v>Wearable configuration and extent of application testing are documented in the sensor and experiment sheets.</x:v>
      </x:c>
      <x:c r="P441" s="9" t="str">
        <x:v>PDF pp. 2–10; Figs. 1–7; Table 1</x:v>
      </x:c>
    </x:row>
    <x:row r="442">
      <x:c r="A442" s="9" t="n">
        <x:v>56</x:v>
      </x:c>
      <x:c r="B442" s="9" t="str">
        <x:v>S069</x:v>
      </x:c>
      <x:c r="C442" s="9" t="str">
        <x:v>Babu et al. (2025)</x:v>
      </x:c>
      <x:c r="D442" s="9" t="str">
        <x:v>D1</x:v>
      </x:c>
      <x:c r="E442" s="9" t="str">
        <x:v>Some concern</x:v>
      </x:c>
      <x:c r="F442" s="9" t="str">
        <x:v>Some concern</x:v>
      </x:c>
      <x:c r="G442" s="9" t="str">
        <x:v>Yes</x:v>
      </x:c>
      <x:c r="H442" s="9" t="str">
        <x:v>Agree</x:v>
      </x:c>
      <x:c r="I442" s="9" t="str">
        <x:v>Some concern</x:v>
      </x:c>
      <x:c r="J442" s="9" t="str">
        <x:v>Initial agreement</x:v>
      </x:c>
      <x:c r="K442" s="9" t="str">
        <x:v>Study-specific basis is documented in the extraction and REB sheets.</x:v>
      </x:c>
      <x:c r="L442" s="9" t="str">
        <x:v>PDF pp. 2–12; Figs. 1–11; Table 1; cited SI</x:v>
      </x:c>
      <x:c r="M442" s="9" t="str">
        <x:v>Some unit/participant counts or selection details are provided, but fabricated-unit selection and failures are not fully accounted for.</x:v>
      </x:c>
      <x:c r="N442" s="9" t="str">
        <x:v>Article PDF p. 5</x:v>
      </x:c>
      <x:c r="O442" s="9" t="str">
        <x:v>Study-specific basis is documented in the extraction and REB sheets.</x:v>
      </x:c>
      <x:c r="P442" s="9" t="str">
        <x:v>PDF pp. 2–12; Figs. 1–11; Table 1; cited SI</x:v>
      </x:c>
    </x:row>
    <x:row r="443">
      <x:c r="A443" s="9" t="n">
        <x:v>56</x:v>
      </x:c>
      <x:c r="B443" s="9" t="str">
        <x:v>S069</x:v>
      </x:c>
      <x:c r="C443" s="9" t="str">
        <x:v>Babu et al. (2025)</x:v>
      </x:c>
      <x:c r="D443" s="9" t="str">
        <x:v>D2</x:v>
      </x:c>
      <x:c r="E443" s="9" t="str">
        <x:v>Some concern</x:v>
      </x:c>
      <x:c r="F443" s="9" t="str">
        <x:v>Low concern</x:v>
      </x:c>
      <x:c r="G443" s="9" t="str">
        <x:v>Yes</x:v>
      </x:c>
      <x:c r="H443" s="9" t="str">
        <x:v>Disagree</x:v>
      </x:c>
      <x:c r="I443" s="9" t="str">
        <x:v>Some concern</x:v>
      </x:c>
      <x:c r="J443" s="9" t="str">
        <x:v>Adjudicated to Reviewer 1</x:v>
      </x:c>
      <x:c r="K443" s="9" t="str">
        <x:v>Study-specific basis is documented in the extraction and REB sheets.</x:v>
      </x:c>
      <x:c r="L443" s="9" t="str">
        <x:v>PDF pp. 2–12; Figs. 1–11; Table 1; cited SI</x:v>
      </x:c>
      <x:c r="M443" s="9" t="str">
        <x:v>Relevant material, geometry, conditioning and extrusion variables are documented sufficiently for the claimed comparison.</x:v>
      </x:c>
      <x:c r="N443" s="9" t="str">
        <x:v>Article PDF p. 2</x:v>
      </x:c>
      <x:c r="O443" s="9" t="str">
        <x:v>Study-specific basis is documented in the extraction and REB sheets.</x:v>
      </x:c>
      <x:c r="P443" s="9" t="str">
        <x:v>PDF pp. 2–12; Figs. 1–11; Table 1; cited SI</x:v>
      </x:c>
    </x:row>
    <x:row r="444">
      <x:c r="A444" s="9" t="n">
        <x:v>56</x:v>
      </x:c>
      <x:c r="B444" s="9" t="str">
        <x:v>S069</x:v>
      </x:c>
      <x:c r="C444" s="9" t="str">
        <x:v>Babu et al. (2025)</x:v>
      </x:c>
      <x:c r="D444" s="9" t="str">
        <x:v>D3</x:v>
      </x:c>
      <x:c r="E444" s="9" t="str">
        <x:v>Low concern</x:v>
      </x:c>
      <x:c r="F444" s="9" t="str">
        <x:v>Low concern</x:v>
      </x:c>
      <x:c r="G444" s="9" t="str">
        <x:v>Yes</x:v>
      </x:c>
      <x:c r="H444" s="9" t="str">
        <x:v>Agree</x:v>
      </x:c>
      <x:c r="I444" s="9" t="str">
        <x:v>Low concern</x:v>
      </x:c>
      <x:c r="J444" s="9" t="str">
        <x:v>Initial agreement</x:v>
      </x:c>
      <x:c r="K444" s="9" t="str">
        <x:v>Study-specific basis is documented in the extraction and REB sheets.</x:v>
      </x:c>
      <x:c r="L444" s="9" t="str">
        <x:v>PDF pp. 2–12; Figs. 1–11; Table 1; cited SI</x:v>
      </x:c>
      <x:c r="M444" s="9" t="str">
        <x:v>The controlled input/reference and calibration procedure are appropriate and independently measured.</x:v>
      </x:c>
      <x:c r="N444" s="9" t="str">
        <x:v>Article PDF p. 5</x:v>
      </x:c>
      <x:c r="O444" s="9" t="str">
        <x:v>Study-specific basis is documented in the extraction and REB sheets.</x:v>
      </x:c>
      <x:c r="P444" s="9" t="str">
        <x:v>PDF pp. 2–12; Figs. 1–11; Table 1; cited SI</x:v>
      </x:c>
    </x:row>
    <x:row r="445">
      <x:c r="A445" s="9" t="n">
        <x:v>56</x:v>
      </x:c>
      <x:c r="B445" s="9" t="str">
        <x:v>S069</x:v>
      </x:c>
      <x:c r="C445" s="9" t="str">
        <x:v>Babu et al. (2025)</x:v>
      </x:c>
      <x:c r="D445" s="9" t="str">
        <x:v>D4</x:v>
      </x:c>
      <x:c r="E445" s="9" t="str">
        <x:v>Low concern</x:v>
      </x:c>
      <x:c r="F445" s="9" t="str">
        <x:v>Low concern</x:v>
      </x:c>
      <x:c r="G445" s="9" t="str">
        <x:v>Yes</x:v>
      </x:c>
      <x:c r="H445" s="9" t="str">
        <x:v>Agree</x:v>
      </x:c>
      <x:c r="I445" s="9" t="str">
        <x:v>Low concern</x:v>
      </x:c>
      <x:c r="J445" s="9" t="str">
        <x:v>Initial agreement</x:v>
      </x:c>
      <x:c r="K445" s="9" t="str">
        <x:v>Study-specific basis is documented in the extraction and REB sheets.</x:v>
      </x:c>
      <x:c r="L445" s="9" t="str">
        <x:v>PDF pp. 2–12; Figs. 1–11; Table 1; cited SI</x:v>
      </x:c>
      <x:c r="M445" s="9" t="str">
        <x:v>Relevant loading/exposure range, rate or geometry and measurement conditions are stated.</x:v>
      </x:c>
      <x:c r="N445" s="9" t="str">
        <x:v>Article PDF p. 14</x:v>
      </x:c>
      <x:c r="O445" s="9" t="str">
        <x:v>Study-specific basis is documented in the extraction and REB sheets.</x:v>
      </x:c>
      <x:c r="P445" s="9" t="str">
        <x:v>PDF pp. 2–12; Figs. 1–11; Table 1; cited SI</x:v>
      </x:c>
    </x:row>
    <x:row r="446">
      <x:c r="A446" s="9" t="n">
        <x:v>56</x:v>
      </x:c>
      <x:c r="B446" s="9" t="str">
        <x:v>S069</x:v>
      </x:c>
      <x:c r="C446" s="9" t="str">
        <x:v>Babu et al. (2025)</x:v>
      </x:c>
      <x:c r="D446" s="9" t="str">
        <x:v>D5</x:v>
      </x:c>
      <x:c r="E446" s="9" t="str">
        <x:v>Low concern</x:v>
      </x:c>
      <x:c r="F446" s="9" t="str">
        <x:v>Low concern</x:v>
      </x:c>
      <x:c r="G446" s="9" t="str">
        <x:v>Yes</x:v>
      </x:c>
      <x:c r="H446" s="9" t="str">
        <x:v>Agree</x:v>
      </x:c>
      <x:c r="I446" s="9" t="str">
        <x:v>Low concern</x:v>
      </x:c>
      <x:c r="J446" s="9" t="str">
        <x:v>Initial agreement</x:v>
      </x:c>
      <x:c r="K446" s="9" t="str">
        <x:v>Study-specific basis is documented in the extraction and REB sheets.</x:v>
      </x:c>
      <x:c r="L446" s="9" t="str">
        <x:v>PDF pp. 2–12; Figs. 1–11; Table 1; cited SI</x:v>
      </x:c>
      <x:c r="M446" s="9" t="str">
        <x:v>Repeated units/counts and a stability outcome are defined for the stated protocol.</x:v>
      </x:c>
      <x:c r="N446" s="9" t="str">
        <x:v>Article PDF p. 10</x:v>
      </x:c>
      <x:c r="O446" s="9" t="str">
        <x:v>Study-specific basis is documented in the extraction and REB sheets.</x:v>
      </x:c>
      <x:c r="P446" s="9" t="str">
        <x:v>PDF pp. 2–12; Figs. 1–11; Table 1; cited SI</x:v>
      </x:c>
    </x:row>
    <x:row r="447">
      <x:c r="A447" s="9" t="n">
        <x:v>56</x:v>
      </x:c>
      <x:c r="B447" s="9" t="str">
        <x:v>S069</x:v>
      </x:c>
      <x:c r="C447" s="9" t="str">
        <x:v>Babu et al. (2025)</x:v>
      </x:c>
      <x:c r="D447" s="9" t="str">
        <x:v>D6</x:v>
      </x:c>
      <x:c r="E447" s="9" t="str">
        <x:v>High concern</x:v>
      </x:c>
      <x:c r="F447" s="9" t="str">
        <x:v>High concern</x:v>
      </x:c>
      <x:c r="G447" s="9" t="str">
        <x:v>Yes</x:v>
      </x:c>
      <x:c r="H447" s="9" t="str">
        <x:v>Agree</x:v>
      </x:c>
      <x:c r="I447" s="9" t="str">
        <x:v>High concern</x:v>
      </x:c>
      <x:c r="J447" s="9" t="str">
        <x:v>Initial agreement</x:v>
      </x:c>
      <x:c r="K447" s="9" t="str">
        <x:v>A qualifying same-condition comparison of at least three separately fabricated complete sensors was not identified.</x:v>
      </x:c>
      <x:c r="L447" s="9" t="str">
        <x:v>PDF pp. 2–12; Figs. 1–11; Table 1; cited SI</x:v>
      </x:c>
      <x:c r="M447" s="9" t="str">
        <x:v>Cycles, participants or configurations do not establish replication across three equivalent fabricated devices.</x:v>
      </x:c>
      <x:c r="N447" s="9" t="str">
        <x:v>Article PDF p. 13</x:v>
      </x:c>
      <x:c r="O447" s="9" t="str">
        <x:v>A qualifying same-condition comparison of at least three separately fabricated complete sensors was not identified.</x:v>
      </x:c>
      <x:c r="P447" s="9" t="str">
        <x:v>PDF pp. 2–12; Figs. 1–11; Table 1; cited SI</x:v>
      </x:c>
    </x:row>
    <x:row r="448">
      <x:c r="A448" s="9" t="n">
        <x:v>56</x:v>
      </x:c>
      <x:c r="B448" s="9" t="str">
        <x:v>S069</x:v>
      </x:c>
      <x:c r="C448" s="9" t="str">
        <x:v>Babu et al. (2025)</x:v>
      </x:c>
      <x:c r="D448" s="9" t="str">
        <x:v>D7</x:v>
      </x:c>
      <x:c r="E448" s="9" t="str">
        <x:v>Low concern</x:v>
      </x:c>
      <x:c r="F448" s="9" t="str">
        <x:v>Some concern</x:v>
      </x:c>
      <x:c r="G448" s="9" t="str">
        <x:v>Yes</x:v>
      </x:c>
      <x:c r="H448" s="9" t="str">
        <x:v>Disagree</x:v>
      </x:c>
      <x:c r="I448" s="9" t="str">
        <x:v>Low concern</x:v>
      </x:c>
      <x:c r="J448" s="9" t="str">
        <x:v>Adjudicated to Reviewer 1</x:v>
      </x:c>
      <x:c r="K448" s="9" t="str">
        <x:v>Study-specific basis is documented in the extraction and REB sheets.</x:v>
      </x:c>
      <x:c r="L448" s="9" t="str">
        <x:v>PDF pp. 2–12; Figs. 1–11; Table 1; cited SI</x:v>
      </x:c>
      <x:c r="M448" s="9" t="str">
        <x:v>Principal outcomes are reported, but device-level uncertainty or complete accounting of units/cycles is limited.</x:v>
      </x:c>
      <x:c r="N448" s="9" t="str">
        <x:v>Article PDF p. 14</x:v>
      </x:c>
      <x:c r="O448" s="9" t="str">
        <x:v>Study-specific basis is documented in the extraction and REB sheets.</x:v>
      </x:c>
      <x:c r="P448" s="9" t="str">
        <x:v>PDF pp. 2–12; Figs. 1–11; Table 1; cited SI</x:v>
      </x:c>
    </x:row>
    <x:row r="449">
      <x:c r="A449" s="9" t="n">
        <x:v>56</x:v>
      </x:c>
      <x:c r="B449" s="9" t="str">
        <x:v>S069</x:v>
      </x:c>
      <x:c r="C449" s="9" t="str">
        <x:v>Babu et al. (2025)</x:v>
      </x:c>
      <x:c r="D449" s="9" t="str">
        <x:v>D8</x:v>
      </x:c>
      <x:c r="E449" s="9" t="str">
        <x:v>Some concern</x:v>
      </x:c>
      <x:c r="F449" s="9" t="str">
        <x:v>Some concern</x:v>
      </x:c>
      <x:c r="G449" s="9" t="str">
        <x:v>Yes</x:v>
      </x:c>
      <x:c r="H449" s="9" t="str">
        <x:v>Agree</x:v>
      </x:c>
      <x:c r="I449" s="9" t="str">
        <x:v>Some concern</x:v>
      </x:c>
      <x:c r="J449" s="9" t="str">
        <x:v>Initial agreement</x:v>
      </x:c>
      <x:c r="K449" s="9" t="str">
        <x:v>Wearable configuration and extent of application testing are documented in the sensor and experiment sheets.</x:v>
      </x:c>
      <x:c r="L449" s="9" t="str">
        <x:v>PDF pp. 2–12; Figs. 1–11; Table 1; cited SI</x:v>
      </x:c>
      <x:c r="M449" s="9" t="str">
        <x:v>A wearable form or application-relevant loading is shown, but direct body-worn validation is limited or absent.</x:v>
      </x:c>
      <x:c r="N449" s="9" t="str">
        <x:v>Article PDF p. 14</x:v>
      </x:c>
      <x:c r="O449" s="9" t="str">
        <x:v>Wearable configuration and extent of application testing are documented in the sensor and experiment sheets.</x:v>
      </x:c>
      <x:c r="P449" s="9" t="str">
        <x:v>PDF pp. 2–12; Figs. 1–11; Table 1; cited SI</x:v>
      </x:c>
    </x:row>
    <x:row r="450">
      <x:c r="A450" s="9" t="n">
        <x:v>57</x:v>
      </x:c>
      <x:c r="B450" s="9" t="str">
        <x:v>S070</x:v>
      </x:c>
      <x:c r="C450" s="9" t="str">
        <x:v>Dimo et al. (2026)</x:v>
      </x:c>
      <x:c r="D450" s="9" t="str">
        <x:v>D1</x:v>
      </x:c>
      <x:c r="E450" s="9" t="str">
        <x:v>High concern</x:v>
      </x:c>
      <x:c r="F450" s="9" t="str">
        <x:v>Some concern</x:v>
      </x:c>
      <x:c r="G450" s="9" t="str">
        <x:v>Yes</x:v>
      </x:c>
      <x:c r="H450" s="9" t="str">
        <x:v>Disagree</x:v>
      </x:c>
      <x:c r="I450" s="9" t="str">
        <x:v>High concern</x:v>
      </x:c>
      <x:c r="J450" s="9" t="str">
        <x:v>Adjudicated to Reviewer 1</x:v>
      </x:c>
      <x:c r="K450" s="9" t="str">
        <x:v>Application evidence relies on one or an unspecified small convenience sample and device sampling is not justified.</x:v>
      </x:c>
      <x:c r="L450" s="9" t="str">
        <x:v>PDF pp. 3–9; Figs. 1–12; Tables I–III</x:v>
      </x:c>
      <x:c r="M450" s="9" t="str">
        <x:v>Some unit/participant counts or selection details are provided, but fabricated-unit selection and failures are not fully accounted for.</x:v>
      </x:c>
      <x:c r="N450" s="9" t="str">
        <x:v>Article PDF p. 10</x:v>
      </x:c>
      <x:c r="O450" s="9" t="str">
        <x:v>Application evidence relies on one or an unspecified small convenience sample and device sampling is not justified.</x:v>
      </x:c>
      <x:c r="P450" s="9" t="str">
        <x:v>PDF pp. 3–9; Figs. 1–12; Tables I–III</x:v>
      </x:c>
    </x:row>
    <x:row r="451">
      <x:c r="A451" s="9" t="n">
        <x:v>57</x:v>
      </x:c>
      <x:c r="B451" s="9" t="str">
        <x:v>S070</x:v>
      </x:c>
      <x:c r="C451" s="9" t="str">
        <x:v>Dimo et al. (2026)</x:v>
      </x:c>
      <x:c r="D451" s="9" t="str">
        <x:v>D2</x:v>
      </x:c>
      <x:c r="E451" s="9" t="str">
        <x:v>Low concern</x:v>
      </x:c>
      <x:c r="F451" s="9" t="str">
        <x:v>Low concern</x:v>
      </x:c>
      <x:c r="G451" s="9" t="str">
        <x:v>Yes</x:v>
      </x:c>
      <x:c r="H451" s="9" t="str">
        <x:v>Agree</x:v>
      </x:c>
      <x:c r="I451" s="9" t="str">
        <x:v>Low concern</x:v>
      </x:c>
      <x:c r="J451" s="9" t="str">
        <x:v>Initial agreement</x:v>
      </x:c>
      <x:c r="K451" s="9" t="str">
        <x:v>Fabrication variables and application-relevant settings are sufficiently controlled and reported.</x:v>
      </x:c>
      <x:c r="L451" s="9" t="str">
        <x:v>PDF pp. 3–9; Figs. 1–12; Tables I–III</x:v>
      </x:c>
      <x:c r="M451" s="9" t="str">
        <x:v>Relevant material, geometry, conditioning and extrusion variables are documented sufficiently for the claimed comparison.</x:v>
      </x:c>
      <x:c r="N451" s="9" t="str">
        <x:v>Article PDF p. 3</x:v>
      </x:c>
      <x:c r="O451" s="9" t="str">
        <x:v>Fabrication variables and application-relevant settings are sufficiently controlled and reported.</x:v>
      </x:c>
      <x:c r="P451" s="9" t="str">
        <x:v>PDF pp. 3–9; Figs. 1–12; Tables I–III</x:v>
      </x:c>
    </x:row>
    <x:row r="452">
      <x:c r="A452" s="9" t="n">
        <x:v>57</x:v>
      </x:c>
      <x:c r="B452" s="9" t="str">
        <x:v>S070</x:v>
      </x:c>
      <x:c r="C452" s="9" t="str">
        <x:v>Dimo et al. (2026)</x:v>
      </x:c>
      <x:c r="D452" s="9" t="str">
        <x:v>D3</x:v>
      </x:c>
      <x:c r="E452" s="9" t="str">
        <x:v>Low concern</x:v>
      </x:c>
      <x:c r="F452" s="9" t="str">
        <x:v>Low concern</x:v>
      </x:c>
      <x:c r="G452" s="9" t="str">
        <x:v>Yes</x:v>
      </x:c>
      <x:c r="H452" s="9" t="str">
        <x:v>Agree</x:v>
      </x:c>
      <x:c r="I452" s="9" t="str">
        <x:v>Low concern</x:v>
      </x:c>
      <x:c r="J452" s="9" t="str">
        <x:v>Initial agreement</x:v>
      </x:c>
      <x:c r="K452" s="9" t="str">
        <x:v>Controlled inputs and suitable reference instrumentation/procedures are reported.</x:v>
      </x:c>
      <x:c r="L452" s="9" t="str">
        <x:v>PDF pp. 3–9; Figs. 1–12; Tables I–III</x:v>
      </x:c>
      <x:c r="M452" s="9" t="str">
        <x:v>The controlled input/reference and calibration procedure are appropriate and independently measured.</x:v>
      </x:c>
      <x:c r="N452" s="9" t="str">
        <x:v>Article PDF p. 10</x:v>
      </x:c>
      <x:c r="O452" s="9" t="str">
        <x:v>Controlled inputs and suitable reference instrumentation/procedures are reported.</x:v>
      </x:c>
      <x:c r="P452" s="9" t="str">
        <x:v>PDF pp. 3–9; Figs. 1–12; Tables I–III</x:v>
      </x:c>
    </x:row>
    <x:row r="453">
      <x:c r="A453" s="9" t="n">
        <x:v>57</x:v>
      </x:c>
      <x:c r="B453" s="9" t="str">
        <x:v>S070</x:v>
      </x:c>
      <x:c r="C453" s="9" t="str">
        <x:v>Dimo et al. (2026)</x:v>
      </x:c>
      <x:c r="D453" s="9" t="str">
        <x:v>D4</x:v>
      </x:c>
      <x:c r="E453" s="9" t="str">
        <x:v>Low concern</x:v>
      </x:c>
      <x:c r="F453" s="9" t="str">
        <x:v>Low concern</x:v>
      </x:c>
      <x:c r="G453" s="9" t="str">
        <x:v>Yes</x:v>
      </x:c>
      <x:c r="H453" s="9" t="str">
        <x:v>Agree</x:v>
      </x:c>
      <x:c r="I453" s="9" t="str">
        <x:v>Low concern</x:v>
      </x:c>
      <x:c r="J453" s="9" t="str">
        <x:v>Initial agreement</x:v>
      </x:c>
      <x:c r="K453" s="9" t="str">
        <x:v>Loading/exposure ranges, rates or conditions are stated for the principal experiments.</x:v>
      </x:c>
      <x:c r="L453" s="9" t="str">
        <x:v>PDF pp. 3–9; Figs. 1–12; Tables I–III</x:v>
      </x:c>
      <x:c r="M453" s="9" t="str">
        <x:v>Relevant loading/exposure range, rate or geometry and measurement conditions are stated.</x:v>
      </x:c>
      <x:c r="N453" s="9" t="str">
        <x:v>Article PDF p. 10</x:v>
      </x:c>
      <x:c r="O453" s="9" t="str">
        <x:v>Loading/exposure ranges, rates or conditions are stated for the principal experiments.</x:v>
      </x:c>
      <x:c r="P453" s="9" t="str">
        <x:v>PDF pp. 3–9; Figs. 1–12; Tables I–III</x:v>
      </x:c>
    </x:row>
    <x:row r="454">
      <x:c r="A454" s="9" t="n">
        <x:v>57</x:v>
      </x:c>
      <x:c r="B454" s="9" t="str">
        <x:v>S070</x:v>
      </x:c>
      <x:c r="C454" s="9" t="str">
        <x:v>Dimo et al. (2026)</x:v>
      </x:c>
      <x:c r="D454" s="9" t="str">
        <x:v>D5</x:v>
      </x:c>
      <x:c r="E454" s="9" t="str">
        <x:v>Low concern</x:v>
      </x:c>
      <x:c r="F454" s="9" t="str">
        <x:v>Low concern</x:v>
      </x:c>
      <x:c r="G454" s="9" t="str">
        <x:v>Yes</x:v>
      </x:c>
      <x:c r="H454" s="9" t="str">
        <x:v>Agree</x:v>
      </x:c>
      <x:c r="I454" s="9" t="str">
        <x:v>Low concern</x:v>
      </x:c>
      <x:c r="J454" s="9" t="str">
        <x:v>Initial agreement</x:v>
      </x:c>
      <x:c r="K454" s="9" t="str">
        <x:v>The study reports at least one defined ≥3-cycle repeated-measurement or endurance protocol.</x:v>
      </x:c>
      <x:c r="L454" s="9" t="str">
        <x:v>PDF pp. 3–9; Figs. 1–12; Tables I–III</x:v>
      </x:c>
      <x:c r="M454" s="9" t="str">
        <x:v>Repeated units/counts and a stability outcome are defined for the stated protocol.</x:v>
      </x:c>
      <x:c r="N454" s="9" t="str">
        <x:v>Article PDF p. 10</x:v>
      </x:c>
      <x:c r="O454" s="9" t="str">
        <x:v>The study reports at least one defined ≥3-cycle repeated-measurement or endurance protocol.</x:v>
      </x:c>
      <x:c r="P454" s="9" t="str">
        <x:v>PDF pp. 3–9; Figs. 1–12; Tables I–III</x:v>
      </x:c>
    </x:row>
    <x:row r="455">
      <x:c r="A455" s="9" t="n">
        <x:v>57</x:v>
      </x:c>
      <x:c r="B455" s="9" t="str">
        <x:v>S070</x:v>
      </x:c>
      <x:c r="C455" s="9" t="str">
        <x:v>Dimo et al. (2026)</x:v>
      </x:c>
      <x:c r="D455" s="9" t="str">
        <x:v>D6</x:v>
      </x:c>
      <x:c r="E455" s="9" t="str">
        <x:v>High concern</x:v>
      </x:c>
      <x:c r="F455" s="9" t="str">
        <x:v>High concern</x:v>
      </x:c>
      <x:c r="G455" s="9" t="str">
        <x:v>Yes</x:v>
      </x:c>
      <x:c r="H455" s="9" t="str">
        <x:v>Agree</x:v>
      </x:c>
      <x:c r="I455" s="9" t="str">
        <x:v>High concern</x:v>
      </x:c>
      <x:c r="J455" s="9" t="str">
        <x:v>Initial agreement</x:v>
      </x:c>
      <x:c r="K455" s="9" t="str">
        <x:v>A qualifying same-condition comparison of at least three separately fabricated complete sensing units with device-level results or dispersion was not identified.</x:v>
      </x:c>
      <x:c r="L455" s="9" t="str">
        <x:v>PDF pp. 3–9; Figs. 1–12; Tables I–III</x:v>
      </x:c>
      <x:c r="M455" s="9" t="str">
        <x:v>Cycles, participants or configurations do not establish replication across three equivalent fabricated devices.</x:v>
      </x:c>
      <x:c r="N455" s="9" t="str">
        <x:v>Article PDF p. 10</x:v>
      </x:c>
      <x:c r="O455" s="9" t="str">
        <x:v>A qualifying same-condition comparison of at least three separately fabricated complete sensing units with device-level results or dispersion was not identified.</x:v>
      </x:c>
      <x:c r="P455" s="9" t="str">
        <x:v>PDF pp. 3–9; Figs. 1–12; Tables I–III</x:v>
      </x:c>
    </x:row>
    <x:row r="456">
      <x:c r="A456" s="9" t="n">
        <x:v>57</x:v>
      </x:c>
      <x:c r="B456" s="9" t="str">
        <x:v>S070</x:v>
      </x:c>
      <x:c r="C456" s="9" t="str">
        <x:v>Dimo et al. (2026)</x:v>
      </x:c>
      <x:c r="D456" s="9" t="str">
        <x:v>D7</x:v>
      </x:c>
      <x:c r="E456" s="9" t="str">
        <x:v>Low concern</x:v>
      </x:c>
      <x:c r="F456" s="9" t="str">
        <x:v>Low concern</x:v>
      </x:c>
      <x:c r="G456" s="9" t="str">
        <x:v>Yes</x:v>
      </x:c>
      <x:c r="H456" s="9" t="str">
        <x:v>Agree</x:v>
      </x:c>
      <x:c r="I456" s="9" t="str">
        <x:v>Low concern</x:v>
      </x:c>
      <x:c r="J456" s="9" t="str">
        <x:v>Initial agreement</x:v>
      </x:c>
      <x:c r="K456" s="9" t="str">
        <x:v>Principal response magnitudes, ranges and relevant retention/failure behavior are reported.</x:v>
      </x:c>
      <x:c r="L456" s="9" t="str">
        <x:v>PDF pp. 3–9; Figs. 1–12; Tables I–III</x:v>
      </x:c>
      <x:c r="M456" s="9" t="str">
        <x:v>Principal response/stability outcomes and relevant uncertainty are reported without evident unexplained omissions.</x:v>
      </x:c>
      <x:c r="N456" s="9" t="str">
        <x:v>Article PDF p. 5</x:v>
      </x:c>
      <x:c r="O456" s="9" t="str">
        <x:v>Principal response magnitudes, ranges and relevant retention/failure behavior are reported.</x:v>
      </x:c>
      <x:c r="P456" s="9" t="str">
        <x:v>PDF pp. 3–9; Figs. 1–12; Tables I–III</x:v>
      </x:c>
    </x:row>
    <x:row r="457">
      <x:c r="A457" s="9" t="n">
        <x:v>57</x:v>
      </x:c>
      <x:c r="B457" s="9" t="str">
        <x:v>S070</x:v>
      </x:c>
      <x:c r="C457" s="9" t="str">
        <x:v>Dimo et al. (2026)</x:v>
      </x:c>
      <x:c r="D457" s="9" t="str">
        <x:v>D8</x:v>
      </x:c>
      <x:c r="E457" s="9" t="str">
        <x:v>High concern</x:v>
      </x:c>
      <x:c r="F457" s="9" t="str">
        <x:v>Low concern</x:v>
      </x:c>
      <x:c r="G457" s="9" t="str">
        <x:v>Yes</x:v>
      </x:c>
      <x:c r="H457" s="9" t="str">
        <x:v>Disagree</x:v>
      </x:c>
      <x:c r="I457" s="9" t="str">
        <x:v>High concern</x:v>
      </x:c>
      <x:c r="J457" s="9" t="str">
        <x:v>Adjudicated to Reviewer 1</x:v>
      </x:c>
      <x:c r="K457" s="9" t="str">
        <x:v>Wearable evidence is limited to a single or sparsely documented demonstration.</x:v>
      </x:c>
      <x:c r="L457" s="9" t="str">
        <x:v>PDF pp. 3–9; Figs. 1–12; Tables I–III</x:v>
      </x:c>
      <x:c r="M457" s="9" t="str">
        <x:v>A healthy volunteer completed controlled knee and breathing tasks with the sensors attached to the body.</x:v>
      </x:c>
      <x:c r="N457" s="9" t="str">
        <x:v>Article PDF p. 8, Figures 9-10</x:v>
      </x:c>
      <x:c r="O457" s="9" t="str">
        <x:v>Wearable evidence is limited to a single or sparsely documented demonstration.</x:v>
      </x:c>
      <x:c r="P457" s="9" t="str">
        <x:v>PDF pp. 3–9; Figs. 1–12; Tables I–III</x:v>
      </x:c>
    </x:row>
    <x:row r="458">
      <x:c r="A458" s="9" t="n">
        <x:v>58</x:v>
      </x:c>
      <x:c r="B458" s="9" t="str">
        <x:v>S071</x:v>
      </x:c>
      <x:c r="C458" s="9" t="str">
        <x:v>Luo et al. (2025)</x:v>
      </x:c>
      <x:c r="D458" s="9" t="str">
        <x:v>D1</x:v>
      </x:c>
      <x:c r="E458" s="9" t="str">
        <x:v>Some concern</x:v>
      </x:c>
      <x:c r="F458" s="9" t="str">
        <x:v>Some concern</x:v>
      </x:c>
      <x:c r="G458" s="9" t="str">
        <x:v>Yes</x:v>
      </x:c>
      <x:c r="H458" s="9" t="str">
        <x:v>Agree</x:v>
      </x:c>
      <x:c r="I458" s="9" t="str">
        <x:v>Some concern</x:v>
      </x:c>
      <x:c r="J458" s="9" t="str">
        <x:v>Initial agreement</x:v>
      </x:c>
      <x:c r="K458" s="9" t="str">
        <x:v>Participant/specimen sampling is partly described, but selection and representativeness are limited.</x:v>
      </x:c>
      <x:c r="L458" s="9" t="str">
        <x:v>PDF pp. 2–10; Figs. 1–12; Tables 1–2</x:v>
      </x:c>
      <x:c r="M458" s="9" t="str">
        <x:v>Some unit/participant counts or selection details are provided, but fabricated-unit selection and failures are not fully accounted for.</x:v>
      </x:c>
      <x:c r="N458" s="9" t="str">
        <x:v>Article PDF p. 10</x:v>
      </x:c>
      <x:c r="O458" s="9" t="str">
        <x:v>Participant/specimen sampling is partly described, but selection and representativeness are limited.</x:v>
      </x:c>
      <x:c r="P458" s="9" t="str">
        <x:v>PDF pp. 2–10; Figs. 1–12; Tables 1–2</x:v>
      </x:c>
    </x:row>
    <x:row r="459">
      <x:c r="A459" s="9" t="n">
        <x:v>58</x:v>
      </x:c>
      <x:c r="B459" s="9" t="str">
        <x:v>S071</x:v>
      </x:c>
      <x:c r="C459" s="9" t="str">
        <x:v>Luo et al. (2025)</x:v>
      </x:c>
      <x:c r="D459" s="9" t="str">
        <x:v>D2</x:v>
      </x:c>
      <x:c r="E459" s="9" t="str">
        <x:v>Some concern</x:v>
      </x:c>
      <x:c r="F459" s="9" t="str">
        <x:v>Some concern</x:v>
      </x:c>
      <x:c r="G459" s="9" t="str">
        <x:v>Yes</x:v>
      </x:c>
      <x:c r="H459" s="9" t="str">
        <x:v>Agree</x:v>
      </x:c>
      <x:c r="I459" s="9" t="str">
        <x:v>Some concern</x:v>
      </x:c>
      <x:c r="J459" s="9" t="str">
        <x:v>Initial agreement</x:v>
      </x:c>
      <x:c r="K459" s="9" t="str">
        <x:v>One or more fabrication settings or platform details are absent, unresolved or internally inconsistent.</x:v>
      </x:c>
      <x:c r="L459" s="9" t="str">
        <x:v>PDF pp. 2–10; Figs. 1–12; Tables 1–2</x:v>
      </x:c>
      <x:c r="M459" s="9" t="str">
        <x:v>Several fabrication controls are documented, but omitted settings leave residual process-confounding concern.</x:v>
      </x:c>
      <x:c r="N459" s="9" t="str">
        <x:v>Article PDF p. 4</x:v>
      </x:c>
      <x:c r="O459" s="9" t="str">
        <x:v>One or more fabrication settings or platform details are absent, unresolved or internally inconsistent.</x:v>
      </x:c>
      <x:c r="P459" s="9" t="str">
        <x:v>PDF pp. 2–10; Figs. 1–12; Tables 1–2</x:v>
      </x:c>
    </x:row>
    <x:row r="460">
      <x:c r="A460" s="9" t="n">
        <x:v>58</x:v>
      </x:c>
      <x:c r="B460" s="9" t="str">
        <x:v>S071</x:v>
      </x:c>
      <x:c r="C460" s="9" t="str">
        <x:v>Luo et al. (2025)</x:v>
      </x:c>
      <x:c r="D460" s="9" t="str">
        <x:v>D3</x:v>
      </x:c>
      <x:c r="E460" s="9" t="str">
        <x:v>Low concern</x:v>
      </x:c>
      <x:c r="F460" s="9" t="str">
        <x:v>Low concern</x:v>
      </x:c>
      <x:c r="G460" s="9" t="str">
        <x:v>Yes</x:v>
      </x:c>
      <x:c r="H460" s="9" t="str">
        <x:v>Agree</x:v>
      </x:c>
      <x:c r="I460" s="9" t="str">
        <x:v>Low concern</x:v>
      </x:c>
      <x:c r="J460" s="9" t="str">
        <x:v>Initial agreement</x:v>
      </x:c>
      <x:c r="K460" s="9" t="str">
        <x:v>Controlled inputs and suitable reference instrumentation/procedures are reported.</x:v>
      </x:c>
      <x:c r="L460" s="9" t="str">
        <x:v>PDF pp. 2–10; Figs. 1–12; Tables 1–2</x:v>
      </x:c>
      <x:c r="M460" s="9" t="str">
        <x:v>The controlled input/reference and calibration procedure are appropriate and independently measured.</x:v>
      </x:c>
      <x:c r="N460" s="9" t="str">
        <x:v>Article PDF p. 10</x:v>
      </x:c>
      <x:c r="O460" s="9" t="str">
        <x:v>Controlled inputs and suitable reference instrumentation/procedures are reported.</x:v>
      </x:c>
      <x:c r="P460" s="9" t="str">
        <x:v>PDF pp. 2–10; Figs. 1–12; Tables 1–2</x:v>
      </x:c>
    </x:row>
    <x:row r="461">
      <x:c r="A461" s="9" t="n">
        <x:v>58</x:v>
      </x:c>
      <x:c r="B461" s="9" t="str">
        <x:v>S071</x:v>
      </x:c>
      <x:c r="C461" s="9" t="str">
        <x:v>Luo et al. (2025)</x:v>
      </x:c>
      <x:c r="D461" s="9" t="str">
        <x:v>D4</x:v>
      </x:c>
      <x:c r="E461" s="9" t="str">
        <x:v>Low concern</x:v>
      </x:c>
      <x:c r="F461" s="9" t="str">
        <x:v>Low concern</x:v>
      </x:c>
      <x:c r="G461" s="9" t="str">
        <x:v>Yes</x:v>
      </x:c>
      <x:c r="H461" s="9" t="str">
        <x:v>Agree</x:v>
      </x:c>
      <x:c r="I461" s="9" t="str">
        <x:v>Low concern</x:v>
      </x:c>
      <x:c r="J461" s="9" t="str">
        <x:v>Initial agreement</x:v>
      </x:c>
      <x:c r="K461" s="9" t="str">
        <x:v>Loading/exposure ranges, rates or conditions are stated for the principal experiments.</x:v>
      </x:c>
      <x:c r="L461" s="9" t="str">
        <x:v>PDF pp. 2–10; Figs. 1–12; Tables 1–2</x:v>
      </x:c>
      <x:c r="M461" s="9" t="str">
        <x:v>Relevant loading/exposure range, rate or geometry and measurement conditions are stated.</x:v>
      </x:c>
      <x:c r="N461" s="9" t="str">
        <x:v>Article PDF p. 11</x:v>
      </x:c>
      <x:c r="O461" s="9" t="str">
        <x:v>Loading/exposure ranges, rates or conditions are stated for the principal experiments.</x:v>
      </x:c>
      <x:c r="P461" s="9" t="str">
        <x:v>PDF pp. 2–10; Figs. 1–12; Tables 1–2</x:v>
      </x:c>
    </x:row>
    <x:row r="462">
      <x:c r="A462" s="9" t="n">
        <x:v>58</x:v>
      </x:c>
      <x:c r="B462" s="9" t="str">
        <x:v>S071</x:v>
      </x:c>
      <x:c r="C462" s="9" t="str">
        <x:v>Luo et al. (2025)</x:v>
      </x:c>
      <x:c r="D462" s="9" t="str">
        <x:v>D5</x:v>
      </x:c>
      <x:c r="E462" s="9" t="str">
        <x:v>Low concern</x:v>
      </x:c>
      <x:c r="F462" s="9" t="str">
        <x:v>Low concern</x:v>
      </x:c>
      <x:c r="G462" s="9" t="str">
        <x:v>Yes</x:v>
      </x:c>
      <x:c r="H462" s="9" t="str">
        <x:v>Agree</x:v>
      </x:c>
      <x:c r="I462" s="9" t="str">
        <x:v>Low concern</x:v>
      </x:c>
      <x:c r="J462" s="9" t="str">
        <x:v>Initial agreement</x:v>
      </x:c>
      <x:c r="K462" s="9" t="str">
        <x:v>The study reports at least one defined ≥3-cycle repeated-measurement or endurance protocol.</x:v>
      </x:c>
      <x:c r="L462" s="9" t="str">
        <x:v>PDF pp. 2–10; Figs. 1–12; Tables 1–2</x:v>
      </x:c>
      <x:c r="M462" s="9" t="str">
        <x:v>Repeated units/counts and a stability outcome are defined for the stated protocol.</x:v>
      </x:c>
      <x:c r="N462" s="9" t="str">
        <x:v>Article PDF p. 4</x:v>
      </x:c>
      <x:c r="O462" s="9" t="str">
        <x:v>The study reports at least one defined ≥3-cycle repeated-measurement or endurance protocol.</x:v>
      </x:c>
      <x:c r="P462" s="9" t="str">
        <x:v>PDF pp. 2–10; Figs. 1–12; Tables 1–2</x:v>
      </x:c>
    </x:row>
    <x:row r="463">
      <x:c r="A463" s="9" t="n">
        <x:v>58</x:v>
      </x:c>
      <x:c r="B463" s="9" t="str">
        <x:v>S071</x:v>
      </x:c>
      <x:c r="C463" s="9" t="str">
        <x:v>Luo et al. (2025)</x:v>
      </x:c>
      <x:c r="D463" s="9" t="str">
        <x:v>D6</x:v>
      </x:c>
      <x:c r="E463" s="9" t="str">
        <x:v>High concern</x:v>
      </x:c>
      <x:c r="F463" s="9" t="str">
        <x:v>High concern</x:v>
      </x:c>
      <x:c r="G463" s="9" t="str">
        <x:v>Yes</x:v>
      </x:c>
      <x:c r="H463" s="9" t="str">
        <x:v>Agree</x:v>
      </x:c>
      <x:c r="I463" s="9" t="str">
        <x:v>High concern</x:v>
      </x:c>
      <x:c r="J463" s="9" t="str">
        <x:v>Initial agreement</x:v>
      </x:c>
      <x:c r="K463" s="9" t="str">
        <x:v>A qualifying same-condition comparison of at least three separately fabricated complete sensing units with device-level results or dispersion was not identified.</x:v>
      </x:c>
      <x:c r="L463" s="9" t="str">
        <x:v>PDF pp. 2–10; Figs. 1–12; Tables 1–2</x:v>
      </x:c>
      <x:c r="M463" s="9" t="str">
        <x:v>Cycles, participants or configurations do not establish replication across three equivalent fabricated devices.</x:v>
      </x:c>
      <x:c r="N463" s="9" t="str">
        <x:v>Article PDF p. 10</x:v>
      </x:c>
      <x:c r="O463" s="9" t="str">
        <x:v>A qualifying same-condition comparison of at least three separately fabricated complete sensing units with device-level results or dispersion was not identified.</x:v>
      </x:c>
      <x:c r="P463" s="9" t="str">
        <x:v>PDF pp. 2–10; Figs. 1–12; Tables 1–2</x:v>
      </x:c>
    </x:row>
    <x:row r="464">
      <x:c r="A464" s="9" t="n">
        <x:v>58</x:v>
      </x:c>
      <x:c r="B464" s="9" t="str">
        <x:v>S071</x:v>
      </x:c>
      <x:c r="C464" s="9" t="str">
        <x:v>Luo et al. (2025)</x:v>
      </x:c>
      <x:c r="D464" s="9" t="str">
        <x:v>D7</x:v>
      </x:c>
      <x:c r="E464" s="9" t="str">
        <x:v>Some concern</x:v>
      </x:c>
      <x:c r="F464" s="9" t="str">
        <x:v>Some concern</x:v>
      </x:c>
      <x:c r="G464" s="9" t="str">
        <x:v>Yes</x:v>
      </x:c>
      <x:c r="H464" s="9" t="str">
        <x:v>Agree</x:v>
      </x:c>
      <x:c r="I464" s="9" t="str">
        <x:v>Some concern</x:v>
      </x:c>
      <x:c r="J464" s="9" t="str">
        <x:v>Initial agreement</x:v>
      </x:c>
      <x:c r="K464" s="9" t="str">
        <x:v>Some principal claims rely on selected curves, inconsistent descriptions or incomplete uncertainty/device-level reporting.</x:v>
      </x:c>
      <x:c r="L464" s="9" t="str">
        <x:v>PDF pp. 2–10; Figs. 1–12; Tables 1–2</x:v>
      </x:c>
      <x:c r="M464" s="9" t="str">
        <x:v>Principal outcomes are reported, but device-level uncertainty or complete accounting of units/cycles is limited.</x:v>
      </x:c>
      <x:c r="N464" s="9" t="str">
        <x:v>Article PDF p. 11</x:v>
      </x:c>
      <x:c r="O464" s="9" t="str">
        <x:v>Some principal claims rely on selected curves, inconsistent descriptions or incomplete uncertainty/device-level reporting.</x:v>
      </x:c>
      <x:c r="P464" s="9" t="str">
        <x:v>PDF pp. 2–10; Figs. 1–12; Tables 1–2</x:v>
      </x:c>
    </x:row>
    <x:row r="465">
      <x:c r="A465" s="9" t="n">
        <x:v>58</x:v>
      </x:c>
      <x:c r="B465" s="9" t="str">
        <x:v>S071</x:v>
      </x:c>
      <x:c r="C465" s="9" t="str">
        <x:v>Luo et al. (2025)</x:v>
      </x:c>
      <x:c r="D465" s="9" t="str">
        <x:v>D8</x:v>
      </x:c>
      <x:c r="E465" s="9" t="str">
        <x:v>Some concern</x:v>
      </x:c>
      <x:c r="F465" s="9" t="str">
        <x:v>Low concern</x:v>
      </x:c>
      <x:c r="G465" s="9" t="str">
        <x:v>Yes</x:v>
      </x:c>
      <x:c r="H465" s="9" t="str">
        <x:v>Disagree</x:v>
      </x:c>
      <x:c r="I465" s="9" t="str">
        <x:v>Some concern</x:v>
      </x:c>
      <x:c r="J465" s="9" t="str">
        <x:v>Adjudicated to Reviewer 1</x:v>
      </x:c>
      <x:c r="K465" s="9" t="str">
        <x:v>A complete wearable configuration was demonstrated, but the participant count, comparator or protocol depth was limited.</x:v>
      </x:c>
      <x:c r="L465" s="9" t="str">
        <x:v>PDF pp. 2–10; Figs. 1–12; Tables 1–2</x:v>
      </x:c>
      <x:c r="M465" s="9" t="str">
        <x:v>Five volunteers completed gait tests at two controlled speeds with the sensorized insole.</x:v>
      </x:c>
      <x:c r="N465" s="9" t="str">
        <x:v>Article PDF p. 10</x:v>
      </x:c>
      <x:c r="O465" s="9" t="str">
        <x:v>A complete wearable configuration was demonstrated, but the participant count, comparator or protocol depth was limited.</x:v>
      </x:c>
      <x:c r="P465" s="9" t="str">
        <x:v>PDF pp. 2–10; Figs. 1–12; Tables 1–2</x:v>
      </x:c>
    </x:row>
    <x:row r="466">
      <x:c r="A466" s="9" t="n">
        <x:v>59</x:v>
      </x:c>
      <x:c r="B466" s="9" t="str">
        <x:v>S073</x:v>
      </x:c>
      <x:c r="C466" s="9" t="str">
        <x:v>Han et al. (2025)</x:v>
      </x:c>
      <x:c r="D466" s="9" t="str">
        <x:v>D1</x:v>
      </x:c>
      <x:c r="E466" s="9" t="str">
        <x:v>High concern</x:v>
      </x:c>
      <x:c r="F466" s="9" t="str">
        <x:v>Some concern</x:v>
      </x:c>
      <x:c r="G466" s="9" t="str">
        <x:v>Yes</x:v>
      </x:c>
      <x:c r="H466" s="9" t="str">
        <x:v>Disagree</x:v>
      </x:c>
      <x:c r="I466" s="9" t="str">
        <x:v>High concern</x:v>
      </x:c>
      <x:c r="J466" s="9" t="str">
        <x:v>Adjudicated to Reviewer 1</x:v>
      </x:c>
      <x:c r="K466" s="9" t="str">
        <x:v>Application evidence relies on one or an unspecified small convenience sample and device sampling is not justified.</x:v>
      </x:c>
      <x:c r="L466" s="9" t="str">
        <x:v>PDF pp. 2–13; Figs. 1–10; Tables 1–2</x:v>
      </x:c>
      <x:c r="M466" s="9" t="str">
        <x:v>Some unit/participant counts or selection details are provided, but fabricated-unit selection and failures are not fully accounted for.</x:v>
      </x:c>
      <x:c r="N466" s="9" t="str">
        <x:v>Article PDF p. 6</x:v>
      </x:c>
      <x:c r="O466" s="9" t="str">
        <x:v>Application evidence relies on one or an unspecified small convenience sample and device sampling is not justified.</x:v>
      </x:c>
      <x:c r="P466" s="9" t="str">
        <x:v>PDF pp. 2–13; Figs. 1–10; Tables 1–2</x:v>
      </x:c>
    </x:row>
    <x:row r="467">
      <x:c r="A467" s="9" t="n">
        <x:v>59</x:v>
      </x:c>
      <x:c r="B467" s="9" t="str">
        <x:v>S073</x:v>
      </x:c>
      <x:c r="C467" s="9" t="str">
        <x:v>Han et al. (2025)</x:v>
      </x:c>
      <x:c r="D467" s="9" t="str">
        <x:v>D2</x:v>
      </x:c>
      <x:c r="E467" s="9" t="str">
        <x:v>Some concern</x:v>
      </x:c>
      <x:c r="F467" s="9" t="str">
        <x:v>Low concern</x:v>
      </x:c>
      <x:c r="G467" s="9" t="str">
        <x:v>Yes</x:v>
      </x:c>
      <x:c r="H467" s="9" t="str">
        <x:v>Disagree</x:v>
      </x:c>
      <x:c r="I467" s="9" t="str">
        <x:v>Some concern</x:v>
      </x:c>
      <x:c r="J467" s="9" t="str">
        <x:v>Adjudicated to Reviewer 1</x:v>
      </x:c>
      <x:c r="K467" s="9" t="str">
        <x:v>One or more fabrication settings or platform details are absent, unresolved or internally inconsistent.</x:v>
      </x:c>
      <x:c r="L467" s="9" t="str">
        <x:v>PDF pp. 2–13; Figs. 1–10; Tables 1–2</x:v>
      </x:c>
      <x:c r="M467" s="9" t="str">
        <x:v>Relevant material, geometry, conditioning and extrusion variables are documented sufficiently for the claimed comparison.</x:v>
      </x:c>
      <x:c r="N467" s="9" t="str">
        <x:v>Article PDF p. 3</x:v>
      </x:c>
      <x:c r="O467" s="9" t="str">
        <x:v>One or more fabrication settings or platform details are absent, unresolved or internally inconsistent.</x:v>
      </x:c>
      <x:c r="P467" s="9" t="str">
        <x:v>PDF pp. 2–13; Figs. 1–10; Tables 1–2</x:v>
      </x:c>
    </x:row>
    <x:row r="468">
      <x:c r="A468" s="9" t="n">
        <x:v>59</x:v>
      </x:c>
      <x:c r="B468" s="9" t="str">
        <x:v>S073</x:v>
      </x:c>
      <x:c r="C468" s="9" t="str">
        <x:v>Han et al. (2025)</x:v>
      </x:c>
      <x:c r="D468" s="9" t="str">
        <x:v>D3</x:v>
      </x:c>
      <x:c r="E468" s="9" t="str">
        <x:v>Some concern</x:v>
      </x:c>
      <x:c r="F468" s="9" t="str">
        <x:v>Some concern</x:v>
      </x:c>
      <x:c r="G468" s="9" t="str">
        <x:v>Yes</x:v>
      </x:c>
      <x:c r="H468" s="9" t="str">
        <x:v>Agree</x:v>
      </x:c>
      <x:c r="I468" s="9" t="str">
        <x:v>Some concern</x:v>
      </x:c>
      <x:c r="J468" s="9" t="str">
        <x:v>Initial agreement</x:v>
      </x:c>
      <x:c r="K468" s="9" t="str">
        <x:v>Reference/calibration details are incomplete for at least one claimed sensing or application outcome.</x:v>
      </x:c>
      <x:c r="L468" s="9" t="str">
        <x:v>PDF pp. 2–13; Figs. 1–10; Tables 1–2</x:v>
      </x:c>
      <x:c r="M468" s="9" t="str">
        <x:v>Calibration is described, but reference independence or uncertainty is incomplete.</x:v>
      </x:c>
      <x:c r="N468" s="9" t="str">
        <x:v>Article PDF p. 6</x:v>
      </x:c>
      <x:c r="O468" s="9" t="str">
        <x:v>Reference/calibration details are incomplete for at least one claimed sensing or application outcome.</x:v>
      </x:c>
      <x:c r="P468" s="9" t="str">
        <x:v>PDF pp. 2–13; Figs. 1–10; Tables 1–2</x:v>
      </x:c>
    </x:row>
    <x:row r="469">
      <x:c r="A469" s="9" t="n">
        <x:v>59</x:v>
      </x:c>
      <x:c r="B469" s="9" t="str">
        <x:v>S073</x:v>
      </x:c>
      <x:c r="C469" s="9" t="str">
        <x:v>Han et al. (2025)</x:v>
      </x:c>
      <x:c r="D469" s="9" t="str">
        <x:v>D4</x:v>
      </x:c>
      <x:c r="E469" s="9" t="str">
        <x:v>Low concern</x:v>
      </x:c>
      <x:c r="F469" s="9" t="str">
        <x:v>Low concern</x:v>
      </x:c>
      <x:c r="G469" s="9" t="str">
        <x:v>Yes</x:v>
      </x:c>
      <x:c r="H469" s="9" t="str">
        <x:v>Agree</x:v>
      </x:c>
      <x:c r="I469" s="9" t="str">
        <x:v>Low concern</x:v>
      </x:c>
      <x:c r="J469" s="9" t="str">
        <x:v>Initial agreement</x:v>
      </x:c>
      <x:c r="K469" s="9" t="str">
        <x:v>Loading/exposure ranges, rates or conditions are stated for the principal experiments.</x:v>
      </x:c>
      <x:c r="L469" s="9" t="str">
        <x:v>PDF pp. 2–13; Figs. 1–10; Tables 1–2</x:v>
      </x:c>
      <x:c r="M469" s="9" t="str">
        <x:v>Relevant loading/exposure range, rate or geometry and measurement conditions are stated.</x:v>
      </x:c>
      <x:c r="N469" s="9" t="str">
        <x:v>Article PDF p. 6</x:v>
      </x:c>
      <x:c r="O469" s="9" t="str">
        <x:v>Loading/exposure ranges, rates or conditions are stated for the principal experiments.</x:v>
      </x:c>
      <x:c r="P469" s="9" t="str">
        <x:v>PDF pp. 2–13; Figs. 1–10; Tables 1–2</x:v>
      </x:c>
    </x:row>
    <x:row r="470">
      <x:c r="A470" s="9" t="n">
        <x:v>59</x:v>
      </x:c>
      <x:c r="B470" s="9" t="str">
        <x:v>S073</x:v>
      </x:c>
      <x:c r="C470" s="9" t="str">
        <x:v>Han et al. (2025)</x:v>
      </x:c>
      <x:c r="D470" s="9" t="str">
        <x:v>D5</x:v>
      </x:c>
      <x:c r="E470" s="9" t="str">
        <x:v>Low concern</x:v>
      </x:c>
      <x:c r="F470" s="9" t="str">
        <x:v>Low concern</x:v>
      </x:c>
      <x:c r="G470" s="9" t="str">
        <x:v>Yes</x:v>
      </x:c>
      <x:c r="H470" s="9" t="str">
        <x:v>Agree</x:v>
      </x:c>
      <x:c r="I470" s="9" t="str">
        <x:v>Low concern</x:v>
      </x:c>
      <x:c r="J470" s="9" t="str">
        <x:v>Initial agreement</x:v>
      </x:c>
      <x:c r="K470" s="9" t="str">
        <x:v>The study reports at least one defined ≥3-cycle repeated-measurement or endurance protocol.</x:v>
      </x:c>
      <x:c r="L470" s="9" t="str">
        <x:v>PDF pp. 2–13; Figs. 1–10; Tables 1–2</x:v>
      </x:c>
      <x:c r="M470" s="9" t="str">
        <x:v>Repeated units/counts and a stability outcome are defined for the stated protocol.</x:v>
      </x:c>
      <x:c r="N470" s="9" t="str">
        <x:v>Article PDF p. 6</x:v>
      </x:c>
      <x:c r="O470" s="9" t="str">
        <x:v>The study reports at least one defined ≥3-cycle repeated-measurement or endurance protocol.</x:v>
      </x:c>
      <x:c r="P470" s="9" t="str">
        <x:v>PDF pp. 2–13; Figs. 1–10; Tables 1–2</x:v>
      </x:c>
    </x:row>
    <x:row r="471">
      <x:c r="A471" s="9" t="n">
        <x:v>59</x:v>
      </x:c>
      <x:c r="B471" s="9" t="str">
        <x:v>S073</x:v>
      </x:c>
      <x:c r="C471" s="9" t="str">
        <x:v>Han et al. (2025)</x:v>
      </x:c>
      <x:c r="D471" s="9" t="str">
        <x:v>D6</x:v>
      </x:c>
      <x:c r="E471" s="9" t="str">
        <x:v>High concern</x:v>
      </x:c>
      <x:c r="F471" s="9" t="str">
        <x:v>High concern</x:v>
      </x:c>
      <x:c r="G471" s="9" t="str">
        <x:v>Yes</x:v>
      </x:c>
      <x:c r="H471" s="9" t="str">
        <x:v>Agree</x:v>
      </x:c>
      <x:c r="I471" s="9" t="str">
        <x:v>High concern</x:v>
      </x:c>
      <x:c r="J471" s="9" t="str">
        <x:v>Initial agreement</x:v>
      </x:c>
      <x:c r="K471" s="9" t="str">
        <x:v>A qualifying same-condition comparison of at least three separately fabricated complete sensing units with device-level results or dispersion was not identified.</x:v>
      </x:c>
      <x:c r="L471" s="9" t="str">
        <x:v>PDF pp. 2–13; Figs. 1–10; Tables 1–2</x:v>
      </x:c>
      <x:c r="M471" s="9" t="str">
        <x:v>Cycles, participants or configurations do not establish replication across three equivalent fabricated devices.</x:v>
      </x:c>
      <x:c r="N471" s="9" t="str">
        <x:v>Article PDF p. 6</x:v>
      </x:c>
      <x:c r="O471" s="9" t="str">
        <x:v>A qualifying same-condition comparison of at least three separately fabricated complete sensing units with device-level results or dispersion was not identified.</x:v>
      </x:c>
      <x:c r="P471" s="9" t="str">
        <x:v>PDF pp. 2–13; Figs. 1–10; Tables 1–2</x:v>
      </x:c>
    </x:row>
    <x:row r="472">
      <x:c r="A472" s="9" t="n">
        <x:v>59</x:v>
      </x:c>
      <x:c r="B472" s="9" t="str">
        <x:v>S073</x:v>
      </x:c>
      <x:c r="C472" s="9" t="str">
        <x:v>Han et al. (2025)</x:v>
      </x:c>
      <x:c r="D472" s="9" t="str">
        <x:v>D7</x:v>
      </x:c>
      <x:c r="E472" s="9" t="str">
        <x:v>Some concern</x:v>
      </x:c>
      <x:c r="F472" s="9" t="str">
        <x:v>Some concern</x:v>
      </x:c>
      <x:c r="G472" s="9" t="str">
        <x:v>Yes</x:v>
      </x:c>
      <x:c r="H472" s="9" t="str">
        <x:v>Agree</x:v>
      </x:c>
      <x:c r="I472" s="9" t="str">
        <x:v>Some concern</x:v>
      </x:c>
      <x:c r="J472" s="9" t="str">
        <x:v>Initial agreement</x:v>
      </x:c>
      <x:c r="K472" s="9" t="str">
        <x:v>Some principal claims rely on selected curves, inconsistent descriptions or incomplete uncertainty/device-level reporting.</x:v>
      </x:c>
      <x:c r="L472" s="9" t="str">
        <x:v>PDF pp. 2–13; Figs. 1–10; Tables 1–2</x:v>
      </x:c>
      <x:c r="M472" s="9" t="str">
        <x:v>Principal outcomes are reported, but device-level uncertainty or complete accounting of units/cycles is limited.</x:v>
      </x:c>
      <x:c r="N472" s="9" t="str">
        <x:v>Article PDF p. 6</x:v>
      </x:c>
      <x:c r="O472" s="9" t="str">
        <x:v>Some principal claims rely on selected curves, inconsistent descriptions or incomplete uncertainty/device-level reporting.</x:v>
      </x:c>
      <x:c r="P472" s="9" t="str">
        <x:v>PDF pp. 2–13; Figs. 1–10; Tables 1–2</x:v>
      </x:c>
    </x:row>
    <x:row r="473">
      <x:c r="A473" s="9" t="n">
        <x:v>59</x:v>
      </x:c>
      <x:c r="B473" s="9" t="str">
        <x:v>S073</x:v>
      </x:c>
      <x:c r="C473" s="9" t="str">
        <x:v>Han et al. (2025)</x:v>
      </x:c>
      <x:c r="D473" s="9" t="str">
        <x:v>D8</x:v>
      </x:c>
      <x:c r="E473" s="9" t="str">
        <x:v>Some concern</x:v>
      </x:c>
      <x:c r="F473" s="9" t="str">
        <x:v>Low concern</x:v>
      </x:c>
      <x:c r="G473" s="9" t="str">
        <x:v>Yes</x:v>
      </x:c>
      <x:c r="H473" s="9" t="str">
        <x:v>Disagree</x:v>
      </x:c>
      <x:c r="I473" s="9" t="str">
        <x:v>Some concern</x:v>
      </x:c>
      <x:c r="J473" s="9" t="str">
        <x:v>Adjudicated to Reviewer 1</x:v>
      </x:c>
      <x:c r="K473" s="9" t="str">
        <x:v>A complete wearable configuration was demonstrated, but the participant count, comparator or protocol depth was limited.</x:v>
      </x:c>
      <x:c r="L473" s="9" t="str">
        <x:v>PDF pp. 2–13; Figs. 1–10; Tables 1–2</x:v>
      </x:c>
      <x:c r="M473" s="9" t="str">
        <x:v>The final device was evaluated in a body-worn/use-relevant human configuration.</x:v>
      </x:c>
      <x:c r="N473" s="9" t="str">
        <x:v>Article PDF p. 8</x:v>
      </x:c>
      <x:c r="O473" s="9" t="str">
        <x:v>A complete wearable configuration was demonstrated, but the participant count, comparator or protocol depth was limited.</x:v>
      </x:c>
      <x:c r="P473" s="9" t="str">
        <x:v>PDF pp. 2–13; Figs. 1–10; Tables 1–2</x:v>
      </x:c>
    </x:row>
    <x:row r="474">
      <x:c r="A474" s="9" t="n">
        <x:v>60</x:v>
      </x:c>
      <x:c r="B474" s="9" t="str">
        <x:v>S074</x:v>
      </x:c>
      <x:c r="C474" s="9" t="str">
        <x:v>Lavorgna et al. (2025)</x:v>
      </x:c>
      <x:c r="D474" s="9" t="str">
        <x:v>D1</x:v>
      </x:c>
      <x:c r="E474" s="9" t="str">
        <x:v>Low concern</x:v>
      </x:c>
      <x:c r="F474" s="9" t="str">
        <x:v>Some concern</x:v>
      </x:c>
      <x:c r="G474" s="9" t="str">
        <x:v>Yes</x:v>
      </x:c>
      <x:c r="H474" s="9" t="str">
        <x:v>Disagree</x:v>
      </x:c>
      <x:c r="I474" s="9" t="str">
        <x:v>Low concern</x:v>
      </x:c>
      <x:c r="J474" s="9" t="str">
        <x:v>Adjudicated to Reviewer 1</x:v>
      </x:c>
      <x:c r="K474" s="9" t="str">
        <x:v>A defined multi-participant sample was used for the wearable validation.</x:v>
      </x:c>
      <x:c r="L474" s="9" t="str">
        <x:v>PDF pp. 3–9; Figs. 1–13</x:v>
      </x:c>
      <x:c r="M474" s="9" t="str">
        <x:v>Some unit/participant counts or selection details are provided, but fabricated-unit selection and failures are not fully accounted for.</x:v>
      </x:c>
      <x:c r="N474" s="9" t="str">
        <x:v>Article PDF p. 9</x:v>
      </x:c>
      <x:c r="O474" s="9" t="str">
        <x:v>A defined multi-participant sample was used for the wearable validation.</x:v>
      </x:c>
      <x:c r="P474" s="9" t="str">
        <x:v>PDF pp. 3–9; Figs. 1–13</x:v>
      </x:c>
    </x:row>
    <x:row r="475">
      <x:c r="A475" s="9" t="n">
        <x:v>60</x:v>
      </x:c>
      <x:c r="B475" s="9" t="str">
        <x:v>S074</x:v>
      </x:c>
      <x:c r="C475" s="9" t="str">
        <x:v>Lavorgna et al. (2025)</x:v>
      </x:c>
      <x:c r="D475" s="9" t="str">
        <x:v>D2</x:v>
      </x:c>
      <x:c r="E475" s="9" t="str">
        <x:v>Some concern</x:v>
      </x:c>
      <x:c r="F475" s="9" t="str">
        <x:v>Some concern</x:v>
      </x:c>
      <x:c r="G475" s="9" t="str">
        <x:v>Yes</x:v>
      </x:c>
      <x:c r="H475" s="9" t="str">
        <x:v>Agree</x:v>
      </x:c>
      <x:c r="I475" s="9" t="str">
        <x:v>Some concern</x:v>
      </x:c>
      <x:c r="J475" s="9" t="str">
        <x:v>Initial agreement</x:v>
      </x:c>
      <x:c r="K475" s="9" t="str">
        <x:v>One or more fabrication settings or platform details are absent, unresolved or internally inconsistent.</x:v>
      </x:c>
      <x:c r="L475" s="9" t="str">
        <x:v>PDF pp. 3–9; Figs. 1–13</x:v>
      </x:c>
      <x:c r="M475" s="9" t="str">
        <x:v>Several fabrication controls are documented, but omitted settings leave residual process-confounding concern.</x:v>
      </x:c>
      <x:c r="N475" s="9" t="str">
        <x:v>Article PDF p. 3</x:v>
      </x:c>
      <x:c r="O475" s="9" t="str">
        <x:v>One or more fabrication settings or platform details are absent, unresolved or internally inconsistent.</x:v>
      </x:c>
      <x:c r="P475" s="9" t="str">
        <x:v>PDF pp. 3–9; Figs. 1–13</x:v>
      </x:c>
    </x:row>
    <x:row r="476">
      <x:c r="A476" s="9" t="n">
        <x:v>60</x:v>
      </x:c>
      <x:c r="B476" s="9" t="str">
        <x:v>S074</x:v>
      </x:c>
      <x:c r="C476" s="9" t="str">
        <x:v>Lavorgna et al. (2025)</x:v>
      </x:c>
      <x:c r="D476" s="9" t="str">
        <x:v>D3</x:v>
      </x:c>
      <x:c r="E476" s="9" t="str">
        <x:v>Low concern</x:v>
      </x:c>
      <x:c r="F476" s="9" t="str">
        <x:v>Low concern</x:v>
      </x:c>
      <x:c r="G476" s="9" t="str">
        <x:v>Yes</x:v>
      </x:c>
      <x:c r="H476" s="9" t="str">
        <x:v>Agree</x:v>
      </x:c>
      <x:c r="I476" s="9" t="str">
        <x:v>Low concern</x:v>
      </x:c>
      <x:c r="J476" s="9" t="str">
        <x:v>Initial agreement</x:v>
      </x:c>
      <x:c r="K476" s="9" t="str">
        <x:v>Controlled inputs and suitable reference instrumentation/procedures are reported.</x:v>
      </x:c>
      <x:c r="L476" s="9" t="str">
        <x:v>PDF pp. 3–9; Figs. 1–13</x:v>
      </x:c>
      <x:c r="M476" s="9" t="str">
        <x:v>Calibrated mechanical inputs and an independent reference wearable system support measurement validity.</x:v>
      </x:c>
      <x:c r="N476" s="9" t="str">
        <x:v>Article PDF pp. 4-7</x:v>
      </x:c>
      <x:c r="O476" s="9" t="str">
        <x:v>Controlled inputs and suitable reference instrumentation/procedures are reported.</x:v>
      </x:c>
      <x:c r="P476" s="9" t="str">
        <x:v>PDF pp. 3–9; Figs. 1–13</x:v>
      </x:c>
    </x:row>
    <x:row r="477">
      <x:c r="A477" s="9" t="n">
        <x:v>60</x:v>
      </x:c>
      <x:c r="B477" s="9" t="str">
        <x:v>S074</x:v>
      </x:c>
      <x:c r="C477" s="9" t="str">
        <x:v>Lavorgna et al. (2025)</x:v>
      </x:c>
      <x:c r="D477" s="9" t="str">
        <x:v>D4</x:v>
      </x:c>
      <x:c r="E477" s="9" t="str">
        <x:v>Low concern</x:v>
      </x:c>
      <x:c r="F477" s="9" t="str">
        <x:v>Low concern</x:v>
      </x:c>
      <x:c r="G477" s="9" t="str">
        <x:v>Yes</x:v>
      </x:c>
      <x:c r="H477" s="9" t="str">
        <x:v>Agree</x:v>
      </x:c>
      <x:c r="I477" s="9" t="str">
        <x:v>Low concern</x:v>
      </x:c>
      <x:c r="J477" s="9" t="str">
        <x:v>Initial agreement</x:v>
      </x:c>
      <x:c r="K477" s="9" t="str">
        <x:v>Loading/exposure ranges, rates or conditions are stated for the principal experiments.</x:v>
      </x:c>
      <x:c r="L477" s="9" t="str">
        <x:v>PDF pp. 3–9; Figs. 1–13</x:v>
      </x:c>
      <x:c r="M477" s="9" t="str">
        <x:v>Bench cycle speeds and body-task positioning/protocols are reported.</x:v>
      </x:c>
      <x:c r="N477" s="9" t="str">
        <x:v>Article PDF pp. 4-7</x:v>
      </x:c>
      <x:c r="O477" s="9" t="str">
        <x:v>Loading/exposure ranges, rates or conditions are stated for the principal experiments.</x:v>
      </x:c>
      <x:c r="P477" s="9" t="str">
        <x:v>PDF pp. 3–9; Figs. 1–13</x:v>
      </x:c>
    </x:row>
    <x:row r="478">
      <x:c r="A478" s="9" t="n">
        <x:v>60</x:v>
      </x:c>
      <x:c r="B478" s="9" t="str">
        <x:v>S074</x:v>
      </x:c>
      <x:c r="C478" s="9" t="str">
        <x:v>Lavorgna et al. (2025)</x:v>
      </x:c>
      <x:c r="D478" s="9" t="str">
        <x:v>D5</x:v>
      </x:c>
      <x:c r="E478" s="9" t="str">
        <x:v>Low concern</x:v>
      </x:c>
      <x:c r="F478" s="9" t="str">
        <x:v>Low concern</x:v>
      </x:c>
      <x:c r="G478" s="9" t="str">
        <x:v>Yes</x:v>
      </x:c>
      <x:c r="H478" s="9" t="str">
        <x:v>Agree</x:v>
      </x:c>
      <x:c r="I478" s="9" t="str">
        <x:v>Low concern</x:v>
      </x:c>
      <x:c r="J478" s="9" t="str">
        <x:v>Initial agreement</x:v>
      </x:c>
      <x:c r="K478" s="9" t="str">
        <x:v>The study reports at least one defined ≥3-cycle repeated-measurement or endurance protocol.</x:v>
      </x:c>
      <x:c r="L478" s="9" t="str">
        <x:v>PDF pp. 3–9; Figs. 1–13</x:v>
      </x:c>
      <x:c r="M478" s="9" t="str">
        <x:v>Repeated units/counts and a stability outcome are defined for the stated protocol.</x:v>
      </x:c>
      <x:c r="N478" s="9" t="str">
        <x:v>Article PDF p. 5</x:v>
      </x:c>
      <x:c r="O478" s="9" t="str">
        <x:v>The study reports at least one defined ≥3-cycle repeated-measurement or endurance protocol.</x:v>
      </x:c>
      <x:c r="P478" s="9" t="str">
        <x:v>PDF pp. 3–9; Figs. 1–13</x:v>
      </x:c>
    </x:row>
    <x:row r="479">
      <x:c r="A479" s="9" t="n">
        <x:v>60</x:v>
      </x:c>
      <x:c r="B479" s="9" t="str">
        <x:v>S074</x:v>
      </x:c>
      <x:c r="C479" s="9" t="str">
        <x:v>Lavorgna et al. (2025)</x:v>
      </x:c>
      <x:c r="D479" s="9" t="str">
        <x:v>D6</x:v>
      </x:c>
      <x:c r="E479" s="9" t="str">
        <x:v>High concern</x:v>
      </x:c>
      <x:c r="F479" s="9" t="str">
        <x:v>High concern</x:v>
      </x:c>
      <x:c r="G479" s="9" t="str">
        <x:v>Yes</x:v>
      </x:c>
      <x:c r="H479" s="9" t="str">
        <x:v>Agree</x:v>
      </x:c>
      <x:c r="I479" s="9" t="str">
        <x:v>High concern</x:v>
      </x:c>
      <x:c r="J479" s="9" t="str">
        <x:v>Initial agreement</x:v>
      </x:c>
      <x:c r="K479" s="9" t="str">
        <x:v>A qualifying same-condition comparison of at least three separately fabricated complete sensing units with device-level results or dispersion was not identified.</x:v>
      </x:c>
      <x:c r="L479" s="9" t="str">
        <x:v>PDF pp. 3–9; Figs. 1–13</x:v>
      </x:c>
      <x:c r="M479" s="9" t="str">
        <x:v>Cycles, participants or configurations do not establish replication across three equivalent fabricated devices.</x:v>
      </x:c>
      <x:c r="N479" s="9" t="str">
        <x:v>Article PDF p. 2</x:v>
      </x:c>
      <x:c r="O479" s="9" t="str">
        <x:v>A qualifying same-condition comparison of at least three separately fabricated complete sensing units with device-level results or dispersion was not identified.</x:v>
      </x:c>
      <x:c r="P479" s="9" t="str">
        <x:v>PDF pp. 3–9; Figs. 1–13</x:v>
      </x:c>
    </x:row>
    <x:row r="480">
      <x:c r="A480" s="9" t="n">
        <x:v>60</x:v>
      </x:c>
      <x:c r="B480" s="9" t="str">
        <x:v>S074</x:v>
      </x:c>
      <x:c r="C480" s="9" t="str">
        <x:v>Lavorgna et al. (2025)</x:v>
      </x:c>
      <x:c r="D480" s="9" t="str">
        <x:v>D7</x:v>
      </x:c>
      <x:c r="E480" s="9" t="str">
        <x:v>Low concern</x:v>
      </x:c>
      <x:c r="F480" s="9" t="str">
        <x:v>Low concern</x:v>
      </x:c>
      <x:c r="G480" s="9" t="str">
        <x:v>Yes</x:v>
      </x:c>
      <x:c r="H480" s="9" t="str">
        <x:v>Agree</x:v>
      </x:c>
      <x:c r="I480" s="9" t="str">
        <x:v>Low concern</x:v>
      </x:c>
      <x:c r="J480" s="9" t="str">
        <x:v>Initial agreement</x:v>
      </x:c>
      <x:c r="K480" s="9" t="str">
        <x:v>Principal response magnitudes, ranges and relevant retention/failure behavior are reported.</x:v>
      </x:c>
      <x:c r="L480" s="9" t="str">
        <x:v>PDF pp. 3–9; Figs. 1–13</x:v>
      </x:c>
      <x:c r="M480" s="9" t="str">
        <x:v>Principal response/stability outcomes and relevant uncertainty are reported without evident unexplained omissions.</x:v>
      </x:c>
      <x:c r="N480" s="9" t="str">
        <x:v>Article PDF p. 5</x:v>
      </x:c>
      <x:c r="O480" s="9" t="str">
        <x:v>Principal response magnitudes, ranges and relevant retention/failure behavior are reported.</x:v>
      </x:c>
      <x:c r="P480" s="9" t="str">
        <x:v>PDF pp. 3–9; Figs. 1–13</x:v>
      </x:c>
    </x:row>
    <x:row r="481">
      <x:c r="A481" s="9" t="n">
        <x:v>60</x:v>
      </x:c>
      <x:c r="B481" s="9" t="str">
        <x:v>S074</x:v>
      </x:c>
      <x:c r="C481" s="9" t="str">
        <x:v>Lavorgna et al. (2025)</x:v>
      </x:c>
      <x:c r="D481" s="9" t="str">
        <x:v>D8</x:v>
      </x:c>
      <x:c r="E481" s="9" t="str">
        <x:v>Low concern</x:v>
      </x:c>
      <x:c r="F481" s="9" t="str">
        <x:v>Low concern</x:v>
      </x:c>
      <x:c r="G481" s="9" t="str">
        <x:v>Yes</x:v>
      </x:c>
      <x:c r="H481" s="9" t="str">
        <x:v>Agree</x:v>
      </x:c>
      <x:c r="I481" s="9" t="str">
        <x:v>Low concern</x:v>
      </x:c>
      <x:c r="J481" s="9" t="str">
        <x:v>Initial agreement</x:v>
      </x:c>
      <x:c r="K481" s="9" t="str">
        <x:v>The complete wearable configuration was evaluated in a defined participant/application protocol.</x:v>
      </x:c>
      <x:c r="L481" s="9" t="str">
        <x:v>PDF pp. 3–9; Figs. 1–13</x:v>
      </x:c>
      <x:c r="M481" s="9" t="str">
        <x:v>The final device was evaluated in a body-worn/use-relevant human configuration.</x:v>
      </x:c>
      <x:c r="N481" s="9" t="str">
        <x:v>Article PDF p. 10</x:v>
      </x:c>
      <x:c r="O481" s="9" t="str">
        <x:v>The complete wearable configuration was evaluated in a defined participant/application protocol.</x:v>
      </x:c>
      <x:c r="P481" s="9" t="str">
        <x:v>PDF pp. 3–9; Figs. 1–13</x:v>
      </x:c>
    </x:row>
    <x:row r="482">
      <x:c r="A482" s="9" t="n">
        <x:v>61</x:v>
      </x:c>
      <x:c r="B482" s="9" t="str">
        <x:v>S075</x:v>
      </x:c>
      <x:c r="C482" s="9" t="str">
        <x:v>Saroli et al. (2025)</x:v>
      </x:c>
      <x:c r="D482" s="9" t="str">
        <x:v>D1</x:v>
      </x:c>
      <x:c r="E482" s="9" t="str">
        <x:v>High concern</x:v>
      </x:c>
      <x:c r="F482" s="9" t="str">
        <x:v>Some concern</x:v>
      </x:c>
      <x:c r="G482" s="9" t="str">
        <x:v>Yes</x:v>
      </x:c>
      <x:c r="H482" s="9" t="str">
        <x:v>Disagree</x:v>
      </x:c>
      <x:c r="I482" s="9" t="str">
        <x:v>High concern</x:v>
      </x:c>
      <x:c r="J482" s="9" t="str">
        <x:v>Adjudicated to Reviewer 1</x:v>
      </x:c>
      <x:c r="K482" s="9" t="str">
        <x:v>Application evidence relies on one or an unspecified small convenience sample and device sampling is not justified.</x:v>
      </x:c>
      <x:c r="L482" s="9" t="str">
        <x:v>PDF pp. 2–8; Figs. 1–7</x:v>
      </x:c>
      <x:c r="M482" s="9" t="str">
        <x:v>Some unit/participant counts or selection details are provided, but fabricated-unit selection and failures are not fully accounted for.</x:v>
      </x:c>
      <x:c r="N482" s="9" t="str">
        <x:v>Article PDF p. 9</x:v>
      </x:c>
      <x:c r="O482" s="9" t="str">
        <x:v>Application evidence relies on one or an unspecified small convenience sample and device sampling is not justified.</x:v>
      </x:c>
      <x:c r="P482" s="9" t="str">
        <x:v>PDF pp. 2–8; Figs. 1–7</x:v>
      </x:c>
    </x:row>
    <x:row r="483">
      <x:c r="A483" s="9" t="n">
        <x:v>61</x:v>
      </x:c>
      <x:c r="B483" s="9" t="str">
        <x:v>S075</x:v>
      </x:c>
      <x:c r="C483" s="9" t="str">
        <x:v>Saroli et al. (2025)</x:v>
      </x:c>
      <x:c r="D483" s="9" t="str">
        <x:v>D2</x:v>
      </x:c>
      <x:c r="E483" s="9" t="str">
        <x:v>Low concern</x:v>
      </x:c>
      <x:c r="F483" s="9" t="str">
        <x:v>Some concern</x:v>
      </x:c>
      <x:c r="G483" s="9" t="str">
        <x:v>Yes</x:v>
      </x:c>
      <x:c r="H483" s="9" t="str">
        <x:v>Disagree</x:v>
      </x:c>
      <x:c r="I483" s="9" t="str">
        <x:v>Low concern</x:v>
      </x:c>
      <x:c r="J483" s="9" t="str">
        <x:v>Adjudicated to Reviewer 1</x:v>
      </x:c>
      <x:c r="K483" s="9" t="str">
        <x:v>Fabrication variables and application-relevant settings are sufficiently controlled and reported.</x:v>
      </x:c>
      <x:c r="L483" s="9" t="str">
        <x:v>PDF pp. 2–8; Figs. 1–7</x:v>
      </x:c>
      <x:c r="M483" s="9" t="str">
        <x:v>Several fabrication controls are documented, but omitted settings leave residual process-confounding concern.</x:v>
      </x:c>
      <x:c r="N483" s="9" t="str">
        <x:v>Article PDF p. 2</x:v>
      </x:c>
      <x:c r="O483" s="9" t="str">
        <x:v>Fabrication variables and application-relevant settings are sufficiently controlled and reported.</x:v>
      </x:c>
      <x:c r="P483" s="9" t="str">
        <x:v>PDF pp. 2–8; Figs. 1–7</x:v>
      </x:c>
    </x:row>
    <x:row r="484">
      <x:c r="A484" s="9" t="n">
        <x:v>61</x:v>
      </x:c>
      <x:c r="B484" s="9" t="str">
        <x:v>S075</x:v>
      </x:c>
      <x:c r="C484" s="9" t="str">
        <x:v>Saroli et al. (2025)</x:v>
      </x:c>
      <x:c r="D484" s="9" t="str">
        <x:v>D3</x:v>
      </x:c>
      <x:c r="E484" s="9" t="str">
        <x:v>Low concern</x:v>
      </x:c>
      <x:c r="F484" s="9" t="str">
        <x:v>Low concern</x:v>
      </x:c>
      <x:c r="G484" s="9" t="str">
        <x:v>Yes</x:v>
      </x:c>
      <x:c r="H484" s="9" t="str">
        <x:v>Agree</x:v>
      </x:c>
      <x:c r="I484" s="9" t="str">
        <x:v>Low concern</x:v>
      </x:c>
      <x:c r="J484" s="9" t="str">
        <x:v>Initial agreement</x:v>
      </x:c>
      <x:c r="K484" s="9" t="str">
        <x:v>Controlled inputs and suitable reference instrumentation/procedures are reported.</x:v>
      </x:c>
      <x:c r="L484" s="9" t="str">
        <x:v>PDF pp. 2–8; Figs. 1–7</x:v>
      </x:c>
      <x:c r="M484" s="9" t="str">
        <x:v>The controlled input/reference and calibration procedure are appropriate and independently measured.</x:v>
      </x:c>
      <x:c r="N484" s="9" t="str">
        <x:v>Article PDF p. 9</x:v>
      </x:c>
      <x:c r="O484" s="9" t="str">
        <x:v>Controlled inputs and suitable reference instrumentation/procedures are reported.</x:v>
      </x:c>
      <x:c r="P484" s="9" t="str">
        <x:v>PDF pp. 2–8; Figs. 1–7</x:v>
      </x:c>
    </x:row>
    <x:row r="485">
      <x:c r="A485" s="9" t="n">
        <x:v>61</x:v>
      </x:c>
      <x:c r="B485" s="9" t="str">
        <x:v>S075</x:v>
      </x:c>
      <x:c r="C485" s="9" t="str">
        <x:v>Saroli et al. (2025)</x:v>
      </x:c>
      <x:c r="D485" s="9" t="str">
        <x:v>D4</x:v>
      </x:c>
      <x:c r="E485" s="9" t="str">
        <x:v>Low concern</x:v>
      </x:c>
      <x:c r="F485" s="9" t="str">
        <x:v>Low concern</x:v>
      </x:c>
      <x:c r="G485" s="9" t="str">
        <x:v>Yes</x:v>
      </x:c>
      <x:c r="H485" s="9" t="str">
        <x:v>Agree</x:v>
      </x:c>
      <x:c r="I485" s="9" t="str">
        <x:v>Low concern</x:v>
      </x:c>
      <x:c r="J485" s="9" t="str">
        <x:v>Initial agreement</x:v>
      </x:c>
      <x:c r="K485" s="9" t="str">
        <x:v>Loading/exposure ranges, rates or conditions are stated for the principal experiments.</x:v>
      </x:c>
      <x:c r="L485" s="9" t="str">
        <x:v>PDF pp. 2–8; Figs. 1–7</x:v>
      </x:c>
      <x:c r="M485" s="9" t="str">
        <x:v>Relevant loading/exposure range, rate or geometry and measurement conditions are stated.</x:v>
      </x:c>
      <x:c r="N485" s="9" t="str">
        <x:v>Article PDF p. 10</x:v>
      </x:c>
      <x:c r="O485" s="9" t="str">
        <x:v>Loading/exposure ranges, rates or conditions are stated for the principal experiments.</x:v>
      </x:c>
      <x:c r="P485" s="9" t="str">
        <x:v>PDF pp. 2–8; Figs. 1–7</x:v>
      </x:c>
    </x:row>
    <x:row r="486">
      <x:c r="A486" s="9" t="n">
        <x:v>61</x:v>
      </x:c>
      <x:c r="B486" s="9" t="str">
        <x:v>S075</x:v>
      </x:c>
      <x:c r="C486" s="9" t="str">
        <x:v>Saroli et al. (2025)</x:v>
      </x:c>
      <x:c r="D486" s="9" t="str">
        <x:v>D5</x:v>
      </x:c>
      <x:c r="E486" s="9" t="str">
        <x:v>Low concern</x:v>
      </x:c>
      <x:c r="F486" s="9" t="str">
        <x:v>Low concern</x:v>
      </x:c>
      <x:c r="G486" s="9" t="str">
        <x:v>Yes</x:v>
      </x:c>
      <x:c r="H486" s="9" t="str">
        <x:v>Agree</x:v>
      </x:c>
      <x:c r="I486" s="9" t="str">
        <x:v>Low concern</x:v>
      </x:c>
      <x:c r="J486" s="9" t="str">
        <x:v>Initial agreement</x:v>
      </x:c>
      <x:c r="K486" s="9" t="str">
        <x:v>The study reports at least one defined ≥3-cycle repeated-measurement or endurance protocol.</x:v>
      </x:c>
      <x:c r="L486" s="9" t="str">
        <x:v>PDF pp. 2–8; Figs. 1–7</x:v>
      </x:c>
      <x:c r="M486" s="9" t="str">
        <x:v>Repeated units/counts and a stability outcome are defined for the stated protocol.</x:v>
      </x:c>
      <x:c r="N486" s="9" t="str">
        <x:v>Article PDF p. 4</x:v>
      </x:c>
      <x:c r="O486" s="9" t="str">
        <x:v>The study reports at least one defined ≥3-cycle repeated-measurement or endurance protocol.</x:v>
      </x:c>
      <x:c r="P486" s="9" t="str">
        <x:v>PDF pp. 2–8; Figs. 1–7</x:v>
      </x:c>
    </x:row>
    <x:row r="487">
      <x:c r="A487" s="9" t="n">
        <x:v>61</x:v>
      </x:c>
      <x:c r="B487" s="9" t="str">
        <x:v>S075</x:v>
      </x:c>
      <x:c r="C487" s="9" t="str">
        <x:v>Saroli et al. (2025)</x:v>
      </x:c>
      <x:c r="D487" s="9" t="str">
        <x:v>D6</x:v>
      </x:c>
      <x:c r="E487" s="9" t="str">
        <x:v>High concern</x:v>
      </x:c>
      <x:c r="F487" s="9" t="str">
        <x:v>High concern</x:v>
      </x:c>
      <x:c r="G487" s="9" t="str">
        <x:v>Yes</x:v>
      </x:c>
      <x:c r="H487" s="9" t="str">
        <x:v>Agree</x:v>
      </x:c>
      <x:c r="I487" s="9" t="str">
        <x:v>High concern</x:v>
      </x:c>
      <x:c r="J487" s="9" t="str">
        <x:v>Initial agreement</x:v>
      </x:c>
      <x:c r="K487" s="9" t="str">
        <x:v>A qualifying same-condition comparison of at least three separately fabricated complete sensing units with device-level results or dispersion was not identified.</x:v>
      </x:c>
      <x:c r="L487" s="9" t="str">
        <x:v>PDF pp. 2–8; Figs. 1–7</x:v>
      </x:c>
      <x:c r="M487" s="9" t="str">
        <x:v>Cycles, participants or configurations do not establish replication across three equivalent fabricated devices.</x:v>
      </x:c>
      <x:c r="N487" s="9" t="str">
        <x:v>Article PDF p. 9</x:v>
      </x:c>
      <x:c r="O487" s="9" t="str">
        <x:v>A qualifying same-condition comparison of at least three separately fabricated complete sensing units with device-level results or dispersion was not identified.</x:v>
      </x:c>
      <x:c r="P487" s="9" t="str">
        <x:v>PDF pp. 2–8; Figs. 1–7</x:v>
      </x:c>
    </x:row>
    <x:row r="488">
      <x:c r="A488" s="9" t="n">
        <x:v>61</x:v>
      </x:c>
      <x:c r="B488" s="9" t="str">
        <x:v>S075</x:v>
      </x:c>
      <x:c r="C488" s="9" t="str">
        <x:v>Saroli et al. (2025)</x:v>
      </x:c>
      <x:c r="D488" s="9" t="str">
        <x:v>D7</x:v>
      </x:c>
      <x:c r="E488" s="9" t="str">
        <x:v>Low concern</x:v>
      </x:c>
      <x:c r="F488" s="9" t="str">
        <x:v>Some concern</x:v>
      </x:c>
      <x:c r="G488" s="9" t="str">
        <x:v>Yes</x:v>
      </x:c>
      <x:c r="H488" s="9" t="str">
        <x:v>Disagree</x:v>
      </x:c>
      <x:c r="I488" s="9" t="str">
        <x:v>Low concern</x:v>
      </x:c>
      <x:c r="J488" s="9" t="str">
        <x:v>Adjudicated to Reviewer 1</x:v>
      </x:c>
      <x:c r="K488" s="9" t="str">
        <x:v>Principal response magnitudes, ranges and relevant retention/failure behavior are reported.</x:v>
      </x:c>
      <x:c r="L488" s="9" t="str">
        <x:v>PDF pp. 2–8; Figs. 1–7</x:v>
      </x:c>
      <x:c r="M488" s="9" t="str">
        <x:v>Principal outcomes are reported, but device-level uncertainty or complete accounting of units/cycles is limited.</x:v>
      </x:c>
      <x:c r="N488" s="9" t="str">
        <x:v>Article PDF p. 6</x:v>
      </x:c>
      <x:c r="O488" s="9" t="str">
        <x:v>Principal response magnitudes, ranges and relevant retention/failure behavior are reported.</x:v>
      </x:c>
      <x:c r="P488" s="9" t="str">
        <x:v>PDF pp. 2–8; Figs. 1–7</x:v>
      </x:c>
    </x:row>
    <x:row r="489">
      <x:c r="A489" s="9" t="n">
        <x:v>61</x:v>
      </x:c>
      <x:c r="B489" s="9" t="str">
        <x:v>S075</x:v>
      </x:c>
      <x:c r="C489" s="9" t="str">
        <x:v>Saroli et al. (2025)</x:v>
      </x:c>
      <x:c r="D489" s="9" t="str">
        <x:v>D8</x:v>
      </x:c>
      <x:c r="E489" s="9" t="str">
        <x:v>Some concern</x:v>
      </x:c>
      <x:c r="F489" s="9" t="str">
        <x:v>Low concern</x:v>
      </x:c>
      <x:c r="G489" s="9" t="str">
        <x:v>Yes</x:v>
      </x:c>
      <x:c r="H489" s="9" t="str">
        <x:v>Disagree</x:v>
      </x:c>
      <x:c r="I489" s="9" t="str">
        <x:v>Some concern</x:v>
      </x:c>
      <x:c r="J489" s="9" t="str">
        <x:v>Adjudicated to Reviewer 1</x:v>
      </x:c>
      <x:c r="K489" s="9" t="str">
        <x:v>A complete wearable configuration was demonstrated, but the participant count, comparator or protocol depth was limited.</x:v>
      </x:c>
      <x:c r="L489" s="9" t="str">
        <x:v>PDF pp. 2–8; Figs. 1–7</x:v>
      </x:c>
      <x:c r="M489" s="9" t="str">
        <x:v>A healthy volunteer completed respiratory and joint-motion tasks with the integrated sensor attached to the body.</x:v>
      </x:c>
      <x:c r="N489" s="9" t="str">
        <x:v>Article PDF pp. 7-8, Figure 7</x:v>
      </x:c>
      <x:c r="O489" s="9" t="str">
        <x:v>A complete wearable configuration was demonstrated, but the participant count, comparator or protocol depth was limited.</x:v>
      </x:c>
      <x:c r="P489" s="9" t="str">
        <x:v>PDF pp. 2–8; Figs. 1–7</x:v>
      </x:c>
    </x:row>
    <x:row r="490">
      <x:c r="A490" s="9" t="n">
        <x:v>62</x:v>
      </x:c>
      <x:c r="B490" s="9" t="str">
        <x:v>S076</x:v>
      </x:c>
      <x:c r="C490" s="9" t="str">
        <x:v>Meena et al. (2025)</x:v>
      </x:c>
      <x:c r="D490" s="9" t="str">
        <x:v>D1</x:v>
      </x:c>
      <x:c r="E490" s="9" t="str">
        <x:v>High concern</x:v>
      </x:c>
      <x:c r="F490" s="9" t="str">
        <x:v>High concern</x:v>
      </x:c>
      <x:c r="G490" s="9" t="str">
        <x:v>Yes</x:v>
      </x:c>
      <x:c r="H490" s="9" t="str">
        <x:v>Agree</x:v>
      </x:c>
      <x:c r="I490" s="9" t="str">
        <x:v>High concern</x:v>
      </x:c>
      <x:c r="J490" s="9" t="str">
        <x:v>Initial agreement</x:v>
      </x:c>
      <x:c r="K490" s="9" t="str">
        <x:v>Application evidence relies on one or an unspecified small convenience sample and device sampling is not justified.</x:v>
      </x:c>
      <x:c r="L490" s="9" t="str">
        <x:v>PDF pp. 3–8; Figs. 1–6; cited Supplementary Figs. S1–S10</x:v>
      </x:c>
      <x:c r="M490" s="9" t="str">
        <x:v>Fabricated-unit counts, selection and failed/excluded specimens are not transparently reported.</x:v>
      </x:c>
      <x:c r="N490" s="9" t="str">
        <x:v>Article PDF p. 3</x:v>
      </x:c>
      <x:c r="O490" s="9" t="str">
        <x:v>Application evidence relies on one or an unspecified small convenience sample and device sampling is not justified.</x:v>
      </x:c>
      <x:c r="P490" s="9" t="str">
        <x:v>PDF pp. 3–8; Figs. 1–6; cited Supplementary Figs. S1–S10</x:v>
      </x:c>
    </x:row>
    <x:row r="491">
      <x:c r="A491" s="9" t="n">
        <x:v>62</x:v>
      </x:c>
      <x:c r="B491" s="9" t="str">
        <x:v>S076</x:v>
      </x:c>
      <x:c r="C491" s="9" t="str">
        <x:v>Meena et al. (2025)</x:v>
      </x:c>
      <x:c r="D491" s="9" t="str">
        <x:v>D2</x:v>
      </x:c>
      <x:c r="E491" s="9" t="str">
        <x:v>Some concern</x:v>
      </x:c>
      <x:c r="F491" s="9" t="str">
        <x:v>Low concern</x:v>
      </x:c>
      <x:c r="G491" s="9" t="str">
        <x:v>Yes</x:v>
      </x:c>
      <x:c r="H491" s="9" t="str">
        <x:v>Disagree</x:v>
      </x:c>
      <x:c r="I491" s="9" t="str">
        <x:v>Some concern</x:v>
      </x:c>
      <x:c r="J491" s="9" t="str">
        <x:v>Adjudicated to Reviewer 1</x:v>
      </x:c>
      <x:c r="K491" s="9" t="str">
        <x:v>One or more fabrication settings or platform details are absent, unresolved or internally inconsistent.</x:v>
      </x:c>
      <x:c r="L491" s="9" t="str">
        <x:v>PDF pp. 3–8; Figs. 1–6; cited Supplementary Figs. S1–S10</x:v>
      </x:c>
      <x:c r="M491" s="9" t="str">
        <x:v>Relevant material, geometry, conditioning and extrusion variables are documented sufficiently for the claimed comparison.</x:v>
      </x:c>
      <x:c r="N491" s="9" t="str">
        <x:v>Article PDF p. 3</x:v>
      </x:c>
      <x:c r="O491" s="9" t="str">
        <x:v>One or more fabrication settings or platform details are absent, unresolved or internally inconsistent.</x:v>
      </x:c>
      <x:c r="P491" s="9" t="str">
        <x:v>PDF pp. 3–8; Figs. 1–6; cited Supplementary Figs. S1–S10</x:v>
      </x:c>
    </x:row>
    <x:row r="492">
      <x:c r="A492" s="9" t="n">
        <x:v>62</x:v>
      </x:c>
      <x:c r="B492" s="9" t="str">
        <x:v>S076</x:v>
      </x:c>
      <x:c r="C492" s="9" t="str">
        <x:v>Meena et al. (2025)</x:v>
      </x:c>
      <x:c r="D492" s="9" t="str">
        <x:v>D3</x:v>
      </x:c>
      <x:c r="E492" s="9" t="str">
        <x:v>Low concern</x:v>
      </x:c>
      <x:c r="F492" s="9" t="str">
        <x:v>Some concern</x:v>
      </x:c>
      <x:c r="G492" s="9" t="str">
        <x:v>Yes</x:v>
      </x:c>
      <x:c r="H492" s="9" t="str">
        <x:v>Disagree</x:v>
      </x:c>
      <x:c r="I492" s="9" t="str">
        <x:v>Low concern</x:v>
      </x:c>
      <x:c r="J492" s="9" t="str">
        <x:v>Adjudicated to Reviewer 1</x:v>
      </x:c>
      <x:c r="K492" s="9" t="str">
        <x:v>Controlled inputs and suitable reference instrumentation/procedures are reported.</x:v>
      </x:c>
      <x:c r="L492" s="9" t="str">
        <x:v>PDF pp. 3–8; Figs. 1–6; cited Supplementary Figs. S1–S10</x:v>
      </x:c>
      <x:c r="M492" s="9" t="str">
        <x:v>Calibration is described, but reference independence or uncertainty is incomplete.</x:v>
      </x:c>
      <x:c r="N492" s="9" t="str">
        <x:v>Article PDF p. 5</x:v>
      </x:c>
      <x:c r="O492" s="9" t="str">
        <x:v>Controlled inputs and suitable reference instrumentation/procedures are reported.</x:v>
      </x:c>
      <x:c r="P492" s="9" t="str">
        <x:v>PDF pp. 3–8; Figs. 1–6; cited Supplementary Figs. S1–S10</x:v>
      </x:c>
    </x:row>
    <x:row r="493">
      <x:c r="A493" s="9" t="n">
        <x:v>62</x:v>
      </x:c>
      <x:c r="B493" s="9" t="str">
        <x:v>S076</x:v>
      </x:c>
      <x:c r="C493" s="9" t="str">
        <x:v>Meena et al. (2025)</x:v>
      </x:c>
      <x:c r="D493" s="9" t="str">
        <x:v>D4</x:v>
      </x:c>
      <x:c r="E493" s="9" t="str">
        <x:v>Low concern</x:v>
      </x:c>
      <x:c r="F493" s="9" t="str">
        <x:v>Low concern</x:v>
      </x:c>
      <x:c r="G493" s="9" t="str">
        <x:v>Yes</x:v>
      </x:c>
      <x:c r="H493" s="9" t="str">
        <x:v>Agree</x:v>
      </x:c>
      <x:c r="I493" s="9" t="str">
        <x:v>Low concern</x:v>
      </x:c>
      <x:c r="J493" s="9" t="str">
        <x:v>Initial agreement</x:v>
      </x:c>
      <x:c r="K493" s="9" t="str">
        <x:v>Loading/exposure ranges, rates or conditions are stated for the principal experiments.</x:v>
      </x:c>
      <x:c r="L493" s="9" t="str">
        <x:v>PDF pp. 3–8; Figs. 1–6; cited Supplementary Figs. S1–S10</x:v>
      </x:c>
      <x:c r="M493" s="9" t="str">
        <x:v>Relevant loading/exposure range, rate or geometry and measurement conditions are stated.</x:v>
      </x:c>
      <x:c r="N493" s="9" t="str">
        <x:v>Article PDF p. 9</x:v>
      </x:c>
      <x:c r="O493" s="9" t="str">
        <x:v>Loading/exposure ranges, rates or conditions are stated for the principal experiments.</x:v>
      </x:c>
      <x:c r="P493" s="9" t="str">
        <x:v>PDF pp. 3–8; Figs. 1–6; cited Supplementary Figs. S1–S10</x:v>
      </x:c>
    </x:row>
    <x:row r="494">
      <x:c r="A494" s="9" t="n">
        <x:v>62</x:v>
      </x:c>
      <x:c r="B494" s="9" t="str">
        <x:v>S076</x:v>
      </x:c>
      <x:c r="C494" s="9" t="str">
        <x:v>Meena et al. (2025)</x:v>
      </x:c>
      <x:c r="D494" s="9" t="str">
        <x:v>D5</x:v>
      </x:c>
      <x:c r="E494" s="9" t="str">
        <x:v>Low concern</x:v>
      </x:c>
      <x:c r="F494" s="9" t="str">
        <x:v>Low concern</x:v>
      </x:c>
      <x:c r="G494" s="9" t="str">
        <x:v>Yes</x:v>
      </x:c>
      <x:c r="H494" s="9" t="str">
        <x:v>Agree</x:v>
      </x:c>
      <x:c r="I494" s="9" t="str">
        <x:v>Low concern</x:v>
      </x:c>
      <x:c r="J494" s="9" t="str">
        <x:v>Initial agreement</x:v>
      </x:c>
      <x:c r="K494" s="9" t="str">
        <x:v>The study reports at least one defined ≥3-cycle repeated-measurement or endurance protocol.</x:v>
      </x:c>
      <x:c r="L494" s="9" t="str">
        <x:v>PDF pp. 3–8; Figs. 1–6; cited Supplementary Figs. S1–S10</x:v>
      </x:c>
      <x:c r="M494" s="9" t="str">
        <x:v>Repeated units/counts and a stability outcome are defined for the stated protocol.</x:v>
      </x:c>
      <x:c r="N494" s="9" t="str">
        <x:v>Article PDF p. 6</x:v>
      </x:c>
      <x:c r="O494" s="9" t="str">
        <x:v>The study reports at least one defined ≥3-cycle repeated-measurement or endurance protocol.</x:v>
      </x:c>
      <x:c r="P494" s="9" t="str">
        <x:v>PDF pp. 3–8; Figs. 1–6; cited Supplementary Figs. S1–S10</x:v>
      </x:c>
    </x:row>
    <x:row r="495">
      <x:c r="A495" s="9" t="n">
        <x:v>62</x:v>
      </x:c>
      <x:c r="B495" s="9" t="str">
        <x:v>S076</x:v>
      </x:c>
      <x:c r="C495" s="9" t="str">
        <x:v>Meena et al. (2025)</x:v>
      </x:c>
      <x:c r="D495" s="9" t="str">
        <x:v>D6</x:v>
      </x:c>
      <x:c r="E495" s="9" t="str">
        <x:v>High concern</x:v>
      </x:c>
      <x:c r="F495" s="9" t="str">
        <x:v>High concern</x:v>
      </x:c>
      <x:c r="G495" s="9" t="str">
        <x:v>Yes</x:v>
      </x:c>
      <x:c r="H495" s="9" t="str">
        <x:v>Agree</x:v>
      </x:c>
      <x:c r="I495" s="9" t="str">
        <x:v>High concern</x:v>
      </x:c>
      <x:c r="J495" s="9" t="str">
        <x:v>Initial agreement</x:v>
      </x:c>
      <x:c r="K495" s="9" t="str">
        <x:v>A qualifying same-condition comparison of at least three separately fabricated complete sensing units with device-level results or dispersion was not identified.</x:v>
      </x:c>
      <x:c r="L495" s="9" t="str">
        <x:v>PDF pp. 3–8; Figs. 1–6; cited Supplementary Figs. S1–S10</x:v>
      </x:c>
      <x:c r="M495" s="9" t="str">
        <x:v>Cycles, participants or configurations do not establish replication across three equivalent fabricated devices.</x:v>
      </x:c>
      <x:c r="N495" s="9" t="str">
        <x:v>Article PDF p. 4</x:v>
      </x:c>
      <x:c r="O495" s="9" t="str">
        <x:v>A qualifying same-condition comparison of at least three separately fabricated complete sensing units with device-level results or dispersion was not identified.</x:v>
      </x:c>
      <x:c r="P495" s="9" t="str">
        <x:v>PDF pp. 3–8; Figs. 1–6; cited Supplementary Figs. S1–S10</x:v>
      </x:c>
    </x:row>
    <x:row r="496">
      <x:c r="A496" s="9" t="n">
        <x:v>62</x:v>
      </x:c>
      <x:c r="B496" s="9" t="str">
        <x:v>S076</x:v>
      </x:c>
      <x:c r="C496" s="9" t="str">
        <x:v>Meena et al. (2025)</x:v>
      </x:c>
      <x:c r="D496" s="9" t="str">
        <x:v>D7</x:v>
      </x:c>
      <x:c r="E496" s="9" t="str">
        <x:v>Low concern</x:v>
      </x:c>
      <x:c r="F496" s="9" t="str">
        <x:v>Some concern</x:v>
      </x:c>
      <x:c r="G496" s="9" t="str">
        <x:v>Yes</x:v>
      </x:c>
      <x:c r="H496" s="9" t="str">
        <x:v>Disagree</x:v>
      </x:c>
      <x:c r="I496" s="9" t="str">
        <x:v>Low concern</x:v>
      </x:c>
      <x:c r="J496" s="9" t="str">
        <x:v>Adjudicated to Reviewer 1</x:v>
      </x:c>
      <x:c r="K496" s="9" t="str">
        <x:v>Principal response magnitudes, ranges and relevant retention/failure behavior are reported.</x:v>
      </x:c>
      <x:c r="L496" s="9" t="str">
        <x:v>PDF pp. 3–8; Figs. 1–6; cited Supplementary Figs. S1–S10</x:v>
      </x:c>
      <x:c r="M496" s="9" t="str">
        <x:v>Principal outcomes are reported, but device-level uncertainty or complete accounting of units/cycles is limited.</x:v>
      </x:c>
      <x:c r="N496" s="9" t="str">
        <x:v>Article PDF p. 3</x:v>
      </x:c>
      <x:c r="O496" s="9" t="str">
        <x:v>Principal response magnitudes, ranges and relevant retention/failure behavior are reported.</x:v>
      </x:c>
      <x:c r="P496" s="9" t="str">
        <x:v>PDF pp. 3–8; Figs. 1–6; cited Supplementary Figs. S1–S10</x:v>
      </x:c>
    </x:row>
    <x:row r="497">
      <x:c r="A497" s="9" t="n">
        <x:v>62</x:v>
      </x:c>
      <x:c r="B497" s="9" t="str">
        <x:v>S076</x:v>
      </x:c>
      <x:c r="C497" s="9" t="str">
        <x:v>Meena et al. (2025)</x:v>
      </x:c>
      <x:c r="D497" s="9" t="str">
        <x:v>D8</x:v>
      </x:c>
      <x:c r="E497" s="9" t="str">
        <x:v>Some concern</x:v>
      </x:c>
      <x:c r="F497" s="9" t="str">
        <x:v>Low concern</x:v>
      </x:c>
      <x:c r="G497" s="9" t="str">
        <x:v>Yes</x:v>
      </x:c>
      <x:c r="H497" s="9" t="str">
        <x:v>Disagree</x:v>
      </x:c>
      <x:c r="I497" s="9" t="str">
        <x:v>Some concern</x:v>
      </x:c>
      <x:c r="J497" s="9" t="str">
        <x:v>Adjudicated to Reviewer 1</x:v>
      </x:c>
      <x:c r="K497" s="9" t="str">
        <x:v>A complete wearable configuration was demonstrated, but the participant count, comparator or protocol depth was limited.</x:v>
      </x:c>
      <x:c r="L497" s="9" t="str">
        <x:v>PDF pp. 3–8; Figs. 1–6; cited Supplementary Figs. S1–S10</x:v>
      </x:c>
      <x:c r="M497" s="9" t="str">
        <x:v>The final device was evaluated in a body-worn/use-relevant human configuration.</x:v>
      </x:c>
      <x:c r="N497" s="9" t="str">
        <x:v>Article PDF p. 6</x:v>
      </x:c>
      <x:c r="O497" s="9" t="str">
        <x:v>A complete wearable configuration was demonstrated, but the participant count, comparator or protocol depth was limited.</x:v>
      </x:c>
      <x:c r="P497" s="9" t="str">
        <x:v>PDF pp. 3–8; Figs. 1–6; cited Supplementary Figs. S1–S10</x:v>
      </x:c>
    </x:row>
    <x:row r="498">
      <x:c r="A498" s="9" t="n">
        <x:v>63</x:v>
      </x:c>
      <x:c r="B498" s="9" t="str">
        <x:v>S077</x:v>
      </x:c>
      <x:c r="C498" s="9" t="str">
        <x:v>Farid et al. (2025)</x:v>
      </x:c>
      <x:c r="D498" s="9" t="str">
        <x:v>D1</x:v>
      </x:c>
      <x:c r="E498" s="9" t="str">
        <x:v>High concern</x:v>
      </x:c>
      <x:c r="F498" s="9" t="str">
        <x:v>Some concern</x:v>
      </x:c>
      <x:c r="G498" s="9" t="str">
        <x:v>Yes</x:v>
      </x:c>
      <x:c r="H498" s="9" t="str">
        <x:v>Disagree</x:v>
      </x:c>
      <x:c r="I498" s="9" t="str">
        <x:v>High concern</x:v>
      </x:c>
      <x:c r="J498" s="9" t="str">
        <x:v>Adjudicated to Reviewer 1</x:v>
      </x:c>
      <x:c r="K498" s="9" t="str">
        <x:v>Application evidence relies on one or an unspecified small convenience sample and device sampling is not justified.</x:v>
      </x:c>
      <x:c r="L498" s="9" t="str">
        <x:v>PDF pp. 3–15; Figs. 1–7; Table 1</x:v>
      </x:c>
      <x:c r="M498" s="9" t="str">
        <x:v>Some unit/participant counts or selection details are provided, but fabricated-unit selection and failures are not fully accounted for.</x:v>
      </x:c>
      <x:c r="N498" s="9" t="str">
        <x:v>Article PDF p. 4</x:v>
      </x:c>
      <x:c r="O498" s="9" t="str">
        <x:v>Application evidence relies on one or an unspecified small convenience sample and device sampling is not justified.</x:v>
      </x:c>
      <x:c r="P498" s="9" t="str">
        <x:v>PDF pp. 3–15; Figs. 1–7; Table 1</x:v>
      </x:c>
    </x:row>
    <x:row r="499">
      <x:c r="A499" s="9" t="n">
        <x:v>63</x:v>
      </x:c>
      <x:c r="B499" s="9" t="str">
        <x:v>S077</x:v>
      </x:c>
      <x:c r="C499" s="9" t="str">
        <x:v>Farid et al. (2025)</x:v>
      </x:c>
      <x:c r="D499" s="9" t="str">
        <x:v>D2</x:v>
      </x:c>
      <x:c r="E499" s="9" t="str">
        <x:v>Low concern</x:v>
      </x:c>
      <x:c r="F499" s="9" t="str">
        <x:v>Low concern</x:v>
      </x:c>
      <x:c r="G499" s="9" t="str">
        <x:v>Yes</x:v>
      </x:c>
      <x:c r="H499" s="9" t="str">
        <x:v>Agree</x:v>
      </x:c>
      <x:c r="I499" s="9" t="str">
        <x:v>Low concern</x:v>
      </x:c>
      <x:c r="J499" s="9" t="str">
        <x:v>Initial agreement</x:v>
      </x:c>
      <x:c r="K499" s="9" t="str">
        <x:v>Fabrication variables and application-relevant settings are sufficiently controlled and reported.</x:v>
      </x:c>
      <x:c r="L499" s="9" t="str">
        <x:v>PDF pp. 3–15; Figs. 1–7; Table 1</x:v>
      </x:c>
      <x:c r="M499" s="9" t="str">
        <x:v>Relevant material, geometry, conditioning and extrusion variables are documented sufficiently for the claimed comparison.</x:v>
      </x:c>
      <x:c r="N499" s="9" t="str">
        <x:v>Article PDF p. 3</x:v>
      </x:c>
      <x:c r="O499" s="9" t="str">
        <x:v>Fabrication variables and application-relevant settings are sufficiently controlled and reported.</x:v>
      </x:c>
      <x:c r="P499" s="9" t="str">
        <x:v>PDF pp. 3–15; Figs. 1–7; Table 1</x:v>
      </x:c>
    </x:row>
    <x:row r="500">
      <x:c r="A500" s="9" t="n">
        <x:v>63</x:v>
      </x:c>
      <x:c r="B500" s="9" t="str">
        <x:v>S077</x:v>
      </x:c>
      <x:c r="C500" s="9" t="str">
        <x:v>Farid et al. (2025)</x:v>
      </x:c>
      <x:c r="D500" s="9" t="str">
        <x:v>D3</x:v>
      </x:c>
      <x:c r="E500" s="9" t="str">
        <x:v>Some concern</x:v>
      </x:c>
      <x:c r="F500" s="9" t="str">
        <x:v>Low concern</x:v>
      </x:c>
      <x:c r="G500" s="9" t="str">
        <x:v>Yes</x:v>
      </x:c>
      <x:c r="H500" s="9" t="str">
        <x:v>Disagree</x:v>
      </x:c>
      <x:c r="I500" s="9" t="str">
        <x:v>Some concern</x:v>
      </x:c>
      <x:c r="J500" s="9" t="str">
        <x:v>Adjudicated to Reviewer 1</x:v>
      </x:c>
      <x:c r="K500" s="9" t="str">
        <x:v>Reference/calibration details are incomplete for at least one claimed sensing or application outcome.</x:v>
      </x:c>
      <x:c r="L500" s="9" t="str">
        <x:v>PDF pp. 3–15; Figs. 1–7; Table 1</x:v>
      </x:c>
      <x:c r="M500" s="9" t="str">
        <x:v>The controlled input/reference and calibration procedure are appropriate and independently measured.</x:v>
      </x:c>
      <x:c r="N500" s="9" t="str">
        <x:v>Article PDF p. 11</x:v>
      </x:c>
      <x:c r="O500" s="9" t="str">
        <x:v>Reference/calibration details are incomplete for at least one claimed sensing or application outcome.</x:v>
      </x:c>
      <x:c r="P500" s="9" t="str">
        <x:v>PDF pp. 3–15; Figs. 1–7; Table 1</x:v>
      </x:c>
    </x:row>
    <x:row r="501">
      <x:c r="A501" s="9" t="n">
        <x:v>63</x:v>
      </x:c>
      <x:c r="B501" s="9" t="str">
        <x:v>S077</x:v>
      </x:c>
      <x:c r="C501" s="9" t="str">
        <x:v>Farid et al. (2025)</x:v>
      </x:c>
      <x:c r="D501" s="9" t="str">
        <x:v>D4</x:v>
      </x:c>
      <x:c r="E501" s="9" t="str">
        <x:v>Some concern</x:v>
      </x:c>
      <x:c r="F501" s="9" t="str">
        <x:v>Low concern</x:v>
      </x:c>
      <x:c r="G501" s="9" t="str">
        <x:v>Yes</x:v>
      </x:c>
      <x:c r="H501" s="9" t="str">
        <x:v>Disagree</x:v>
      </x:c>
      <x:c r="I501" s="9" t="str">
        <x:v>Some concern</x:v>
      </x:c>
      <x:c r="J501" s="9" t="str">
        <x:v>Adjudicated to Reviewer 1</x:v>
      </x:c>
      <x:c r="K501" s="9" t="str">
        <x:v>Conditions are incompletely specified across the multifunctional/application tests.</x:v>
      </x:c>
      <x:c r="L501" s="9" t="str">
        <x:v>PDF pp. 3–15; Figs. 1–7; Table 1</x:v>
      </x:c>
      <x:c r="M501" s="9" t="str">
        <x:v>Relevant loading/exposure range, rate or geometry and measurement conditions are stated.</x:v>
      </x:c>
      <x:c r="N501" s="9" t="str">
        <x:v>Article PDF p. 11</x:v>
      </x:c>
      <x:c r="O501" s="9" t="str">
        <x:v>Conditions are incompletely specified across the multifunctional/application tests.</x:v>
      </x:c>
      <x:c r="P501" s="9" t="str">
        <x:v>PDF pp. 3–15; Figs. 1–7; Table 1</x:v>
      </x:c>
    </x:row>
    <x:row r="502">
      <x:c r="A502" s="9" t="n">
        <x:v>63</x:v>
      </x:c>
      <x:c r="B502" s="9" t="str">
        <x:v>S077</x:v>
      </x:c>
      <x:c r="C502" s="9" t="str">
        <x:v>Farid et al. (2025)</x:v>
      </x:c>
      <x:c r="D502" s="9" t="str">
        <x:v>D5</x:v>
      </x:c>
      <x:c r="E502" s="9" t="str">
        <x:v>Low concern</x:v>
      </x:c>
      <x:c r="F502" s="9" t="str">
        <x:v>Low concern</x:v>
      </x:c>
      <x:c r="G502" s="9" t="str">
        <x:v>Yes</x:v>
      </x:c>
      <x:c r="H502" s="9" t="str">
        <x:v>Agree</x:v>
      </x:c>
      <x:c r="I502" s="9" t="str">
        <x:v>Low concern</x:v>
      </x:c>
      <x:c r="J502" s="9" t="str">
        <x:v>Initial agreement</x:v>
      </x:c>
      <x:c r="K502" s="9" t="str">
        <x:v>The study reports at least one defined ≥3-cycle repeated-measurement or endurance protocol.</x:v>
      </x:c>
      <x:c r="L502" s="9" t="str">
        <x:v>PDF pp. 3–15; Figs. 1–7; Table 1</x:v>
      </x:c>
      <x:c r="M502" s="9" t="str">
        <x:v>Repeated units/counts and a stability outcome are defined for the stated protocol.</x:v>
      </x:c>
      <x:c r="N502" s="9" t="str">
        <x:v>Article PDF p. 15</x:v>
      </x:c>
      <x:c r="O502" s="9" t="str">
        <x:v>The study reports at least one defined ≥3-cycle repeated-measurement or endurance protocol.</x:v>
      </x:c>
      <x:c r="P502" s="9" t="str">
        <x:v>PDF pp. 3–15; Figs. 1–7; Table 1</x:v>
      </x:c>
    </x:row>
    <x:row r="503">
      <x:c r="A503" s="9" t="n">
        <x:v>63</x:v>
      </x:c>
      <x:c r="B503" s="9" t="str">
        <x:v>S077</x:v>
      </x:c>
      <x:c r="C503" s="9" t="str">
        <x:v>Farid et al. (2025)</x:v>
      </x:c>
      <x:c r="D503" s="9" t="str">
        <x:v>D6</x:v>
      </x:c>
      <x:c r="E503" s="9" t="str">
        <x:v>High concern</x:v>
      </x:c>
      <x:c r="F503" s="9" t="str">
        <x:v>High concern</x:v>
      </x:c>
      <x:c r="G503" s="9" t="str">
        <x:v>Yes</x:v>
      </x:c>
      <x:c r="H503" s="9" t="str">
        <x:v>Agree</x:v>
      </x:c>
      <x:c r="I503" s="9" t="str">
        <x:v>High concern</x:v>
      </x:c>
      <x:c r="J503" s="9" t="str">
        <x:v>Initial agreement</x:v>
      </x:c>
      <x:c r="K503" s="9" t="str">
        <x:v>A qualifying same-condition comparison of at least three separately fabricated complete sensing units with device-level results or dispersion was not identified.</x:v>
      </x:c>
      <x:c r="L503" s="9" t="str">
        <x:v>PDF pp. 3–15; Figs. 1–7; Table 1</x:v>
      </x:c>
      <x:c r="M503" s="9" t="str">
        <x:v>Cycles, participants or configurations do not establish replication across three equivalent fabricated devices.</x:v>
      </x:c>
      <x:c r="N503" s="9" t="str">
        <x:v>Article PDF p. 11</x:v>
      </x:c>
      <x:c r="O503" s="9" t="str">
        <x:v>A qualifying same-condition comparison of at least three separately fabricated complete sensing units with device-level results or dispersion was not identified.</x:v>
      </x:c>
      <x:c r="P503" s="9" t="str">
        <x:v>PDF pp. 3–15; Figs. 1–7; Table 1</x:v>
      </x:c>
    </x:row>
    <x:row r="504">
      <x:c r="A504" s="9" t="n">
        <x:v>63</x:v>
      </x:c>
      <x:c r="B504" s="9" t="str">
        <x:v>S077</x:v>
      </x:c>
      <x:c r="C504" s="9" t="str">
        <x:v>Farid et al. (2025)</x:v>
      </x:c>
      <x:c r="D504" s="9" t="str">
        <x:v>D7</x:v>
      </x:c>
      <x:c r="E504" s="9" t="str">
        <x:v>Some concern</x:v>
      </x:c>
      <x:c r="F504" s="9" t="str">
        <x:v>Low concern</x:v>
      </x:c>
      <x:c r="G504" s="9" t="str">
        <x:v>Yes</x:v>
      </x:c>
      <x:c r="H504" s="9" t="str">
        <x:v>Disagree</x:v>
      </x:c>
      <x:c r="I504" s="9" t="str">
        <x:v>Some concern</x:v>
      </x:c>
      <x:c r="J504" s="9" t="str">
        <x:v>Adjudicated to Reviewer 1</x:v>
      </x:c>
      <x:c r="K504" s="9" t="str">
        <x:v>Some principal claims rely on selected curves, inconsistent descriptions or incomplete uncertainty/device-level reporting.</x:v>
      </x:c>
      <x:c r="L504" s="9" t="str">
        <x:v>PDF pp. 3–15; Figs. 1–7; Table 1</x:v>
      </x:c>
      <x:c r="M504" s="9" t="str">
        <x:v>Principal response/stability outcomes and relevant uncertainty are reported without evident unexplained omissions.</x:v>
      </x:c>
      <x:c r="N504" s="9" t="str">
        <x:v>Article PDF p. 10</x:v>
      </x:c>
      <x:c r="O504" s="9" t="str">
        <x:v>Some principal claims rely on selected curves, inconsistent descriptions or incomplete uncertainty/device-level reporting.</x:v>
      </x:c>
      <x:c r="P504" s="9" t="str">
        <x:v>PDF pp. 3–15; Figs. 1–7; Table 1</x:v>
      </x:c>
    </x:row>
    <x:row r="505">
      <x:c r="A505" s="9" t="n">
        <x:v>63</x:v>
      </x:c>
      <x:c r="B505" s="9" t="str">
        <x:v>S077</x:v>
      </x:c>
      <x:c r="C505" s="9" t="str">
        <x:v>Farid et al. (2025)</x:v>
      </x:c>
      <x:c r="D505" s="9" t="str">
        <x:v>D8</x:v>
      </x:c>
      <x:c r="E505" s="9" t="str">
        <x:v>Some concern</x:v>
      </x:c>
      <x:c r="F505" s="9" t="str">
        <x:v>Low concern</x:v>
      </x:c>
      <x:c r="G505" s="9" t="str">
        <x:v>Yes</x:v>
      </x:c>
      <x:c r="H505" s="9" t="str">
        <x:v>Disagree</x:v>
      </x:c>
      <x:c r="I505" s="9" t="str">
        <x:v>Some concern</x:v>
      </x:c>
      <x:c r="J505" s="9" t="str">
        <x:v>Adjudicated to Reviewer 1</x:v>
      </x:c>
      <x:c r="K505" s="9" t="str">
        <x:v>A complete wearable configuration was demonstrated, but the participant count, comparator or protocol depth was limited.</x:v>
      </x:c>
      <x:c r="L505" s="9" t="str">
        <x:v>PDF pp. 3–15; Figs. 1–7; Table 1</x:v>
      </x:c>
      <x:c r="M505" s="9" t="str">
        <x:v>The final device was evaluated in a body-worn/use-relevant human configuration.</x:v>
      </x:c>
      <x:c r="N505" s="9" t="str">
        <x:v>Article PDF p. 11</x:v>
      </x:c>
      <x:c r="O505" s="9" t="str">
        <x:v>A complete wearable configuration was demonstrated, but the participant count, comparator or protocol depth was limited.</x:v>
      </x:c>
      <x:c r="P505" s="9" t="str">
        <x:v>PDF pp. 3–15; Figs. 1–7; Table 1</x:v>
      </x:c>
    </x:row>
    <x:row r="506">
      <x:c r="A506" s="9" t="n">
        <x:v>64</x:v>
      </x:c>
      <x:c r="B506" s="9" t="str">
        <x:v>S078</x:v>
      </x:c>
      <x:c r="C506" s="9" t="str">
        <x:v>Hu et al. (2024)</x:v>
      </x:c>
      <x:c r="D506" s="9" t="str">
        <x:v>D1</x:v>
      </x:c>
      <x:c r="E506" s="9" t="str">
        <x:v>High concern</x:v>
      </x:c>
      <x:c r="F506" s="9" t="str">
        <x:v>Some concern</x:v>
      </x:c>
      <x:c r="G506" s="9" t="str">
        <x:v>Yes</x:v>
      </x:c>
      <x:c r="H506" s="9" t="str">
        <x:v>Disagree</x:v>
      </x:c>
      <x:c r="I506" s="9" t="str">
        <x:v>High concern</x:v>
      </x:c>
      <x:c r="J506" s="9" t="str">
        <x:v>Adjudicated to Reviewer 1</x:v>
      </x:c>
      <x:c r="K506" s="9" t="str">
        <x:v>Application evidence relies on one or an unspecified small convenience sample and device sampling is not justified.</x:v>
      </x:c>
      <x:c r="L506" s="9" t="str">
        <x:v>PDF pp. 3–8; Figs. 1–6; Supporting Table S1 cited</x:v>
      </x:c>
      <x:c r="M506" s="9" t="str">
        <x:v>Some unit/participant counts or selection details are provided, but fabricated-unit selection and failures are not fully accounted for.</x:v>
      </x:c>
      <x:c r="N506" s="9" t="str">
        <x:v>Article PDF p. 8</x:v>
      </x:c>
      <x:c r="O506" s="9" t="str">
        <x:v>Application evidence relies on one or an unspecified small convenience sample and device sampling is not justified.</x:v>
      </x:c>
      <x:c r="P506" s="9" t="str">
        <x:v>PDF pp. 3–8; Figs. 1–6; Supporting Table S1 cited</x:v>
      </x:c>
    </x:row>
    <x:row r="507">
      <x:c r="A507" s="9" t="n">
        <x:v>64</x:v>
      </x:c>
      <x:c r="B507" s="9" t="str">
        <x:v>S078</x:v>
      </x:c>
      <x:c r="C507" s="9" t="str">
        <x:v>Hu et al. (2024)</x:v>
      </x:c>
      <x:c r="D507" s="9" t="str">
        <x:v>D2</x:v>
      </x:c>
      <x:c r="E507" s="9" t="str">
        <x:v>Some concern</x:v>
      </x:c>
      <x:c r="F507" s="9" t="str">
        <x:v>Some concern</x:v>
      </x:c>
      <x:c r="G507" s="9" t="str">
        <x:v>Yes</x:v>
      </x:c>
      <x:c r="H507" s="9" t="str">
        <x:v>Agree</x:v>
      </x:c>
      <x:c r="I507" s="9" t="str">
        <x:v>Some concern</x:v>
      </x:c>
      <x:c r="J507" s="9" t="str">
        <x:v>Initial agreement</x:v>
      </x:c>
      <x:c r="K507" s="9" t="str">
        <x:v>One or more fabrication settings or platform details are absent, unresolved or internally inconsistent.</x:v>
      </x:c>
      <x:c r="L507" s="9" t="str">
        <x:v>PDF pp. 3–8; Figs. 1–6; Supporting Table S1 cited</x:v>
      </x:c>
      <x:c r="M507" s="9" t="str">
        <x:v>Several fabrication controls are documented, but omitted settings leave residual process-confounding concern.</x:v>
      </x:c>
      <x:c r="N507" s="9" t="str">
        <x:v>S078_Supplementary.docx, Table 1</x:v>
      </x:c>
      <x:c r="O507" s="9" t="str">
        <x:v>One or more fabrication settings or platform details are absent, unresolved or internally inconsistent.</x:v>
      </x:c>
      <x:c r="P507" s="9" t="str">
        <x:v>PDF pp. 3–8; Figs. 1–6; Supporting Table S1 cited</x:v>
      </x:c>
    </x:row>
    <x:row r="508">
      <x:c r="A508" s="9" t="n">
        <x:v>64</x:v>
      </x:c>
      <x:c r="B508" s="9" t="str">
        <x:v>S078</x:v>
      </x:c>
      <x:c r="C508" s="9" t="str">
        <x:v>Hu et al. (2024)</x:v>
      </x:c>
      <x:c r="D508" s="9" t="str">
        <x:v>D3</x:v>
      </x:c>
      <x:c r="E508" s="9" t="str">
        <x:v>Low concern</x:v>
      </x:c>
      <x:c r="F508" s="9" t="str">
        <x:v>Low concern</x:v>
      </x:c>
      <x:c r="G508" s="9" t="str">
        <x:v>Yes</x:v>
      </x:c>
      <x:c r="H508" s="9" t="str">
        <x:v>Agree</x:v>
      </x:c>
      <x:c r="I508" s="9" t="str">
        <x:v>Low concern</x:v>
      </x:c>
      <x:c r="J508" s="9" t="str">
        <x:v>Initial agreement</x:v>
      </x:c>
      <x:c r="K508" s="9" t="str">
        <x:v>Controlled inputs and suitable reference instrumentation/procedures are reported.</x:v>
      </x:c>
      <x:c r="L508" s="9" t="str">
        <x:v>PDF pp. 3–8; Figs. 1–6; Supporting Table S1 cited</x:v>
      </x:c>
      <x:c r="M508" s="9" t="str">
        <x:v>The controlled input/reference and calibration procedure are appropriate and independently measured.</x:v>
      </x:c>
      <x:c r="N508" s="9" t="str">
        <x:v>Article PDF p. 8</x:v>
      </x:c>
      <x:c r="O508" s="9" t="str">
        <x:v>Controlled inputs and suitable reference instrumentation/procedures are reported.</x:v>
      </x:c>
      <x:c r="P508" s="9" t="str">
        <x:v>PDF pp. 3–8; Figs. 1–6; Supporting Table S1 cited</x:v>
      </x:c>
    </x:row>
    <x:row r="509">
      <x:c r="A509" s="9" t="n">
        <x:v>64</x:v>
      </x:c>
      <x:c r="B509" s="9" t="str">
        <x:v>S078</x:v>
      </x:c>
      <x:c r="C509" s="9" t="str">
        <x:v>Hu et al. (2024)</x:v>
      </x:c>
      <x:c r="D509" s="9" t="str">
        <x:v>D4</x:v>
      </x:c>
      <x:c r="E509" s="9" t="str">
        <x:v>Low concern</x:v>
      </x:c>
      <x:c r="F509" s="9" t="str">
        <x:v>Low concern</x:v>
      </x:c>
      <x:c r="G509" s="9" t="str">
        <x:v>Yes</x:v>
      </x:c>
      <x:c r="H509" s="9" t="str">
        <x:v>Agree</x:v>
      </x:c>
      <x:c r="I509" s="9" t="str">
        <x:v>Low concern</x:v>
      </x:c>
      <x:c r="J509" s="9" t="str">
        <x:v>Initial agreement</x:v>
      </x:c>
      <x:c r="K509" s="9" t="str">
        <x:v>Loading/exposure ranges, rates or conditions are stated for the principal experiments.</x:v>
      </x:c>
      <x:c r="L509" s="9" t="str">
        <x:v>PDF pp. 3–8; Figs. 1–6; Supporting Table S1 cited</x:v>
      </x:c>
      <x:c r="M509" s="9" t="str">
        <x:v>Relevant loading/exposure range, rate or geometry and measurement conditions are stated.</x:v>
      </x:c>
      <x:c r="N509" s="9" t="str">
        <x:v>Article PDF p. 8</x:v>
      </x:c>
      <x:c r="O509" s="9" t="str">
        <x:v>Loading/exposure ranges, rates or conditions are stated for the principal experiments.</x:v>
      </x:c>
      <x:c r="P509" s="9" t="str">
        <x:v>PDF pp. 3–8; Figs. 1–6; Supporting Table S1 cited</x:v>
      </x:c>
    </x:row>
    <x:row r="510">
      <x:c r="A510" s="9" t="n">
        <x:v>64</x:v>
      </x:c>
      <x:c r="B510" s="9" t="str">
        <x:v>S078</x:v>
      </x:c>
      <x:c r="C510" s="9" t="str">
        <x:v>Hu et al. (2024)</x:v>
      </x:c>
      <x:c r="D510" s="9" t="str">
        <x:v>D5</x:v>
      </x:c>
      <x:c r="E510" s="9" t="str">
        <x:v>Low concern</x:v>
      </x:c>
      <x:c r="F510" s="9" t="str">
        <x:v>Low concern</x:v>
      </x:c>
      <x:c r="G510" s="9" t="str">
        <x:v>Yes</x:v>
      </x:c>
      <x:c r="H510" s="9" t="str">
        <x:v>Agree</x:v>
      </x:c>
      <x:c r="I510" s="9" t="str">
        <x:v>Low concern</x:v>
      </x:c>
      <x:c r="J510" s="9" t="str">
        <x:v>Initial agreement</x:v>
      </x:c>
      <x:c r="K510" s="9" t="str">
        <x:v>The study reports at least one defined ≥3-cycle repeated-measurement or endurance protocol.</x:v>
      </x:c>
      <x:c r="L510" s="9" t="str">
        <x:v>PDF pp. 3–8; Figs. 1–6; Supporting Table S1 cited</x:v>
      </x:c>
      <x:c r="M510" s="9" t="str">
        <x:v>A stated 200-cycle electromechanical test reports response stability.</x:v>
      </x:c>
      <x:c r="N510" s="9" t="str">
        <x:v>Article PDF p. 7</x:v>
      </x:c>
      <x:c r="O510" s="9" t="str">
        <x:v>The study reports at least one defined ≥3-cycle repeated-measurement or endurance protocol.</x:v>
      </x:c>
      <x:c r="P510" s="9" t="str">
        <x:v>PDF pp. 3–8; Figs. 1–6; Supporting Table S1 cited</x:v>
      </x:c>
    </x:row>
    <x:row r="511">
      <x:c r="A511" s="9" t="n">
        <x:v>64</x:v>
      </x:c>
      <x:c r="B511" s="9" t="str">
        <x:v>S078</x:v>
      </x:c>
      <x:c r="C511" s="9" t="str">
        <x:v>Hu et al. (2024)</x:v>
      </x:c>
      <x:c r="D511" s="9" t="str">
        <x:v>D6</x:v>
      </x:c>
      <x:c r="E511" s="9" t="str">
        <x:v>High concern</x:v>
      </x:c>
      <x:c r="F511" s="9" t="str">
        <x:v>High concern</x:v>
      </x:c>
      <x:c r="G511" s="9" t="str">
        <x:v>Yes</x:v>
      </x:c>
      <x:c r="H511" s="9" t="str">
        <x:v>Agree</x:v>
      </x:c>
      <x:c r="I511" s="9" t="str">
        <x:v>High concern</x:v>
      </x:c>
      <x:c r="J511" s="9" t="str">
        <x:v>Initial agreement</x:v>
      </x:c>
      <x:c r="K511" s="9" t="str">
        <x:v>A qualifying same-condition comparison of at least three separately fabricated complete sensing units with device-level results or dispersion was not identified.</x:v>
      </x:c>
      <x:c r="L511" s="9" t="str">
        <x:v>PDF pp. 3–8; Figs. 1–6; Supporting Table S1 cited</x:v>
      </x:c>
      <x:c r="M511" s="9" t="str">
        <x:v>Cycles, participants or configurations do not establish replication across three equivalent fabricated devices.</x:v>
      </x:c>
      <x:c r="N511" s="9" t="str">
        <x:v>Article PDF p. 8</x:v>
      </x:c>
      <x:c r="O511" s="9" t="str">
        <x:v>A qualifying same-condition comparison of at least three separately fabricated complete sensing units with device-level results or dispersion was not identified.</x:v>
      </x:c>
      <x:c r="P511" s="9" t="str">
        <x:v>PDF pp. 3–8; Figs. 1–6; Supporting Table S1 cited</x:v>
      </x:c>
    </x:row>
    <x:row r="512">
      <x:c r="A512" s="9" t="n">
        <x:v>64</x:v>
      </x:c>
      <x:c r="B512" s="9" t="str">
        <x:v>S078</x:v>
      </x:c>
      <x:c r="C512" s="9" t="str">
        <x:v>Hu et al. (2024)</x:v>
      </x:c>
      <x:c r="D512" s="9" t="str">
        <x:v>D7</x:v>
      </x:c>
      <x:c r="E512" s="9" t="str">
        <x:v>Low concern</x:v>
      </x:c>
      <x:c r="F512" s="9" t="str">
        <x:v>Some concern</x:v>
      </x:c>
      <x:c r="G512" s="9" t="str">
        <x:v>Yes</x:v>
      </x:c>
      <x:c r="H512" s="9" t="str">
        <x:v>Disagree</x:v>
      </x:c>
      <x:c r="I512" s="9" t="str">
        <x:v>Low concern</x:v>
      </x:c>
      <x:c r="J512" s="9" t="str">
        <x:v>Adjudicated to Reviewer 1</x:v>
      </x:c>
      <x:c r="K512" s="9" t="str">
        <x:v>Principal response magnitudes, ranges and relevant retention/failure behavior are reported.</x:v>
      </x:c>
      <x:c r="L512" s="9" t="str">
        <x:v>PDF pp. 3–8; Figs. 1–6; Supporting Table S1 cited</x:v>
      </x:c>
      <x:c r="M512" s="9" t="str">
        <x:v>Principal outcomes are reported, but device-level uncertainty or complete accounting of units/cycles is limited.</x:v>
      </x:c>
      <x:c r="N512" s="9" t="str">
        <x:v>Article PDF p. 8</x:v>
      </x:c>
      <x:c r="O512" s="9" t="str">
        <x:v>Principal response magnitudes, ranges and relevant retention/failure behavior are reported.</x:v>
      </x:c>
      <x:c r="P512" s="9" t="str">
        <x:v>PDF pp. 3–8; Figs. 1–6; Supporting Table S1 cited</x:v>
      </x:c>
    </x:row>
    <x:row r="513">
      <x:c r="A513" s="9" t="n">
        <x:v>64</x:v>
      </x:c>
      <x:c r="B513" s="9" t="str">
        <x:v>S078</x:v>
      </x:c>
      <x:c r="C513" s="9" t="str">
        <x:v>Hu et al. (2024)</x:v>
      </x:c>
      <x:c r="D513" s="9" t="str">
        <x:v>D8</x:v>
      </x:c>
      <x:c r="E513" s="9" t="str">
        <x:v>Some concern</x:v>
      </x:c>
      <x:c r="F513" s="9" t="str">
        <x:v>Low concern</x:v>
      </x:c>
      <x:c r="G513" s="9" t="str">
        <x:v>Yes</x:v>
      </x:c>
      <x:c r="H513" s="9" t="str">
        <x:v>Disagree</x:v>
      </x:c>
      <x:c r="I513" s="9" t="str">
        <x:v>Some concern</x:v>
      </x:c>
      <x:c r="J513" s="9" t="str">
        <x:v>Adjudicated to Reviewer 1</x:v>
      </x:c>
      <x:c r="K513" s="9" t="str">
        <x:v>A complete wearable configuration was demonstrated, but the participant count, comparator or protocol depth was limited.</x:v>
      </x:c>
      <x:c r="L513" s="9" t="str">
        <x:v>PDF pp. 3–8; Figs. 1–6; Supporting Table S1 cited</x:v>
      </x:c>
      <x:c r="M513" s="9" t="str">
        <x:v>Printed insole and finger-cover sensors monitored repeated finger motion, walking and running in volunteers.</x:v>
      </x:c>
      <x:c r="N513" s="9" t="str">
        <x:v>Article PDF p. 7, Figure 6</x:v>
      </x:c>
      <x:c r="O513" s="9" t="str">
        <x:v>A complete wearable configuration was demonstrated, but the participant count, comparator or protocol depth was limited.</x:v>
      </x:c>
      <x:c r="P513" s="9" t="str">
        <x:v>PDF pp. 3–8; Figs. 1–6; Supporting Table S1 cited</x:v>
      </x:c>
    </x:row>
    <x:row r="514">
      <x:c r="A514" s="9" t="n">
        <x:v>65</x:v>
      </x:c>
      <x:c r="B514" s="9" t="str">
        <x:v>S079</x:v>
      </x:c>
      <x:c r="C514" s="9" t="str">
        <x:v>Han et al. (2024)</x:v>
      </x:c>
      <x:c r="D514" s="9" t="str">
        <x:v>D1</x:v>
      </x:c>
      <x:c r="E514" s="9" t="str">
        <x:v>Some concern</x:v>
      </x:c>
      <x:c r="F514" s="9" t="str">
        <x:v>Some concern</x:v>
      </x:c>
      <x:c r="G514" s="9" t="str">
        <x:v>Yes</x:v>
      </x:c>
      <x:c r="H514" s="9" t="str">
        <x:v>Agree</x:v>
      </x:c>
      <x:c r="I514" s="9" t="str">
        <x:v>Some concern</x:v>
      </x:c>
      <x:c r="J514" s="9" t="str">
        <x:v>Initial agreement</x:v>
      </x:c>
      <x:c r="K514" s="9" t="str">
        <x:v>Participant/specimen sampling is partly described, but selection and representativeness are limited.</x:v>
      </x:c>
      <x:c r="L514" s="9" t="str">
        <x:v>PDF pp. 2–12; Figs. 1–8; Supplementary Figs. S1–S15 cited</x:v>
      </x:c>
      <x:c r="M514" s="9" t="str">
        <x:v>Some unit/participant counts or selection details are provided, but fabricated-unit selection and failures are not fully accounted for.</x:v>
      </x:c>
      <x:c r="N514" s="9" t="str">
        <x:v>Article PDF p. 12</x:v>
      </x:c>
      <x:c r="O514" s="9" t="str">
        <x:v>Participant/specimen sampling is partly described, but selection and representativeness are limited.</x:v>
      </x:c>
      <x:c r="P514" s="9" t="str">
        <x:v>PDF pp. 2–12; Figs. 1–8; Supplementary Figs. S1–S15 cited</x:v>
      </x:c>
    </x:row>
    <x:row r="515">
      <x:c r="A515" s="9" t="n">
        <x:v>65</x:v>
      </x:c>
      <x:c r="B515" s="9" t="str">
        <x:v>S079</x:v>
      </x:c>
      <x:c r="C515" s="9" t="str">
        <x:v>Han et al. (2024)</x:v>
      </x:c>
      <x:c r="D515" s="9" t="str">
        <x:v>D2</x:v>
      </x:c>
      <x:c r="E515" s="9" t="str">
        <x:v>Some concern</x:v>
      </x:c>
      <x:c r="F515" s="9" t="str">
        <x:v>Some concern</x:v>
      </x:c>
      <x:c r="G515" s="9" t="str">
        <x:v>Yes</x:v>
      </x:c>
      <x:c r="H515" s="9" t="str">
        <x:v>Agree</x:v>
      </x:c>
      <x:c r="I515" s="9" t="str">
        <x:v>Some concern</x:v>
      </x:c>
      <x:c r="J515" s="9" t="str">
        <x:v>Initial agreement</x:v>
      </x:c>
      <x:c r="K515" s="9" t="str">
        <x:v>One or more fabrication settings or platform details are absent, unresolved or internally inconsistent.</x:v>
      </x:c>
      <x:c r="L515" s="9" t="str">
        <x:v>PDF pp. 2–12; Figs. 1–8; Supplementary Figs. S1–S15 cited</x:v>
      </x:c>
      <x:c r="M515" s="9" t="str">
        <x:v>Several fabrication controls are documented, but omitted settings leave residual process-confounding concern.</x:v>
      </x:c>
      <x:c r="N515" s="9" t="str">
        <x:v>Article PDF p. 2</x:v>
      </x:c>
      <x:c r="O515" s="9" t="str">
        <x:v>One or more fabrication settings or platform details are absent, unresolved or internally inconsistent.</x:v>
      </x:c>
      <x:c r="P515" s="9" t="str">
        <x:v>PDF pp. 2–12; Figs. 1–8; Supplementary Figs. S1–S15 cited</x:v>
      </x:c>
    </x:row>
    <x:row r="516">
      <x:c r="A516" s="9" t="n">
        <x:v>65</x:v>
      </x:c>
      <x:c r="B516" s="9" t="str">
        <x:v>S079</x:v>
      </x:c>
      <x:c r="C516" s="9" t="str">
        <x:v>Han et al. (2024)</x:v>
      </x:c>
      <x:c r="D516" s="9" t="str">
        <x:v>D3</x:v>
      </x:c>
      <x:c r="E516" s="9" t="str">
        <x:v>Low concern</x:v>
      </x:c>
      <x:c r="F516" s="9" t="str">
        <x:v>Low concern</x:v>
      </x:c>
      <x:c r="G516" s="9" t="str">
        <x:v>Yes</x:v>
      </x:c>
      <x:c r="H516" s="9" t="str">
        <x:v>Agree</x:v>
      </x:c>
      <x:c r="I516" s="9" t="str">
        <x:v>Low concern</x:v>
      </x:c>
      <x:c r="J516" s="9" t="str">
        <x:v>Initial agreement</x:v>
      </x:c>
      <x:c r="K516" s="9" t="str">
        <x:v>Controlled inputs and suitable reference instrumentation/procedures are reported.</x:v>
      </x:c>
      <x:c r="L516" s="9" t="str">
        <x:v>PDF pp. 2–12; Figs. 1–8; Supplementary Figs. S1–S15 cited</x:v>
      </x:c>
      <x:c r="M516" s="9" t="str">
        <x:v>The controlled input/reference and calibration procedure are appropriate and independently measured.</x:v>
      </x:c>
      <x:c r="N516" s="9" t="str">
        <x:v>Article PDF p. 12</x:v>
      </x:c>
      <x:c r="O516" s="9" t="str">
        <x:v>Controlled inputs and suitable reference instrumentation/procedures are reported.</x:v>
      </x:c>
      <x:c r="P516" s="9" t="str">
        <x:v>PDF pp. 2–12; Figs. 1–8; Supplementary Figs. S1–S15 cited</x:v>
      </x:c>
    </x:row>
    <x:row r="517">
      <x:c r="A517" s="9" t="n">
        <x:v>65</x:v>
      </x:c>
      <x:c r="B517" s="9" t="str">
        <x:v>S079</x:v>
      </x:c>
      <x:c r="C517" s="9" t="str">
        <x:v>Han et al. (2024)</x:v>
      </x:c>
      <x:c r="D517" s="9" t="str">
        <x:v>D4</x:v>
      </x:c>
      <x:c r="E517" s="9" t="str">
        <x:v>Low concern</x:v>
      </x:c>
      <x:c r="F517" s="9" t="str">
        <x:v>Low concern</x:v>
      </x:c>
      <x:c r="G517" s="9" t="str">
        <x:v>Yes</x:v>
      </x:c>
      <x:c r="H517" s="9" t="str">
        <x:v>Agree</x:v>
      </x:c>
      <x:c r="I517" s="9" t="str">
        <x:v>Low concern</x:v>
      </x:c>
      <x:c r="J517" s="9" t="str">
        <x:v>Initial agreement</x:v>
      </x:c>
      <x:c r="K517" s="9" t="str">
        <x:v>Loading/exposure ranges, rates or conditions are stated for the principal experiments.</x:v>
      </x:c>
      <x:c r="L517" s="9" t="str">
        <x:v>PDF pp. 2–12; Figs. 1–8; Supplementary Figs. S1–S15 cited</x:v>
      </x:c>
      <x:c r="M517" s="9" t="str">
        <x:v>Relevant loading/exposure range, rate or geometry and measurement conditions are stated.</x:v>
      </x:c>
      <x:c r="N517" s="9" t="str">
        <x:v>Article PDF p. 2</x:v>
      </x:c>
      <x:c r="O517" s="9" t="str">
        <x:v>Loading/exposure ranges, rates or conditions are stated for the principal experiments.</x:v>
      </x:c>
      <x:c r="P517" s="9" t="str">
        <x:v>PDF pp. 2–12; Figs. 1–8; Supplementary Figs. S1–S15 cited</x:v>
      </x:c>
    </x:row>
    <x:row r="518">
      <x:c r="A518" s="9" t="n">
        <x:v>65</x:v>
      </x:c>
      <x:c r="B518" s="9" t="str">
        <x:v>S079</x:v>
      </x:c>
      <x:c r="C518" s="9" t="str">
        <x:v>Han et al. (2024)</x:v>
      </x:c>
      <x:c r="D518" s="9" t="str">
        <x:v>D5</x:v>
      </x:c>
      <x:c r="E518" s="9" t="str">
        <x:v>Low concern</x:v>
      </x:c>
      <x:c r="F518" s="9" t="str">
        <x:v>Low concern</x:v>
      </x:c>
      <x:c r="G518" s="9" t="str">
        <x:v>Yes</x:v>
      </x:c>
      <x:c r="H518" s="9" t="str">
        <x:v>Agree</x:v>
      </x:c>
      <x:c r="I518" s="9" t="str">
        <x:v>Low concern</x:v>
      </x:c>
      <x:c r="J518" s="9" t="str">
        <x:v>Initial agreement</x:v>
      </x:c>
      <x:c r="K518" s="9" t="str">
        <x:v>The study reports at least one defined ≥3-cycle repeated-measurement or endurance protocol.</x:v>
      </x:c>
      <x:c r="L518" s="9" t="str">
        <x:v>PDF pp. 2–12; Figs. 1–8; Supplementary Figs. S1–S15 cited</x:v>
      </x:c>
      <x:c r="M518" s="9" t="str">
        <x:v>Repeated units/counts and a stability outcome are defined for the stated protocol.</x:v>
      </x:c>
      <x:c r="N518" s="9" t="str">
        <x:v>Article PDF p. 13</x:v>
      </x:c>
      <x:c r="O518" s="9" t="str">
        <x:v>The study reports at least one defined ≥3-cycle repeated-measurement or endurance protocol.</x:v>
      </x:c>
      <x:c r="P518" s="9" t="str">
        <x:v>PDF pp. 2–12; Figs. 1–8; Supplementary Figs. S1–S15 cited</x:v>
      </x:c>
    </x:row>
    <x:row r="519">
      <x:c r="A519" s="9" t="n">
        <x:v>65</x:v>
      </x:c>
      <x:c r="B519" s="9" t="str">
        <x:v>S079</x:v>
      </x:c>
      <x:c r="C519" s="9" t="str">
        <x:v>Han et al. (2024)</x:v>
      </x:c>
      <x:c r="D519" s="9" t="str">
        <x:v>D6</x:v>
      </x:c>
      <x:c r="E519" s="9" t="str">
        <x:v>High concern</x:v>
      </x:c>
      <x:c r="F519" s="9" t="str">
        <x:v>High concern</x:v>
      </x:c>
      <x:c r="G519" s="9" t="str">
        <x:v>Yes</x:v>
      </x:c>
      <x:c r="H519" s="9" t="str">
        <x:v>Agree</x:v>
      </x:c>
      <x:c r="I519" s="9" t="str">
        <x:v>High concern</x:v>
      </x:c>
      <x:c r="J519" s="9" t="str">
        <x:v>Initial agreement</x:v>
      </x:c>
      <x:c r="K519" s="9" t="str">
        <x:v>A qualifying same-condition comparison of at least three separately fabricated complete sensing units with device-level results or dispersion was not identified.</x:v>
      </x:c>
      <x:c r="L519" s="9" t="str">
        <x:v>PDF pp. 2–12; Figs. 1–8; Supplementary Figs. S1–S15 cited</x:v>
      </x:c>
      <x:c r="M519" s="9" t="str">
        <x:v>Cycles, participants or configurations do not establish replication across three equivalent fabricated devices.</x:v>
      </x:c>
      <x:c r="N519" s="9" t="str">
        <x:v>Article PDF p. 9</x:v>
      </x:c>
      <x:c r="O519" s="9" t="str">
        <x:v>A qualifying same-condition comparison of at least three separately fabricated complete sensing units with device-level results or dispersion was not identified.</x:v>
      </x:c>
      <x:c r="P519" s="9" t="str">
        <x:v>PDF pp. 2–12; Figs. 1–8; Supplementary Figs. S1–S15 cited</x:v>
      </x:c>
    </x:row>
    <x:row r="520">
      <x:c r="A520" s="9" t="n">
        <x:v>65</x:v>
      </x:c>
      <x:c r="B520" s="9" t="str">
        <x:v>S079</x:v>
      </x:c>
      <x:c r="C520" s="9" t="str">
        <x:v>Han et al. (2024)</x:v>
      </x:c>
      <x:c r="D520" s="9" t="str">
        <x:v>D7</x:v>
      </x:c>
      <x:c r="E520" s="9" t="str">
        <x:v>Some concern</x:v>
      </x:c>
      <x:c r="F520" s="9" t="str">
        <x:v>Some concern</x:v>
      </x:c>
      <x:c r="G520" s="9" t="str">
        <x:v>Yes</x:v>
      </x:c>
      <x:c r="H520" s="9" t="str">
        <x:v>Agree</x:v>
      </x:c>
      <x:c r="I520" s="9" t="str">
        <x:v>Some concern</x:v>
      </x:c>
      <x:c r="J520" s="9" t="str">
        <x:v>Initial agreement</x:v>
      </x:c>
      <x:c r="K520" s="9" t="str">
        <x:v>Some principal claims rely on selected curves, inconsistent descriptions or incomplete uncertainty/device-level reporting.</x:v>
      </x:c>
      <x:c r="L520" s="9" t="str">
        <x:v>PDF pp. 2–12; Figs. 1–8; Supplementary Figs. S1–S15 cited</x:v>
      </x:c>
      <x:c r="M520" s="9" t="str">
        <x:v>Principal outcomes are reported, but device-level uncertainty or complete accounting of units/cycles is limited.</x:v>
      </x:c>
      <x:c r="N520" s="9" t="str">
        <x:v>Article PDF p. 13</x:v>
      </x:c>
      <x:c r="O520" s="9" t="str">
        <x:v>Some principal claims rely on selected curves, inconsistent descriptions or incomplete uncertainty/device-level reporting.</x:v>
      </x:c>
      <x:c r="P520" s="9" t="str">
        <x:v>PDF pp. 2–12; Figs. 1–8; Supplementary Figs. S1–S15 cited</x:v>
      </x:c>
    </x:row>
    <x:row r="521">
      <x:c r="A521" s="9" t="n">
        <x:v>65</x:v>
      </x:c>
      <x:c r="B521" s="9" t="str">
        <x:v>S079</x:v>
      </x:c>
      <x:c r="C521" s="9" t="str">
        <x:v>Han et al. (2024)</x:v>
      </x:c>
      <x:c r="D521" s="9" t="str">
        <x:v>D8</x:v>
      </x:c>
      <x:c r="E521" s="9" t="str">
        <x:v>Low concern</x:v>
      </x:c>
      <x:c r="F521" s="9" t="str">
        <x:v>Low concern</x:v>
      </x:c>
      <x:c r="G521" s="9" t="str">
        <x:v>Yes</x:v>
      </x:c>
      <x:c r="H521" s="9" t="str">
        <x:v>Agree</x:v>
      </x:c>
      <x:c r="I521" s="9" t="str">
        <x:v>Low concern</x:v>
      </x:c>
      <x:c r="J521" s="9" t="str">
        <x:v>Initial agreement</x:v>
      </x:c>
      <x:c r="K521" s="9" t="str">
        <x:v>The complete wearable configuration was evaluated in a defined participant/application protocol.</x:v>
      </x:c>
      <x:c r="L521" s="9" t="str">
        <x:v>PDF pp. 2–12; Figs. 1–8; Supplementary Figs. S1–S15 cited</x:v>
      </x:c>
      <x:c r="M521" s="9" t="str">
        <x:v>The final device was evaluated in a body-worn/use-relevant human configuration.</x:v>
      </x:c>
      <x:c r="N521" s="9" t="str">
        <x:v>Article PDF p. 12</x:v>
      </x:c>
      <x:c r="O521" s="9" t="str">
        <x:v>The complete wearable configuration was evaluated in a defined participant/application protocol.</x:v>
      </x:c>
      <x:c r="P521" s="9" t="str">
        <x:v>PDF pp. 2–12; Figs. 1–8; Supplementary Figs. S1–S15 cited</x:v>
      </x:c>
    </x:row>
    <x:row r="522">
      <x:c r="A522" s="9" t="n">
        <x:v>66</x:v>
      </x:c>
      <x:c r="B522" s="9" t="str">
        <x:v>S080</x:v>
      </x:c>
      <x:c r="C522" s="9" t="str">
        <x:v>Imanian et al. (2023)</x:v>
      </x:c>
      <x:c r="D522" s="9" t="str">
        <x:v>D1</x:v>
      </x:c>
      <x:c r="E522" s="9" t="str">
        <x:v>High concern</x:v>
      </x:c>
      <x:c r="F522" s="9" t="str">
        <x:v>Some concern</x:v>
      </x:c>
      <x:c r="G522" s="9" t="str">
        <x:v>Yes</x:v>
      </x:c>
      <x:c r="H522" s="9" t="str">
        <x:v>Disagree</x:v>
      </x:c>
      <x:c r="I522" s="9" t="str">
        <x:v>High concern</x:v>
      </x:c>
      <x:c r="J522" s="9" t="str">
        <x:v>Adjudicated to Reviewer 1</x:v>
      </x:c>
      <x:c r="K522" s="9" t="str">
        <x:v>Device sampling was not justified and wearable testing used one, two or an unspecified small number of participants.</x:v>
      </x:c>
      <x:c r="L522" s="9" t="str">
        <x:v>PDF pp. 2, 4–12; Figs. 1–8</x:v>
      </x:c>
      <x:c r="M522" s="9" t="str">
        <x:v>Some unit/participant counts or selection details are provided, but fabricated-unit selection and failures are not fully accounted for.</x:v>
      </x:c>
      <x:c r="N522" s="9" t="str">
        <x:v>Article PDF p. 11</x:v>
      </x:c>
      <x:c r="O522" s="9" t="str">
        <x:v>Device sampling was not justified and wearable testing used one, two or an unspecified small number of participants.</x:v>
      </x:c>
      <x:c r="P522" s="9" t="str">
        <x:v>PDF pp. 2, 4–12; Figs. 1–8</x:v>
      </x:c>
    </x:row>
    <x:row r="523">
      <x:c r="A523" s="9" t="n">
        <x:v>66</x:v>
      </x:c>
      <x:c r="B523" s="9" t="str">
        <x:v>S080</x:v>
      </x:c>
      <x:c r="C523" s="9" t="str">
        <x:v>Imanian et al. (2023)</x:v>
      </x:c>
      <x:c r="D523" s="9" t="str">
        <x:v>D2</x:v>
      </x:c>
      <x:c r="E523" s="9" t="str">
        <x:v>Some concern</x:v>
      </x:c>
      <x:c r="F523" s="9" t="str">
        <x:v>Some concern</x:v>
      </x:c>
      <x:c r="G523" s="9" t="str">
        <x:v>Yes</x:v>
      </x:c>
      <x:c r="H523" s="9" t="str">
        <x:v>Agree</x:v>
      </x:c>
      <x:c r="I523" s="9" t="str">
        <x:v>Some concern</x:v>
      </x:c>
      <x:c r="J523" s="9" t="str">
        <x:v>Initial agreement</x:v>
      </x:c>
      <x:c r="K523" s="9" t="str">
        <x:v>One or more platform, nozzle, layer-height, infill or toolpath details are absent.</x:v>
      </x:c>
      <x:c r="L523" s="9" t="str">
        <x:v>PDF pp. 2, 4–12; Figs. 1–8</x:v>
      </x:c>
      <x:c r="M523" s="9" t="str">
        <x:v>Several fabrication controls are documented, but omitted settings leave residual process-confounding concern.</x:v>
      </x:c>
      <x:c r="N523" s="9" t="str">
        <x:v>Article PDF p. 4</x:v>
      </x:c>
      <x:c r="O523" s="9" t="str">
        <x:v>One or more platform, nozzle, layer-height, infill or toolpath details are absent.</x:v>
      </x:c>
      <x:c r="P523" s="9" t="str">
        <x:v>PDF pp. 2, 4–12; Figs. 1–8</x:v>
      </x:c>
    </x:row>
    <x:row r="524">
      <x:c r="A524" s="9" t="n">
        <x:v>66</x:v>
      </x:c>
      <x:c r="B524" s="9" t="str">
        <x:v>S080</x:v>
      </x:c>
      <x:c r="C524" s="9" t="str">
        <x:v>Imanian et al. (2023)</x:v>
      </x:c>
      <x:c r="D524" s="9" t="str">
        <x:v>D3</x:v>
      </x:c>
      <x:c r="E524" s="9" t="str">
        <x:v>Some concern</x:v>
      </x:c>
      <x:c r="F524" s="9" t="str">
        <x:v>Low concern</x:v>
      </x:c>
      <x:c r="G524" s="9" t="str">
        <x:v>Yes</x:v>
      </x:c>
      <x:c r="H524" s="9" t="str">
        <x:v>Disagree</x:v>
      </x:c>
      <x:c r="I524" s="9" t="str">
        <x:v>Some concern</x:v>
      </x:c>
      <x:c r="J524" s="9" t="str">
        <x:v>Adjudicated to Reviewer 1</x:v>
      </x:c>
      <x:c r="K524" s="9" t="str">
        <x:v>The application demonstration lacks an independent physiological comparator or independently measured joint angle.</x:v>
      </x:c>
      <x:c r="L524" s="9" t="str">
        <x:v>PDF pp. 2, 4–12; Figs. 1–8</x:v>
      </x:c>
      <x:c r="M524" s="9" t="str">
        <x:v>Controlled load-frame inputs provide an independent mechanical reference.</x:v>
      </x:c>
      <x:c r="N524" s="9" t="str">
        <x:v>Article PDF pp. 4-7</x:v>
      </x:c>
      <x:c r="O524" s="9" t="str">
        <x:v>The application demonstration lacks an independent physiological comparator or independently measured joint angle.</x:v>
      </x:c>
      <x:c r="P524" s="9" t="str">
        <x:v>PDF pp. 2, 4–12; Figs. 1–8</x:v>
      </x:c>
    </x:row>
    <x:row r="525">
      <x:c r="A525" s="9" t="n">
        <x:v>66</x:v>
      </x:c>
      <x:c r="B525" s="9" t="str">
        <x:v>S080</x:v>
      </x:c>
      <x:c r="C525" s="9" t="str">
        <x:v>Imanian et al. (2023)</x:v>
      </x:c>
      <x:c r="D525" s="9" t="str">
        <x:v>D4</x:v>
      </x:c>
      <x:c r="E525" s="9" t="str">
        <x:v>Low concern</x:v>
      </x:c>
      <x:c r="F525" s="9" t="str">
        <x:v>Low concern</x:v>
      </x:c>
      <x:c r="G525" s="9" t="str">
        <x:v>Yes</x:v>
      </x:c>
      <x:c r="H525" s="9" t="str">
        <x:v>Agree</x:v>
      </x:c>
      <x:c r="I525" s="9" t="str">
        <x:v>Low concern</x:v>
      </x:c>
      <x:c r="J525" s="9" t="str">
        <x:v>Initial agreement</x:v>
      </x:c>
      <x:c r="K525" s="9" t="str">
        <x:v>Principal loading ranges, rates, holds or cycle conditions are stated.</x:v>
      </x:c>
      <x:c r="L525" s="9" t="str">
        <x:v>PDF pp. 2, 4–12; Figs. 1–8</x:v>
      </x:c>
      <x:c r="M525" s="9" t="str">
        <x:v>Compression geometry, loading levels and resistance acquisition are specified.</x:v>
      </x:c>
      <x:c r="N525" s="9" t="str">
        <x:v>Article PDF pp. 4-7</x:v>
      </x:c>
      <x:c r="O525" s="9" t="str">
        <x:v>Principal loading ranges, rates, holds or cycle conditions are stated.</x:v>
      </x:c>
      <x:c r="P525" s="9" t="str">
        <x:v>PDF pp. 2, 4–12; Figs. 1–8</x:v>
      </x:c>
    </x:row>
    <x:row r="526">
      <x:c r="A526" s="9" t="n">
        <x:v>66</x:v>
      </x:c>
      <x:c r="B526" s="9" t="str">
        <x:v>S080</x:v>
      </x:c>
      <x:c r="C526" s="9" t="str">
        <x:v>Imanian et al. (2023)</x:v>
      </x:c>
      <x:c r="D526" s="9" t="str">
        <x:v>D5</x:v>
      </x:c>
      <x:c r="E526" s="9" t="str">
        <x:v>Low concern</x:v>
      </x:c>
      <x:c r="F526" s="9" t="str">
        <x:v>Low concern</x:v>
      </x:c>
      <x:c r="G526" s="9" t="str">
        <x:v>Yes</x:v>
      </x:c>
      <x:c r="H526" s="9" t="str">
        <x:v>Agree</x:v>
      </x:c>
      <x:c r="I526" s="9" t="str">
        <x:v>Low concern</x:v>
      </x:c>
      <x:c r="J526" s="9" t="str">
        <x:v>Initial agreement</x:v>
      </x:c>
      <x:c r="K526" s="9" t="str">
        <x:v>At least one defined repeated-measurement or endurance protocol is reported.</x:v>
      </x:c>
      <x:c r="L526" s="9" t="str">
        <x:v>PDF pp. 2, 4–12; Figs. 1–8</x:v>
      </x:c>
      <x:c r="M526" s="9" t="str">
        <x:v>Repeated units/counts and a stability outcome are defined for the stated protocol.</x:v>
      </x:c>
      <x:c r="N526" s="9" t="str">
        <x:v>Article PDF p. 13</x:v>
      </x:c>
      <x:c r="O526" s="9" t="str">
        <x:v>At least one defined repeated-measurement or endurance protocol is reported.</x:v>
      </x:c>
      <x:c r="P526" s="9" t="str">
        <x:v>PDF pp. 2, 4–12; Figs. 1–8</x:v>
      </x:c>
    </x:row>
    <x:row r="527">
      <x:c r="A527" s="9" t="n">
        <x:v>66</x:v>
      </x:c>
      <x:c r="B527" s="9" t="str">
        <x:v>S080</x:v>
      </x:c>
      <x:c r="C527" s="9" t="str">
        <x:v>Imanian et al. (2023)</x:v>
      </x:c>
      <x:c r="D527" s="9" t="str">
        <x:v>D6</x:v>
      </x:c>
      <x:c r="E527" s="9" t="str">
        <x:v>High concern</x:v>
      </x:c>
      <x:c r="F527" s="9" t="str">
        <x:v>High concern</x:v>
      </x:c>
      <x:c r="G527" s="9" t="str">
        <x:v>Yes</x:v>
      </x:c>
      <x:c r="H527" s="9" t="str">
        <x:v>Agree</x:v>
      </x:c>
      <x:c r="I527" s="9" t="str">
        <x:v>High concern</x:v>
      </x:c>
      <x:c r="J527" s="9" t="str">
        <x:v>Initial agreement</x:v>
      </x:c>
      <x:c r="K527" s="9" t="str">
        <x:v>A same-condition comparison of at least three separately fabricated complete sensing units with device-level results or dispersion was not identified.</x:v>
      </x:c>
      <x:c r="L527" s="9" t="str">
        <x:v>PDF pp. 2, 4–12; Figs. 1–8</x:v>
      </x:c>
      <x:c r="M527" s="9" t="str">
        <x:v>Cycles, participants or configurations do not establish replication across three equivalent fabricated devices.</x:v>
      </x:c>
      <x:c r="N527" s="9" t="str">
        <x:v>Article PDF p. 4</x:v>
      </x:c>
      <x:c r="O527" s="9" t="str">
        <x:v>A same-condition comparison of at least three separately fabricated complete sensing units with device-level results or dispersion was not identified.</x:v>
      </x:c>
      <x:c r="P527" s="9" t="str">
        <x:v>PDF pp. 2, 4–12; Figs. 1–8</x:v>
      </x:c>
    </x:row>
    <x:row r="528">
      <x:c r="A528" s="9" t="n">
        <x:v>66</x:v>
      </x:c>
      <x:c r="B528" s="9" t="str">
        <x:v>S080</x:v>
      </x:c>
      <x:c r="C528" s="9" t="str">
        <x:v>Imanian et al. (2023)</x:v>
      </x:c>
      <x:c r="D528" s="9" t="str">
        <x:v>D7</x:v>
      </x:c>
      <x:c r="E528" s="9" t="str">
        <x:v>Some concern</x:v>
      </x:c>
      <x:c r="F528" s="9" t="str">
        <x:v>Some concern</x:v>
      </x:c>
      <x:c r="G528" s="9" t="str">
        <x:v>Yes</x:v>
      </x:c>
      <x:c r="H528" s="9" t="str">
        <x:v>Agree</x:v>
      </x:c>
      <x:c r="I528" s="9" t="str">
        <x:v>Some concern</x:v>
      </x:c>
      <x:c r="J528" s="9" t="str">
        <x:v>Initial agreement</x:v>
      </x:c>
      <x:c r="K528" s="9" t="str">
        <x:v>Principal outcomes are quantitative, but device-level uncertainty/dispersion or retention magnitude is incomplete.</x:v>
      </x:c>
      <x:c r="L528" s="9" t="str">
        <x:v>PDF pp. 2, 4–12; Figs. 1–8</x:v>
      </x:c>
      <x:c r="M528" s="9" t="str">
        <x:v>Principal outcomes are reported, but device-level uncertainty or complete accounting of units/cycles is limited.</x:v>
      </x:c>
      <x:c r="N528" s="9" t="str">
        <x:v>Article PDF p. 13</x:v>
      </x:c>
      <x:c r="O528" s="9" t="str">
        <x:v>Principal outcomes are quantitative, but device-level uncertainty/dispersion or retention magnitude is incomplete.</x:v>
      </x:c>
      <x:c r="P528" s="9" t="str">
        <x:v>PDF pp. 2, 4–12; Figs. 1–8</x:v>
      </x:c>
    </x:row>
    <x:row r="529">
      <x:c r="A529" s="9" t="n">
        <x:v>66</x:v>
      </x:c>
      <x:c r="B529" s="9" t="str">
        <x:v>S080</x:v>
      </x:c>
      <x:c r="C529" s="9" t="str">
        <x:v>Imanian et al. (2023)</x:v>
      </x:c>
      <x:c r="D529" s="9" t="str">
        <x:v>D8</x:v>
      </x:c>
      <x:c r="E529" s="9" t="str">
        <x:v>Some concern</x:v>
      </x:c>
      <x:c r="F529" s="9" t="str">
        <x:v>Low concern</x:v>
      </x:c>
      <x:c r="G529" s="9" t="str">
        <x:v>Yes</x:v>
      </x:c>
      <x:c r="H529" s="9" t="str">
        <x:v>Disagree</x:v>
      </x:c>
      <x:c r="I529" s="9" t="str">
        <x:v>Some concern</x:v>
      </x:c>
      <x:c r="J529" s="9" t="str">
        <x:v>Adjudicated to Reviewer 1</x:v>
      </x:c>
      <x:c r="K529" s="9" t="str">
        <x:v>A complete wearable configuration was demonstrated, but participant count, comparator or protocol depth is limited.</x:v>
      </x:c>
      <x:c r="L529" s="9" t="str">
        <x:v>PDF pp. 2, 4–12; Figs. 1–8</x:v>
      </x:c>
      <x:c r="M529" s="9" t="str">
        <x:v>The final device was evaluated in a body-worn/use-relevant human configuration.</x:v>
      </x:c>
      <x:c r="N529" s="9" t="str">
        <x:v>Article PDF p. 13</x:v>
      </x:c>
      <x:c r="O529" s="9" t="str">
        <x:v>A complete wearable configuration was demonstrated, but participant count, comparator or protocol depth is limited.</x:v>
      </x:c>
      <x:c r="P529" s="9" t="str">
        <x:v>PDF pp. 2, 4–12; Figs. 1–8</x:v>
      </x:c>
    </x:row>
    <x:row r="530">
      <x:c r="A530" s="9" t="n">
        <x:v>67</x:v>
      </x:c>
      <x:c r="B530" s="9" t="str">
        <x:v>S081</x:v>
      </x:c>
      <x:c r="C530" s="9" t="str">
        <x:v>De Tommasi et al. (2023)</x:v>
      </x:c>
      <x:c r="D530" s="9" t="str">
        <x:v>D1</x:v>
      </x:c>
      <x:c r="E530" s="9" t="str">
        <x:v>High concern</x:v>
      </x:c>
      <x:c r="F530" s="9" t="str">
        <x:v>Some concern</x:v>
      </x:c>
      <x:c r="G530" s="9" t="str">
        <x:v>Yes</x:v>
      </x:c>
      <x:c r="H530" s="9" t="str">
        <x:v>Disagree</x:v>
      </x:c>
      <x:c r="I530" s="9" t="str">
        <x:v>High concern</x:v>
      </x:c>
      <x:c r="J530" s="9" t="str">
        <x:v>Adjudicated to Reviewer 1</x:v>
      </x:c>
      <x:c r="K530" s="9" t="str">
        <x:v>Device sampling was not justified and wearable testing used one, two or an unspecified small number of participants.</x:v>
      </x:c>
      <x:c r="L530" s="9" t="str">
        <x:v>PDF pp. 3–7; Figs. 1–8; Table I</x:v>
      </x:c>
      <x:c r="M530" s="9" t="str">
        <x:v>Some unit/participant counts or selection details are provided, but fabricated-unit selection and failures are not fully accounted for.</x:v>
      </x:c>
      <x:c r="N530" s="9" t="str">
        <x:v>Article PDF p. 2</x:v>
      </x:c>
      <x:c r="O530" s="9" t="str">
        <x:v>Device sampling was not justified and wearable testing used one, two or an unspecified small number of participants.</x:v>
      </x:c>
      <x:c r="P530" s="9" t="str">
        <x:v>PDF pp. 3–7; Figs. 1–8; Table I</x:v>
      </x:c>
    </x:row>
    <x:row r="531">
      <x:c r="A531" s="9" t="n">
        <x:v>67</x:v>
      </x:c>
      <x:c r="B531" s="9" t="str">
        <x:v>S081</x:v>
      </x:c>
      <x:c r="C531" s="9" t="str">
        <x:v>De Tommasi et al. (2023)</x:v>
      </x:c>
      <x:c r="D531" s="9" t="str">
        <x:v>D2</x:v>
      </x:c>
      <x:c r="E531" s="9" t="str">
        <x:v>Some concern</x:v>
      </x:c>
      <x:c r="F531" s="9" t="str">
        <x:v>Some concern</x:v>
      </x:c>
      <x:c r="G531" s="9" t="str">
        <x:v>Yes</x:v>
      </x:c>
      <x:c r="H531" s="9" t="str">
        <x:v>Agree</x:v>
      </x:c>
      <x:c r="I531" s="9" t="str">
        <x:v>Some concern</x:v>
      </x:c>
      <x:c r="J531" s="9" t="str">
        <x:v>Initial agreement</x:v>
      </x:c>
      <x:c r="K531" s="9" t="str">
        <x:v>One or more platform, nozzle, layer-height, infill or toolpath details are absent.</x:v>
      </x:c>
      <x:c r="L531" s="9" t="str">
        <x:v>PDF pp. 3–7; Figs. 1–8; Table I</x:v>
      </x:c>
      <x:c r="M531" s="9" t="str">
        <x:v>Several fabrication controls are documented, but omitted settings leave residual process-confounding concern.</x:v>
      </x:c>
      <x:c r="N531" s="9" t="str">
        <x:v>Article PDF p. 7</x:v>
      </x:c>
      <x:c r="O531" s="9" t="str">
        <x:v>One or more platform, nozzle, layer-height, infill or toolpath details are absent.</x:v>
      </x:c>
      <x:c r="P531" s="9" t="str">
        <x:v>PDF pp. 3–7; Figs. 1–8; Table I</x:v>
      </x:c>
    </x:row>
    <x:row r="532">
      <x:c r="A532" s="9" t="n">
        <x:v>67</x:v>
      </x:c>
      <x:c r="B532" s="9" t="str">
        <x:v>S081</x:v>
      </x:c>
      <x:c r="C532" s="9" t="str">
        <x:v>De Tommasi et al. (2023)</x:v>
      </x:c>
      <x:c r="D532" s="9" t="str">
        <x:v>D3</x:v>
      </x:c>
      <x:c r="E532" s="9" t="str">
        <x:v>Low concern</x:v>
      </x:c>
      <x:c r="F532" s="9" t="str">
        <x:v>Low concern</x:v>
      </x:c>
      <x:c r="G532" s="9" t="str">
        <x:v>Yes</x:v>
      </x:c>
      <x:c r="H532" s="9" t="str">
        <x:v>Agree</x:v>
      </x:c>
      <x:c r="I532" s="9" t="str">
        <x:v>Low concern</x:v>
      </x:c>
      <x:c r="J532" s="9" t="str">
        <x:v>Initial agreement</x:v>
      </x:c>
      <x:c r="K532" s="9" t="str">
        <x:v>Controlled inputs and suitable reference instruments/procedures are reported.</x:v>
      </x:c>
      <x:c r="L532" s="9" t="str">
        <x:v>PDF pp. 3–7; Figs. 1–8; Table I</x:v>
      </x:c>
      <x:c r="M532" s="9" t="str">
        <x:v>The controlled input/reference and calibration procedure are appropriate and independently measured.</x:v>
      </x:c>
      <x:c r="N532" s="9" t="str">
        <x:v>Article PDF p. 7</x:v>
      </x:c>
      <x:c r="O532" s="9" t="str">
        <x:v>Controlled inputs and suitable reference instruments/procedures are reported.</x:v>
      </x:c>
      <x:c r="P532" s="9" t="str">
        <x:v>PDF pp. 3–7; Figs. 1–8; Table I</x:v>
      </x:c>
    </x:row>
    <x:row r="533">
      <x:c r="A533" s="9" t="n">
        <x:v>67</x:v>
      </x:c>
      <x:c r="B533" s="9" t="str">
        <x:v>S081</x:v>
      </x:c>
      <x:c r="C533" s="9" t="str">
        <x:v>De Tommasi et al. (2023)</x:v>
      </x:c>
      <x:c r="D533" s="9" t="str">
        <x:v>D4</x:v>
      </x:c>
      <x:c r="E533" s="9" t="str">
        <x:v>Low concern</x:v>
      </x:c>
      <x:c r="F533" s="9" t="str">
        <x:v>Low concern</x:v>
      </x:c>
      <x:c r="G533" s="9" t="str">
        <x:v>Yes</x:v>
      </x:c>
      <x:c r="H533" s="9" t="str">
        <x:v>Agree</x:v>
      </x:c>
      <x:c r="I533" s="9" t="str">
        <x:v>Low concern</x:v>
      </x:c>
      <x:c r="J533" s="9" t="str">
        <x:v>Initial agreement</x:v>
      </x:c>
      <x:c r="K533" s="9" t="str">
        <x:v>Principal loading ranges, rates, holds or cycle conditions are stated.</x:v>
      </x:c>
      <x:c r="L533" s="9" t="str">
        <x:v>PDF pp. 3–7; Figs. 1–8; Table I</x:v>
      </x:c>
      <x:c r="M533" s="9" t="str">
        <x:v>Relevant loading/exposure range, rate or geometry and measurement conditions are stated.</x:v>
      </x:c>
      <x:c r="N533" s="9" t="str">
        <x:v>Article PDF p. 7</x:v>
      </x:c>
      <x:c r="O533" s="9" t="str">
        <x:v>Principal loading ranges, rates, holds or cycle conditions are stated.</x:v>
      </x:c>
      <x:c r="P533" s="9" t="str">
        <x:v>PDF pp. 3–7; Figs. 1–8; Table I</x:v>
      </x:c>
    </x:row>
    <x:row r="534">
      <x:c r="A534" s="9" t="n">
        <x:v>67</x:v>
      </x:c>
      <x:c r="B534" s="9" t="str">
        <x:v>S081</x:v>
      </x:c>
      <x:c r="C534" s="9" t="str">
        <x:v>De Tommasi et al. (2023)</x:v>
      </x:c>
      <x:c r="D534" s="9" t="str">
        <x:v>D5</x:v>
      </x:c>
      <x:c r="E534" s="9" t="str">
        <x:v>Low concern</x:v>
      </x:c>
      <x:c r="F534" s="9" t="str">
        <x:v>High concern</x:v>
      </x:c>
      <x:c r="G534" s="9" t="str">
        <x:v>Yes</x:v>
      </x:c>
      <x:c r="H534" s="9" t="str">
        <x:v>Disagree</x:v>
      </x:c>
      <x:c r="I534" s="9" t="str">
        <x:v>Low concern</x:v>
      </x:c>
      <x:c r="J534" s="9" t="str">
        <x:v>Adjudicated to Reviewer 1</x:v>
      </x:c>
      <x:c r="K534" s="9" t="str">
        <x:v>At least one defined repeated-measurement or endurance protocol is reported.</x:v>
      </x:c>
      <x:c r="L534" s="9" t="str">
        <x:v>PDF pp. 3–7; Figs. 1–8; Table I</x:v>
      </x:c>
      <x:c r="M534" s="9" t="str">
        <x:v>A defined repeated-measurement design with an adequate stability analysis is absent.</x:v>
      </x:c>
      <x:c r="N534" s="9" t="str">
        <x:v>Article PDF p. 2</x:v>
      </x:c>
      <x:c r="O534" s="9" t="str">
        <x:v>At least one defined repeated-measurement or endurance protocol is reported.</x:v>
      </x:c>
      <x:c r="P534" s="9" t="str">
        <x:v>PDF pp. 3–7; Figs. 1–8; Table I</x:v>
      </x:c>
    </x:row>
    <x:row r="535">
      <x:c r="A535" s="9" t="n">
        <x:v>67</x:v>
      </x:c>
      <x:c r="B535" s="9" t="str">
        <x:v>S081</x:v>
      </x:c>
      <x:c r="C535" s="9" t="str">
        <x:v>De Tommasi et al. (2023)</x:v>
      </x:c>
      <x:c r="D535" s="9" t="str">
        <x:v>D6</x:v>
      </x:c>
      <x:c r="E535" s="9" t="str">
        <x:v>High concern</x:v>
      </x:c>
      <x:c r="F535" s="9" t="str">
        <x:v>High concern</x:v>
      </x:c>
      <x:c r="G535" s="9" t="str">
        <x:v>Yes</x:v>
      </x:c>
      <x:c r="H535" s="9" t="str">
        <x:v>Agree</x:v>
      </x:c>
      <x:c r="I535" s="9" t="str">
        <x:v>High concern</x:v>
      </x:c>
      <x:c r="J535" s="9" t="str">
        <x:v>Initial agreement</x:v>
      </x:c>
      <x:c r="K535" s="9" t="str">
        <x:v>A same-condition comparison of at least three separately fabricated complete sensing units with device-level results or dispersion was not identified.</x:v>
      </x:c>
      <x:c r="L535" s="9" t="str">
        <x:v>PDF pp. 3–7; Figs. 1–8; Table I</x:v>
      </x:c>
      <x:c r="M535" s="9" t="str">
        <x:v>Cycles, participants or configurations do not establish replication across three equivalent fabricated devices.</x:v>
      </x:c>
      <x:c r="N535" s="9" t="str">
        <x:v>Article PDF p. 2</x:v>
      </x:c>
      <x:c r="O535" s="9" t="str">
        <x:v>A same-condition comparison of at least three separately fabricated complete sensing units with device-level results or dispersion was not identified.</x:v>
      </x:c>
      <x:c r="P535" s="9" t="str">
        <x:v>PDF pp. 3–7; Figs. 1–8; Table I</x:v>
      </x:c>
    </x:row>
    <x:row r="536">
      <x:c r="A536" s="9" t="n">
        <x:v>67</x:v>
      </x:c>
      <x:c r="B536" s="9" t="str">
        <x:v>S081</x:v>
      </x:c>
      <x:c r="C536" s="9" t="str">
        <x:v>De Tommasi et al. (2023)</x:v>
      </x:c>
      <x:c r="D536" s="9" t="str">
        <x:v>D7</x:v>
      </x:c>
      <x:c r="E536" s="9" t="str">
        <x:v>Low concern</x:v>
      </x:c>
      <x:c r="F536" s="9" t="str">
        <x:v>Some concern</x:v>
      </x:c>
      <x:c r="G536" s="9" t="str">
        <x:v>Yes</x:v>
      </x:c>
      <x:c r="H536" s="9" t="str">
        <x:v>Disagree</x:v>
      </x:c>
      <x:c r="I536" s="9" t="str">
        <x:v>Low concern</x:v>
      </x:c>
      <x:c r="J536" s="9" t="str">
        <x:v>Adjudicated to Reviewer 1</x:v>
      </x:c>
      <x:c r="K536" s="9" t="str">
        <x:v>Principal response magnitudes, ranges and stability/failure behavior are quantitatively reported.</x:v>
      </x:c>
      <x:c r="L536" s="9" t="str">
        <x:v>PDF pp. 3–7; Figs. 1–8; Table I</x:v>
      </x:c>
      <x:c r="M536" s="9" t="str">
        <x:v>Principal outcomes are reported, but device-level uncertainty or complete accounting of units/cycles is limited.</x:v>
      </x:c>
      <x:c r="N536" s="9" t="str">
        <x:v>Article PDF p. 5</x:v>
      </x:c>
      <x:c r="O536" s="9" t="str">
        <x:v>Principal response magnitudes, ranges and stability/failure behavior are quantitatively reported.</x:v>
      </x:c>
      <x:c r="P536" s="9" t="str">
        <x:v>PDF pp. 3–7; Figs. 1–8; Table I</x:v>
      </x:c>
    </x:row>
    <x:row r="537">
      <x:c r="A537" s="9" t="n">
        <x:v>67</x:v>
      </x:c>
      <x:c r="B537" s="9" t="str">
        <x:v>S081</x:v>
      </x:c>
      <x:c r="C537" s="9" t="str">
        <x:v>De Tommasi et al. (2023)</x:v>
      </x:c>
      <x:c r="D537" s="9" t="str">
        <x:v>D8</x:v>
      </x:c>
      <x:c r="E537" s="9" t="str">
        <x:v>Some concern</x:v>
      </x:c>
      <x:c r="F537" s="9" t="str">
        <x:v>Low concern</x:v>
      </x:c>
      <x:c r="G537" s="9" t="str">
        <x:v>Yes</x:v>
      </x:c>
      <x:c r="H537" s="9" t="str">
        <x:v>Disagree</x:v>
      </x:c>
      <x:c r="I537" s="9" t="str">
        <x:v>Some concern</x:v>
      </x:c>
      <x:c r="J537" s="9" t="str">
        <x:v>Adjudicated to Reviewer 1</x:v>
      </x:c>
      <x:c r="K537" s="9" t="str">
        <x:v>A complete wearable configuration was demonstrated, but participant count, comparator or protocol depth is limited.</x:v>
      </x:c>
      <x:c r="L537" s="9" t="str">
        <x:v>PDF pp. 3–7; Figs. 1–8; Table I</x:v>
      </x:c>
      <x:c r="M537" s="9" t="str">
        <x:v>The final device was evaluated in a body-worn/use-relevant human configuration.</x:v>
      </x:c>
      <x:c r="N537" s="9" t="str">
        <x:v>Article PDF p. 7</x:v>
      </x:c>
      <x:c r="O537" s="9" t="str">
        <x:v>A complete wearable configuration was demonstrated, but participant count, comparator or protocol depth is limited.</x:v>
      </x:c>
      <x:c r="P537" s="9" t="str">
        <x:v>PDF pp. 3–7; Figs. 1–8; Table I</x:v>
      </x:c>
    </x:row>
    <x:row r="538">
      <x:c r="A538" s="9" t="n">
        <x:v>68</x:v>
      </x:c>
      <x:c r="B538" s="9" t="str">
        <x:v>S082</x:v>
      </x:c>
      <x:c r="C538" s="9" t="str">
        <x:v>Xiang et al. (2023)</x:v>
      </x:c>
      <x:c r="D538" s="9" t="str">
        <x:v>D1</x:v>
      </x:c>
      <x:c r="E538" s="9" t="str">
        <x:v>High concern</x:v>
      </x:c>
      <x:c r="F538" s="9" t="str">
        <x:v>Some concern</x:v>
      </x:c>
      <x:c r="G538" s="9" t="str">
        <x:v>Yes</x:v>
      </x:c>
      <x:c r="H538" s="9" t="str">
        <x:v>Disagree</x:v>
      </x:c>
      <x:c r="I538" s="9" t="str">
        <x:v>High concern</x:v>
      </x:c>
      <x:c r="J538" s="9" t="str">
        <x:v>Adjudicated to Reviewer 1</x:v>
      </x:c>
      <x:c r="K538" s="9" t="str">
        <x:v>Device sampling was not justified and wearable testing used one, two or an unspecified small number of participants.</x:v>
      </x:c>
      <x:c r="L538" s="9" t="str">
        <x:v>PDF pp. 4–12; Figs. 1–7; Supplementary Figs. S1–S5 cited</x:v>
      </x:c>
      <x:c r="M538" s="9" t="str">
        <x:v>Some unit/participant counts or selection details are provided, but fabricated-unit selection and failures are not fully accounted for.</x:v>
      </x:c>
      <x:c r="N538" s="9" t="str">
        <x:v>Article PDF p. 7</x:v>
      </x:c>
      <x:c r="O538" s="9" t="str">
        <x:v>Device sampling was not justified and wearable testing used one, two or an unspecified small number of participants.</x:v>
      </x:c>
      <x:c r="P538" s="9" t="str">
        <x:v>PDF pp. 4–12; Figs. 1–7; Supplementary Figs. S1–S5 cited</x:v>
      </x:c>
    </x:row>
    <x:row r="539">
      <x:c r="A539" s="9" t="n">
        <x:v>68</x:v>
      </x:c>
      <x:c r="B539" s="9" t="str">
        <x:v>S082</x:v>
      </x:c>
      <x:c r="C539" s="9" t="str">
        <x:v>Xiang et al. (2023)</x:v>
      </x:c>
      <x:c r="D539" s="9" t="str">
        <x:v>D2</x:v>
      </x:c>
      <x:c r="E539" s="9" t="str">
        <x:v>Some concern</x:v>
      </x:c>
      <x:c r="F539" s="9" t="str">
        <x:v>High concern</x:v>
      </x:c>
      <x:c r="G539" s="9" t="str">
        <x:v>Yes</x:v>
      </x:c>
      <x:c r="H539" s="9" t="str">
        <x:v>Disagree</x:v>
      </x:c>
      <x:c r="I539" s="9" t="str">
        <x:v>Some concern</x:v>
      </x:c>
      <x:c r="J539" s="9" t="str">
        <x:v>Adjudicated to Reviewer 1</x:v>
      </x:c>
      <x:c r="K539" s="9" t="str">
        <x:v>One or more platform, nozzle, layer-height, infill or toolpath details are absent.</x:v>
      </x:c>
      <x:c r="L539" s="9" t="str">
        <x:v>PDF pp. 4–12; Figs. 1–7; Supplementary Figs. S1–S5 cited</x:v>
      </x:c>
      <x:c r="M539" s="9" t="str">
        <x:v>Key fabrication variables are missing, so process variation cannot be separated confidently from sensor effects.</x:v>
      </x:c>
      <x:c r="N539" s="9" t="str">
        <x:v>Article PDF p. 4</x:v>
      </x:c>
      <x:c r="O539" s="9" t="str">
        <x:v>One or more platform, nozzle, layer-height, infill or toolpath details are absent.</x:v>
      </x:c>
      <x:c r="P539" s="9" t="str">
        <x:v>PDF pp. 4–12; Figs. 1–7; Supplementary Figs. S1–S5 cited</x:v>
      </x:c>
    </x:row>
    <x:row r="540">
      <x:c r="A540" s="9" t="n">
        <x:v>68</x:v>
      </x:c>
      <x:c r="B540" s="9" t="str">
        <x:v>S082</x:v>
      </x:c>
      <x:c r="C540" s="9" t="str">
        <x:v>Xiang et al. (2023)</x:v>
      </x:c>
      <x:c r="D540" s="9" t="str">
        <x:v>D3</x:v>
      </x:c>
      <x:c r="E540" s="9" t="str">
        <x:v>Low concern</x:v>
      </x:c>
      <x:c r="F540" s="9" t="str">
        <x:v>Some concern</x:v>
      </x:c>
      <x:c r="G540" s="9" t="str">
        <x:v>Yes</x:v>
      </x:c>
      <x:c r="H540" s="9" t="str">
        <x:v>Disagree</x:v>
      </x:c>
      <x:c r="I540" s="9" t="str">
        <x:v>Low concern</x:v>
      </x:c>
      <x:c r="J540" s="9" t="str">
        <x:v>Adjudicated to Reviewer 1</x:v>
      </x:c>
      <x:c r="K540" s="9" t="str">
        <x:v>Controlled inputs and suitable reference instruments/procedures are reported.</x:v>
      </x:c>
      <x:c r="L540" s="9" t="str">
        <x:v>PDF pp. 4–12; Figs. 1–7; Supplementary Figs. S1–S5 cited</x:v>
      </x:c>
      <x:c r="M540" s="9" t="str">
        <x:v>Calibration is described, but reference independence or uncertainty is incomplete.</x:v>
      </x:c>
      <x:c r="N540" s="9" t="str">
        <x:v>Article PDF p. 10</x:v>
      </x:c>
      <x:c r="O540" s="9" t="str">
        <x:v>Controlled inputs and suitable reference instruments/procedures are reported.</x:v>
      </x:c>
      <x:c r="P540" s="9" t="str">
        <x:v>PDF pp. 4–12; Figs. 1–7; Supplementary Figs. S1–S5 cited</x:v>
      </x:c>
    </x:row>
    <x:row r="541">
      <x:c r="A541" s="9" t="n">
        <x:v>68</x:v>
      </x:c>
      <x:c r="B541" s="9" t="str">
        <x:v>S082</x:v>
      </x:c>
      <x:c r="C541" s="9" t="str">
        <x:v>Xiang et al. (2023)</x:v>
      </x:c>
      <x:c r="D541" s="9" t="str">
        <x:v>D4</x:v>
      </x:c>
      <x:c r="E541" s="9" t="str">
        <x:v>Low concern</x:v>
      </x:c>
      <x:c r="F541" s="9" t="str">
        <x:v>Low concern</x:v>
      </x:c>
      <x:c r="G541" s="9" t="str">
        <x:v>Yes</x:v>
      </x:c>
      <x:c r="H541" s="9" t="str">
        <x:v>Agree</x:v>
      </x:c>
      <x:c r="I541" s="9" t="str">
        <x:v>Low concern</x:v>
      </x:c>
      <x:c r="J541" s="9" t="str">
        <x:v>Initial agreement</x:v>
      </x:c>
      <x:c r="K541" s="9" t="str">
        <x:v>Principal loading ranges, rates, holds or cycle conditions are stated.</x:v>
      </x:c>
      <x:c r="L541" s="9" t="str">
        <x:v>PDF pp. 4–12; Figs. 1–7; Supplementary Figs. S1–S5 cited</x:v>
      </x:c>
      <x:c r="M541" s="9" t="str">
        <x:v>Relevant loading/exposure range, rate or geometry and measurement conditions are stated.</x:v>
      </x:c>
      <x:c r="N541" s="9" t="str">
        <x:v>Article PDF p. 10</x:v>
      </x:c>
      <x:c r="O541" s="9" t="str">
        <x:v>Principal loading ranges, rates, holds or cycle conditions are stated.</x:v>
      </x:c>
      <x:c r="P541" s="9" t="str">
        <x:v>PDF pp. 4–12; Figs. 1–7; Supplementary Figs. S1–S5 cited</x:v>
      </x:c>
    </x:row>
    <x:row r="542">
      <x:c r="A542" s="9" t="n">
        <x:v>68</x:v>
      </x:c>
      <x:c r="B542" s="9" t="str">
        <x:v>S082</x:v>
      </x:c>
      <x:c r="C542" s="9" t="str">
        <x:v>Xiang et al. (2023)</x:v>
      </x:c>
      <x:c r="D542" s="9" t="str">
        <x:v>D5</x:v>
      </x:c>
      <x:c r="E542" s="9" t="str">
        <x:v>Low concern</x:v>
      </x:c>
      <x:c r="F542" s="9" t="str">
        <x:v>Low concern</x:v>
      </x:c>
      <x:c r="G542" s="9" t="str">
        <x:v>Yes</x:v>
      </x:c>
      <x:c r="H542" s="9" t="str">
        <x:v>Agree</x:v>
      </x:c>
      <x:c r="I542" s="9" t="str">
        <x:v>Low concern</x:v>
      </x:c>
      <x:c r="J542" s="9" t="str">
        <x:v>Initial agreement</x:v>
      </x:c>
      <x:c r="K542" s="9" t="str">
        <x:v>At least one defined repeated-measurement or endurance protocol is reported.</x:v>
      </x:c>
      <x:c r="L542" s="9" t="str">
        <x:v>PDF pp. 4–12; Figs. 1–7; Supplementary Figs. S1–S5 cited</x:v>
      </x:c>
      <x:c r="M542" s="9" t="str">
        <x:v>Repeated units/counts and a stability outcome are defined for the stated protocol.</x:v>
      </x:c>
      <x:c r="N542" s="9" t="str">
        <x:v>Article PDF p. 1</x:v>
      </x:c>
      <x:c r="O542" s="9" t="str">
        <x:v>At least one defined repeated-measurement or endurance protocol is reported.</x:v>
      </x:c>
      <x:c r="P542" s="9" t="str">
        <x:v>PDF pp. 4–12; Figs. 1–7; Supplementary Figs. S1–S5 cited</x:v>
      </x:c>
    </x:row>
    <x:row r="543">
      <x:c r="A543" s="9" t="n">
        <x:v>68</x:v>
      </x:c>
      <x:c r="B543" s="9" t="str">
        <x:v>S082</x:v>
      </x:c>
      <x:c r="C543" s="9" t="str">
        <x:v>Xiang et al. (2023)</x:v>
      </x:c>
      <x:c r="D543" s="9" t="str">
        <x:v>D6</x:v>
      </x:c>
      <x:c r="E543" s="9" t="str">
        <x:v>High concern</x:v>
      </x:c>
      <x:c r="F543" s="9" t="str">
        <x:v>High concern</x:v>
      </x:c>
      <x:c r="G543" s="9" t="str">
        <x:v>Yes</x:v>
      </x:c>
      <x:c r="H543" s="9" t="str">
        <x:v>Agree</x:v>
      </x:c>
      <x:c r="I543" s="9" t="str">
        <x:v>High concern</x:v>
      </x:c>
      <x:c r="J543" s="9" t="str">
        <x:v>Initial agreement</x:v>
      </x:c>
      <x:c r="K543" s="9" t="str">
        <x:v>A same-condition comparison of at least three separately fabricated complete sensing units with device-level results or dispersion was not identified.</x:v>
      </x:c>
      <x:c r="L543" s="9" t="str">
        <x:v>PDF pp. 4–12; Figs. 1–7; Supplementary Figs. S1–S5 cited</x:v>
      </x:c>
      <x:c r="M543" s="9" t="str">
        <x:v>Cycles, participants or configurations do not establish replication across three equivalent fabricated devices.</x:v>
      </x:c>
      <x:c r="N543" s="9" t="str">
        <x:v>Article PDF p. 1</x:v>
      </x:c>
      <x:c r="O543" s="9" t="str">
        <x:v>A same-condition comparison of at least three separately fabricated complete sensing units with device-level results or dispersion was not identified.</x:v>
      </x:c>
      <x:c r="P543" s="9" t="str">
        <x:v>PDF pp. 4–12; Figs. 1–7; Supplementary Figs. S1–S5 cited</x:v>
      </x:c>
    </x:row>
    <x:row r="544">
      <x:c r="A544" s="9" t="n">
        <x:v>68</x:v>
      </x:c>
      <x:c r="B544" s="9" t="str">
        <x:v>S082</x:v>
      </x:c>
      <x:c r="C544" s="9" t="str">
        <x:v>Xiang et al. (2023)</x:v>
      </x:c>
      <x:c r="D544" s="9" t="str">
        <x:v>D7</x:v>
      </x:c>
      <x:c r="E544" s="9" t="str">
        <x:v>Some concern</x:v>
      </x:c>
      <x:c r="F544" s="9" t="str">
        <x:v>Some concern</x:v>
      </x:c>
      <x:c r="G544" s="9" t="str">
        <x:v>Yes</x:v>
      </x:c>
      <x:c r="H544" s="9" t="str">
        <x:v>Agree</x:v>
      </x:c>
      <x:c r="I544" s="9" t="str">
        <x:v>Some concern</x:v>
      </x:c>
      <x:c r="J544" s="9" t="str">
        <x:v>Initial agreement</x:v>
      </x:c>
      <x:c r="K544" s="9" t="str">
        <x:v>Principal outcomes are quantitative, but device-level uncertainty/dispersion or retention magnitude is incomplete.</x:v>
      </x:c>
      <x:c r="L544" s="9" t="str">
        <x:v>PDF pp. 4–12; Figs. 1–7; Supplementary Figs. S1–S5 cited</x:v>
      </x:c>
      <x:c r="M544" s="9" t="str">
        <x:v>Principal outcomes are reported, but device-level uncertainty or complete accounting of units/cycles is limited.</x:v>
      </x:c>
      <x:c r="N544" s="9" t="str">
        <x:v>Article PDF p. 9</x:v>
      </x:c>
      <x:c r="O544" s="9" t="str">
        <x:v>Principal outcomes are quantitative, but device-level uncertainty/dispersion or retention magnitude is incomplete.</x:v>
      </x:c>
      <x:c r="P544" s="9" t="str">
        <x:v>PDF pp. 4–12; Figs. 1–7; Supplementary Figs. S1–S5 cited</x:v>
      </x:c>
    </x:row>
    <x:row r="545">
      <x:c r="A545" s="9" t="n">
        <x:v>68</x:v>
      </x:c>
      <x:c r="B545" s="9" t="str">
        <x:v>S082</x:v>
      </x:c>
      <x:c r="C545" s="9" t="str">
        <x:v>Xiang et al. (2023)</x:v>
      </x:c>
      <x:c r="D545" s="9" t="str">
        <x:v>D8</x:v>
      </x:c>
      <x:c r="E545" s="9" t="str">
        <x:v>Some concern</x:v>
      </x:c>
      <x:c r="F545" s="9" t="str">
        <x:v>Low concern</x:v>
      </x:c>
      <x:c r="G545" s="9" t="str">
        <x:v>Yes</x:v>
      </x:c>
      <x:c r="H545" s="9" t="str">
        <x:v>Disagree</x:v>
      </x:c>
      <x:c r="I545" s="9" t="str">
        <x:v>Some concern</x:v>
      </x:c>
      <x:c r="J545" s="9" t="str">
        <x:v>Adjudicated to Reviewer 1</x:v>
      </x:c>
      <x:c r="K545" s="9" t="str">
        <x:v>A complete wearable configuration was demonstrated, but participant count, comparator or protocol depth is limited.</x:v>
      </x:c>
      <x:c r="L545" s="9" t="str">
        <x:v>PDF pp. 4–12; Figs. 1–7; Supplementary Figs. S1–S5 cited</x:v>
      </x:c>
      <x:c r="M545" s="9" t="str">
        <x:v>The final device was evaluated in a body-worn/use-relevant human configuration.</x:v>
      </x:c>
      <x:c r="N545" s="9" t="str">
        <x:v>Article PDF p. 9</x:v>
      </x:c>
      <x:c r="O545" s="9" t="str">
        <x:v>A complete wearable configuration was demonstrated, but participant count, comparator or protocol depth is limited.</x:v>
      </x:c>
      <x:c r="P545" s="9" t="str">
        <x:v>PDF pp. 4–12; Figs. 1–7; Supplementary Figs. S1–S5 cited</x:v>
      </x:c>
    </x:row>
    <x:row r="546">
      <x:c r="A546" s="9" t="n">
        <x:v>69</x:v>
      </x:c>
      <x:c r="B546" s="9" t="str">
        <x:v>S084</x:v>
      </x:c>
      <x:c r="C546" s="9" t="str">
        <x:v>Liu et al. (2023)</x:v>
      </x:c>
      <x:c r="D546" s="9" t="str">
        <x:v>D1</x:v>
      </x:c>
      <x:c r="E546" s="9" t="str">
        <x:v>High concern</x:v>
      </x:c>
      <x:c r="F546" s="9" t="str">
        <x:v>Some concern</x:v>
      </x:c>
      <x:c r="G546" s="9" t="str">
        <x:v>Yes</x:v>
      </x:c>
      <x:c r="H546" s="9" t="str">
        <x:v>Disagree</x:v>
      </x:c>
      <x:c r="I546" s="9" t="str">
        <x:v>High concern</x:v>
      </x:c>
      <x:c r="J546" s="9" t="str">
        <x:v>Adjudicated to Reviewer 1</x:v>
      </x:c>
      <x:c r="K546" s="9" t="str">
        <x:v>Device sampling was not justified and wearable testing used one, two or an unspecified small number of participants.</x:v>
      </x:c>
      <x:c r="L546" s="9" t="str">
        <x:v>PDF pp. 4–11; Figs. 1–8; Supplementary Figs. S1–S5 cited</x:v>
      </x:c>
      <x:c r="M546" s="9" t="str">
        <x:v>Some unit/participant counts or selection details are provided, but fabricated-unit selection and failures are not fully accounted for.</x:v>
      </x:c>
      <x:c r="N546" s="9" t="str">
        <x:v>Article PDF p. 7</x:v>
      </x:c>
      <x:c r="O546" s="9" t="str">
        <x:v>Device sampling was not justified and wearable testing used one, two or an unspecified small number of participants.</x:v>
      </x:c>
      <x:c r="P546" s="9" t="str">
        <x:v>PDF pp. 4–11; Figs. 1–8; Supplementary Figs. S1–S5 cited</x:v>
      </x:c>
    </x:row>
    <x:row r="547">
      <x:c r="A547" s="9" t="n">
        <x:v>69</x:v>
      </x:c>
      <x:c r="B547" s="9" t="str">
        <x:v>S084</x:v>
      </x:c>
      <x:c r="C547" s="9" t="str">
        <x:v>Liu et al. (2023)</x:v>
      </x:c>
      <x:c r="D547" s="9" t="str">
        <x:v>D2</x:v>
      </x:c>
      <x:c r="E547" s="9" t="str">
        <x:v>Some concern</x:v>
      </x:c>
      <x:c r="F547" s="9" t="str">
        <x:v>High concern</x:v>
      </x:c>
      <x:c r="G547" s="9" t="str">
        <x:v>Yes</x:v>
      </x:c>
      <x:c r="H547" s="9" t="str">
        <x:v>Disagree</x:v>
      </x:c>
      <x:c r="I547" s="9" t="str">
        <x:v>Some concern</x:v>
      </x:c>
      <x:c r="J547" s="9" t="str">
        <x:v>Adjudicated to Reviewer 1</x:v>
      </x:c>
      <x:c r="K547" s="9" t="str">
        <x:v>One or more platform, nozzle, layer-height, infill or toolpath details are absent.</x:v>
      </x:c>
      <x:c r="L547" s="9" t="str">
        <x:v>PDF pp. 4–11; Figs. 1–8; Supplementary Figs. S1–S5 cited</x:v>
      </x:c>
      <x:c r="M547" s="9" t="str">
        <x:v>Key fabrication variables are missing, so process variation cannot be separated confidently from sensor effects.</x:v>
      </x:c>
      <x:c r="N547" s="9" t="str">
        <x:v>Article PDF p. 4</x:v>
      </x:c>
      <x:c r="O547" s="9" t="str">
        <x:v>One or more platform, nozzle, layer-height, infill or toolpath details are absent.</x:v>
      </x:c>
      <x:c r="P547" s="9" t="str">
        <x:v>PDF pp. 4–11; Figs. 1–8; Supplementary Figs. S1–S5 cited</x:v>
      </x:c>
    </x:row>
    <x:row r="548">
      <x:c r="A548" s="9" t="n">
        <x:v>69</x:v>
      </x:c>
      <x:c r="B548" s="9" t="str">
        <x:v>S084</x:v>
      </x:c>
      <x:c r="C548" s="9" t="str">
        <x:v>Liu et al. (2023)</x:v>
      </x:c>
      <x:c r="D548" s="9" t="str">
        <x:v>D3</x:v>
      </x:c>
      <x:c r="E548" s="9" t="str">
        <x:v>Low concern</x:v>
      </x:c>
      <x:c r="F548" s="9" t="str">
        <x:v>Some concern</x:v>
      </x:c>
      <x:c r="G548" s="9" t="str">
        <x:v>Yes</x:v>
      </x:c>
      <x:c r="H548" s="9" t="str">
        <x:v>Disagree</x:v>
      </x:c>
      <x:c r="I548" s="9" t="str">
        <x:v>Low concern</x:v>
      </x:c>
      <x:c r="J548" s="9" t="str">
        <x:v>Adjudicated to Reviewer 1</x:v>
      </x:c>
      <x:c r="K548" s="9" t="str">
        <x:v>Controlled inputs and suitable reference instruments/procedures are reported.</x:v>
      </x:c>
      <x:c r="L548" s="9" t="str">
        <x:v>PDF pp. 4–11; Figs. 1–8; Supplementary Figs. S1–S5 cited</x:v>
      </x:c>
      <x:c r="M548" s="9" t="str">
        <x:v>Calibration is described, but reference independence or uncertainty is incomplete.</x:v>
      </x:c>
      <x:c r="N548" s="9" t="str">
        <x:v>Article PDF p. 8</x:v>
      </x:c>
      <x:c r="O548" s="9" t="str">
        <x:v>Controlled inputs and suitable reference instruments/procedures are reported.</x:v>
      </x:c>
      <x:c r="P548" s="9" t="str">
        <x:v>PDF pp. 4–11; Figs. 1–8; Supplementary Figs. S1–S5 cited</x:v>
      </x:c>
    </x:row>
    <x:row r="549">
      <x:c r="A549" s="9" t="n">
        <x:v>69</x:v>
      </x:c>
      <x:c r="B549" s="9" t="str">
        <x:v>S084</x:v>
      </x:c>
      <x:c r="C549" s="9" t="str">
        <x:v>Liu et al. (2023)</x:v>
      </x:c>
      <x:c r="D549" s="9" t="str">
        <x:v>D4</x:v>
      </x:c>
      <x:c r="E549" s="9" t="str">
        <x:v>Low concern</x:v>
      </x:c>
      <x:c r="F549" s="9" t="str">
        <x:v>Low concern</x:v>
      </x:c>
      <x:c r="G549" s="9" t="str">
        <x:v>Yes</x:v>
      </x:c>
      <x:c r="H549" s="9" t="str">
        <x:v>Agree</x:v>
      </x:c>
      <x:c r="I549" s="9" t="str">
        <x:v>Low concern</x:v>
      </x:c>
      <x:c r="J549" s="9" t="str">
        <x:v>Initial agreement</x:v>
      </x:c>
      <x:c r="K549" s="9" t="str">
        <x:v>Principal loading ranges, rates, holds or cycle conditions are stated.</x:v>
      </x:c>
      <x:c r="L549" s="9" t="str">
        <x:v>PDF pp. 4–11; Figs. 1–8; Supplementary Figs. S1–S5 cited</x:v>
      </x:c>
      <x:c r="M549" s="9" t="str">
        <x:v>Relevant loading/exposure range, rate or geometry and measurement conditions are stated.</x:v>
      </x:c>
      <x:c r="N549" s="9" t="str">
        <x:v>Article PDF p. 4</x:v>
      </x:c>
      <x:c r="O549" s="9" t="str">
        <x:v>Principal loading ranges, rates, holds or cycle conditions are stated.</x:v>
      </x:c>
      <x:c r="P549" s="9" t="str">
        <x:v>PDF pp. 4–11; Figs. 1–8; Supplementary Figs. S1–S5 cited</x:v>
      </x:c>
    </x:row>
    <x:row r="550">
      <x:c r="A550" s="9" t="n">
        <x:v>69</x:v>
      </x:c>
      <x:c r="B550" s="9" t="str">
        <x:v>S084</x:v>
      </x:c>
      <x:c r="C550" s="9" t="str">
        <x:v>Liu et al. (2023)</x:v>
      </x:c>
      <x:c r="D550" s="9" t="str">
        <x:v>D5</x:v>
      </x:c>
      <x:c r="E550" s="9" t="str">
        <x:v>Low concern</x:v>
      </x:c>
      <x:c r="F550" s="9" t="str">
        <x:v>Low concern</x:v>
      </x:c>
      <x:c r="G550" s="9" t="str">
        <x:v>Yes</x:v>
      </x:c>
      <x:c r="H550" s="9" t="str">
        <x:v>Agree</x:v>
      </x:c>
      <x:c r="I550" s="9" t="str">
        <x:v>Low concern</x:v>
      </x:c>
      <x:c r="J550" s="9" t="str">
        <x:v>Initial agreement</x:v>
      </x:c>
      <x:c r="K550" s="9" t="str">
        <x:v>At least one defined repeated-measurement or endurance protocol is reported.</x:v>
      </x:c>
      <x:c r="L550" s="9" t="str">
        <x:v>PDF pp. 4–11; Figs. 1–8; Supplementary Figs. S1–S5 cited</x:v>
      </x:c>
      <x:c r="M550" s="9" t="str">
        <x:v>Repeated units/counts and a stability outcome are defined for the stated protocol.</x:v>
      </x:c>
      <x:c r="N550" s="9" t="str">
        <x:v>Article PDF p. 1</x:v>
      </x:c>
      <x:c r="O550" s="9" t="str">
        <x:v>At least one defined repeated-measurement or endurance protocol is reported.</x:v>
      </x:c>
      <x:c r="P550" s="9" t="str">
        <x:v>PDF pp. 4–11; Figs. 1–8; Supplementary Figs. S1–S5 cited</x:v>
      </x:c>
    </x:row>
    <x:row r="551">
      <x:c r="A551" s="9" t="n">
        <x:v>69</x:v>
      </x:c>
      <x:c r="B551" s="9" t="str">
        <x:v>S084</x:v>
      </x:c>
      <x:c r="C551" s="9" t="str">
        <x:v>Liu et al. (2023)</x:v>
      </x:c>
      <x:c r="D551" s="9" t="str">
        <x:v>D6</x:v>
      </x:c>
      <x:c r="E551" s="9" t="str">
        <x:v>High concern</x:v>
      </x:c>
      <x:c r="F551" s="9" t="str">
        <x:v>High concern</x:v>
      </x:c>
      <x:c r="G551" s="9" t="str">
        <x:v>Yes</x:v>
      </x:c>
      <x:c r="H551" s="9" t="str">
        <x:v>Agree</x:v>
      </x:c>
      <x:c r="I551" s="9" t="str">
        <x:v>High concern</x:v>
      </x:c>
      <x:c r="J551" s="9" t="str">
        <x:v>Initial agreement</x:v>
      </x:c>
      <x:c r="K551" s="9" t="str">
        <x:v>A same-condition comparison of at least three separately fabricated complete sensing units with device-level results or dispersion was not identified.</x:v>
      </x:c>
      <x:c r="L551" s="9" t="str">
        <x:v>PDF pp. 4–11; Figs. 1–8; Supplementary Figs. S1–S5 cited</x:v>
      </x:c>
      <x:c r="M551" s="9" t="str">
        <x:v>Cycles, participants or configurations do not establish replication across three equivalent fabricated devices.</x:v>
      </x:c>
      <x:c r="N551" s="9" t="str">
        <x:v>Article PDF p. 1</x:v>
      </x:c>
      <x:c r="O551" s="9" t="str">
        <x:v>A same-condition comparison of at least three separately fabricated complete sensing units with device-level results or dispersion was not identified.</x:v>
      </x:c>
      <x:c r="P551" s="9" t="str">
        <x:v>PDF pp. 4–11; Figs. 1–8; Supplementary Figs. S1–S5 cited</x:v>
      </x:c>
    </x:row>
    <x:row r="552">
      <x:c r="A552" s="9" t="n">
        <x:v>69</x:v>
      </x:c>
      <x:c r="B552" s="9" t="str">
        <x:v>S084</x:v>
      </x:c>
      <x:c r="C552" s="9" t="str">
        <x:v>Liu et al. (2023)</x:v>
      </x:c>
      <x:c r="D552" s="9" t="str">
        <x:v>D7</x:v>
      </x:c>
      <x:c r="E552" s="9" t="str">
        <x:v>Some concern</x:v>
      </x:c>
      <x:c r="F552" s="9" t="str">
        <x:v>Some concern</x:v>
      </x:c>
      <x:c r="G552" s="9" t="str">
        <x:v>Yes</x:v>
      </x:c>
      <x:c r="H552" s="9" t="str">
        <x:v>Agree</x:v>
      </x:c>
      <x:c r="I552" s="9" t="str">
        <x:v>Some concern</x:v>
      </x:c>
      <x:c r="J552" s="9" t="str">
        <x:v>Initial agreement</x:v>
      </x:c>
      <x:c r="K552" s="9" t="str">
        <x:v>Principal outcomes are quantitative, but device-level uncertainty/dispersion or retention magnitude is incomplete.</x:v>
      </x:c>
      <x:c r="L552" s="9" t="str">
        <x:v>PDF pp. 4–11; Figs. 1–8; Supplementary Figs. S1–S5 cited</x:v>
      </x:c>
      <x:c r="M552" s="9" t="str">
        <x:v>Principal outcomes are reported, but device-level uncertainty or complete accounting of units/cycles is limited.</x:v>
      </x:c>
      <x:c r="N552" s="9" t="str">
        <x:v>Article PDF p. 7</x:v>
      </x:c>
      <x:c r="O552" s="9" t="str">
        <x:v>Principal outcomes are quantitative, but device-level uncertainty/dispersion or retention magnitude is incomplete.</x:v>
      </x:c>
      <x:c r="P552" s="9" t="str">
        <x:v>PDF pp. 4–11; Figs. 1–8; Supplementary Figs. S1–S5 cited</x:v>
      </x:c>
    </x:row>
    <x:row r="553">
      <x:c r="A553" s="9" t="n">
        <x:v>69</x:v>
      </x:c>
      <x:c r="B553" s="9" t="str">
        <x:v>S084</x:v>
      </x:c>
      <x:c r="C553" s="9" t="str">
        <x:v>Liu et al. (2023)</x:v>
      </x:c>
      <x:c r="D553" s="9" t="str">
        <x:v>D8</x:v>
      </x:c>
      <x:c r="E553" s="9" t="str">
        <x:v>Some concern</x:v>
      </x:c>
      <x:c r="F553" s="9" t="str">
        <x:v>Low concern</x:v>
      </x:c>
      <x:c r="G553" s="9" t="str">
        <x:v>Yes</x:v>
      </x:c>
      <x:c r="H553" s="9" t="str">
        <x:v>Disagree</x:v>
      </x:c>
      <x:c r="I553" s="9" t="str">
        <x:v>Some concern</x:v>
      </x:c>
      <x:c r="J553" s="9" t="str">
        <x:v>Adjudicated to Reviewer 1</x:v>
      </x:c>
      <x:c r="K553" s="9" t="str">
        <x:v>A complete wearable configuration was demonstrated, but participant count, comparator or protocol depth is limited.</x:v>
      </x:c>
      <x:c r="L553" s="9" t="str">
        <x:v>PDF pp. 4–11; Figs. 1–8; Supplementary Figs. S1–S5 cited</x:v>
      </x:c>
      <x:c r="M553" s="9" t="str">
        <x:v>The final device was evaluated in a body-worn/use-relevant human configuration.</x:v>
      </x:c>
      <x:c r="N553" s="9" t="str">
        <x:v>Article PDF p. 11</x:v>
      </x:c>
      <x:c r="O553" s="9" t="str">
        <x:v>A complete wearable configuration was demonstrated, but participant count, comparator or protocol depth is limited.</x:v>
      </x:c>
      <x:c r="P553" s="9" t="str">
        <x:v>PDF pp. 4–11; Figs. 1–8; Supplementary Figs. S1–S5 cited</x:v>
      </x:c>
    </x:row>
    <x:row r="554">
      <x:c r="A554" s="9" t="n">
        <x:v>70</x:v>
      </x:c>
      <x:c r="B554" s="9" t="str">
        <x:v>S085</x:v>
      </x:c>
      <x:c r="C554" s="9" t="str">
        <x:v>Li et al. (2022)</x:v>
      </x:c>
      <x:c r="D554" s="9" t="str">
        <x:v>D1</x:v>
      </x:c>
      <x:c r="E554" s="9" t="str">
        <x:v>High concern</x:v>
      </x:c>
      <x:c r="F554" s="9" t="str">
        <x:v>Some concern</x:v>
      </x:c>
      <x:c r="G554" s="9" t="str">
        <x:v>Yes</x:v>
      </x:c>
      <x:c r="H554" s="9" t="str">
        <x:v>Disagree</x:v>
      </x:c>
      <x:c r="I554" s="9" t="str">
        <x:v>High concern</x:v>
      </x:c>
      <x:c r="J554" s="9" t="str">
        <x:v>Adjudicated to Reviewer 1</x:v>
      </x:c>
      <x:c r="K554" s="9" t="str">
        <x:v>Device sampling was not justified and wearable testing used one, two or an unspecified small number of participants.</x:v>
      </x:c>
      <x:c r="L554" s="9" t="str">
        <x:v>PDF pp. 2–4, 8–12; Figs. 1–18; Tables 1–2</x:v>
      </x:c>
      <x:c r="M554" s="9" t="str">
        <x:v>Some unit/participant counts or selection details are provided, but fabricated-unit selection and failures are not fully accounted for.</x:v>
      </x:c>
      <x:c r="N554" s="9" t="str">
        <x:v>Article PDF p. 13</x:v>
      </x:c>
      <x:c r="O554" s="9" t="str">
        <x:v>Device sampling was not justified and wearable testing used one, two or an unspecified small number of participants.</x:v>
      </x:c>
      <x:c r="P554" s="9" t="str">
        <x:v>PDF pp. 2–4, 8–12; Figs. 1–18; Tables 1–2</x:v>
      </x:c>
    </x:row>
    <x:row r="555">
      <x:c r="A555" s="9" t="n">
        <x:v>70</x:v>
      </x:c>
      <x:c r="B555" s="9" t="str">
        <x:v>S085</x:v>
      </x:c>
      <x:c r="C555" s="9" t="str">
        <x:v>Li et al. (2022)</x:v>
      </x:c>
      <x:c r="D555" s="9" t="str">
        <x:v>D2</x:v>
      </x:c>
      <x:c r="E555" s="9" t="str">
        <x:v>Low concern</x:v>
      </x:c>
      <x:c r="F555" s="9" t="str">
        <x:v>Some concern</x:v>
      </x:c>
      <x:c r="G555" s="9" t="str">
        <x:v>Yes</x:v>
      </x:c>
      <x:c r="H555" s="9" t="str">
        <x:v>Disagree</x:v>
      </x:c>
      <x:c r="I555" s="9" t="str">
        <x:v>Low concern</x:v>
      </x:c>
      <x:c r="J555" s="9" t="str">
        <x:v>Adjudicated to Reviewer 1</x:v>
      </x:c>
      <x:c r="K555" s="9" t="str">
        <x:v>Application-relevant fabrication variables and settings are sufficiently controlled and reported.</x:v>
      </x:c>
      <x:c r="L555" s="9" t="str">
        <x:v>PDF pp. 2–4, 8–12; Figs. 1–18; Tables 1–2</x:v>
      </x:c>
      <x:c r="M555" s="9" t="str">
        <x:v>Several fabrication controls are documented, but omitted settings leave residual process-confounding concern.</x:v>
      </x:c>
      <x:c r="N555" s="9" t="str">
        <x:v>Article PDF p. 3</x:v>
      </x:c>
      <x:c r="O555" s="9" t="str">
        <x:v>Application-relevant fabrication variables and settings are sufficiently controlled and reported.</x:v>
      </x:c>
      <x:c r="P555" s="9" t="str">
        <x:v>PDF pp. 2–4, 8–12; Figs. 1–18; Tables 1–2</x:v>
      </x:c>
    </x:row>
    <x:row r="556">
      <x:c r="A556" s="9" t="n">
        <x:v>70</x:v>
      </x:c>
      <x:c r="B556" s="9" t="str">
        <x:v>S085</x:v>
      </x:c>
      <x:c r="C556" s="9" t="str">
        <x:v>Li et al. (2022)</x:v>
      </x:c>
      <x:c r="D556" s="9" t="str">
        <x:v>D3</x:v>
      </x:c>
      <x:c r="E556" s="9" t="str">
        <x:v>Low concern</x:v>
      </x:c>
      <x:c r="F556" s="9" t="str">
        <x:v>Low concern</x:v>
      </x:c>
      <x:c r="G556" s="9" t="str">
        <x:v>Yes</x:v>
      </x:c>
      <x:c r="H556" s="9" t="str">
        <x:v>Agree</x:v>
      </x:c>
      <x:c r="I556" s="9" t="str">
        <x:v>Low concern</x:v>
      </x:c>
      <x:c r="J556" s="9" t="str">
        <x:v>Initial agreement</x:v>
      </x:c>
      <x:c r="K556" s="9" t="str">
        <x:v>Controlled inputs and suitable reference instruments/procedures are reported.</x:v>
      </x:c>
      <x:c r="L556" s="9" t="str">
        <x:v>PDF pp. 2–4, 8–12; Figs. 1–18; Tables 1–2</x:v>
      </x:c>
      <x:c r="M556" s="9" t="str">
        <x:v>Controlled mechanical strain provides the input reference for electrical calibration.</x:v>
      </x:c>
      <x:c r="N556" s="9" t="str">
        <x:v>Article PDF pp. 3-8</x:v>
      </x:c>
      <x:c r="O556" s="9" t="str">
        <x:v>Controlled inputs and suitable reference instruments/procedures are reported.</x:v>
      </x:c>
      <x:c r="P556" s="9" t="str">
        <x:v>PDF pp. 2–4, 8–12; Figs. 1–18; Tables 1–2</x:v>
      </x:c>
    </x:row>
    <x:row r="557">
      <x:c r="A557" s="9" t="n">
        <x:v>70</x:v>
      </x:c>
      <x:c r="B557" s="9" t="str">
        <x:v>S085</x:v>
      </x:c>
      <x:c r="C557" s="9" t="str">
        <x:v>Li et al. (2022)</x:v>
      </x:c>
      <x:c r="D557" s="9" t="str">
        <x:v>D4</x:v>
      </x:c>
      <x:c r="E557" s="9" t="str">
        <x:v>Low concern</x:v>
      </x:c>
      <x:c r="F557" s="9" t="str">
        <x:v>Low concern</x:v>
      </x:c>
      <x:c r="G557" s="9" t="str">
        <x:v>Yes</x:v>
      </x:c>
      <x:c r="H557" s="9" t="str">
        <x:v>Agree</x:v>
      </x:c>
      <x:c r="I557" s="9" t="str">
        <x:v>Low concern</x:v>
      </x:c>
      <x:c r="J557" s="9" t="str">
        <x:v>Initial agreement</x:v>
      </x:c>
      <x:c r="K557" s="9" t="str">
        <x:v>Principal loading ranges, rates, holds or cycle conditions are stated.</x:v>
      </x:c>
      <x:c r="L557" s="9" t="str">
        <x:v>PDF pp. 2–4, 8–12; Figs. 1–18; Tables 1–2</x:v>
      </x:c>
      <x:c r="M557" s="9" t="str">
        <x:v>Relevant loading/exposure range, rate or geometry and measurement conditions are stated.</x:v>
      </x:c>
      <x:c r="N557" s="9" t="str">
        <x:v>Article PDF p. 13</x:v>
      </x:c>
      <x:c r="O557" s="9" t="str">
        <x:v>Principal loading ranges, rates, holds or cycle conditions are stated.</x:v>
      </x:c>
      <x:c r="P557" s="9" t="str">
        <x:v>PDF pp. 2–4, 8–12; Figs. 1–18; Tables 1–2</x:v>
      </x:c>
    </x:row>
    <x:row r="558">
      <x:c r="A558" s="9" t="n">
        <x:v>70</x:v>
      </x:c>
      <x:c r="B558" s="9" t="str">
        <x:v>S085</x:v>
      </x:c>
      <x:c r="C558" s="9" t="str">
        <x:v>Li et al. (2022)</x:v>
      </x:c>
      <x:c r="D558" s="9" t="str">
        <x:v>D5</x:v>
      </x:c>
      <x:c r="E558" s="9" t="str">
        <x:v>Low concern</x:v>
      </x:c>
      <x:c r="F558" s="9" t="str">
        <x:v>Low concern</x:v>
      </x:c>
      <x:c r="G558" s="9" t="str">
        <x:v>Yes</x:v>
      </x:c>
      <x:c r="H558" s="9" t="str">
        <x:v>Agree</x:v>
      </x:c>
      <x:c r="I558" s="9" t="str">
        <x:v>Low concern</x:v>
      </x:c>
      <x:c r="J558" s="9" t="str">
        <x:v>Initial agreement</x:v>
      </x:c>
      <x:c r="K558" s="9" t="str">
        <x:v>At least one defined repeated-measurement or endurance protocol is reported.</x:v>
      </x:c>
      <x:c r="L558" s="9" t="str">
        <x:v>PDF pp. 2–4, 8–12; Figs. 1–18; Tables 1–2</x:v>
      </x:c>
      <x:c r="M558" s="9" t="str">
        <x:v>Repeated units/counts and a stability outcome are defined for the stated protocol.</x:v>
      </x:c>
      <x:c r="N558" s="9" t="str">
        <x:v>Article PDF p. 13</x:v>
      </x:c>
      <x:c r="O558" s="9" t="str">
        <x:v>At least one defined repeated-measurement or endurance protocol is reported.</x:v>
      </x:c>
      <x:c r="P558" s="9" t="str">
        <x:v>PDF pp. 2–4, 8–12; Figs. 1–18; Tables 1–2</x:v>
      </x:c>
    </x:row>
    <x:row r="559">
      <x:c r="A559" s="9" t="n">
        <x:v>70</x:v>
      </x:c>
      <x:c r="B559" s="9" t="str">
        <x:v>S085</x:v>
      </x:c>
      <x:c r="C559" s="9" t="str">
        <x:v>Li et al. (2022)</x:v>
      </x:c>
      <x:c r="D559" s="9" t="str">
        <x:v>D6</x:v>
      </x:c>
      <x:c r="E559" s="9" t="str">
        <x:v>High concern</x:v>
      </x:c>
      <x:c r="F559" s="9" t="str">
        <x:v>High concern</x:v>
      </x:c>
      <x:c r="G559" s="9" t="str">
        <x:v>Yes</x:v>
      </x:c>
      <x:c r="H559" s="9" t="str">
        <x:v>Agree</x:v>
      </x:c>
      <x:c r="I559" s="9" t="str">
        <x:v>High concern</x:v>
      </x:c>
      <x:c r="J559" s="9" t="str">
        <x:v>Initial agreement</x:v>
      </x:c>
      <x:c r="K559" s="9" t="str">
        <x:v>A same-condition comparison of at least three separately fabricated complete sensing units with device-level results or dispersion was not identified.</x:v>
      </x:c>
      <x:c r="L559" s="9" t="str">
        <x:v>PDF pp. 2–4, 8–12; Figs. 1–18; Tables 1–2</x:v>
      </x:c>
      <x:c r="M559" s="9" t="str">
        <x:v>Cycles, participants or configurations do not establish replication across three equivalent fabricated devices.</x:v>
      </x:c>
      <x:c r="N559" s="9" t="str">
        <x:v>Article PDF p. 5</x:v>
      </x:c>
      <x:c r="O559" s="9" t="str">
        <x:v>A same-condition comparison of at least three separately fabricated complete sensing units with device-level results or dispersion was not identified.</x:v>
      </x:c>
      <x:c r="P559" s="9" t="str">
        <x:v>PDF pp. 2–4, 8–12; Figs. 1–18; Tables 1–2</x:v>
      </x:c>
    </x:row>
    <x:row r="560">
      <x:c r="A560" s="9" t="n">
        <x:v>70</x:v>
      </x:c>
      <x:c r="B560" s="9" t="str">
        <x:v>S085</x:v>
      </x:c>
      <x:c r="C560" s="9" t="str">
        <x:v>Li et al. (2022)</x:v>
      </x:c>
      <x:c r="D560" s="9" t="str">
        <x:v>D7</x:v>
      </x:c>
      <x:c r="E560" s="9" t="str">
        <x:v>Low concern</x:v>
      </x:c>
      <x:c r="F560" s="9" t="str">
        <x:v>Some concern</x:v>
      </x:c>
      <x:c r="G560" s="9" t="str">
        <x:v>Yes</x:v>
      </x:c>
      <x:c r="H560" s="9" t="str">
        <x:v>Disagree</x:v>
      </x:c>
      <x:c r="I560" s="9" t="str">
        <x:v>Low concern</x:v>
      </x:c>
      <x:c r="J560" s="9" t="str">
        <x:v>Adjudicated to Reviewer 1</x:v>
      </x:c>
      <x:c r="K560" s="9" t="str">
        <x:v>Principal response magnitudes, ranges and stability/failure behavior are quantitatively reported.</x:v>
      </x:c>
      <x:c r="L560" s="9" t="str">
        <x:v>PDF pp. 2–4, 8–12; Figs. 1–18; Tables 1–2</x:v>
      </x:c>
      <x:c r="M560" s="9" t="str">
        <x:v>Principal outcomes are reported, but device-level uncertainty or complete accounting of units/cycles is limited.</x:v>
      </x:c>
      <x:c r="N560" s="9" t="str">
        <x:v>Article PDF p. 13</x:v>
      </x:c>
      <x:c r="O560" s="9" t="str">
        <x:v>Principal response magnitudes, ranges and stability/failure behavior are quantitatively reported.</x:v>
      </x:c>
      <x:c r="P560" s="9" t="str">
        <x:v>PDF pp. 2–4, 8–12; Figs. 1–18; Tables 1–2</x:v>
      </x:c>
    </x:row>
    <x:row r="561">
      <x:c r="A561" s="9" t="n">
        <x:v>70</x:v>
      </x:c>
      <x:c r="B561" s="9" t="str">
        <x:v>S085</x:v>
      </x:c>
      <x:c r="C561" s="9" t="str">
        <x:v>Li et al. (2022)</x:v>
      </x:c>
      <x:c r="D561" s="9" t="str">
        <x:v>D8</x:v>
      </x:c>
      <x:c r="E561" s="9" t="str">
        <x:v>Some concern</x:v>
      </x:c>
      <x:c r="F561" s="9" t="str">
        <x:v>Low concern</x:v>
      </x:c>
      <x:c r="G561" s="9" t="str">
        <x:v>Yes</x:v>
      </x:c>
      <x:c r="H561" s="9" t="str">
        <x:v>Disagree</x:v>
      </x:c>
      <x:c r="I561" s="9" t="str">
        <x:v>Some concern</x:v>
      </x:c>
      <x:c r="J561" s="9" t="str">
        <x:v>Adjudicated to Reviewer 1</x:v>
      </x:c>
      <x:c r="K561" s="9" t="str">
        <x:v>A complete wearable configuration was demonstrated, but participant count, comparator or protocol depth is limited.</x:v>
      </x:c>
      <x:c r="L561" s="9" t="str">
        <x:v>PDF pp. 2–4, 8–12; Figs. 1–18; Tables 1–2</x:v>
      </x:c>
      <x:c r="M561" s="9" t="str">
        <x:v>The final device was evaluated in a body-worn/use-relevant human configuration.</x:v>
      </x:c>
      <x:c r="N561" s="9" t="str">
        <x:v>Article PDF p. 13</x:v>
      </x:c>
      <x:c r="O561" s="9" t="str">
        <x:v>A complete wearable configuration was demonstrated, but participant count, comparator or protocol depth is limited.</x:v>
      </x:c>
      <x:c r="P561" s="9" t="str">
        <x:v>PDF pp. 2–4, 8–12; Figs. 1–18; Tables 1–2</x:v>
      </x:c>
    </x:row>
    <x:row r="562">
      <x:c r="A562" s="9" t="n">
        <x:v>71</x:v>
      </x:c>
      <x:c r="B562" s="9" t="str">
        <x:v>S086</x:v>
      </x:c>
      <x:c r="C562" s="9" t="str">
        <x:v>Li et al. (2022)</x:v>
      </x:c>
      <x:c r="D562" s="9" t="str">
        <x:v>D1</x:v>
      </x:c>
      <x:c r="E562" s="9" t="str">
        <x:v>High concern</x:v>
      </x:c>
      <x:c r="F562" s="9" t="str">
        <x:v>Some concern</x:v>
      </x:c>
      <x:c r="G562" s="9" t="str">
        <x:v>Yes</x:v>
      </x:c>
      <x:c r="H562" s="9" t="str">
        <x:v>Disagree</x:v>
      </x:c>
      <x:c r="I562" s="9" t="str">
        <x:v>High concern</x:v>
      </x:c>
      <x:c r="J562" s="9" t="str">
        <x:v>Adjudicated to Reviewer 1</x:v>
      </x:c>
      <x:c r="K562" s="9" t="str">
        <x:v>Device sampling was not justified and wearable testing used one, two or an unspecified small number of participants.</x:v>
      </x:c>
      <x:c r="L562" s="9" t="str">
        <x:v>PDF pp. 2–9; Figs. 1–6; Supporting Figs. S1–S3 and Table S1 cited</x:v>
      </x:c>
      <x:c r="M562" s="9" t="str">
        <x:v>Some unit/participant counts or selection details are provided, but fabricated-unit selection and failures are not fully accounted for.</x:v>
      </x:c>
      <x:c r="N562" s="9" t="str">
        <x:v>Article PDF p. 7</x:v>
      </x:c>
      <x:c r="O562" s="9" t="str">
        <x:v>Device sampling was not justified and wearable testing used one, two or an unspecified small number of participants.</x:v>
      </x:c>
      <x:c r="P562" s="9" t="str">
        <x:v>PDF pp. 2–9; Figs. 1–6; Supporting Figs. S1–S3 and Table S1 cited</x:v>
      </x:c>
    </x:row>
    <x:row r="563">
      <x:c r="A563" s="9" t="n">
        <x:v>71</x:v>
      </x:c>
      <x:c r="B563" s="9" t="str">
        <x:v>S086</x:v>
      </x:c>
      <x:c r="C563" s="9" t="str">
        <x:v>Li et al. (2022)</x:v>
      </x:c>
      <x:c r="D563" s="9" t="str">
        <x:v>D2</x:v>
      </x:c>
      <x:c r="E563" s="9" t="str">
        <x:v>Some concern</x:v>
      </x:c>
      <x:c r="F563" s="9" t="str">
        <x:v>Some concern</x:v>
      </x:c>
      <x:c r="G563" s="9" t="str">
        <x:v>Yes</x:v>
      </x:c>
      <x:c r="H563" s="9" t="str">
        <x:v>Agree</x:v>
      </x:c>
      <x:c r="I563" s="9" t="str">
        <x:v>Some concern</x:v>
      </x:c>
      <x:c r="J563" s="9" t="str">
        <x:v>Initial agreement</x:v>
      </x:c>
      <x:c r="K563" s="9" t="str">
        <x:v>One or more platform, nozzle, layer-height, infill or toolpath details are absent.</x:v>
      </x:c>
      <x:c r="L563" s="9" t="str">
        <x:v>PDF pp. 2–9; Figs. 1–6; Supporting Figs. S1–S3 and Table S1 cited</x:v>
      </x:c>
      <x:c r="M563" s="9" t="str">
        <x:v>Several fabrication controls are documented, but omitted settings leave residual process-confounding concern.</x:v>
      </x:c>
      <x:c r="N563" s="9" t="str">
        <x:v>Article PDF p. 2</x:v>
      </x:c>
      <x:c r="O563" s="9" t="str">
        <x:v>One or more platform, nozzle, layer-height, infill or toolpath details are absent.</x:v>
      </x:c>
      <x:c r="P563" s="9" t="str">
        <x:v>PDF pp. 2–9; Figs. 1–6; Supporting Figs. S1–S3 and Table S1 cited</x:v>
      </x:c>
    </x:row>
    <x:row r="564">
      <x:c r="A564" s="9" t="n">
        <x:v>71</x:v>
      </x:c>
      <x:c r="B564" s="9" t="str">
        <x:v>S086</x:v>
      </x:c>
      <x:c r="C564" s="9" t="str">
        <x:v>Li et al. (2022)</x:v>
      </x:c>
      <x:c r="D564" s="9" t="str">
        <x:v>D3</x:v>
      </x:c>
      <x:c r="E564" s="9" t="str">
        <x:v>Low concern</x:v>
      </x:c>
      <x:c r="F564" s="9" t="str">
        <x:v>Low concern</x:v>
      </x:c>
      <x:c r="G564" s="9" t="str">
        <x:v>Yes</x:v>
      </x:c>
      <x:c r="H564" s="9" t="str">
        <x:v>Agree</x:v>
      </x:c>
      <x:c r="I564" s="9" t="str">
        <x:v>Low concern</x:v>
      </x:c>
      <x:c r="J564" s="9" t="str">
        <x:v>Initial agreement</x:v>
      </x:c>
      <x:c r="K564" s="9" t="str">
        <x:v>Controlled inputs and suitable reference instruments/procedures are reported.</x:v>
      </x:c>
      <x:c r="L564" s="9" t="str">
        <x:v>PDF pp. 2–9; Figs. 1–6; Supporting Figs. S1–S3 and Table S1 cited</x:v>
      </x:c>
      <x:c r="M564" s="9" t="str">
        <x:v>The controlled input/reference and calibration procedure are appropriate and independently measured.</x:v>
      </x:c>
      <x:c r="N564" s="9" t="str">
        <x:v>Article PDF p. 2</x:v>
      </x:c>
      <x:c r="O564" s="9" t="str">
        <x:v>Controlled inputs and suitable reference instruments/procedures are reported.</x:v>
      </x:c>
      <x:c r="P564" s="9" t="str">
        <x:v>PDF pp. 2–9; Figs. 1–6; Supporting Figs. S1–S3 and Table S1 cited</x:v>
      </x:c>
    </x:row>
    <x:row r="565">
      <x:c r="A565" s="9" t="n">
        <x:v>71</x:v>
      </x:c>
      <x:c r="B565" s="9" t="str">
        <x:v>S086</x:v>
      </x:c>
      <x:c r="C565" s="9" t="str">
        <x:v>Li et al. (2022)</x:v>
      </x:c>
      <x:c r="D565" s="9" t="str">
        <x:v>D4</x:v>
      </x:c>
      <x:c r="E565" s="9" t="str">
        <x:v>Low concern</x:v>
      </x:c>
      <x:c r="F565" s="9" t="str">
        <x:v>Low concern</x:v>
      </x:c>
      <x:c r="G565" s="9" t="str">
        <x:v>Yes</x:v>
      </x:c>
      <x:c r="H565" s="9" t="str">
        <x:v>Agree</x:v>
      </x:c>
      <x:c r="I565" s="9" t="str">
        <x:v>Low concern</x:v>
      </x:c>
      <x:c r="J565" s="9" t="str">
        <x:v>Initial agreement</x:v>
      </x:c>
      <x:c r="K565" s="9" t="str">
        <x:v>Principal loading ranges, rates, holds or cycle conditions are stated.</x:v>
      </x:c>
      <x:c r="L565" s="9" t="str">
        <x:v>PDF pp. 2–9; Figs. 1–6; Supporting Figs. S1–S3 and Table S1 cited</x:v>
      </x:c>
      <x:c r="M565" s="9" t="str">
        <x:v>Relevant loading/exposure range, rate or geometry and measurement conditions are stated.</x:v>
      </x:c>
      <x:c r="N565" s="9" t="str">
        <x:v>Article PDF p. 2</x:v>
      </x:c>
      <x:c r="O565" s="9" t="str">
        <x:v>Principal loading ranges, rates, holds or cycle conditions are stated.</x:v>
      </x:c>
      <x:c r="P565" s="9" t="str">
        <x:v>PDF pp. 2–9; Figs. 1–6; Supporting Figs. S1–S3 and Table S1 cited</x:v>
      </x:c>
    </x:row>
    <x:row r="566">
      <x:c r="A566" s="9" t="n">
        <x:v>71</x:v>
      </x:c>
      <x:c r="B566" s="9" t="str">
        <x:v>S086</x:v>
      </x:c>
      <x:c r="C566" s="9" t="str">
        <x:v>Li et al. (2022)</x:v>
      </x:c>
      <x:c r="D566" s="9" t="str">
        <x:v>D5</x:v>
      </x:c>
      <x:c r="E566" s="9" t="str">
        <x:v>Low concern</x:v>
      </x:c>
      <x:c r="F566" s="9" t="str">
        <x:v>Low concern</x:v>
      </x:c>
      <x:c r="G566" s="9" t="str">
        <x:v>Yes</x:v>
      </x:c>
      <x:c r="H566" s="9" t="str">
        <x:v>Agree</x:v>
      </x:c>
      <x:c r="I566" s="9" t="str">
        <x:v>Low concern</x:v>
      </x:c>
      <x:c r="J566" s="9" t="str">
        <x:v>Initial agreement</x:v>
      </x:c>
      <x:c r="K566" s="9" t="str">
        <x:v>At least one defined repeated-measurement or endurance protocol is reported.</x:v>
      </x:c>
      <x:c r="L566" s="9" t="str">
        <x:v>PDF pp. 2–9; Figs. 1–6; Supporting Figs. S1–S3 and Table S1 cited</x:v>
      </x:c>
      <x:c r="M566" s="9" t="str">
        <x:v>A 6000-second cyclic protocol with stability results is reported.</x:v>
      </x:c>
      <x:c r="N566" s="9" t="str">
        <x:v>Article PDF pp. 7 and 9</x:v>
      </x:c>
      <x:c r="O566" s="9" t="str">
        <x:v>At least one defined repeated-measurement or endurance protocol is reported.</x:v>
      </x:c>
      <x:c r="P566" s="9" t="str">
        <x:v>PDF pp. 2–9; Figs. 1–6; Supporting Figs. S1–S3 and Table S1 cited</x:v>
      </x:c>
    </x:row>
    <x:row r="567">
      <x:c r="A567" s="9" t="n">
        <x:v>71</x:v>
      </x:c>
      <x:c r="B567" s="9" t="str">
        <x:v>S086</x:v>
      </x:c>
      <x:c r="C567" s="9" t="str">
        <x:v>Li et al. (2022)</x:v>
      </x:c>
      <x:c r="D567" s="9" t="str">
        <x:v>D6</x:v>
      </x:c>
      <x:c r="E567" s="9" t="str">
        <x:v>High concern</x:v>
      </x:c>
      <x:c r="F567" s="9" t="str">
        <x:v>High concern</x:v>
      </x:c>
      <x:c r="G567" s="9" t="str">
        <x:v>Yes</x:v>
      </x:c>
      <x:c r="H567" s="9" t="str">
        <x:v>Agree</x:v>
      </x:c>
      <x:c r="I567" s="9" t="str">
        <x:v>High concern</x:v>
      </x:c>
      <x:c r="J567" s="9" t="str">
        <x:v>Initial agreement</x:v>
      </x:c>
      <x:c r="K567" s="9" t="str">
        <x:v>A same-condition comparison of at least three separately fabricated complete sensing units with device-level results or dispersion was not identified.</x:v>
      </x:c>
      <x:c r="L567" s="9" t="str">
        <x:v>PDF pp. 2–9; Figs. 1–6; Supporting Figs. S1–S3 and Table S1 cited</x:v>
      </x:c>
      <x:c r="M567" s="9" t="str">
        <x:v>Cycles, participants or configurations do not establish replication across three equivalent fabricated devices.</x:v>
      </x:c>
      <x:c r="N567" s="9" t="str">
        <x:v>Article PDF p. 7</x:v>
      </x:c>
      <x:c r="O567" s="9" t="str">
        <x:v>A same-condition comparison of at least three separately fabricated complete sensing units with device-level results or dispersion was not identified.</x:v>
      </x:c>
      <x:c r="P567" s="9" t="str">
        <x:v>PDF pp. 2–9; Figs. 1–6; Supporting Figs. S1–S3 and Table S1 cited</x:v>
      </x:c>
    </x:row>
    <x:row r="568">
      <x:c r="A568" s="9" t="n">
        <x:v>71</x:v>
      </x:c>
      <x:c r="B568" s="9" t="str">
        <x:v>S086</x:v>
      </x:c>
      <x:c r="C568" s="9" t="str">
        <x:v>Li et al. (2022)</x:v>
      </x:c>
      <x:c r="D568" s="9" t="str">
        <x:v>D7</x:v>
      </x:c>
      <x:c r="E568" s="9" t="str">
        <x:v>Some concern</x:v>
      </x:c>
      <x:c r="F568" s="9" t="str">
        <x:v>Some concern</x:v>
      </x:c>
      <x:c r="G568" s="9" t="str">
        <x:v>Yes</x:v>
      </x:c>
      <x:c r="H568" s="9" t="str">
        <x:v>Agree</x:v>
      </x:c>
      <x:c r="I568" s="9" t="str">
        <x:v>Some concern</x:v>
      </x:c>
      <x:c r="J568" s="9" t="str">
        <x:v>Initial agreement</x:v>
      </x:c>
      <x:c r="K568" s="9" t="str">
        <x:v>Principal outcomes are quantitative, but device-level uncertainty/dispersion or retention magnitude is incomplete.</x:v>
      </x:c>
      <x:c r="L568" s="9" t="str">
        <x:v>PDF pp. 2–9; Figs. 1–6; Supporting Figs. S1–S3 and Table S1 cited</x:v>
      </x:c>
      <x:c r="M568" s="9" t="str">
        <x:v>Principal outcomes are reported, but device-level uncertainty or complete accounting of units/cycles is limited.</x:v>
      </x:c>
      <x:c r="N568" s="9" t="str">
        <x:v>Article PDF p. 7</x:v>
      </x:c>
      <x:c r="O568" s="9" t="str">
        <x:v>Principal outcomes are quantitative, but device-level uncertainty/dispersion or retention magnitude is incomplete.</x:v>
      </x:c>
      <x:c r="P568" s="9" t="str">
        <x:v>PDF pp. 2–9; Figs. 1–6; Supporting Figs. S1–S3 and Table S1 cited</x:v>
      </x:c>
    </x:row>
    <x:row r="569">
      <x:c r="A569" s="9" t="n">
        <x:v>71</x:v>
      </x:c>
      <x:c r="B569" s="9" t="str">
        <x:v>S086</x:v>
      </x:c>
      <x:c r="C569" s="9" t="str">
        <x:v>Li et al. (2022)</x:v>
      </x:c>
      <x:c r="D569" s="9" t="str">
        <x:v>D8</x:v>
      </x:c>
      <x:c r="E569" s="9" t="str">
        <x:v>Some concern</x:v>
      </x:c>
      <x:c r="F569" s="9" t="str">
        <x:v>Low concern</x:v>
      </x:c>
      <x:c r="G569" s="9" t="str">
        <x:v>Yes</x:v>
      </x:c>
      <x:c r="H569" s="9" t="str">
        <x:v>Disagree</x:v>
      </x:c>
      <x:c r="I569" s="9" t="str">
        <x:v>Some concern</x:v>
      </x:c>
      <x:c r="J569" s="9" t="str">
        <x:v>Adjudicated to Reviewer 1</x:v>
      </x:c>
      <x:c r="K569" s="9" t="str">
        <x:v>A complete wearable configuration was demonstrated, but participant count, comparator or protocol depth is limited.</x:v>
      </x:c>
      <x:c r="L569" s="9" t="str">
        <x:v>PDF pp. 2–9; Figs. 1–6; Supporting Figs. S1–S3 and Table S1 cited</x:v>
      </x:c>
      <x:c r="M569" s="9" t="str">
        <x:v>The final device was evaluated in a body-worn/use-relevant human configuration.</x:v>
      </x:c>
      <x:c r="N569" s="9" t="str">
        <x:v>Article PDF p. 7</x:v>
      </x:c>
      <x:c r="O569" s="9" t="str">
        <x:v>A complete wearable configuration was demonstrated, but participant count, comparator or protocol depth is limited.</x:v>
      </x:c>
      <x:c r="P569" s="9" t="str">
        <x:v>PDF pp. 2–9; Figs. 1–6; Supporting Figs. S1–S3 and Table S1 cited</x:v>
      </x:c>
    </x:row>
    <x:row r="570">
      <x:c r="A570" s="9" t="n">
        <x:v>72</x:v>
      </x:c>
      <x:c r="B570" s="9" t="str">
        <x:v>S087</x:v>
      </x:c>
      <x:c r="C570" s="9" t="str">
        <x:v>Ma et al. (2021)</x:v>
      </x:c>
      <x:c r="D570" s="9" t="str">
        <x:v>D1</x:v>
      </x:c>
      <x:c r="E570" s="9" t="str">
        <x:v>High concern</x:v>
      </x:c>
      <x:c r="F570" s="9" t="str">
        <x:v>Some concern</x:v>
      </x:c>
      <x:c r="G570" s="9" t="str">
        <x:v>Yes</x:v>
      </x:c>
      <x:c r="H570" s="9" t="str">
        <x:v>Disagree</x:v>
      </x:c>
      <x:c r="I570" s="9" t="str">
        <x:v>High concern</x:v>
      </x:c>
      <x:c r="J570" s="9" t="str">
        <x:v>Adjudicated to Reviewer 1</x:v>
      </x:c>
      <x:c r="K570" s="9" t="str">
        <x:v>Device sampling was not justified and wearable testing used one, two or an unspecified small number of participants.</x:v>
      </x:c>
      <x:c r="L570" s="9" t="str">
        <x:v>PDF pp. 2–7; Figs. 1–5; Supplementary Figs. S1–S7 cited</x:v>
      </x:c>
      <x:c r="M570" s="9" t="str">
        <x:v>Some unit/participant counts or selection details are provided, but fabricated-unit selection and failures are not fully accounted for.</x:v>
      </x:c>
      <x:c r="N570" s="9" t="str">
        <x:v>Article PDF p. 7</x:v>
      </x:c>
      <x:c r="O570" s="9" t="str">
        <x:v>Device sampling was not justified and wearable testing used one, two or an unspecified small number of participants.</x:v>
      </x:c>
      <x:c r="P570" s="9" t="str">
        <x:v>PDF pp. 2–7; Figs. 1–5; Supplementary Figs. S1–S7 cited</x:v>
      </x:c>
    </x:row>
    <x:row r="571">
      <x:c r="A571" s="9" t="n">
        <x:v>72</x:v>
      </x:c>
      <x:c r="B571" s="9" t="str">
        <x:v>S087</x:v>
      </x:c>
      <x:c r="C571" s="9" t="str">
        <x:v>Ma et al. (2021)</x:v>
      </x:c>
      <x:c r="D571" s="9" t="str">
        <x:v>D2</x:v>
      </x:c>
      <x:c r="E571" s="9" t="str">
        <x:v>Some concern</x:v>
      </x:c>
      <x:c r="F571" s="9" t="str">
        <x:v>High concern</x:v>
      </x:c>
      <x:c r="G571" s="9" t="str">
        <x:v>Yes</x:v>
      </x:c>
      <x:c r="H571" s="9" t="str">
        <x:v>Disagree</x:v>
      </x:c>
      <x:c r="I571" s="9" t="str">
        <x:v>Some concern</x:v>
      </x:c>
      <x:c r="J571" s="9" t="str">
        <x:v>Adjudicated to Reviewer 1</x:v>
      </x:c>
      <x:c r="K571" s="9" t="str">
        <x:v>One or more platform, nozzle, layer-height, infill or toolpath details are absent.</x:v>
      </x:c>
      <x:c r="L571" s="9" t="str">
        <x:v>PDF pp. 2–7; Figs. 1–5; Supplementary Figs. S1–S7 cited</x:v>
      </x:c>
      <x:c r="M571" s="9" t="str">
        <x:v>Key fabrication variables are missing, so process variation cannot be separated confidently from sensor effects.</x:v>
      </x:c>
      <x:c r="N571" s="9" t="str">
        <x:v>Article PDF p. 1</x:v>
      </x:c>
      <x:c r="O571" s="9" t="str">
        <x:v>One or more platform, nozzle, layer-height, infill or toolpath details are absent.</x:v>
      </x:c>
      <x:c r="P571" s="9" t="str">
        <x:v>PDF pp. 2–7; Figs. 1–5; Supplementary Figs. S1–S7 cited</x:v>
      </x:c>
    </x:row>
    <x:row r="572">
      <x:c r="A572" s="9" t="n">
        <x:v>72</x:v>
      </x:c>
      <x:c r="B572" s="9" t="str">
        <x:v>S087</x:v>
      </x:c>
      <x:c r="C572" s="9" t="str">
        <x:v>Ma et al. (2021)</x:v>
      </x:c>
      <x:c r="D572" s="9" t="str">
        <x:v>D3</x:v>
      </x:c>
      <x:c r="E572" s="9" t="str">
        <x:v>Low concern</x:v>
      </x:c>
      <x:c r="F572" s="9" t="str">
        <x:v>Low concern</x:v>
      </x:c>
      <x:c r="G572" s="9" t="str">
        <x:v>Yes</x:v>
      </x:c>
      <x:c r="H572" s="9" t="str">
        <x:v>Agree</x:v>
      </x:c>
      <x:c r="I572" s="9" t="str">
        <x:v>Low concern</x:v>
      </x:c>
      <x:c r="J572" s="9" t="str">
        <x:v>Initial agreement</x:v>
      </x:c>
      <x:c r="K572" s="9" t="str">
        <x:v>Controlled inputs and suitable reference instruments/procedures are reported.</x:v>
      </x:c>
      <x:c r="L572" s="9" t="str">
        <x:v>PDF pp. 2–7; Figs. 1–5; Supplementary Figs. S1–S7 cited</x:v>
      </x:c>
      <x:c r="M572" s="9" t="str">
        <x:v>Controlled universal-test-machine loading provides the mechanical reference.</x:v>
      </x:c>
      <x:c r="N572" s="9" t="str">
        <x:v>Article PDF p. 3</x:v>
      </x:c>
      <x:c r="O572" s="9" t="str">
        <x:v>Controlled inputs and suitable reference instruments/procedures are reported.</x:v>
      </x:c>
      <x:c r="P572" s="9" t="str">
        <x:v>PDF pp. 2–7; Figs. 1–5; Supplementary Figs. S1–S7 cited</x:v>
      </x:c>
    </x:row>
    <x:row r="573">
      <x:c r="A573" s="9" t="n">
        <x:v>72</x:v>
      </x:c>
      <x:c r="B573" s="9" t="str">
        <x:v>S087</x:v>
      </x:c>
      <x:c r="C573" s="9" t="str">
        <x:v>Ma et al. (2021)</x:v>
      </x:c>
      <x:c r="D573" s="9" t="str">
        <x:v>D4</x:v>
      </x:c>
      <x:c r="E573" s="9" t="str">
        <x:v>Low concern</x:v>
      </x:c>
      <x:c r="F573" s="9" t="str">
        <x:v>Low concern</x:v>
      </x:c>
      <x:c r="G573" s="9" t="str">
        <x:v>Yes</x:v>
      </x:c>
      <x:c r="H573" s="9" t="str">
        <x:v>Agree</x:v>
      </x:c>
      <x:c r="I573" s="9" t="str">
        <x:v>Low concern</x:v>
      </x:c>
      <x:c r="J573" s="9" t="str">
        <x:v>Initial agreement</x:v>
      </x:c>
      <x:c r="K573" s="9" t="str">
        <x:v>Principal loading ranges, rates, holds or cycle conditions are stated.</x:v>
      </x:c>
      <x:c r="L573" s="9" t="str">
        <x:v>PDF pp. 2–7; Figs. 1–5; Supplementary Figs. S1–S7 cited</x:v>
      </x:c>
      <x:c r="M573" s="9" t="str">
        <x:v>Relevant loading/exposure range, rate or geometry and measurement conditions are stated.</x:v>
      </x:c>
      <x:c r="N573" s="9" t="str">
        <x:v>Article PDF p. 1</x:v>
      </x:c>
      <x:c r="O573" s="9" t="str">
        <x:v>Principal loading ranges, rates, holds or cycle conditions are stated.</x:v>
      </x:c>
      <x:c r="P573" s="9" t="str">
        <x:v>PDF pp. 2–7; Figs. 1–5; Supplementary Figs. S1–S7 cited</x:v>
      </x:c>
    </x:row>
    <x:row r="574">
      <x:c r="A574" s="9" t="n">
        <x:v>72</x:v>
      </x:c>
      <x:c r="B574" s="9" t="str">
        <x:v>S087</x:v>
      </x:c>
      <x:c r="C574" s="9" t="str">
        <x:v>Ma et al. (2021)</x:v>
      </x:c>
      <x:c r="D574" s="9" t="str">
        <x:v>D5</x:v>
      </x:c>
      <x:c r="E574" s="9" t="str">
        <x:v>Low concern</x:v>
      </x:c>
      <x:c r="F574" s="9" t="str">
        <x:v>Low concern</x:v>
      </x:c>
      <x:c r="G574" s="9" t="str">
        <x:v>Yes</x:v>
      </x:c>
      <x:c r="H574" s="9" t="str">
        <x:v>Agree</x:v>
      </x:c>
      <x:c r="I574" s="9" t="str">
        <x:v>Low concern</x:v>
      </x:c>
      <x:c r="J574" s="9" t="str">
        <x:v>Initial agreement</x:v>
      </x:c>
      <x:c r="K574" s="9" t="str">
        <x:v>At least one defined repeated-measurement or endurance protocol is reported.</x:v>
      </x:c>
      <x:c r="L574" s="9" t="str">
        <x:v>PDF pp. 2–7; Figs. 1–5; Supplementary Figs. S1–S7 cited</x:v>
      </x:c>
      <x:c r="M574" s="9" t="str">
        <x:v>Cycling stability and reversibility outcomes are reported.</x:v>
      </x:c>
      <x:c r="N574" s="9" t="str">
        <x:v>Article PDF pp. 5-7</x:v>
      </x:c>
      <x:c r="O574" s="9" t="str">
        <x:v>At least one defined repeated-measurement or endurance protocol is reported.</x:v>
      </x:c>
      <x:c r="P574" s="9" t="str">
        <x:v>PDF pp. 2–7; Figs. 1–5; Supplementary Figs. S1–S7 cited</x:v>
      </x:c>
    </x:row>
    <x:row r="575">
      <x:c r="A575" s="9" t="n">
        <x:v>72</x:v>
      </x:c>
      <x:c r="B575" s="9" t="str">
        <x:v>S087</x:v>
      </x:c>
      <x:c r="C575" s="9" t="str">
        <x:v>Ma et al. (2021)</x:v>
      </x:c>
      <x:c r="D575" s="9" t="str">
        <x:v>D6</x:v>
      </x:c>
      <x:c r="E575" s="9" t="str">
        <x:v>High concern</x:v>
      </x:c>
      <x:c r="F575" s="9" t="str">
        <x:v>High concern</x:v>
      </x:c>
      <x:c r="G575" s="9" t="str">
        <x:v>Yes</x:v>
      </x:c>
      <x:c r="H575" s="9" t="str">
        <x:v>Agree</x:v>
      </x:c>
      <x:c r="I575" s="9" t="str">
        <x:v>High concern</x:v>
      </x:c>
      <x:c r="J575" s="9" t="str">
        <x:v>Initial agreement</x:v>
      </x:c>
      <x:c r="K575" s="9" t="str">
        <x:v>A same-condition comparison of at least three separately fabricated complete sensing units with device-level results or dispersion was not identified.</x:v>
      </x:c>
      <x:c r="L575" s="9" t="str">
        <x:v>PDF pp. 2–7; Figs. 1–5; Supplementary Figs. S1–S7 cited</x:v>
      </x:c>
      <x:c r="M575" s="9" t="str">
        <x:v>Cycles, participants or configurations do not establish replication across three equivalent fabricated devices.</x:v>
      </x:c>
      <x:c r="N575" s="9" t="str">
        <x:v>Article PDF p. 1</x:v>
      </x:c>
      <x:c r="O575" s="9" t="str">
        <x:v>A same-condition comparison of at least three separately fabricated complete sensing units with device-level results or dispersion was not identified.</x:v>
      </x:c>
      <x:c r="P575" s="9" t="str">
        <x:v>PDF pp. 2–7; Figs. 1–5; Supplementary Figs. S1–S7 cited</x:v>
      </x:c>
    </x:row>
    <x:row r="576">
      <x:c r="A576" s="9" t="n">
        <x:v>72</x:v>
      </x:c>
      <x:c r="B576" s="9" t="str">
        <x:v>S087</x:v>
      </x:c>
      <x:c r="C576" s="9" t="str">
        <x:v>Ma et al. (2021)</x:v>
      </x:c>
      <x:c r="D576" s="9" t="str">
        <x:v>D7</x:v>
      </x:c>
      <x:c r="E576" s="9" t="str">
        <x:v>Some concern</x:v>
      </x:c>
      <x:c r="F576" s="9" t="str">
        <x:v>Some concern</x:v>
      </x:c>
      <x:c r="G576" s="9" t="str">
        <x:v>Yes</x:v>
      </x:c>
      <x:c r="H576" s="9" t="str">
        <x:v>Agree</x:v>
      </x:c>
      <x:c r="I576" s="9" t="str">
        <x:v>Some concern</x:v>
      </x:c>
      <x:c r="J576" s="9" t="str">
        <x:v>Initial agreement</x:v>
      </x:c>
      <x:c r="K576" s="9" t="str">
        <x:v>Principal outcomes are quantitative, but device-level uncertainty/dispersion or retention magnitude is incomplete.</x:v>
      </x:c>
      <x:c r="L576" s="9" t="str">
        <x:v>PDF pp. 2–7; Figs. 1–5; Supplementary Figs. S1–S7 cited</x:v>
      </x:c>
      <x:c r="M576" s="9" t="str">
        <x:v>Principal outcomes are reported, but device-level uncertainty or complete accounting of units/cycles is limited.</x:v>
      </x:c>
      <x:c r="N576" s="9" t="str">
        <x:v>Article PDF p. 7</x:v>
      </x:c>
      <x:c r="O576" s="9" t="str">
        <x:v>Principal outcomes are quantitative, but device-level uncertainty/dispersion or retention magnitude is incomplete.</x:v>
      </x:c>
      <x:c r="P576" s="9" t="str">
        <x:v>PDF pp. 2–7; Figs. 1–5; Supplementary Figs. S1–S7 cited</x:v>
      </x:c>
    </x:row>
    <x:row r="577">
      <x:c r="A577" s="9" t="n">
        <x:v>72</x:v>
      </x:c>
      <x:c r="B577" s="9" t="str">
        <x:v>S087</x:v>
      </x:c>
      <x:c r="C577" s="9" t="str">
        <x:v>Ma et al. (2021)</x:v>
      </x:c>
      <x:c r="D577" s="9" t="str">
        <x:v>D8</x:v>
      </x:c>
      <x:c r="E577" s="9" t="str">
        <x:v>Some concern</x:v>
      </x:c>
      <x:c r="F577" s="9" t="str">
        <x:v>Low concern</x:v>
      </x:c>
      <x:c r="G577" s="9" t="str">
        <x:v>Yes</x:v>
      </x:c>
      <x:c r="H577" s="9" t="str">
        <x:v>Disagree</x:v>
      </x:c>
      <x:c r="I577" s="9" t="str">
        <x:v>Some concern</x:v>
      </x:c>
      <x:c r="J577" s="9" t="str">
        <x:v>Adjudicated to Reviewer 1</x:v>
      </x:c>
      <x:c r="K577" s="9" t="str">
        <x:v>A complete wearable configuration was demonstrated, but participant count, comparator or protocol depth is limited.</x:v>
      </x:c>
      <x:c r="L577" s="9" t="str">
        <x:v>PDF pp. 2–7; Figs. 1–5; Supplementary Figs. S1–S7 cited</x:v>
      </x:c>
      <x:c r="M577" s="9" t="str">
        <x:v>The final device was evaluated in a body-worn/use-relevant human configuration.</x:v>
      </x:c>
      <x:c r="N577" s="9" t="str">
        <x:v>Article PDF p. 7</x:v>
      </x:c>
      <x:c r="O577" s="9" t="str">
        <x:v>A complete wearable configuration was demonstrated, but participant count, comparator or protocol depth is limited.</x:v>
      </x:c>
      <x:c r="P577" s="9" t="str">
        <x:v>PDF pp. 2–7; Figs. 1–5; Supplementary Figs. S1–S7 cited</x:v>
      </x:c>
    </x:row>
    <x:row r="578">
      <x:c r="A578" s="9" t="n">
        <x:v>73</x:v>
      </x:c>
      <x:c r="B578" s="9" t="str">
        <x:v>S088</x:v>
      </x:c>
      <x:c r="C578" s="9" t="str">
        <x:v>Cheng-Yu et al. (2021)</x:v>
      </x:c>
      <x:c r="D578" s="9" t="str">
        <x:v>D1</x:v>
      </x:c>
      <x:c r="E578" s="9" t="str">
        <x:v>High concern</x:v>
      </x:c>
      <x:c r="F578" s="9" t="str">
        <x:v>Some concern</x:v>
      </x:c>
      <x:c r="G578" s="9" t="str">
        <x:v>Yes</x:v>
      </x:c>
      <x:c r="H578" s="9" t="str">
        <x:v>Disagree</x:v>
      </x:c>
      <x:c r="I578" s="9" t="str">
        <x:v>High concern</x:v>
      </x:c>
      <x:c r="J578" s="9" t="str">
        <x:v>Adjudicated to Reviewer 1</x:v>
      </x:c>
      <x:c r="K578" s="9" t="str">
        <x:v>Device sampling was not justified and wearable testing used one, two or an unspecified small number of participants.</x:v>
      </x:c>
      <x:c r="L578" s="9" t="str">
        <x:v>PDF pp. 4–12; Figs. 1–10; Table 1</x:v>
      </x:c>
      <x:c r="M578" s="9" t="str">
        <x:v>Some unit/participant counts or selection details are provided, but fabricated-unit selection and failures are not fully accounted for.</x:v>
      </x:c>
      <x:c r="N578" s="9" t="str">
        <x:v>Article PDF p. 2</x:v>
      </x:c>
      <x:c r="O578" s="9" t="str">
        <x:v>Device sampling was not justified and wearable testing used one, two or an unspecified small number of participants.</x:v>
      </x:c>
      <x:c r="P578" s="9" t="str">
        <x:v>PDF pp. 4–12; Figs. 1–10; Table 1</x:v>
      </x:c>
    </x:row>
    <x:row r="579">
      <x:c r="A579" s="9" t="n">
        <x:v>73</x:v>
      </x:c>
      <x:c r="B579" s="9" t="str">
        <x:v>S088</x:v>
      </x:c>
      <x:c r="C579" s="9" t="str">
        <x:v>Cheng-Yu et al. (2021)</x:v>
      </x:c>
      <x:c r="D579" s="9" t="str">
        <x:v>D2</x:v>
      </x:c>
      <x:c r="E579" s="9" t="str">
        <x:v>Some concern</x:v>
      </x:c>
      <x:c r="F579" s="9" t="str">
        <x:v>Some concern</x:v>
      </x:c>
      <x:c r="G579" s="9" t="str">
        <x:v>Yes</x:v>
      </x:c>
      <x:c r="H579" s="9" t="str">
        <x:v>Agree</x:v>
      </x:c>
      <x:c r="I579" s="9" t="str">
        <x:v>Some concern</x:v>
      </x:c>
      <x:c r="J579" s="9" t="str">
        <x:v>Initial agreement</x:v>
      </x:c>
      <x:c r="K579" s="9" t="str">
        <x:v>One or more platform, nozzle, layer-height, infill or toolpath details are absent.</x:v>
      </x:c>
      <x:c r="L579" s="9" t="str">
        <x:v>PDF pp. 4–12; Figs. 1–10; Table 1</x:v>
      </x:c>
      <x:c r="M579" s="9" t="str">
        <x:v>Several fabrication controls are documented, but omitted settings leave residual process-confounding concern.</x:v>
      </x:c>
      <x:c r="N579" s="9" t="str">
        <x:v>Article PDF p. 5</x:v>
      </x:c>
      <x:c r="O579" s="9" t="str">
        <x:v>One or more platform, nozzle, layer-height, infill or toolpath details are absent.</x:v>
      </x:c>
      <x:c r="P579" s="9" t="str">
        <x:v>PDF pp. 4–12; Figs. 1–10; Table 1</x:v>
      </x:c>
    </x:row>
    <x:row r="580">
      <x:c r="A580" s="9" t="n">
        <x:v>73</x:v>
      </x:c>
      <x:c r="B580" s="9" t="str">
        <x:v>S088</x:v>
      </x:c>
      <x:c r="C580" s="9" t="str">
        <x:v>Cheng-Yu et al. (2021)</x:v>
      </x:c>
      <x:c r="D580" s="9" t="str">
        <x:v>D3</x:v>
      </x:c>
      <x:c r="E580" s="9" t="str">
        <x:v>Some concern</x:v>
      </x:c>
      <x:c r="F580" s="9" t="str">
        <x:v>Some concern</x:v>
      </x:c>
      <x:c r="G580" s="9" t="str">
        <x:v>Yes</x:v>
      </x:c>
      <x:c r="H580" s="9" t="str">
        <x:v>Agree</x:v>
      </x:c>
      <x:c r="I580" s="9" t="str">
        <x:v>Some concern</x:v>
      </x:c>
      <x:c r="J580" s="9" t="str">
        <x:v>Initial agreement</x:v>
      </x:c>
      <x:c r="K580" s="9" t="str">
        <x:v>The application demonstration lacks an independent physiological comparator or independently measured joint angle.</x:v>
      </x:c>
      <x:c r="L580" s="9" t="str">
        <x:v>PDF pp. 4–12; Figs. 1–10; Table 1</x:v>
      </x:c>
      <x:c r="M580" s="9" t="str">
        <x:v>Known joint angles were used, but reference-instrument calibration and angular uncertainty are incompletely described.</x:v>
      </x:c>
      <x:c r="N580" s="9" t="str">
        <x:v>Article PDF pp. 6-8</x:v>
      </x:c>
      <x:c r="O580" s="9" t="str">
        <x:v>The application demonstration lacks an independent physiological comparator or independently measured joint angle.</x:v>
      </x:c>
      <x:c r="P580" s="9" t="str">
        <x:v>PDF pp. 4–12; Figs. 1–10; Table 1</x:v>
      </x:c>
    </x:row>
    <x:row r="581">
      <x:c r="A581" s="9" t="n">
        <x:v>73</x:v>
      </x:c>
      <x:c r="B581" s="9" t="str">
        <x:v>S088</x:v>
      </x:c>
      <x:c r="C581" s="9" t="str">
        <x:v>Cheng-Yu et al. (2021)</x:v>
      </x:c>
      <x:c r="D581" s="9" t="str">
        <x:v>D4</x:v>
      </x:c>
      <x:c r="E581" s="9" t="str">
        <x:v>Low concern</x:v>
      </x:c>
      <x:c r="F581" s="9" t="str">
        <x:v>Some concern</x:v>
      </x:c>
      <x:c r="G581" s="9" t="str">
        <x:v>Yes</x:v>
      </x:c>
      <x:c r="H581" s="9" t="str">
        <x:v>Disagree</x:v>
      </x:c>
      <x:c r="I581" s="9" t="str">
        <x:v>Low concern</x:v>
      </x:c>
      <x:c r="J581" s="9" t="str">
        <x:v>Adjudicated to Reviewer 1</x:v>
      </x:c>
      <x:c r="K581" s="9" t="str">
        <x:v>Principal loading ranges, rates, holds or cycle conditions are stated.</x:v>
      </x:c>
      <x:c r="L581" s="9" t="str">
        <x:v>PDF pp. 4–12; Figs. 1–10; Table 1</x:v>
      </x:c>
      <x:c r="M581" s="9" t="str">
        <x:v>Loading, mounting or environmental conditions are only partly specified or controlled.</x:v>
      </x:c>
      <x:c r="N581" s="9" t="str">
        <x:v>Article PDF p. 2</x:v>
      </x:c>
      <x:c r="O581" s="9" t="str">
        <x:v>Principal loading ranges, rates, holds or cycle conditions are stated.</x:v>
      </x:c>
      <x:c r="P581" s="9" t="str">
        <x:v>PDF pp. 4–12; Figs. 1–10; Table 1</x:v>
      </x:c>
    </x:row>
    <x:row r="582">
      <x:c r="A582" s="9" t="n">
        <x:v>73</x:v>
      </x:c>
      <x:c r="B582" s="9" t="str">
        <x:v>S088</x:v>
      </x:c>
      <x:c r="C582" s="9" t="str">
        <x:v>Cheng-Yu et al. (2021)</x:v>
      </x:c>
      <x:c r="D582" s="9" t="str">
        <x:v>D5</x:v>
      </x:c>
      <x:c r="E582" s="9" t="str">
        <x:v>Low concern</x:v>
      </x:c>
      <x:c r="F582" s="9" t="str">
        <x:v>High concern</x:v>
      </x:c>
      <x:c r="G582" s="9" t="str">
        <x:v>Yes</x:v>
      </x:c>
      <x:c r="H582" s="9" t="str">
        <x:v>Disagree</x:v>
      </x:c>
      <x:c r="I582" s="9" t="str">
        <x:v>Low concern</x:v>
      </x:c>
      <x:c r="J582" s="9" t="str">
        <x:v>Adjudicated to Reviewer 1</x:v>
      </x:c>
      <x:c r="K582" s="9" t="str">
        <x:v>At least one defined repeated-measurement or endurance protocol is reported.</x:v>
      </x:c>
      <x:c r="L582" s="9" t="str">
        <x:v>PDF pp. 4–12; Figs. 1–10; Table 1</x:v>
      </x:c>
      <x:c r="M582" s="9" t="str">
        <x:v>A defined repeated-measurement design with an adequate stability analysis is absent.</x:v>
      </x:c>
      <x:c r="N582" s="9" t="str">
        <x:v>Article PDF p. 2</x:v>
      </x:c>
      <x:c r="O582" s="9" t="str">
        <x:v>At least one defined repeated-measurement or endurance protocol is reported.</x:v>
      </x:c>
      <x:c r="P582" s="9" t="str">
        <x:v>PDF pp. 4–12; Figs. 1–10; Table 1</x:v>
      </x:c>
    </x:row>
    <x:row r="583">
      <x:c r="A583" s="9" t="n">
        <x:v>73</x:v>
      </x:c>
      <x:c r="B583" s="9" t="str">
        <x:v>S088</x:v>
      </x:c>
      <x:c r="C583" s="9" t="str">
        <x:v>Cheng-Yu et al. (2021)</x:v>
      </x:c>
      <x:c r="D583" s="9" t="str">
        <x:v>D6</x:v>
      </x:c>
      <x:c r="E583" s="9" t="str">
        <x:v>High concern</x:v>
      </x:c>
      <x:c r="F583" s="9" t="str">
        <x:v>High concern</x:v>
      </x:c>
      <x:c r="G583" s="9" t="str">
        <x:v>Yes</x:v>
      </x:c>
      <x:c r="H583" s="9" t="str">
        <x:v>Agree</x:v>
      </x:c>
      <x:c r="I583" s="9" t="str">
        <x:v>High concern</x:v>
      </x:c>
      <x:c r="J583" s="9" t="str">
        <x:v>Initial agreement</x:v>
      </x:c>
      <x:c r="K583" s="9" t="str">
        <x:v>A same-condition comparison of at least three separately fabricated complete sensing units with device-level results or dispersion was not identified.</x:v>
      </x:c>
      <x:c r="L583" s="9" t="str">
        <x:v>PDF pp. 4–12; Figs. 1–10; Table 1</x:v>
      </x:c>
      <x:c r="M583" s="9" t="str">
        <x:v>Cycles, participants or configurations do not establish replication across three equivalent fabricated devices.</x:v>
      </x:c>
      <x:c r="N583" s="9" t="str">
        <x:v>Article PDF p. 7</x:v>
      </x:c>
      <x:c r="O583" s="9" t="str">
        <x:v>A same-condition comparison of at least three separately fabricated complete sensing units with device-level results or dispersion was not identified.</x:v>
      </x:c>
      <x:c r="P583" s="9" t="str">
        <x:v>PDF pp. 4–12; Figs. 1–10; Table 1</x:v>
      </x:c>
    </x:row>
    <x:row r="584">
      <x:c r="A584" s="9" t="n">
        <x:v>73</x:v>
      </x:c>
      <x:c r="B584" s="9" t="str">
        <x:v>S088</x:v>
      </x:c>
      <x:c r="C584" s="9" t="str">
        <x:v>Cheng-Yu et al. (2021)</x:v>
      </x:c>
      <x:c r="D584" s="9" t="str">
        <x:v>D7</x:v>
      </x:c>
      <x:c r="E584" s="9" t="str">
        <x:v>Low concern</x:v>
      </x:c>
      <x:c r="F584" s="9" t="str">
        <x:v>Some concern</x:v>
      </x:c>
      <x:c r="G584" s="9" t="str">
        <x:v>Yes</x:v>
      </x:c>
      <x:c r="H584" s="9" t="str">
        <x:v>Disagree</x:v>
      </x:c>
      <x:c r="I584" s="9" t="str">
        <x:v>Low concern</x:v>
      </x:c>
      <x:c r="J584" s="9" t="str">
        <x:v>Adjudicated to Reviewer 1</x:v>
      </x:c>
      <x:c r="K584" s="9" t="str">
        <x:v>Principal response magnitudes, ranges and stability/failure behavior are quantitatively reported.</x:v>
      </x:c>
      <x:c r="L584" s="9" t="str">
        <x:v>PDF pp. 4–12; Figs. 1–10; Table 1</x:v>
      </x:c>
      <x:c r="M584" s="9" t="str">
        <x:v>Principal outcomes are reported, but device-level uncertainty or complete accounting of units/cycles is limited.</x:v>
      </x:c>
      <x:c r="N584" s="9" t="str">
        <x:v>Article PDF p. 3</x:v>
      </x:c>
      <x:c r="O584" s="9" t="str">
        <x:v>Principal response magnitudes, ranges and stability/failure behavior are quantitatively reported.</x:v>
      </x:c>
      <x:c r="P584" s="9" t="str">
        <x:v>PDF pp. 4–12; Figs. 1–10; Table 1</x:v>
      </x:c>
    </x:row>
    <x:row r="585">
      <x:c r="A585" s="9" t="n">
        <x:v>73</x:v>
      </x:c>
      <x:c r="B585" s="9" t="str">
        <x:v>S088</x:v>
      </x:c>
      <x:c r="C585" s="9" t="str">
        <x:v>Cheng-Yu et al. (2021)</x:v>
      </x:c>
      <x:c r="D585" s="9" t="str">
        <x:v>D8</x:v>
      </x:c>
      <x:c r="E585" s="9" t="str">
        <x:v>High concern</x:v>
      </x:c>
      <x:c r="F585" s="9" t="str">
        <x:v>Low concern</x:v>
      </x:c>
      <x:c r="G585" s="9" t="str">
        <x:v>Yes</x:v>
      </x:c>
      <x:c r="H585" s="9" t="str">
        <x:v>Disagree</x:v>
      </x:c>
      <x:c r="I585" s="9" t="str">
        <x:v>High concern</x:v>
      </x:c>
      <x:c r="J585" s="9" t="str">
        <x:v>Adjudicated to Reviewer 1</x:v>
      </x:c>
      <x:c r="K585" s="9" t="str">
        <x:v>Wearable evidence is restricted to one participant and lacks broader validation.</x:v>
      </x:c>
      <x:c r="L585" s="9" t="str">
        <x:v>PDF pp. 4–12; Figs. 1–10; Table 1</x:v>
      </x:c>
      <x:c r="M585" s="9" t="str">
        <x:v>The final device was evaluated in a body-worn/use-relevant human configuration.</x:v>
      </x:c>
      <x:c r="N585" s="9" t="str">
        <x:v>Article PDF p. 7</x:v>
      </x:c>
      <x:c r="O585" s="9" t="str">
        <x:v>Wearable evidence is restricted to one participant and lacks broader validation.</x:v>
      </x:c>
      <x:c r="P585" s="9" t="str">
        <x:v>PDF pp. 4–12; Figs. 1–10; Table 1</x:v>
      </x:c>
    </x:row>
    <x:row r="586">
      <x:c r="A586" s="9" t="n">
        <x:v>74</x:v>
      </x:c>
      <x:c r="B586" s="9" t="str">
        <x:v>S089</x:v>
      </x:c>
      <x:c r="C586" s="9" t="str">
        <x:v>Xiang et al. (2020)</x:v>
      </x:c>
      <x:c r="D586" s="9" t="str">
        <x:v>D1</x:v>
      </x:c>
      <x:c r="E586" s="9" t="str">
        <x:v>High concern</x:v>
      </x:c>
      <x:c r="F586" s="9" t="str">
        <x:v>Some concern</x:v>
      </x:c>
      <x:c r="G586" s="9" t="str">
        <x:v>Yes</x:v>
      </x:c>
      <x:c r="H586" s="9" t="str">
        <x:v>Disagree</x:v>
      </x:c>
      <x:c r="I586" s="9" t="str">
        <x:v>High concern</x:v>
      </x:c>
      <x:c r="J586" s="9" t="str">
        <x:v>Adjudicated to Reviewer 1</x:v>
      </x:c>
      <x:c r="K586" s="9" t="str">
        <x:v>Device sampling was not justified and wearable testing used one, two or an unspecified small number of participants.</x:v>
      </x:c>
      <x:c r="L586" s="9" t="str">
        <x:v>PDF pp. 10–35 of available accepted manuscript; Figs. 1–10; Tables 1–2; Supplementary Tables S1–S2 cited</x:v>
      </x:c>
      <x:c r="M586" s="9" t="str">
        <x:v>Some unit/participant counts or selection details are provided, but fabricated-unit selection and failures are not fully accounted for.</x:v>
      </x:c>
      <x:c r="N586" s="9" t="str">
        <x:v>Article PDF p. 34</x:v>
      </x:c>
      <x:c r="O586" s="9" t="str">
        <x:v>Device sampling was not justified and wearable testing used one, two or an unspecified small number of participants.</x:v>
      </x:c>
      <x:c r="P586" s="9" t="str">
        <x:v>PDF pp. 10–35 of available accepted manuscript; Figs. 1–10; Tables 1–2; Supplementary Tables S1–S2 cited</x:v>
      </x:c>
    </x:row>
    <x:row r="587">
      <x:c r="A587" s="9" t="n">
        <x:v>74</x:v>
      </x:c>
      <x:c r="B587" s="9" t="str">
        <x:v>S089</x:v>
      </x:c>
      <x:c r="C587" s="9" t="str">
        <x:v>Xiang et al. (2020)</x:v>
      </x:c>
      <x:c r="D587" s="9" t="str">
        <x:v>D2</x:v>
      </x:c>
      <x:c r="E587" s="9" t="str">
        <x:v>Low concern</x:v>
      </x:c>
      <x:c r="F587" s="9" t="str">
        <x:v>Low concern</x:v>
      </x:c>
      <x:c r="G587" s="9" t="str">
        <x:v>Yes</x:v>
      </x:c>
      <x:c r="H587" s="9" t="str">
        <x:v>Agree</x:v>
      </x:c>
      <x:c r="I587" s="9" t="str">
        <x:v>Low concern</x:v>
      </x:c>
      <x:c r="J587" s="9" t="str">
        <x:v>Initial agreement</x:v>
      </x:c>
      <x:c r="K587" s="9" t="str">
        <x:v>Application-relevant fabrication variables and settings are sufficiently controlled and reported.</x:v>
      </x:c>
      <x:c r="L587" s="9" t="str">
        <x:v>PDF pp. 10–35 of available accepted manuscript; Figs. 1–10; Tables 1–2; Supplementary Tables S1–S2 cited</x:v>
      </x:c>
      <x:c r="M587" s="9" t="str">
        <x:v>Relevant material, geometry, conditioning and extrusion variables are documented sufficiently for the claimed comparison.</x:v>
      </x:c>
      <x:c r="N587" s="9" t="str">
        <x:v>Article PDF p. 12</x:v>
      </x:c>
      <x:c r="O587" s="9" t="str">
        <x:v>Application-relevant fabrication variables and settings are sufficiently controlled and reported.</x:v>
      </x:c>
      <x:c r="P587" s="9" t="str">
        <x:v>PDF pp. 10–35 of available accepted manuscript; Figs. 1–10; Tables 1–2; Supplementary Tables S1–S2 cited</x:v>
      </x:c>
    </x:row>
    <x:row r="588">
      <x:c r="A588" s="9" t="n">
        <x:v>74</x:v>
      </x:c>
      <x:c r="B588" s="9" t="str">
        <x:v>S089</x:v>
      </x:c>
      <x:c r="C588" s="9" t="str">
        <x:v>Xiang et al. (2020)</x:v>
      </x:c>
      <x:c r="D588" s="9" t="str">
        <x:v>D3</x:v>
      </x:c>
      <x:c r="E588" s="9" t="str">
        <x:v>Low concern</x:v>
      </x:c>
      <x:c r="F588" s="9" t="str">
        <x:v>Low concern</x:v>
      </x:c>
      <x:c r="G588" s="9" t="str">
        <x:v>Yes</x:v>
      </x:c>
      <x:c r="H588" s="9" t="str">
        <x:v>Agree</x:v>
      </x:c>
      <x:c r="I588" s="9" t="str">
        <x:v>Low concern</x:v>
      </x:c>
      <x:c r="J588" s="9" t="str">
        <x:v>Initial agreement</x:v>
      </x:c>
      <x:c r="K588" s="9" t="str">
        <x:v>Controlled inputs and suitable reference instruments/procedures are reported.</x:v>
      </x:c>
      <x:c r="L588" s="9" t="str">
        <x:v>PDF pp. 10–35 of available accepted manuscript; Figs. 1–10; Tables 1–2; Supplementary Tables S1–S2 cited</x:v>
      </x:c>
      <x:c r="M588" s="9" t="str">
        <x:v>Controlled tensile input provides the mechanical calibration reference.</x:v>
      </x:c>
      <x:c r="N588" s="9" t="str">
        <x:v>Article PDF pp. 25-33</x:v>
      </x:c>
      <x:c r="O588" s="9" t="str">
        <x:v>Controlled inputs and suitable reference instruments/procedures are reported.</x:v>
      </x:c>
      <x:c r="P588" s="9" t="str">
        <x:v>PDF pp. 10–35 of available accepted manuscript; Figs. 1–10; Tables 1–2; Supplementary Tables S1–S2 cited</x:v>
      </x:c>
    </x:row>
    <x:row r="589">
      <x:c r="A589" s="9" t="n">
        <x:v>74</x:v>
      </x:c>
      <x:c r="B589" s="9" t="str">
        <x:v>S089</x:v>
      </x:c>
      <x:c r="C589" s="9" t="str">
        <x:v>Xiang et al. (2020)</x:v>
      </x:c>
      <x:c r="D589" s="9" t="str">
        <x:v>D4</x:v>
      </x:c>
      <x:c r="E589" s="9" t="str">
        <x:v>Low concern</x:v>
      </x:c>
      <x:c r="F589" s="9" t="str">
        <x:v>Low concern</x:v>
      </x:c>
      <x:c r="G589" s="9" t="str">
        <x:v>Yes</x:v>
      </x:c>
      <x:c r="H589" s="9" t="str">
        <x:v>Agree</x:v>
      </x:c>
      <x:c r="I589" s="9" t="str">
        <x:v>Low concern</x:v>
      </x:c>
      <x:c r="J589" s="9" t="str">
        <x:v>Initial agreement</x:v>
      </x:c>
      <x:c r="K589" s="9" t="str">
        <x:v>Principal loading ranges, rates, holds or cycle conditions are stated.</x:v>
      </x:c>
      <x:c r="L589" s="9" t="str">
        <x:v>PDF pp. 10–35 of available accepted manuscript; Figs. 1–10; Tables 1–2; Supplementary Tables S1–S2 cited</x:v>
      </x:c>
      <x:c r="M589" s="9" t="str">
        <x:v>Relevant loading/exposure range, rate or geometry and measurement conditions are stated.</x:v>
      </x:c>
      <x:c r="N589" s="9" t="str">
        <x:v>Article PDF p. 13</x:v>
      </x:c>
      <x:c r="O589" s="9" t="str">
        <x:v>Principal loading ranges, rates, holds or cycle conditions are stated.</x:v>
      </x:c>
      <x:c r="P589" s="9" t="str">
        <x:v>PDF pp. 10–35 of available accepted manuscript; Figs. 1–10; Tables 1–2; Supplementary Tables S1–S2 cited</x:v>
      </x:c>
    </x:row>
    <x:row r="590">
      <x:c r="A590" s="9" t="n">
        <x:v>74</x:v>
      </x:c>
      <x:c r="B590" s="9" t="str">
        <x:v>S089</x:v>
      </x:c>
      <x:c r="C590" s="9" t="str">
        <x:v>Xiang et al. (2020)</x:v>
      </x:c>
      <x:c r="D590" s="9" t="str">
        <x:v>D5</x:v>
      </x:c>
      <x:c r="E590" s="9" t="str">
        <x:v>Low concern</x:v>
      </x:c>
      <x:c r="F590" s="9" t="str">
        <x:v>Low concern</x:v>
      </x:c>
      <x:c r="G590" s="9" t="str">
        <x:v>Yes</x:v>
      </x:c>
      <x:c r="H590" s="9" t="str">
        <x:v>Agree</x:v>
      </x:c>
      <x:c r="I590" s="9" t="str">
        <x:v>Low concern</x:v>
      </x:c>
      <x:c r="J590" s="9" t="str">
        <x:v>Initial agreement</x:v>
      </x:c>
      <x:c r="K590" s="9" t="str">
        <x:v>At least one defined repeated-measurement or endurance protocol is reported.</x:v>
      </x:c>
      <x:c r="L590" s="9" t="str">
        <x:v>PDF pp. 10–35 of available accepted manuscript; Figs. 1–10; Tables 1–2; Supplementary Tables S1–S2 cited</x:v>
      </x:c>
      <x:c r="M590" s="9" t="str">
        <x:v>Repeated units/counts and a stability outcome are defined for the stated protocol.</x:v>
      </x:c>
      <x:c r="N590" s="9" t="str">
        <x:v>Article PDF p. 2</x:v>
      </x:c>
      <x:c r="O590" s="9" t="str">
        <x:v>At least one defined repeated-measurement or endurance protocol is reported.</x:v>
      </x:c>
      <x:c r="P590" s="9" t="str">
        <x:v>PDF pp. 10–35 of available accepted manuscript; Figs. 1–10; Tables 1–2; Supplementary Tables S1–S2 cited</x:v>
      </x:c>
    </x:row>
    <x:row r="591">
      <x:c r="A591" s="9" t="n">
        <x:v>74</x:v>
      </x:c>
      <x:c r="B591" s="9" t="str">
        <x:v>S089</x:v>
      </x:c>
      <x:c r="C591" s="9" t="str">
        <x:v>Xiang et al. (2020)</x:v>
      </x:c>
      <x:c r="D591" s="9" t="str">
        <x:v>D6</x:v>
      </x:c>
      <x:c r="E591" s="9" t="str">
        <x:v>High concern</x:v>
      </x:c>
      <x:c r="F591" s="9" t="str">
        <x:v>High concern</x:v>
      </x:c>
      <x:c r="G591" s="9" t="str">
        <x:v>Yes</x:v>
      </x:c>
      <x:c r="H591" s="9" t="str">
        <x:v>Agree</x:v>
      </x:c>
      <x:c r="I591" s="9" t="str">
        <x:v>High concern</x:v>
      </x:c>
      <x:c r="J591" s="9" t="str">
        <x:v>Initial agreement</x:v>
      </x:c>
      <x:c r="K591" s="9" t="str">
        <x:v>A same-condition comparison of at least three separately fabricated complete sensing units with device-level results or dispersion was not identified.</x:v>
      </x:c>
      <x:c r="L591" s="9" t="str">
        <x:v>PDF pp. 10–35 of available accepted manuscript; Figs. 1–10; Tables 1–2; Supplementary Tables S1–S2 cited</x:v>
      </x:c>
      <x:c r="M591" s="9" t="str">
        <x:v>Cycles, participants or configurations do not establish replication across three equivalent fabricated devices.</x:v>
      </x:c>
      <x:c r="N591" s="9" t="str">
        <x:v>Article PDF p. 13</x:v>
      </x:c>
      <x:c r="O591" s="9" t="str">
        <x:v>A same-condition comparison of at least three separately fabricated complete sensing units with device-level results or dispersion was not identified.</x:v>
      </x:c>
      <x:c r="P591" s="9" t="str">
        <x:v>PDF pp. 10–35 of available accepted manuscript; Figs. 1–10; Tables 1–2; Supplementary Tables S1–S2 cited</x:v>
      </x:c>
    </x:row>
    <x:row r="592">
      <x:c r="A592" s="9" t="n">
        <x:v>74</x:v>
      </x:c>
      <x:c r="B592" s="9" t="str">
        <x:v>S089</x:v>
      </x:c>
      <x:c r="C592" s="9" t="str">
        <x:v>Xiang et al. (2020)</x:v>
      </x:c>
      <x:c r="D592" s="9" t="str">
        <x:v>D7</x:v>
      </x:c>
      <x:c r="E592" s="9" t="str">
        <x:v>Some concern</x:v>
      </x:c>
      <x:c r="F592" s="9" t="str">
        <x:v>Some concern</x:v>
      </x:c>
      <x:c r="G592" s="9" t="str">
        <x:v>Yes</x:v>
      </x:c>
      <x:c r="H592" s="9" t="str">
        <x:v>Agree</x:v>
      </x:c>
      <x:c r="I592" s="9" t="str">
        <x:v>Some concern</x:v>
      </x:c>
      <x:c r="J592" s="9" t="str">
        <x:v>Initial agreement</x:v>
      </x:c>
      <x:c r="K592" s="9" t="str">
        <x:v>Principal outcomes are quantitative, but device-level uncertainty/dispersion or retention magnitude is incomplete.</x:v>
      </x:c>
      <x:c r="L592" s="9" t="str">
        <x:v>PDF pp. 10–35 of available accepted manuscript; Figs. 1–10; Tables 1–2; Supplementary Tables S1–S2 cited</x:v>
      </x:c>
      <x:c r="M592" s="9" t="str">
        <x:v>Principal outcomes are reported, but device-level uncertainty or complete accounting of units/cycles is limited.</x:v>
      </x:c>
      <x:c r="N592" s="9" t="str">
        <x:v>Article PDF p. 2</x:v>
      </x:c>
      <x:c r="O592" s="9" t="str">
        <x:v>Principal outcomes are quantitative, but device-level uncertainty/dispersion or retention magnitude is incomplete.</x:v>
      </x:c>
      <x:c r="P592" s="9" t="str">
        <x:v>PDF pp. 10–35 of available accepted manuscript; Figs. 1–10; Tables 1–2; Supplementary Tables S1–S2 cited</x:v>
      </x:c>
    </x:row>
    <x:row r="593">
      <x:c r="A593" s="9" t="n">
        <x:v>74</x:v>
      </x:c>
      <x:c r="B593" s="9" t="str">
        <x:v>S089</x:v>
      </x:c>
      <x:c r="C593" s="9" t="str">
        <x:v>Xiang et al. (2020)</x:v>
      </x:c>
      <x:c r="D593" s="9" t="str">
        <x:v>D8</x:v>
      </x:c>
      <x:c r="E593" s="9" t="str">
        <x:v>Some concern</x:v>
      </x:c>
      <x:c r="F593" s="9" t="str">
        <x:v>Low concern</x:v>
      </x:c>
      <x:c r="G593" s="9" t="str">
        <x:v>Yes</x:v>
      </x:c>
      <x:c r="H593" s="9" t="str">
        <x:v>Disagree</x:v>
      </x:c>
      <x:c r="I593" s="9" t="str">
        <x:v>Some concern</x:v>
      </x:c>
      <x:c r="J593" s="9" t="str">
        <x:v>Adjudicated to Reviewer 1</x:v>
      </x:c>
      <x:c r="K593" s="9" t="str">
        <x:v>A complete wearable configuration was demonstrated, but participant count, comparator or protocol depth is limited.</x:v>
      </x:c>
      <x:c r="L593" s="9" t="str">
        <x:v>PDF pp. 10–35 of available accepted manuscript; Figs. 1–10; Tables 1–2; Supplementary Tables S1–S2 cited</x:v>
      </x:c>
      <x:c r="M593" s="9" t="str">
        <x:v>The sensor was attached to human joints and facial/throat sites to monitor motion and physiological activities.</x:v>
      </x:c>
      <x:c r="N593" s="9" t="str">
        <x:v>Article PDF p. 33, Figure 11</x:v>
      </x:c>
      <x:c r="O593" s="9" t="str">
        <x:v>A complete wearable configuration was demonstrated, but participant count, comparator or protocol depth is limited.</x:v>
      </x:c>
      <x:c r="P593" s="9" t="str">
        <x:v>PDF pp. 10–35 of available accepted manuscript; Figs. 1–10; Tables 1–2; Supplementary Tables S1–S2 cited</x:v>
      </x:c>
    </x:row>
    <x:row r="594">
      <x:c r="A594" s="9" t="n">
        <x:v>75</x:v>
      </x:c>
      <x:c r="B594" s="9" t="str">
        <x:v>S090</x:v>
      </x:c>
      <x:c r="C594" s="9" t="str">
        <x:v>Fan et al. (2019)</x:v>
      </x:c>
      <x:c r="D594" s="9" t="str">
        <x:v>D1</x:v>
      </x:c>
      <x:c r="E594" s="9" t="str">
        <x:v>High concern</x:v>
      </x:c>
      <x:c r="F594" s="9" t="str">
        <x:v>Some concern</x:v>
      </x:c>
      <x:c r="G594" s="9" t="str">
        <x:v>Yes</x:v>
      </x:c>
      <x:c r="H594" s="9" t="str">
        <x:v>Disagree</x:v>
      </x:c>
      <x:c r="I594" s="9" t="str">
        <x:v>High concern</x:v>
      </x:c>
      <x:c r="J594" s="9" t="str">
        <x:v>Adjudicated to Reviewer 1</x:v>
      </x:c>
      <x:c r="K594" s="9" t="str">
        <x:v>Device counts are reported for several electrical parameters, but sampling and device selection were not justified.</x:v>
      </x:c>
      <x:c r="L594" s="9" t="str">
        <x:v>PDF pp. 2–7; Figs. 1, 3–4; Tables 1–2</x:v>
      </x:c>
      <x:c r="M594" s="9" t="str">
        <x:v>Some unit/participant counts or selection details are provided, but fabricated-unit selection and failures are not fully accounted for.</x:v>
      </x:c>
      <x:c r="N594" s="9" t="str">
        <x:v>Article PDF p. 2</x:v>
      </x:c>
      <x:c r="O594" s="9" t="str">
        <x:v>Device counts are reported for several electrical parameters, but sampling and device selection were not justified.</x:v>
      </x:c>
      <x:c r="P594" s="9" t="str">
        <x:v>PDF pp. 2–7; Figs. 1, 3–4; Tables 1–2</x:v>
      </x:c>
    </x:row>
    <x:row r="595">
      <x:c r="A595" s="9" t="n">
        <x:v>75</x:v>
      </x:c>
      <x:c r="B595" s="9" t="str">
        <x:v>S090</x:v>
      </x:c>
      <x:c r="C595" s="9" t="str">
        <x:v>Fan et al. (2019)</x:v>
      </x:c>
      <x:c r="D595" s="9" t="str">
        <x:v>D2</x:v>
      </x:c>
      <x:c r="E595" s="9" t="str">
        <x:v>Some concern</x:v>
      </x:c>
      <x:c r="F595" s="9" t="str">
        <x:v>High concern</x:v>
      </x:c>
      <x:c r="G595" s="9" t="str">
        <x:v>Yes</x:v>
      </x:c>
      <x:c r="H595" s="9" t="str">
        <x:v>Disagree</x:v>
      </x:c>
      <x:c r="I595" s="9" t="str">
        <x:v>Some concern</x:v>
      </x:c>
      <x:c r="J595" s="9" t="str">
        <x:v>Adjudicated to Reviewer 1</x:v>
      </x:c>
      <x:c r="K595" s="9" t="str">
        <x:v>The FDM platform and material are identified, but several FDM settings required to reproduce the soft-PLA structure are absent.</x:v>
      </x:c>
      <x:c r="L595" s="9" t="str">
        <x:v>PDF pp. 2–7; Figs. 1, 3–4; Tables 1–2</x:v>
      </x:c>
      <x:c r="M595" s="9" t="str">
        <x:v>Key fabrication variables are missing, so process variation cannot be separated confidently from sensor effects.</x:v>
      </x:c>
      <x:c r="N595" s="9" t="str">
        <x:v>Article PDF p. 2</x:v>
      </x:c>
      <x:c r="O595" s="9" t="str">
        <x:v>The FDM platform and material are identified, but several FDM settings required to reproduce the soft-PLA structure are absent.</x:v>
      </x:c>
      <x:c r="P595" s="9" t="str">
        <x:v>PDF pp. 2–7; Figs. 1, 3–4; Tables 1–2</x:v>
      </x:c>
    </x:row>
    <x:row r="596">
      <x:c r="A596" s="9" t="n">
        <x:v>75</x:v>
      </x:c>
      <x:c r="B596" s="9" t="str">
        <x:v>S090</x:v>
      </x:c>
      <x:c r="C596" s="9" t="str">
        <x:v>Fan et al. (2019)</x:v>
      </x:c>
      <x:c r="D596" s="9" t="str">
        <x:v>D3</x:v>
      </x:c>
      <x:c r="E596" s="9" t="str">
        <x:v>Low concern</x:v>
      </x:c>
      <x:c r="F596" s="9" t="str">
        <x:v>Some concern</x:v>
      </x:c>
      <x:c r="G596" s="9" t="str">
        <x:v>Yes</x:v>
      </x:c>
      <x:c r="H596" s="9" t="str">
        <x:v>Disagree</x:v>
      </x:c>
      <x:c r="I596" s="9" t="str">
        <x:v>Low concern</x:v>
      </x:c>
      <x:c r="J596" s="9" t="str">
        <x:v>Adjudicated to Reviewer 1</x:v>
      </x:c>
      <x:c r="K596" s="9" t="str">
        <x:v>Controlled electrical inputs and independent pH measurement are reported with appropriate instrumentation.</x:v>
      </x:c>
      <x:c r="L596" s="9" t="str">
        <x:v>PDF pp. 2–7; Figs. 1, 3–4; Tables 1–2</x:v>
      </x:c>
      <x:c r="M596" s="9" t="str">
        <x:v>Prepared standards define the input, but traceability and uncertainty of solution preparation are limited.</x:v>
      </x:c>
      <x:c r="N596" s="9" t="str">
        <x:v>Article PDF pp. 3-6</x:v>
      </x:c>
      <x:c r="O596" s="9" t="str">
        <x:v>Controlled electrical inputs and independent pH measurement are reported with appropriate instrumentation.</x:v>
      </x:c>
      <x:c r="P596" s="9" t="str">
        <x:v>PDF pp. 2–7; Figs. 1, 3–4; Tables 1–2</x:v>
      </x:c>
    </x:row>
    <x:row r="597">
      <x:c r="A597" s="9" t="n">
        <x:v>75</x:v>
      </x:c>
      <x:c r="B597" s="9" t="str">
        <x:v>S090</x:v>
      </x:c>
      <x:c r="C597" s="9" t="str">
        <x:v>Fan et al. (2019)</x:v>
      </x:c>
      <x:c r="D597" s="9" t="str">
        <x:v>D4</x:v>
      </x:c>
      <x:c r="E597" s="9" t="str">
        <x:v>Low concern</x:v>
      </x:c>
      <x:c r="F597" s="9" t="str">
        <x:v>Low concern</x:v>
      </x:c>
      <x:c r="G597" s="9" t="str">
        <x:v>Yes</x:v>
      </x:c>
      <x:c r="H597" s="9" t="str">
        <x:v>Agree</x:v>
      </x:c>
      <x:c r="I597" s="9" t="str">
        <x:v>Low concern</x:v>
      </x:c>
      <x:c r="J597" s="9" t="str">
        <x:v>Initial agreement</x:v>
      </x:c>
      <x:c r="K597" s="9" t="str">
        <x:v>Electrical bias, electrolyte concentrations and pH values are stated.</x:v>
      </x:c>
      <x:c r="L597" s="9" t="str">
        <x:v>PDF pp. 2–7; Figs. 1, 3–4; Tables 1–2</x:v>
      </x:c>
      <x:c r="M597" s="9" t="str">
        <x:v>Electrolyte composition, concentration/pH ranges and electrical measurement conditions are specified.</x:v>
      </x:c>
      <x:c r="N597" s="9" t="str">
        <x:v>Article PDF pp. 2-6</x:v>
      </x:c>
      <x:c r="O597" s="9" t="str">
        <x:v>Electrical bias, electrolyte concentrations and pH values are stated.</x:v>
      </x:c>
      <x:c r="P597" s="9" t="str">
        <x:v>PDF pp. 2–7; Figs. 1, 3–4; Tables 1–2</x:v>
      </x:c>
    </x:row>
    <x:row r="598">
      <x:c r="A598" s="9" t="n">
        <x:v>75</x:v>
      </x:c>
      <x:c r="B598" s="9" t="str">
        <x:v>S090</x:v>
      </x:c>
      <x:c r="C598" s="9" t="str">
        <x:v>Fan et al. (2019)</x:v>
      </x:c>
      <x:c r="D598" s="9" t="str">
        <x:v>D5</x:v>
      </x:c>
      <x:c r="E598" s="9" t="str">
        <x:v>High concern</x:v>
      </x:c>
      <x:c r="F598" s="9" t="str">
        <x:v>High concern</x:v>
      </x:c>
      <x:c r="G598" s="9" t="str">
        <x:v>Yes</x:v>
      </x:c>
      <x:c r="H598" s="9" t="str">
        <x:v>Agree</x:v>
      </x:c>
      <x:c r="I598" s="9" t="str">
        <x:v>High concern</x:v>
      </x:c>
      <x:c r="J598" s="9" t="str">
        <x:v>Initial agreement</x:v>
      </x:c>
      <x:c r="K598" s="9" t="str">
        <x:v>No defined same-device repeat or endurance protocol meeting the locked rule is reported.</x:v>
      </x:c>
      <x:c r="L598" s="9" t="str">
        <x:v>PDF pp. 2–7; Figs. 1, 3–4; Tables 1–2</x:v>
      </x:c>
      <x:c r="M598" s="9" t="str">
        <x:v>A defined repeated-measurement design with an adequate stability analysis is absent.</x:v>
      </x:c>
      <x:c r="N598" s="9" t="str">
        <x:v>Article PDF p. 2</x:v>
      </x:c>
      <x:c r="O598" s="9" t="str">
        <x:v>No defined same-device repeat or endurance protocol meeting the locked rule is reported.</x:v>
      </x:c>
      <x:c r="P598" s="9" t="str">
        <x:v>PDF pp. 2–7; Figs. 1, 3–4; Tables 1–2</x:v>
      </x:c>
    </x:row>
    <x:row r="599">
      <x:c r="A599" s="9" t="n">
        <x:v>75</x:v>
      </x:c>
      <x:c r="B599" s="9" t="str">
        <x:v>S090</x:v>
      </x:c>
      <x:c r="C599" s="9" t="str">
        <x:v>Fan et al. (2019)</x:v>
      </x:c>
      <x:c r="D599" s="9" t="str">
        <x:v>D6</x:v>
      </x:c>
      <x:c r="E599" s="9" t="str">
        <x:v>Low concern</x:v>
      </x:c>
      <x:c r="F599" s="9" t="str">
        <x:v>Low concern</x:v>
      </x:c>
      <x:c r="G599" s="9" t="str">
        <x:v>Yes</x:v>
      </x:c>
      <x:c r="H599" s="9" t="str">
        <x:v>Agree</x:v>
      </x:c>
      <x:c r="I599" s="9" t="str">
        <x:v>Low concern</x:v>
      </x:c>
      <x:c r="J599" s="9" t="str">
        <x:v>Initial agreement</x:v>
      </x:c>
      <x:c r="K599" s="9" t="str">
        <x:v>Parameters for multiple devices are summarized with n values and dispersion.</x:v>
      </x:c>
      <x:c r="L599" s="9" t="str">
        <x:v>PDF pp. 2–7; Figs. 1, 3–4; Tables 1–2</x:v>
      </x:c>
      <x:c r="M599" s="9" t="str">
        <x:v>Equivalent device groups include at least four units with device-level dispersion.</x:v>
      </x:c>
      <x:c r="N599" s="9" t="str">
        <x:v>Article PDF pp. 2 and 5</x:v>
      </x:c>
      <x:c r="O599" s="9" t="str">
        <x:v>Parameters for multiple devices are summarized with n values and dispersion.</x:v>
      </x:c>
      <x:c r="P599" s="9" t="str">
        <x:v>PDF pp. 2–7; Figs. 1, 3–4; Tables 1–2</x:v>
      </x:c>
    </x:row>
    <x:row r="600">
      <x:c r="A600" s="9" t="n">
        <x:v>75</x:v>
      </x:c>
      <x:c r="B600" s="9" t="str">
        <x:v>S090</x:v>
      </x:c>
      <x:c r="C600" s="9" t="str">
        <x:v>Fan et al. (2019)</x:v>
      </x:c>
      <x:c r="D600" s="9" t="str">
        <x:v>D7</x:v>
      </x:c>
      <x:c r="E600" s="9" t="str">
        <x:v>Some concern</x:v>
      </x:c>
      <x:c r="F600" s="9" t="str">
        <x:v>Some concern</x:v>
      </x:c>
      <x:c r="G600" s="9" t="str">
        <x:v>Yes</x:v>
      </x:c>
      <x:c r="H600" s="9" t="str">
        <x:v>Agree</x:v>
      </x:c>
      <x:c r="I600" s="9" t="str">
        <x:v>Some concern</x:v>
      </x:c>
      <x:c r="J600" s="9" t="str">
        <x:v>Initial agreement</x:v>
      </x:c>
      <x:c r="K600" s="9" t="str">
        <x:v>Principal device and sensing metrics are quantitative, but sensing is described as preliminary and repeat/device counts are incomplete.</x:v>
      </x:c>
      <x:c r="L600" s="9" t="str">
        <x:v>PDF pp. 2–7; Figs. 1, 3–4; Tables 1–2</x:v>
      </x:c>
      <x:c r="M600" s="9" t="str">
        <x:v>Principal outcomes are reported, but device-level uncertainty or complete accounting of units/cycles is limited.</x:v>
      </x:c>
      <x:c r="N600" s="9" t="str">
        <x:v>Article PDF p. 7</x:v>
      </x:c>
      <x:c r="O600" s="9" t="str">
        <x:v>Principal device and sensing metrics are quantitative, but sensing is described as preliminary and repeat/device counts are incomplete.</x:v>
      </x:c>
      <x:c r="P600" s="9" t="str">
        <x:v>PDF pp. 2–7; Figs. 1, 3–4; Tables 1–2</x:v>
      </x:c>
    </x:row>
    <x:row r="601">
      <x:c r="A601" s="9" t="n">
        <x:v>75</x:v>
      </x:c>
      <x:c r="B601" s="9" t="str">
        <x:v>S090</x:v>
      </x:c>
      <x:c r="C601" s="9" t="str">
        <x:v>Fan et al. (2019)</x:v>
      </x:c>
      <x:c r="D601" s="9" t="str">
        <x:v>D8</x:v>
      </x:c>
      <x:c r="E601" s="9" t="str">
        <x:v>High concern</x:v>
      </x:c>
      <x:c r="F601" s="9" t="str">
        <x:v>High concern</x:v>
      </x:c>
      <x:c r="G601" s="9" t="str">
        <x:v>Yes</x:v>
      </x:c>
      <x:c r="H601" s="9" t="str">
        <x:v>Agree</x:v>
      </x:c>
      <x:c r="I601" s="9" t="str">
        <x:v>High concern</x:v>
      </x:c>
      <x:c r="J601" s="9" t="str">
        <x:v>Initial agreement</x:v>
      </x:c>
      <x:c r="K601" s="9" t="str">
        <x:v>Wearable use is proposed and flexibility is shown, but no on-body or application-level validation is reported.</x:v>
      </x:c>
      <x:c r="L601" s="9" t="str">
        <x:v>PDF pp. 2–7; Figs. 1, 3–4; Tables 1–2</x:v>
      </x:c>
      <x:c r="M601" s="9" t="str">
        <x:v>The devices were evaluated on bench substrates; wearable biosensing remains prospective.</x:v>
      </x:c>
      <x:c r="N601" s="9" t="str">
        <x:v>Article PDF pp. 1-7</x:v>
      </x:c>
      <x:c r="O601" s="9" t="str">
        <x:v>Wearable use is proposed and flexibility is shown, but no on-body or application-level validation is reported.</x:v>
      </x:c>
      <x:c r="P601" s="9" t="str">
        <x:v>PDF pp. 2–7; Figs. 1, 3–4; Tables 1–2</x:v>
      </x:c>
    </x:row>
    <x:row r="602">
      <x:c r="A602" s="9" t="n">
        <x:v>76</x:v>
      </x:c>
      <x:c r="B602" s="9" t="str">
        <x:v>S091</x:v>
      </x:c>
      <x:c r="C602" s="9" t="str">
        <x:v>Kennedy et al. (2017)</x:v>
      </x:c>
      <x:c r="D602" s="9" t="str">
        <x:v>D1</x:v>
      </x:c>
      <x:c r="E602" s="9" t="str">
        <x:v>Some concern</x:v>
      </x:c>
      <x:c r="F602" s="9" t="str">
        <x:v>Some concern</x:v>
      </x:c>
      <x:c r="G602" s="9" t="str">
        <x:v>Yes</x:v>
      </x:c>
      <x:c r="H602" s="9" t="str">
        <x:v>Agree</x:v>
      </x:c>
      <x:c r="I602" s="9" t="str">
        <x:v>Some concern</x:v>
      </x:c>
      <x:c r="J602" s="9" t="str">
        <x:v>Initial agreement</x:v>
      </x:c>
      <x:c r="K602" s="9" t="str">
        <x:v>Three specimens per loading were used for baseline resistance, but VOC-test specimen selection and count are not reported.</x:v>
      </x:c>
      <x:c r="L602" s="9" t="str">
        <x:v>PDF pp. 1–8; Figs. 2, 6–11; Table 1; ESI Table S1 and Fig. S5 cited</x:v>
      </x:c>
      <x:c r="M602" s="9" t="str">
        <x:v>Some unit/participant counts or selection details are provided, but fabricated-unit selection and failures are not fully accounted for.</x:v>
      </x:c>
      <x:c r="N602" s="9" t="str">
        <x:v>Article PDF p. 2</x:v>
      </x:c>
      <x:c r="O602" s="9" t="str">
        <x:v>Three specimens per loading were used for baseline resistance, but VOC-test specimen selection and count are not reported.</x:v>
      </x:c>
      <x:c r="P602" s="9" t="str">
        <x:v>PDF pp. 1–8; Figs. 2, 6–11; Table 1; ESI Table S1 and Fig. S5 cited</x:v>
      </x:c>
    </x:row>
    <x:row r="603">
      <x:c r="A603" s="9" t="n">
        <x:v>76</x:v>
      </x:c>
      <x:c r="B603" s="9" t="str">
        <x:v>S091</x:v>
      </x:c>
      <x:c r="C603" s="9" t="str">
        <x:v>Kennedy et al. (2017)</x:v>
      </x:c>
      <x:c r="D603" s="9" t="str">
        <x:v>D2</x:v>
      </x:c>
      <x:c r="E603" s="9" t="str">
        <x:v>Low concern</x:v>
      </x:c>
      <x:c r="F603" s="9" t="str">
        <x:v>Some concern</x:v>
      </x:c>
      <x:c r="G603" s="9" t="str">
        <x:v>Yes</x:v>
      </x:c>
      <x:c r="H603" s="9" t="str">
        <x:v>Disagree</x:v>
      </x:c>
      <x:c r="I603" s="9" t="str">
        <x:v>Low concern</x:v>
      </x:c>
      <x:c r="J603" s="9" t="str">
        <x:v>Adjudicated to Reviewer 1</x:v>
      </x:c>
      <x:c r="K603" s="9" t="str">
        <x:v>Material formulation and application-relevant FDM settings are sufficiently controlled and reported.</x:v>
      </x:c>
      <x:c r="L603" s="9" t="str">
        <x:v>PDF pp. 1–8; Figs. 2, 6–11; Table 1; ESI Table S1 and Fig. S5 cited</x:v>
      </x:c>
      <x:c r="M603" s="9" t="str">
        <x:v>Several fabrication controls are documented, but omitted settings leave residual process-confounding concern.</x:v>
      </x:c>
      <x:c r="N603" s="9" t="str">
        <x:v>Article PDF p. 2</x:v>
      </x:c>
      <x:c r="O603" s="9" t="str">
        <x:v>Material formulation and application-relevant FDM settings are sufficiently controlled and reported.</x:v>
      </x:c>
      <x:c r="P603" s="9" t="str">
        <x:v>PDF pp. 1–8; Figs. 2, 6–11; Table 1; ESI Table S1 and Fig. S5 cited</x:v>
      </x:c>
    </x:row>
    <x:row r="604">
      <x:c r="A604" s="9" t="n">
        <x:v>76</x:v>
      </x:c>
      <x:c r="B604" s="9" t="str">
        <x:v>S091</x:v>
      </x:c>
      <x:c r="C604" s="9" t="str">
        <x:v>Kennedy et al. (2017)</x:v>
      </x:c>
      <x:c r="D604" s="9" t="str">
        <x:v>D3</x:v>
      </x:c>
      <x:c r="E604" s="9" t="str">
        <x:v>Low concern</x:v>
      </x:c>
      <x:c r="F604" s="9" t="str">
        <x:v>High concern</x:v>
      </x:c>
      <x:c r="G604" s="9" t="str">
        <x:v>Yes</x:v>
      </x:c>
      <x:c r="H604" s="9" t="str">
        <x:v>Disagree</x:v>
      </x:c>
      <x:c r="I604" s="9" t="str">
        <x:v>Low concern</x:v>
      </x:c>
      <x:c r="J604" s="9" t="str">
        <x:v>Adjudicated to Reviewer 1</x:v>
      </x:c>
      <x:c r="K604" s="9" t="str">
        <x:v>A stated vapour chamber and voltage-divider acquisition circuit link exposure to resistance response.</x:v>
      </x:c>
      <x:c r="L604" s="9" t="str">
        <x:v>PDF pp. 1–8; Figs. 2, 6–11; Table 1; ESI Table S1 and Fig. S5 cited</x:v>
      </x:c>
      <x:c r="M604" s="9" t="str">
        <x:v>A valid controlled/independent calibration reference is not adequately established.</x:v>
      </x:c>
      <x:c r="N604" s="9" t="str">
        <x:v>Article PDF p. 2</x:v>
      </x:c>
      <x:c r="O604" s="9" t="str">
        <x:v>A stated vapour chamber and voltage-divider acquisition circuit link exposure to resistance response.</x:v>
      </x:c>
      <x:c r="P604" s="9" t="str">
        <x:v>PDF pp. 1–8; Figs. 2, 6–11; Table 1; ESI Table S1 and Fig. S5 cited</x:v>
      </x:c>
    </x:row>
    <x:row r="605">
      <x:c r="A605" s="9" t="n">
        <x:v>76</x:v>
      </x:c>
      <x:c r="B605" s="9" t="str">
        <x:v>S091</x:v>
      </x:c>
      <x:c r="C605" s="9" t="str">
        <x:v>Kennedy et al. (2017)</x:v>
      </x:c>
      <x:c r="D605" s="9" t="str">
        <x:v>D4</x:v>
      </x:c>
      <x:c r="E605" s="9" t="str">
        <x:v>Low concern</x:v>
      </x:c>
      <x:c r="F605" s="9" t="str">
        <x:v>Low concern</x:v>
      </x:c>
      <x:c r="G605" s="9" t="str">
        <x:v>Yes</x:v>
      </x:c>
      <x:c r="H605" s="9" t="str">
        <x:v>Agree</x:v>
      </x:c>
      <x:c r="I605" s="9" t="str">
        <x:v>Low concern</x:v>
      </x:c>
      <x:c r="J605" s="9" t="str">
        <x:v>Initial agreement</x:v>
      </x:c>
      <x:c r="K605" s="9" t="str">
        <x:v>VOC exposure, vacuum recovery and cycle timing are reported.</x:v>
      </x:c>
      <x:c r="L605" s="9" t="str">
        <x:v>PDF pp. 1–8; Figs. 2, 6–11; Table 1; ESI Table S1 and Fig. S5 cited</x:v>
      </x:c>
      <x:c r="M605" s="9" t="str">
        <x:v>Relevant loading/exposure range, rate or geometry and measurement conditions are stated.</x:v>
      </x:c>
      <x:c r="N605" s="9" t="str">
        <x:v>Article PDF p. 2</x:v>
      </x:c>
      <x:c r="O605" s="9" t="str">
        <x:v>VOC exposure, vacuum recovery and cycle timing are reported.</x:v>
      </x:c>
      <x:c r="P605" s="9" t="str">
        <x:v>PDF pp. 1–8; Figs. 2, 6–11; Table 1; ESI Table S1 and Fig. S5 cited</x:v>
      </x:c>
    </x:row>
    <x:row r="606">
      <x:c r="A606" s="9" t="n">
        <x:v>76</x:v>
      </x:c>
      <x:c r="B606" s="9" t="str">
        <x:v>S091</x:v>
      </x:c>
      <x:c r="C606" s="9" t="str">
        <x:v>Kennedy et al. (2017)</x:v>
      </x:c>
      <x:c r="D606" s="9" t="str">
        <x:v>D5</x:v>
      </x:c>
      <x:c r="E606" s="9" t="str">
        <x:v>Low concern</x:v>
      </x:c>
      <x:c r="F606" s="9" t="str">
        <x:v>Low concern</x:v>
      </x:c>
      <x:c r="G606" s="9" t="str">
        <x:v>Yes</x:v>
      </x:c>
      <x:c r="H606" s="9" t="str">
        <x:v>Agree</x:v>
      </x:c>
      <x:c r="I606" s="9" t="str">
        <x:v>Low concern</x:v>
      </x:c>
      <x:c r="J606" s="9" t="str">
        <x:v>Initial agreement</x:v>
      </x:c>
      <x:c r="K606" s="9" t="str">
        <x:v>Four-cycle tests and a 25-cycle endurance sequence are reported.</x:v>
      </x:c>
      <x:c r="L606" s="9" t="str">
        <x:v>PDF pp. 1–8; Figs. 2, 6–11; Table 1; ESI Table S1 and Fig. S5 cited</x:v>
      </x:c>
      <x:c r="M606" s="9" t="str">
        <x:v>Repeated units/counts and a stability outcome are defined for the stated protocol.</x:v>
      </x:c>
      <x:c r="N606" s="9" t="str">
        <x:v>Article PDF p. 6</x:v>
      </x:c>
      <x:c r="O606" s="9" t="str">
        <x:v>Four-cycle tests and a 25-cycle endurance sequence are reported.</x:v>
      </x:c>
      <x:c r="P606" s="9" t="str">
        <x:v>PDF pp. 1–8; Figs. 2, 6–11; Table 1; ESI Table S1 and Fig. S5 cited</x:v>
      </x:c>
    </x:row>
    <x:row r="607">
      <x:c r="A607" s="9" t="n">
        <x:v>76</x:v>
      </x:c>
      <x:c r="B607" s="9" t="str">
        <x:v>S091</x:v>
      </x:c>
      <x:c r="C607" s="9" t="str">
        <x:v>Kennedy et al. (2017)</x:v>
      </x:c>
      <x:c r="D607" s="9" t="str">
        <x:v>D6</x:v>
      </x:c>
      <x:c r="E607" s="9" t="str">
        <x:v>Some concern</x:v>
      </x:c>
      <x:c r="F607" s="9" t="str">
        <x:v>High concern</x:v>
      </x:c>
      <x:c r="G607" s="9" t="str">
        <x:v>Yes</x:v>
      </x:c>
      <x:c r="H607" s="9" t="str">
        <x:v>Disagree</x:v>
      </x:c>
      <x:c r="I607" s="9" t="str">
        <x:v>Some concern</x:v>
      </x:c>
      <x:c r="J607" s="9" t="str">
        <x:v>Adjudicated to Reviewer 1</x:v>
      </x:c>
      <x:c r="K607" s="9" t="str">
        <x:v>Between-device dispersion is available for baseline resistance, but not for VOC response or retention.</x:v>
      </x:c>
      <x:c r="L607" s="9" t="str">
        <x:v>PDF pp. 1–8; Figs. 2, 6–11; Table 1; ESI Table S1 and Fig. S5 cited</x:v>
      </x:c>
      <x:c r="M607" s="9" t="str">
        <x:v>Cycles, participants or configurations do not establish replication across three equivalent fabricated devices.</x:v>
      </x:c>
      <x:c r="N607" s="9" t="str">
        <x:v>Article PDF p. 1</x:v>
      </x:c>
      <x:c r="O607" s="9" t="str">
        <x:v>Between-device dispersion is available for baseline resistance, but not for VOC response or retention.</x:v>
      </x:c>
      <x:c r="P607" s="9" t="str">
        <x:v>PDF pp. 1–8; Figs. 2, 6–11; Table 1; ESI Table S1 and Fig. S5 cited</x:v>
      </x:c>
    </x:row>
    <x:row r="608">
      <x:c r="A608" s="9" t="n">
        <x:v>76</x:v>
      </x:c>
      <x:c r="B608" s="9" t="str">
        <x:v>S091</x:v>
      </x:c>
      <x:c r="C608" s="9" t="str">
        <x:v>Kennedy et al. (2017)</x:v>
      </x:c>
      <x:c r="D608" s="9" t="str">
        <x:v>D7</x:v>
      </x:c>
      <x:c r="E608" s="9" t="str">
        <x:v>Some concern</x:v>
      </x:c>
      <x:c r="F608" s="9" t="str">
        <x:v>Some concern</x:v>
      </x:c>
      <x:c r="G608" s="9" t="str">
        <x:v>Yes</x:v>
      </x:c>
      <x:c r="H608" s="9" t="str">
        <x:v>Agree</x:v>
      </x:c>
      <x:c r="I608" s="9" t="str">
        <x:v>Some concern</x:v>
      </x:c>
      <x:c r="J608" s="9" t="str">
        <x:v>Initial agreement</x:v>
      </x:c>
      <x:c r="K608" s="9" t="str">
        <x:v>Principal response magnitudes are quantitative; the 25-cycle retention result is qualitative in the main article and relies on cited ESI for the trace.</x:v>
      </x:c>
      <x:c r="L608" s="9" t="str">
        <x:v>PDF pp. 1–8; Figs. 2, 6–11; Table 1; ESI Table S1 and Fig. S5 cited</x:v>
      </x:c>
      <x:c r="M608" s="9" t="str">
        <x:v>Principal outcomes are reported, but device-level uncertainty or complete accounting of units/cycles is limited.</x:v>
      </x:c>
      <x:c r="N608" s="9" t="str">
        <x:v>Article PDF p. 2</x:v>
      </x:c>
      <x:c r="O608" s="9" t="str">
        <x:v>Principal response magnitudes are quantitative; the 25-cycle retention result is qualitative in the main article and relies on cited ESI for the trace.</x:v>
      </x:c>
      <x:c r="P608" s="9" t="str">
        <x:v>PDF pp. 1–8; Figs. 2, 6–11; Table 1; ESI Table S1 and Fig. S5 cited</x:v>
      </x:c>
    </x:row>
    <x:row r="609">
      <x:c r="A609" s="10" t="n">
        <x:v>76</x:v>
      </x:c>
      <x:c r="B609" s="10" t="str">
        <x:v>S091</x:v>
      </x:c>
      <x:c r="C609" s="10" t="str">
        <x:v>Kennedy et al. (2017)</x:v>
      </x:c>
      <x:c r="D609" s="10" t="str">
        <x:v>D8</x:v>
      </x:c>
      <x:c r="E609" s="10" t="str">
        <x:v>High concern</x:v>
      </x:c>
      <x:c r="F609" s="10" t="str">
        <x:v>High concern</x:v>
      </x:c>
      <x:c r="G609" s="10" t="str">
        <x:v>Yes</x:v>
      </x:c>
      <x:c r="H609" s="10" t="str">
        <x:v>Agree</x:v>
      </x:c>
      <x:c r="I609" s="10" t="str">
        <x:v>High concern</x:v>
      </x:c>
      <x:c r="J609" s="10" t="str">
        <x:v>Initial agreement</x:v>
      </x:c>
      <x:c r="K609" s="10" t="str">
        <x:v>Wearable form factors are proposed, but no on-body or integrated wearable experiment is reported.</x:v>
      </x:c>
      <x:c r="L609" s="10" t="str">
        <x:v>PDF pp. 1–8; Figs. 2, 6–11; Table 1; ESI Table S1 and Fig. S5 cited</x:v>
      </x:c>
      <x:c r="M609" s="10" t="str">
        <x:v>Only bench chemical-vapour sensor strips were tested; wearable use is prospective.</x:v>
      </x:c>
      <x:c r="N609" s="10" t="str">
        <x:v>Article PDF pp. 2-7</x:v>
      </x:c>
      <x:c r="O609" s="10" t="str">
        <x:v>Wearable form factors are proposed, but no on-body or integrated wearable experiment is reported.</x:v>
      </x:c>
      <x:c r="P609" s="10" t="str">
        <x:v>PDF pp. 1–8; Figs. 2, 6–11; Table 1; ESI Table S1 and Fig. S5 cited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1" hidden="0" customWidth="1"/>
    <x:col min="3" max="3" width="22" hidden="0" customWidth="1"/>
    <x:col min="4" max="4" width="55" hidden="0" customWidth="1"/>
    <x:col min="5" max="5" width="10" hidden="0" customWidth="1"/>
    <x:col min="6" max="6" width="18" hidden="0" customWidth="1"/>
    <x:col min="7" max="7" width="25" hidden="0" customWidth="1"/>
    <x:col min="8" max="8" width="70" hidden="0" customWidth="1"/>
    <x:col min="9" max="9" width="38" hidden="0" customWidth="1"/>
  </x:cols>
  <x:sheetData>
    <x:row r="1" ht="34" customHeight="1">
      <x:c r="A1" s="7" t="str">
        <x:v>Synthesis ID</x:v>
      </x:c>
      <x:c r="B1" s="7" t="str">
        <x:v>Study ID</x:v>
      </x:c>
      <x:c r="C1" s="7" t="str">
        <x:v>Citation</x:v>
      </x:c>
      <x:c r="D1" s="7" t="str">
        <x:v>Article title</x:v>
      </x:c>
      <x:c r="E1" s="7" t="str">
        <x:v>Domain</x:v>
      </x:c>
      <x:c r="F1" s="7" t="str">
        <x:v>Final judgment</x:v>
      </x:c>
      <x:c r="G1" s="7" t="str">
        <x:v>Resolution</x:v>
      </x:c>
      <x:c r="H1" s="7" t="str">
        <x:v>Rationale</x:v>
      </x:c>
      <x:c r="I1" s="7" t="str">
        <x:v>Evidence locator</x:v>
      </x:c>
    </x:row>
    <x:row r="2">
      <x:c r="A2" s="8" t="n">
        <x:v>1</x:v>
      </x:c>
      <x:c r="B2" s="8" t="str">
        <x:v>S001</x:v>
      </x:c>
      <x:c r="C2" s="8" t="str">
        <x:v>Leal-Junior et al. (2025)</x:v>
      </x:c>
      <x:c r="D2" s="8" t="str">
        <x:v>Fiber Bragg Grating Embedded 3D-Printed Insole with Commercial and Portable Reader for Stance Phase Determination</x:v>
      </x:c>
      <x:c r="E2" s="8" t="str">
        <x:v>D1</x:v>
      </x:c>
      <x:c r="F2" s="8" t="str">
        <x:v>Some concern</x:v>
      </x:c>
      <x:c r="G2" s="8" t="str">
        <x:v>Initial agreement</x:v>
      </x:c>
      <x:c r="H2" s="8" t="str">
        <x:v>Five volunteers are described, but fabricated-device count is NR</x:v>
      </x:c>
      <x:c r="I2" s="8" t="str">
        <x:v>PDF pp. 6-7</x:v>
      </x:c>
    </x:row>
    <x:row r="3">
      <x:c r="A3" s="9" t="n">
        <x:v>1</x:v>
      </x:c>
      <x:c r="B3" s="9" t="str">
        <x:v>S001</x:v>
      </x:c>
      <x:c r="C3" s="9" t="str">
        <x:v>Leal-Junior et al. (2025)</x:v>
      </x:c>
      <x:c r="D3" s="9" t="str">
        <x:v>Fiber Bragg Grating Embedded 3D-Printed Insole with Commercial and Portable Reader for Stance Phase Determination</x:v>
      </x:c>
      <x:c r="E3" s="9" t="str">
        <x:v>D2</x:v>
      </x:c>
      <x:c r="F3" s="9" t="str">
        <x:v>High concern</x:v>
      </x:c>
      <x:c r="G3" s="9" t="str">
        <x:v>Initial agreement</x:v>
      </x:c>
      <x:c r="H3" s="9" t="str">
        <x:v>Core print settings are incomplete</x:v>
      </x:c>
      <x:c r="I3" s="9" t="str">
        <x:v>PDF pp. 4-5</x:v>
      </x:c>
    </x:row>
    <x:row r="4">
      <x:c r="A4" s="9" t="n">
        <x:v>1</x:v>
      </x:c>
      <x:c r="B4" s="9" t="str">
        <x:v>S001</x:v>
      </x:c>
      <x:c r="C4" s="9" t="str">
        <x:v>Leal-Junior et al. (2025)</x:v>
      </x:c>
      <x:c r="D4" s="9" t="str">
        <x:v>Fiber Bragg Grating Embedded 3D-Printed Insole with Commercial and Portable Reader for Stance Phase Determination</x:v>
      </x:c>
      <x:c r="E4" s="9" t="str">
        <x:v>D3</x:v>
      </x:c>
      <x:c r="F4" s="9" t="str">
        <x:v>Low concern</x:v>
      </x:c>
      <x:c r="G4" s="9" t="str">
        <x:v>Initial agreement</x:v>
      </x:c>
      <x:c r="H4" s="9" t="str">
        <x:v>Calibrated loads and force-platform comparison are described</x:v>
      </x:c>
      <x:c r="I4" s="9" t="str">
        <x:v>PDF pp. 6-8, 14</x:v>
      </x:c>
    </x:row>
    <x:row r="5">
      <x:c r="A5" s="9" t="n">
        <x:v>1</x:v>
      </x:c>
      <x:c r="B5" s="9" t="str">
        <x:v>S001</x:v>
      </x:c>
      <x:c r="C5" s="9" t="str">
        <x:v>Leal-Junior et al. (2025)</x:v>
      </x:c>
      <x:c r="D5" s="9" t="str">
        <x:v>Fiber Bragg Grating Embedded 3D-Printed Insole with Commercial and Portable Reader for Stance Phase Determination</x:v>
      </x:c>
      <x:c r="E5" s="9" t="str">
        <x:v>D4</x:v>
      </x:c>
      <x:c r="F5" s="9" t="str">
        <x:v>Some concern</x:v>
      </x:c>
      <x:c r="G5" s="9" t="str">
        <x:v>Adjudicated to Reviewer 1</x:v>
      </x:c>
      <x:c r="H5" s="9" t="str">
        <x:v>Bench ranges are stated; gait conditions are limited</x:v>
      </x:c>
      <x:c r="I5" s="9" t="str">
        <x:v>PDF pp. 6-7</x:v>
      </x:c>
    </x:row>
    <x:row r="6">
      <x:c r="A6" s="9" t="n">
        <x:v>1</x:v>
      </x:c>
      <x:c r="B6" s="9" t="str">
        <x:v>S001</x:v>
      </x:c>
      <x:c r="C6" s="9" t="str">
        <x:v>Leal-Junior et al. (2025)</x:v>
      </x:c>
      <x:c r="D6" s="9" t="str">
        <x:v>Fiber Bragg Grating Embedded 3D-Printed Insole with Commercial and Portable Reader for Stance Phase Determination</x:v>
      </x:c>
      <x:c r="E6" s="9" t="str">
        <x:v>D5</x:v>
      </x:c>
      <x:c r="F6" s="9" t="str">
        <x:v>Low concern</x:v>
      </x:c>
      <x:c r="G6" s="9" t="str">
        <x:v>Adjudicated to Reviewer 1</x:v>
      </x:c>
      <x:c r="H6" s="9" t="str">
        <x:v>Three cycles and hysteresis are reported</x:v>
      </x:c>
      <x:c r="I6" s="9" t="str">
        <x:v>PDF pp. 6, 8</x:v>
      </x:c>
    </x:row>
    <x:row r="7">
      <x:c r="A7" s="9" t="n">
        <x:v>1</x:v>
      </x:c>
      <x:c r="B7" s="9" t="str">
        <x:v>S001</x:v>
      </x:c>
      <x:c r="C7" s="9" t="str">
        <x:v>Leal-Junior et al. (2025)</x:v>
      </x:c>
      <x:c r="D7" s="9" t="str">
        <x:v>Fiber Bragg Grating Embedded 3D-Printed Insole with Commercial and Portable Reader for Stance Phase Determination</x:v>
      </x:c>
      <x:c r="E7" s="9" t="str">
        <x:v>D6</x:v>
      </x:c>
      <x:c r="F7" s="9" t="str">
        <x:v>High concern</x:v>
      </x:c>
      <x:c r="G7" s="9" t="str">
        <x:v>Initial agreement</x:v>
      </x:c>
      <x:c r="H7" s="9" t="str">
        <x:v>No independent-device replication</x:v>
      </x:c>
      <x:c r="I7" s="9" t="str">
        <x:v>PDF pp. 4-15</x:v>
      </x:c>
    </x:row>
    <x:row r="8">
      <x:c r="A8" s="9" t="n">
        <x:v>1</x:v>
      </x:c>
      <x:c r="B8" s="9" t="str">
        <x:v>S001</x:v>
      </x:c>
      <x:c r="C8" s="9" t="str">
        <x:v>Leal-Junior et al. (2025)</x:v>
      </x:c>
      <x:c r="D8" s="9" t="str">
        <x:v>Fiber Bragg Grating Embedded 3D-Printed Insole with Commercial and Portable Reader for Stance Phase Determination</x:v>
      </x:c>
      <x:c r="E8" s="9" t="str">
        <x:v>D7</x:v>
      </x:c>
      <x:c r="F8" s="9" t="str">
        <x:v>Some concern</x:v>
      </x:c>
      <x:c r="G8" s="9" t="str">
        <x:v>Initial agreement</x:v>
      </x:c>
      <x:c r="H8" s="9" t="str">
        <x:v>Key calibration outcomes are reported; some study-level uncertainty remains</x:v>
      </x:c>
      <x:c r="I8" s="9" t="str">
        <x:v>PDF pp. 8-15</x:v>
      </x:c>
    </x:row>
    <x:row r="9">
      <x:c r="A9" s="9" t="n">
        <x:v>1</x:v>
      </x:c>
      <x:c r="B9" s="9" t="str">
        <x:v>S001</x:v>
      </x:c>
      <x:c r="C9" s="9" t="str">
        <x:v>Leal-Junior et al. (2025)</x:v>
      </x:c>
      <x:c r="D9" s="9" t="str">
        <x:v>Fiber Bragg Grating Embedded 3D-Printed Insole with Commercial and Portable Reader for Stance Phase Determination</x:v>
      </x:c>
      <x:c r="E9" s="9" t="str">
        <x:v>D8</x:v>
      </x:c>
      <x:c r="F9" s="9" t="str">
        <x:v>Low concern</x:v>
      </x:c>
      <x:c r="G9" s="9" t="str">
        <x:v>Initial agreement</x:v>
      </x:c>
      <x:c r="H9" s="9" t="str">
        <x:v>Final insole evaluated during gait</x:v>
      </x:c>
      <x:c r="I9" s="9" t="str">
        <x:v>PDF pp. 6-7, 14</x:v>
      </x:c>
    </x:row>
    <x:row r="10">
      <x:c r="A10" s="9" t="n">
        <x:v>2</x:v>
      </x:c>
      <x:c r="B10" s="9" t="str">
        <x:v>S002</x:v>
      </x:c>
      <x:c r="C10" s="9" t="str">
        <x:v>Koukouviti et al. (2022)</x:v>
      </x:c>
      <x:c r="D10" s="9" t="str">
        <x:v>3D Printed Voltammetric Sensor Modified with an Fe(III)-Cluster for the Enzyme-Free Determination of Glucose in Sweat</x:v>
      </x:c>
      <x:c r="E10" s="9" t="str">
        <x:v>D1</x:v>
      </x:c>
      <x:c r="F10" s="9" t="str">
        <x:v>Some concern</x:v>
      </x:c>
      <x:c r="G10" s="9" t="str">
        <x:v>Initial agreement</x:v>
      </x:c>
      <x:c r="H10" s="9" t="str">
        <x:v>Device allocation is unclear for several n=3 tests</x:v>
      </x:c>
      <x:c r="I10" s="9" t="str">
        <x:v>PDF pp. 6-10</x:v>
      </x:c>
    </x:row>
    <x:row r="11">
      <x:c r="A11" s="9" t="n">
        <x:v>2</x:v>
      </x:c>
      <x:c r="B11" s="9" t="str">
        <x:v>S002</x:v>
      </x:c>
      <x:c r="C11" s="9" t="str">
        <x:v>Koukouviti et al. (2022)</x:v>
      </x:c>
      <x:c r="D11" s="9" t="str">
        <x:v>3D Printed Voltammetric Sensor Modified with an Fe(III)-Cluster for the Enzyme-Free Determination of Glucose in Sweat</x:v>
      </x:c>
      <x:c r="E11" s="9" t="str">
        <x:v>D2</x:v>
      </x:c>
      <x:c r="F11" s="9" t="str">
        <x:v>Some concern</x:v>
      </x:c>
      <x:c r="G11" s="9" t="str">
        <x:v>Initial agreement</x:v>
      </x:c>
      <x:c r="H11" s="9" t="str">
        <x:v>Several settings are reported, but printer/model and layer height are NR</x:v>
      </x:c>
      <x:c r="I11" s="9" t="str">
        <x:v>PDF p. 4</x:v>
      </x:c>
    </x:row>
    <x:row r="12">
      <x:c r="A12" s="9" t="n">
        <x:v>2</x:v>
      </x:c>
      <x:c r="B12" s="9" t="str">
        <x:v>S002</x:v>
      </x:c>
      <x:c r="C12" s="9" t="str">
        <x:v>Koukouviti et al. (2022)</x:v>
      </x:c>
      <x:c r="D12" s="9" t="str">
        <x:v>3D Printed Voltammetric Sensor Modified with an Fe(III)-Cluster for the Enzyme-Free Determination of Glucose in Sweat</x:v>
      </x:c>
      <x:c r="E12" s="9" t="str">
        <x:v>D3</x:v>
      </x:c>
      <x:c r="F12" s="9" t="str">
        <x:v>Low concern</x:v>
      </x:c>
      <x:c r="G12" s="9" t="str">
        <x:v>Initial agreement</x:v>
      </x:c>
      <x:c r="H12" s="9" t="str">
        <x:v>Concentration standards and DPV settings are described</x:v>
      </x:c>
      <x:c r="I12" s="9" t="str">
        <x:v>PDF pp. 5-7</x:v>
      </x:c>
    </x:row>
    <x:row r="13">
      <x:c r="A13" s="9" t="n">
        <x:v>2</x:v>
      </x:c>
      <x:c r="B13" s="9" t="str">
        <x:v>S002</x:v>
      </x:c>
      <x:c r="C13" s="9" t="str">
        <x:v>Koukouviti et al. (2022)</x:v>
      </x:c>
      <x:c r="D13" s="9" t="str">
        <x:v>3D Printed Voltammetric Sensor Modified with an Fe(III)-Cluster for the Enzyme-Free Determination of Glucose in Sweat</x:v>
      </x:c>
      <x:c r="E13" s="9" t="str">
        <x:v>D4</x:v>
      </x:c>
      <x:c r="F13" s="9" t="str">
        <x:v>Low concern</x:v>
      </x:c>
      <x:c r="G13" s="9" t="str">
        <x:v>Initial agreement</x:v>
      </x:c>
      <x:c r="H13" s="9" t="str">
        <x:v>Artificial-sweat pH and interferents are stated</x:v>
      </x:c>
      <x:c r="I13" s="9" t="str">
        <x:v>PDF pp. 8-10</x:v>
      </x:c>
    </x:row>
    <x:row r="14">
      <x:c r="A14" s="9" t="n">
        <x:v>2</x:v>
      </x:c>
      <x:c r="B14" s="9" t="str">
        <x:v>S002</x:v>
      </x:c>
      <x:c r="C14" s="9" t="str">
        <x:v>Koukouviti et al. (2022)</x:v>
      </x:c>
      <x:c r="D14" s="9" t="str">
        <x:v>3D Printed Voltammetric Sensor Modified with an Fe(III)-Cluster for the Enzyme-Free Determination of Glucose in Sweat</x:v>
      </x:c>
      <x:c r="E14" s="9" t="str">
        <x:v>D5</x:v>
      </x:c>
      <x:c r="F14" s="9" t="str">
        <x:v>Low concern</x:v>
      </x:c>
      <x:c r="G14" s="9" t="str">
        <x:v>Adjudicated to Reviewer 1</x:v>
      </x:c>
      <x:c r="H14" s="9" t="str">
        <x:v>Ten repeated measurements reported with RSD</x:v>
      </x:c>
      <x:c r="I14" s="9" t="str">
        <x:v>PDF pp. 7-8</x:v>
      </x:c>
    </x:row>
    <x:row r="15">
      <x:c r="A15" s="9" t="n">
        <x:v>2</x:v>
      </x:c>
      <x:c r="B15" s="9" t="str">
        <x:v>S002</x:v>
      </x:c>
      <x:c r="C15" s="9" t="str">
        <x:v>Koukouviti et al. (2022)</x:v>
      </x:c>
      <x:c r="D15" s="9" t="str">
        <x:v>3D Printed Voltammetric Sensor Modified with an Fe(III)-Cluster for the Enzyme-Free Determination of Glucose in Sweat</x:v>
      </x:c>
      <x:c r="E15" s="9" t="str">
        <x:v>D6</x:v>
      </x:c>
      <x:c r="F15" s="9" t="str">
        <x:v>Low concern</x:v>
      </x:c>
      <x:c r="G15" s="9" t="str">
        <x:v>Initial agreement</x:v>
      </x:c>
      <x:c r="H15" s="9" t="str">
        <x:v>Six separate 3DPEs compared with RSD</x:v>
      </x:c>
      <x:c r="I15" s="9" t="str">
        <x:v>PDF pp. 7-8</x:v>
      </x:c>
    </x:row>
    <x:row r="16">
      <x:c r="A16" s="9" t="n">
        <x:v>2</x:v>
      </x:c>
      <x:c r="B16" s="9" t="str">
        <x:v>S002</x:v>
      </x:c>
      <x:c r="C16" s="9" t="str">
        <x:v>Koukouviti et al. (2022)</x:v>
      </x:c>
      <x:c r="D16" s="9" t="str">
        <x:v>3D Printed Voltammetric Sensor Modified with an Fe(III)-Cluster for the Enzyme-Free Determination of Glucose in Sweat</x:v>
      </x:c>
      <x:c r="E16" s="9" t="str">
        <x:v>D7</x:v>
      </x:c>
      <x:c r="F16" s="9" t="str">
        <x:v>Low concern</x:v>
      </x:c>
      <x:c r="G16" s="9" t="str">
        <x:v>Initial agreement</x:v>
      </x:c>
      <x:c r="H16" s="9" t="str">
        <x:v>Calibration, repeatability, reproducibility and recovery are reported</x:v>
      </x:c>
      <x:c r="I16" s="9" t="str">
        <x:v>PDF pp. 6-10</x:v>
      </x:c>
    </x:row>
    <x:row r="17">
      <x:c r="A17" s="9" t="n">
        <x:v>2</x:v>
      </x:c>
      <x:c r="B17" s="9" t="str">
        <x:v>S002</x:v>
      </x:c>
      <x:c r="C17" s="9" t="str">
        <x:v>Koukouviti et al. (2022)</x:v>
      </x:c>
      <x:c r="D17" s="9" t="str">
        <x:v>3D Printed Voltammetric Sensor Modified with an Fe(III)-Cluster for the Enzyme-Free Determination of Glucose in Sweat</x:v>
      </x:c>
      <x:c r="E17" s="9" t="str">
        <x:v>D8</x:v>
      </x:c>
      <x:c r="F17" s="9" t="str">
        <x:v>Some concern</x:v>
      </x:c>
      <x:c r="G17" s="9" t="str">
        <x:v>Adjudicated to Reviewer 1</x:v>
      </x:c>
      <x:c r="H17" s="9" t="str">
        <x:v>Sweat matrix is relevant, but no final wearable assembly is tested</x:v>
      </x:c>
      <x:c r="I17" s="9" t="str">
        <x:v>PDF pp. 8-10</x:v>
      </x:c>
    </x:row>
    <x:row r="18">
      <x:c r="A18" s="9" t="n">
        <x:v>3</x:v>
      </x:c>
      <x:c r="B18" s="9" t="str">
        <x:v>S004</x:v>
      </x:c>
      <x:c r="C18" s="9" t="str">
        <x:v>Farid et al. (2025)</x:v>
      </x:c>
      <x:c r="D18" s="9" t="str">
        <x:v>High-Performance 3D Printed Thermoplastic Polyurethane Composite Resistive Flexible Strain Sensor</x:v>
      </x:c>
      <x:c r="E18" s="9" t="str">
        <x:v>D1</x:v>
      </x:c>
      <x:c r="F18" s="9" t="str">
        <x:v>High concern</x:v>
      </x:c>
      <x:c r="G18" s="9" t="str">
        <x:v>Initial agreement</x:v>
      </x:c>
      <x:c r="H18" s="9" t="str">
        <x:v>Device and participant counts are not reported</x:v>
      </x:c>
      <x:c r="I18" s="9" t="str">
        <x:v>PDF pp. 2–13; Figs. 1–8</x:v>
      </x:c>
    </x:row>
    <x:row r="19">
      <x:c r="A19" s="9" t="n">
        <x:v>3</x:v>
      </x:c>
      <x:c r="B19" s="9" t="str">
        <x:v>S004</x:v>
      </x:c>
      <x:c r="C19" s="9" t="str">
        <x:v>Farid et al. (2025)</x:v>
      </x:c>
      <x:c r="D19" s="9" t="str">
        <x:v>High-Performance 3D Printed Thermoplastic Polyurethane Composite Resistive Flexible Strain Sensor</x:v>
      </x:c>
      <x:c r="E19" s="9" t="str">
        <x:v>D2</x:v>
      </x:c>
      <x:c r="F19" s="9" t="str">
        <x:v>Low concern</x:v>
      </x:c>
      <x:c r="G19" s="9" t="str">
        <x:v>Initial agreement</x:v>
      </x:c>
      <x:c r="H19" s="9" t="str">
        <x:v>Principal print settings are detailed</x:v>
      </x:c>
      <x:c r="I19" s="9" t="str">
        <x:v>PDF pp. 2–13; Figs. 1–8</x:v>
      </x:c>
    </x:row>
    <x:row r="20">
      <x:c r="A20" s="9" t="n">
        <x:v>3</x:v>
      </x:c>
      <x:c r="B20" s="9" t="str">
        <x:v>S004</x:v>
      </x:c>
      <x:c r="C20" s="9" t="str">
        <x:v>Farid et al. (2025)</x:v>
      </x:c>
      <x:c r="D20" s="9" t="str">
        <x:v>High-Performance 3D Printed Thermoplastic Polyurethane Composite Resistive Flexible Strain Sensor</x:v>
      </x:c>
      <x:c r="E20" s="9" t="str">
        <x:v>D3</x:v>
      </x:c>
      <x:c r="F20" s="9" t="str">
        <x:v>Low concern</x:v>
      </x:c>
      <x:c r="G20" s="9" t="str">
        <x:v>Initial agreement</x:v>
      </x:c>
      <x:c r="H20" s="9" t="str">
        <x:v>UTM and electrical instruments described</x:v>
      </x:c>
      <x:c r="I20" s="9" t="str">
        <x:v>PDF pp. 2–13; Figs. 1–8</x:v>
      </x:c>
    </x:row>
    <x:row r="21">
      <x:c r="A21" s="9" t="n">
        <x:v>3</x:v>
      </x:c>
      <x:c r="B21" s="9" t="str">
        <x:v>S004</x:v>
      </x:c>
      <x:c r="C21" s="9" t="str">
        <x:v>Farid et al. (2025)</x:v>
      </x:c>
      <x:c r="D21" s="9" t="str">
        <x:v>High-Performance 3D Printed Thermoplastic Polyurethane Composite Resistive Flexible Strain Sensor</x:v>
      </x:c>
      <x:c r="E21" s="9" t="str">
        <x:v>D4</x:v>
      </x:c>
      <x:c r="F21" s="9" t="str">
        <x:v>Some concern</x:v>
      </x:c>
      <x:c r="G21" s="9" t="str">
        <x:v>Initial agreement</x:v>
      </x:c>
      <x:c r="H21" s="9" t="str">
        <x:v>Many conditions are shown but repetition basis is incomplete</x:v>
      </x:c>
      <x:c r="I21" s="9" t="str">
        <x:v>PDF pp. 2–13; Figs. 1–8</x:v>
      </x:c>
    </x:row>
    <x:row r="22">
      <x:c r="A22" s="9" t="n">
        <x:v>3</x:v>
      </x:c>
      <x:c r="B22" s="9" t="str">
        <x:v>S004</x:v>
      </x:c>
      <x:c r="C22" s="9" t="str">
        <x:v>Farid et al. (2025)</x:v>
      </x:c>
      <x:c r="D22" s="9" t="str">
        <x:v>High-Performance 3D Printed Thermoplastic Polyurethane Composite Resistive Flexible Strain Sensor</x:v>
      </x:c>
      <x:c r="E22" s="9" t="str">
        <x:v>D5</x:v>
      </x:c>
      <x:c r="F22" s="9" t="str">
        <x:v>Some concern</x:v>
      </x:c>
      <x:c r="G22" s="9" t="str">
        <x:v>Initial agreement</x:v>
      </x:c>
      <x:c r="H22" s="9" t="str">
        <x:v>Cyclic traces lack a clear same-condition count</x:v>
      </x:c>
      <x:c r="I22" s="9" t="str">
        <x:v>PDF pp. 2–13; Figs. 1–8</x:v>
      </x:c>
    </x:row>
    <x:row r="23">
      <x:c r="A23" s="9" t="n">
        <x:v>3</x:v>
      </x:c>
      <x:c r="B23" s="9" t="str">
        <x:v>S004</x:v>
      </x:c>
      <x:c r="C23" s="9" t="str">
        <x:v>Farid et al. (2025)</x:v>
      </x:c>
      <x:c r="D23" s="9" t="str">
        <x:v>High-Performance 3D Printed Thermoplastic Polyurethane Composite Resistive Flexible Strain Sensor</x:v>
      </x:c>
      <x:c r="E23" s="9" t="str">
        <x:v>D6</x:v>
      </x:c>
      <x:c r="F23" s="9" t="str">
        <x:v>High concern</x:v>
      </x:c>
      <x:c r="G23" s="9" t="str">
        <x:v>Initial agreement</x:v>
      </x:c>
      <x:c r="H23" s="9" t="str">
        <x:v>No separate-device comparison</x:v>
      </x:c>
      <x:c r="I23" s="9" t="str">
        <x:v>PDF pp. 2–13; Figs. 1–8</x:v>
      </x:c>
    </x:row>
    <x:row r="24">
      <x:c r="A24" s="9" t="n">
        <x:v>3</x:v>
      </x:c>
      <x:c r="B24" s="9" t="str">
        <x:v>S004</x:v>
      </x:c>
      <x:c r="C24" s="9" t="str">
        <x:v>Farid et al. (2025)</x:v>
      </x:c>
      <x:c r="D24" s="9" t="str">
        <x:v>High-Performance 3D Printed Thermoplastic Polyurethane Composite Resistive Flexible Strain Sensor</x:v>
      </x:c>
      <x:c r="E24" s="9" t="str">
        <x:v>D7</x:v>
      </x:c>
      <x:c r="F24" s="9" t="str">
        <x:v>Some concern</x:v>
      </x:c>
      <x:c r="G24" s="9" t="str">
        <x:v>Initial agreement</x:v>
      </x:c>
      <x:c r="H24" s="9" t="str">
        <x:v>Major outputs reported; uncertainty is limited</x:v>
      </x:c>
      <x:c r="I24" s="9" t="str">
        <x:v>PDF pp. 2–13; Figs. 1–8</x:v>
      </x:c>
    </x:row>
    <x:row r="25">
      <x:c r="A25" s="9" t="n">
        <x:v>3</x:v>
      </x:c>
      <x:c r="B25" s="9" t="str">
        <x:v>S004</x:v>
      </x:c>
      <x:c r="C25" s="9" t="str">
        <x:v>Farid et al. (2025)</x:v>
      </x:c>
      <x:c r="D25" s="9" t="str">
        <x:v>High-Performance 3D Printed Thermoplastic Polyurethane Composite Resistive Flexible Strain Sensor</x:v>
      </x:c>
      <x:c r="E25" s="9" t="str">
        <x:v>D8</x:v>
      </x:c>
      <x:c r="F25" s="9" t="str">
        <x:v>Some concern</x:v>
      </x:c>
      <x:c r="G25" s="9" t="str">
        <x:v>Adjudicated to Reviewer 1</x:v>
      </x:c>
      <x:c r="H25" s="9" t="str">
        <x:v>Several on-body demonstrations but protocol/participants are sparse</x:v>
      </x:c>
      <x:c r="I25" s="9" t="str">
        <x:v>PDF pp. 2–13; Figs. 1–8</x:v>
      </x:c>
    </x:row>
    <x:row r="26">
      <x:c r="A26" s="9" t="n">
        <x:v>4</x:v>
      </x:c>
      <x:c r="B26" s="9" t="str">
        <x:v>S005</x:v>
      </x:c>
      <x:c r="C26" s="9" t="str">
        <x:v>Tavares et al. (2022)</x:v>
      </x:c>
      <x:c r="D26" s="9" t="str">
        <x:v>Respiratory and heart rate monitoring using an FBG 3D-printed wearable system</x:v>
      </x:c>
      <x:c r="E26" s="9" t="str">
        <x:v>D1</x:v>
      </x:c>
      <x:c r="F26" s="9" t="str">
        <x:v>Some concern</x:v>
      </x:c>
      <x:c r="G26" s="9" t="str">
        <x:v>Initial agreement</x:v>
      </x:c>
      <x:c r="H26" s="9" t="str">
        <x:v>Three users but one selected sensor design</x:v>
      </x:c>
      <x:c r="I26" s="9" t="str">
        <x:v>PDF pp. 3–11; Figs. 1–9; Tables 1–3</x:v>
      </x:c>
    </x:row>
    <x:row r="27">
      <x:c r="A27" s="9" t="n">
        <x:v>4</x:v>
      </x:c>
      <x:c r="B27" s="9" t="str">
        <x:v>S005</x:v>
      </x:c>
      <x:c r="C27" s="9" t="str">
        <x:v>Tavares et al. (2022)</x:v>
      </x:c>
      <x:c r="D27" s="9" t="str">
        <x:v>Respiratory and heart rate monitoring using an FBG 3D-printed wearable system</x:v>
      </x:c>
      <x:c r="E27" s="9" t="str">
        <x:v>D2</x:v>
      </x:c>
      <x:c r="F27" s="9" t="str">
        <x:v>High concern</x:v>
      </x:c>
      <x:c r="G27" s="9" t="str">
        <x:v>Initial agreement</x:v>
      </x:c>
      <x:c r="H27" s="9" t="str">
        <x:v>Core print settings are incomplete</x:v>
      </x:c>
      <x:c r="I27" s="9" t="str">
        <x:v>PDF pp. 3–11; Figs. 1–9; Tables 1–3</x:v>
      </x:c>
    </x:row>
    <x:row r="28">
      <x:c r="A28" s="9" t="n">
        <x:v>4</x:v>
      </x:c>
      <x:c r="B28" s="9" t="str">
        <x:v>S005</x:v>
      </x:c>
      <x:c r="C28" s="9" t="str">
        <x:v>Tavares et al. (2022)</x:v>
      </x:c>
      <x:c r="D28" s="9" t="str">
        <x:v>Respiratory and heart rate monitoring using an FBG 3D-printed wearable system</x:v>
      </x:c>
      <x:c r="E28" s="9" t="str">
        <x:v>D3</x:v>
      </x:c>
      <x:c r="F28" s="9" t="str">
        <x:v>Low concern</x:v>
      </x:c>
      <x:c r="G28" s="9" t="str">
        <x:v>Initial agreement</x:v>
      </x:c>
      <x:c r="H28" s="9" t="str">
        <x:v>Piezo stage and BioHarness references are described</x:v>
      </x:c>
      <x:c r="I28" s="9" t="str">
        <x:v>PDF pp. 3–11; Figs. 1–9; Tables 1–3</x:v>
      </x:c>
    </x:row>
    <x:row r="29">
      <x:c r="A29" s="9" t="n">
        <x:v>4</x:v>
      </x:c>
      <x:c r="B29" s="9" t="str">
        <x:v>S005</x:v>
      </x:c>
      <x:c r="C29" s="9" t="str">
        <x:v>Tavares et al. (2022)</x:v>
      </x:c>
      <x:c r="D29" s="9" t="str">
        <x:v>Respiratory and heart rate monitoring using an FBG 3D-printed wearable system</x:v>
      </x:c>
      <x:c r="E29" s="9" t="str">
        <x:v>D4</x:v>
      </x:c>
      <x:c r="F29" s="9" t="str">
        <x:v>Low concern</x:v>
      </x:c>
      <x:c r="G29" s="9" t="str">
        <x:v>Adjudicated to Reviewer 1</x:v>
      </x:c>
      <x:c r="H29" s="9" t="str">
        <x:v>Dynamic ranges and user protocol are stated</x:v>
      </x:c>
      <x:c r="I29" s="9" t="str">
        <x:v>PDF pp. 3–11; Figs. 1–9; Tables 1–3</x:v>
      </x:c>
    </x:row>
    <x:row r="30">
      <x:c r="A30" s="9" t="n">
        <x:v>4</x:v>
      </x:c>
      <x:c r="B30" s="9" t="str">
        <x:v>S005</x:v>
      </x:c>
      <x:c r="C30" s="9" t="str">
        <x:v>Tavares et al. (2022)</x:v>
      </x:c>
      <x:c r="D30" s="9" t="str">
        <x:v>Respiratory and heart rate monitoring using an FBG 3D-printed wearable system</x:v>
      </x:c>
      <x:c r="E30" s="9" t="str">
        <x:v>D5</x:v>
      </x:c>
      <x:c r="F30" s="9" t="str">
        <x:v>Some concern</x:v>
      </x:c>
      <x:c r="G30" s="9" t="str">
        <x:v>Adjudicated to Reviewer 1</x:v>
      </x:c>
      <x:c r="H30" s="9" t="str">
        <x:v>Repeated user tests do not isolate device stability</x:v>
      </x:c>
      <x:c r="I30" s="9" t="str">
        <x:v>PDF pp. 3–11; Figs. 1–9; Tables 1–3</x:v>
      </x:c>
    </x:row>
    <x:row r="31">
      <x:c r="A31" s="9" t="n">
        <x:v>4</x:v>
      </x:c>
      <x:c r="B31" s="9" t="str">
        <x:v>S005</x:v>
      </x:c>
      <x:c r="C31" s="9" t="str">
        <x:v>Tavares et al. (2022)</x:v>
      </x:c>
      <x:c r="D31" s="9" t="str">
        <x:v>Respiratory and heart rate monitoring using an FBG 3D-printed wearable system</x:v>
      </x:c>
      <x:c r="E31" s="9" t="str">
        <x:v>D6</x:v>
      </x:c>
      <x:c r="F31" s="9" t="str">
        <x:v>High concern</x:v>
      </x:c>
      <x:c r="G31" s="9" t="str">
        <x:v>Initial agreement</x:v>
      </x:c>
      <x:c r="H31" s="9" t="str">
        <x:v>No replicate devices of selected design</x:v>
      </x:c>
      <x:c r="I31" s="9" t="str">
        <x:v>PDF pp. 3–11; Figs. 1–9; Tables 1–3</x:v>
      </x:c>
    </x:row>
    <x:row r="32">
      <x:c r="A32" s="9" t="n">
        <x:v>4</x:v>
      </x:c>
      <x:c r="B32" s="9" t="str">
        <x:v>S005</x:v>
      </x:c>
      <x:c r="C32" s="9" t="str">
        <x:v>Tavares et al. (2022)</x:v>
      </x:c>
      <x:c r="D32" s="9" t="str">
        <x:v>Respiratory and heart rate monitoring using an FBG 3D-printed wearable system</x:v>
      </x:c>
      <x:c r="E32" s="9" t="str">
        <x:v>D7</x:v>
      </x:c>
      <x:c r="F32" s="9" t="str">
        <x:v>Low concern</x:v>
      </x:c>
      <x:c r="G32" s="9" t="str">
        <x:v>Adjudicated to Reviewer 1</x:v>
      </x:c>
      <x:c r="H32" s="9" t="str">
        <x:v>Key sensitivity and agreement outcomes reported</x:v>
      </x:c>
      <x:c r="I32" s="9" t="str">
        <x:v>PDF pp. 3–11; Figs. 1–9; Tables 1–3</x:v>
      </x:c>
    </x:row>
    <x:row r="33">
      <x:c r="A33" s="9" t="n">
        <x:v>4</x:v>
      </x:c>
      <x:c r="B33" s="9" t="str">
        <x:v>S005</x:v>
      </x:c>
      <x:c r="C33" s="9" t="str">
        <x:v>Tavares et al. (2022)</x:v>
      </x:c>
      <x:c r="D33" s="9" t="str">
        <x:v>Respiratory and heart rate monitoring using an FBG 3D-printed wearable system</x:v>
      </x:c>
      <x:c r="E33" s="9" t="str">
        <x:v>D8</x:v>
      </x:c>
      <x:c r="F33" s="9" t="str">
        <x:v>Some concern</x:v>
      </x:c>
      <x:c r="G33" s="9" t="str">
        <x:v>Adjudicated to Reviewer 1</x:v>
      </x:c>
      <x:c r="H33" s="9" t="str">
        <x:v>Preliminary study with three users</x:v>
      </x:c>
      <x:c r="I33" s="9" t="str">
        <x:v>PDF pp. 3–11; Figs. 1–9; Tables 1–3</x:v>
      </x:c>
    </x:row>
    <x:row r="34">
      <x:c r="A34" s="9" t="n">
        <x:v>5</x:v>
      </x:c>
      <x:c r="B34" s="9" t="str">
        <x:v>S007</x:v>
      </x:c>
      <x:c r="C34" s="9" t="str">
        <x:v>Velcescu et al. (2019)</x:v>
      </x:c>
      <x:c r="D34" s="9" t="str">
        <x:v>Flexible 3D-Printed EEG Electrodes</x:v>
      </x:c>
      <x:c r="E34" s="9" t="str">
        <x:v>D1</x:v>
      </x:c>
      <x:c r="F34" s="9" t="str">
        <x:v>Some concern</x:v>
      </x:c>
      <x:c r="G34" s="9" t="str">
        <x:v>Initial agreement</x:v>
      </x:c>
      <x:c r="H34" s="9" t="str">
        <x:v>Nine designs tested; participant and replicate counts are unclear</x:v>
      </x:c>
      <x:c r="I34" s="9" t="str">
        <x:v>PDF pp. 3-7</x:v>
      </x:c>
    </x:row>
    <x:row r="35">
      <x:c r="A35" s="9" t="n">
        <x:v>5</x:v>
      </x:c>
      <x:c r="B35" s="9" t="str">
        <x:v>S007</x:v>
      </x:c>
      <x:c r="C35" s="9" t="str">
        <x:v>Velcescu et al. (2019)</x:v>
      </x:c>
      <x:c r="D35" s="9" t="str">
        <x:v>Flexible 3D-Printed EEG Electrodes</x:v>
      </x:c>
      <x:c r="E35" s="9" t="str">
        <x:v>D2</x:v>
      </x:c>
      <x:c r="F35" s="9" t="str">
        <x:v>Low concern</x:v>
      </x:c>
      <x:c r="G35" s="9" t="str">
        <x:v>Adjudicated to Reviewer 1</x:v>
      </x:c>
      <x:c r="H35" s="9" t="str">
        <x:v>Printer, material and core settings are described</x:v>
      </x:c>
      <x:c r="I35" s="9" t="str">
        <x:v>PDF pp. 3-5</x:v>
      </x:c>
    </x:row>
    <x:row r="36">
      <x:c r="A36" s="9" t="n">
        <x:v>5</x:v>
      </x:c>
      <x:c r="B36" s="9" t="str">
        <x:v>S007</x:v>
      </x:c>
      <x:c r="C36" s="9" t="str">
        <x:v>Velcescu et al. (2019)</x:v>
      </x:c>
      <x:c r="D36" s="9" t="str">
        <x:v>Flexible 3D-Printed EEG Electrodes</x:v>
      </x:c>
      <x:c r="E36" s="9" t="str">
        <x:v>D3</x:v>
      </x:c>
      <x:c r="F36" s="9" t="str">
        <x:v>Low concern</x:v>
      </x:c>
      <x:c r="G36" s="9" t="str">
        <x:v>Initial agreement</x:v>
      </x:c>
      <x:c r="H36" s="9" t="str">
        <x:v>Controlled loads/frequencies and comparator electrodes are described</x:v>
      </x:c>
      <x:c r="I36" s="9" t="str">
        <x:v>PDF pp. 5-7</x:v>
      </x:c>
    </x:row>
    <x:row r="37">
      <x:c r="A37" s="9" t="n">
        <x:v>5</x:v>
      </x:c>
      <x:c r="B37" s="9" t="str">
        <x:v>S007</x:v>
      </x:c>
      <x:c r="C37" s="9" t="str">
        <x:v>Velcescu et al. (2019)</x:v>
      </x:c>
      <x:c r="D37" s="9" t="str">
        <x:v>Flexible 3D-Printed EEG Electrodes</x:v>
      </x:c>
      <x:c r="E37" s="9" t="str">
        <x:v>D4</x:v>
      </x:c>
      <x:c r="F37" s="9" t="str">
        <x:v>Low concern</x:v>
      </x:c>
      <x:c r="G37" s="9" t="str">
        <x:v>Initial agreement</x:v>
      </x:c>
      <x:c r="H37" s="9" t="str">
        <x:v>Contact pressure, frequency and filtering are stated</x:v>
      </x:c>
      <x:c r="I37" s="9" t="str">
        <x:v>PDF pp. 5-7</x:v>
      </x:c>
    </x:row>
    <x:row r="38">
      <x:c r="A38" s="9" t="n">
        <x:v>5</x:v>
      </x:c>
      <x:c r="B38" s="9" t="str">
        <x:v>S007</x:v>
      </x:c>
      <x:c r="C38" s="9" t="str">
        <x:v>Velcescu et al. (2019)</x:v>
      </x:c>
      <x:c r="D38" s="9" t="str">
        <x:v>Flexible 3D-Printed EEG Electrodes</x:v>
      </x:c>
      <x:c r="E38" s="9" t="str">
        <x:v>D5</x:v>
      </x:c>
      <x:c r="F38" s="9" t="str">
        <x:v>Some concern</x:v>
      </x:c>
      <x:c r="G38" s="9" t="str">
        <x:v>Adjudicated to Reviewer 1</x:v>
      </x:c>
      <x:c r="H38" s="9" t="str">
        <x:v>One loading-unloading loop and one EEG demonstration; no repeated-use series</x:v>
      </x:c>
      <x:c r="I38" s="9" t="str">
        <x:v>PDF pp. 5-12</x:v>
      </x:c>
    </x:row>
    <x:row r="39">
      <x:c r="A39" s="9" t="n">
        <x:v>5</x:v>
      </x:c>
      <x:c r="B39" s="9" t="str">
        <x:v>S007</x:v>
      </x:c>
      <x:c r="C39" s="9" t="str">
        <x:v>Velcescu et al. (2019)</x:v>
      </x:c>
      <x:c r="D39" s="9" t="str">
        <x:v>Flexible 3D-Printed EEG Electrodes</x:v>
      </x:c>
      <x:c r="E39" s="9" t="str">
        <x:v>D6</x:v>
      </x:c>
      <x:c r="F39" s="9" t="str">
        <x:v>High concern</x:v>
      </x:c>
      <x:c r="G39" s="9" t="str">
        <x:v>Initial agreement</x:v>
      </x:c>
      <x:c r="H39" s="9" t="str">
        <x:v>Design variants are not independent replicates</x:v>
      </x:c>
      <x:c r="I39" s="9" t="str">
        <x:v>PDF pp. 3-12</x:v>
      </x:c>
    </x:row>
    <x:row r="40">
      <x:c r="A40" s="9" t="n">
        <x:v>5</x:v>
      </x:c>
      <x:c r="B40" s="9" t="str">
        <x:v>S007</x:v>
      </x:c>
      <x:c r="C40" s="9" t="str">
        <x:v>Velcescu et al. (2019)</x:v>
      </x:c>
      <x:c r="D40" s="9" t="str">
        <x:v>Flexible 3D-Printed EEG Electrodes</x:v>
      </x:c>
      <x:c r="E40" s="9" t="str">
        <x:v>D7</x:v>
      </x:c>
      <x:c r="F40" s="9" t="str">
        <x:v>Some concern</x:v>
      </x:c>
      <x:c r="G40" s="9" t="str">
        <x:v>Initial agreement</x:v>
      </x:c>
      <x:c r="H40" s="9" t="str">
        <x:v>Quantitative impedance/noise data reported; longer-term coating failure is qualitative</x:v>
      </x:c>
      <x:c r="I40" s="9" t="str">
        <x:v>PDF pp. 8-12</x:v>
      </x:c>
    </x:row>
    <x:row r="41">
      <x:c r="A41" s="9" t="n">
        <x:v>5</x:v>
      </x:c>
      <x:c r="B41" s="9" t="str">
        <x:v>S007</x:v>
      </x:c>
      <x:c r="C41" s="9" t="str">
        <x:v>Velcescu et al. (2019)</x:v>
      </x:c>
      <x:c r="D41" s="9" t="str">
        <x:v>Flexible 3D-Printed EEG Electrodes</x:v>
      </x:c>
      <x:c r="E41" s="9" t="str">
        <x:v>D8</x:v>
      </x:c>
      <x:c r="F41" s="9" t="str">
        <x:v>Low concern</x:v>
      </x:c>
      <x:c r="G41" s="9" t="str">
        <x:v>Initial agreement</x:v>
      </x:c>
      <x:c r="H41" s="9" t="str">
        <x:v>Final scalp electrode is evaluated for EEG</x:v>
      </x:c>
      <x:c r="I41" s="9" t="str">
        <x:v>PDF pp. 6-12</x:v>
      </x:c>
    </x:row>
    <x:row r="42">
      <x:c r="A42" s="9" t="n">
        <x:v>6</x:v>
      </x:c>
      <x:c r="B42" s="9" t="str">
        <x:v>S008</x:v>
      </x:c>
      <x:c r="C42" s="9" t="str">
        <x:v>Kim et al. (2022)</x:v>
      </x:c>
      <x:c r="D42" s="9" t="str">
        <x:v>3D designed battery-free wireless origami pressure sensor</x:v>
      </x:c>
      <x:c r="E42" s="9" t="str">
        <x:v>D1</x:v>
      </x:c>
      <x:c r="F42" s="9" t="str">
        <x:v>High concern</x:v>
      </x:c>
      <x:c r="G42" s="9" t="str">
        <x:v>Initial agreement</x:v>
      </x:c>
      <x:c r="H42" s="9" t="str">
        <x:v>One insole and one volunteer</x:v>
      </x:c>
      <x:c r="I42" s="9" t="str">
        <x:v>PDF pp. 5–10; Figs. 3–5</x:v>
      </x:c>
    </x:row>
    <x:row r="43">
      <x:c r="A43" s="9" t="n">
        <x:v>6</x:v>
      </x:c>
      <x:c r="B43" s="9" t="str">
        <x:v>S008</x:v>
      </x:c>
      <x:c r="C43" s="9" t="str">
        <x:v>Kim et al. (2022)</x:v>
      </x:c>
      <x:c r="D43" s="9" t="str">
        <x:v>3D designed battery-free wireless origami pressure sensor</x:v>
      </x:c>
      <x:c r="E43" s="9" t="str">
        <x:v>D2</x:v>
      </x:c>
      <x:c r="F43" s="9" t="str">
        <x:v>Low concern</x:v>
      </x:c>
      <x:c r="G43" s="9" t="str">
        <x:v>Initial agreement</x:v>
      </x:c>
      <x:c r="H43" s="9" t="str">
        <x:v>FFF parameters and essential materials detailed</x:v>
      </x:c>
      <x:c r="I43" s="9" t="str">
        <x:v>PDF pp. 5–10; Figs. 3–5</x:v>
      </x:c>
    </x:row>
    <x:row r="44">
      <x:c r="A44" s="9" t="n">
        <x:v>6</x:v>
      </x:c>
      <x:c r="B44" s="9" t="str">
        <x:v>S008</x:v>
      </x:c>
      <x:c r="C44" s="9" t="str">
        <x:v>Kim et al. (2022)</x:v>
      </x:c>
      <x:c r="D44" s="9" t="str">
        <x:v>3D designed battery-free wireless origami pressure sensor</x:v>
      </x:c>
      <x:c r="E44" s="9" t="str">
        <x:v>D3</x:v>
      </x:c>
      <x:c r="F44" s="9" t="str">
        <x:v>Low concern</x:v>
      </x:c>
      <x:c r="G44" s="9" t="str">
        <x:v>Initial agreement</x:v>
      </x:c>
      <x:c r="H44" s="9" t="str">
        <x:v>Compression and VNA methods described</x:v>
      </x:c>
      <x:c r="I44" s="9" t="str">
        <x:v>PDF pp. 5–10; Figs. 3–5</x:v>
      </x:c>
    </x:row>
    <x:row r="45">
      <x:c r="A45" s="9" t="n">
        <x:v>6</x:v>
      </x:c>
      <x:c r="B45" s="9" t="str">
        <x:v>S008</x:v>
      </x:c>
      <x:c r="C45" s="9" t="str">
        <x:v>Kim et al. (2022)</x:v>
      </x:c>
      <x:c r="D45" s="9" t="str">
        <x:v>3D designed battery-free wireless origami pressure sensor</x:v>
      </x:c>
      <x:c r="E45" s="9" t="str">
        <x:v>D4</x:v>
      </x:c>
      <x:c r="F45" s="9" t="str">
        <x:v>Some concern</x:v>
      </x:c>
      <x:c r="G45" s="9" t="str">
        <x:v>Adjudicated to Reviewer 1</x:v>
      </x:c>
      <x:c r="H45" s="9" t="str">
        <x:v>Repetition count for SD is not stated</x:v>
      </x:c>
      <x:c r="I45" s="9" t="str">
        <x:v>PDF pp. 5–10; Figs. 3–5</x:v>
      </x:c>
    </x:row>
    <x:row r="46">
      <x:c r="A46" s="9" t="n">
        <x:v>6</x:v>
      </x:c>
      <x:c r="B46" s="9" t="str">
        <x:v>S008</x:v>
      </x:c>
      <x:c r="C46" s="9" t="str">
        <x:v>Kim et al. (2022)</x:v>
      </x:c>
      <x:c r="D46" s="9" t="str">
        <x:v>3D designed battery-free wireless origami pressure sensor</x:v>
      </x:c>
      <x:c r="E46" s="9" t="str">
        <x:v>D5</x:v>
      </x:c>
      <x:c r="F46" s="9" t="str">
        <x:v>Some concern</x:v>
      </x:c>
      <x:c r="G46" s="9" t="str">
        <x:v>Adjudicated to Reviewer 1</x:v>
      </x:c>
      <x:c r="H46" s="9" t="str">
        <x:v>Repeated-results claim lacks full design detail</x:v>
      </x:c>
      <x:c r="I46" s="9" t="str">
        <x:v>PDF pp. 5–10; Figs. 3–5</x:v>
      </x:c>
    </x:row>
    <x:row r="47">
      <x:c r="A47" s="9" t="n">
        <x:v>6</x:v>
      </x:c>
      <x:c r="B47" s="9" t="str">
        <x:v>S008</x:v>
      </x:c>
      <x:c r="C47" s="9" t="str">
        <x:v>Kim et al. (2022)</x:v>
      </x:c>
      <x:c r="D47" s="9" t="str">
        <x:v>3D designed battery-free wireless origami pressure sensor</x:v>
      </x:c>
      <x:c r="E47" s="9" t="str">
        <x:v>D6</x:v>
      </x:c>
      <x:c r="F47" s="9" t="str">
        <x:v>High concern</x:v>
      </x:c>
      <x:c r="G47" s="9" t="str">
        <x:v>Initial agreement</x:v>
      </x:c>
      <x:c r="H47" s="9" t="str">
        <x:v>No separate-insole comparison</x:v>
      </x:c>
      <x:c r="I47" s="9" t="str">
        <x:v>PDF pp. 5–10; Figs. 3–5</x:v>
      </x:c>
    </x:row>
    <x:row r="48">
      <x:c r="A48" s="9" t="n">
        <x:v>6</x:v>
      </x:c>
      <x:c r="B48" s="9" t="str">
        <x:v>S008</x:v>
      </x:c>
      <x:c r="C48" s="9" t="str">
        <x:v>Kim et al. (2022)</x:v>
      </x:c>
      <x:c r="D48" s="9" t="str">
        <x:v>3D designed battery-free wireless origami pressure sensor</x:v>
      </x:c>
      <x:c r="E48" s="9" t="str">
        <x:v>D7</x:v>
      </x:c>
      <x:c r="F48" s="9" t="str">
        <x:v>Some concern</x:v>
      </x:c>
      <x:c r="G48" s="9" t="str">
        <x:v>Initial agreement</x:v>
      </x:c>
      <x:c r="H48" s="9" t="str">
        <x:v>Sensitivity and SD reported; uncertainty basis incomplete</x:v>
      </x:c>
      <x:c r="I48" s="9" t="str">
        <x:v>PDF pp. 5–10; Figs. 3–5</x:v>
      </x:c>
    </x:row>
    <x:row r="49">
      <x:c r="A49" s="9" t="n">
        <x:v>6</x:v>
      </x:c>
      <x:c r="B49" s="9" t="str">
        <x:v>S008</x:v>
      </x:c>
      <x:c r="C49" s="9" t="str">
        <x:v>Kim et al. (2022)</x:v>
      </x:c>
      <x:c r="D49" s="9" t="str">
        <x:v>3D designed battery-free wireless origami pressure sensor</x:v>
      </x:c>
      <x:c r="E49" s="9" t="str">
        <x:v>D8</x:v>
      </x:c>
      <x:c r="F49" s="9" t="str">
        <x:v>Some concern</x:v>
      </x:c>
      <x:c r="G49" s="9" t="str">
        <x:v>Adjudicated to Reviewer 1</x:v>
      </x:c>
      <x:c r="H49" s="9" t="str">
        <x:v>Complete insole demonstrated on one volunteer</x:v>
      </x:c>
      <x:c r="I49" s="9" t="str">
        <x:v>PDF pp. 5–10; Figs. 3–5</x:v>
      </x:c>
    </x:row>
    <x:row r="50">
      <x:c r="A50" s="9" t="n">
        <x:v>7</x:v>
      </x:c>
      <x:c r="B50" s="9" t="str">
        <x:v>S010</x:v>
      </x:c>
      <x:c r="C50" s="9" t="str">
        <x:v>Mutlu et al. (2023)</x:v>
      </x:c>
      <x:c r="D50" s="9" t="str">
        <x:v>A 3D-Printed Soft Haptic Device with Built-in Force Sensing Delivering Bio-Mimicked Feedback</x:v>
      </x:c>
      <x:c r="E50" s="9" t="str">
        <x:v>D1</x:v>
      </x:c>
      <x:c r="F50" s="9" t="str">
        <x:v>High concern</x:v>
      </x:c>
      <x:c r="G50" s="9" t="str">
        <x:v>Initial agreement</x:v>
      </x:c>
      <x:c r="H50" s="9" t="str">
        <x:v>One device and two-subject demonstration</x:v>
      </x:c>
      <x:c r="I50" s="9" t="str">
        <x:v>PDF pp. 3–16; Figs. 1–13; Appendix A</x:v>
      </x:c>
    </x:row>
    <x:row r="51">
      <x:c r="A51" s="9" t="n">
        <x:v>7</x:v>
      </x:c>
      <x:c r="B51" s="9" t="str">
        <x:v>S010</x:v>
      </x:c>
      <x:c r="C51" s="9" t="str">
        <x:v>Mutlu et al. (2023)</x:v>
      </x:c>
      <x:c r="D51" s="9" t="str">
        <x:v>A 3D-Printed Soft Haptic Device with Built-in Force Sensing Delivering Bio-Mimicked Feedback</x:v>
      </x:c>
      <x:c r="E51" s="9" t="str">
        <x:v>D2</x:v>
      </x:c>
      <x:c r="F51" s="9" t="str">
        <x:v>Low concern</x:v>
      </x:c>
      <x:c r="G51" s="9" t="str">
        <x:v>Initial agreement</x:v>
      </x:c>
      <x:c r="H51" s="9" t="str">
        <x:v>Materials and print parameters reported</x:v>
      </x:c>
      <x:c r="I51" s="9" t="str">
        <x:v>PDF pp. 3–16; Figs. 1–13; Appendix A</x:v>
      </x:c>
    </x:row>
    <x:row r="52">
      <x:c r="A52" s="9" t="n">
        <x:v>7</x:v>
      </x:c>
      <x:c r="B52" s="9" t="str">
        <x:v>S010</x:v>
      </x:c>
      <x:c r="C52" s="9" t="str">
        <x:v>Mutlu et al. (2023)</x:v>
      </x:c>
      <x:c r="D52" s="9" t="str">
        <x:v>A 3D-Printed Soft Haptic Device with Built-in Force Sensing Delivering Bio-Mimicked Feedback</x:v>
      </x:c>
      <x:c r="E52" s="9" t="str">
        <x:v>D3</x:v>
      </x:c>
      <x:c r="F52" s="9" t="str">
        <x:v>Low concern</x:v>
      </x:c>
      <x:c r="G52" s="9" t="str">
        <x:v>Initial agreement</x:v>
      </x:c>
      <x:c r="H52" s="9" t="str">
        <x:v>Pressure and force references described</x:v>
      </x:c>
      <x:c r="I52" s="9" t="str">
        <x:v>PDF pp. 3–16; Figs. 1–13; Appendix A</x:v>
      </x:c>
    </x:row>
    <x:row r="53">
      <x:c r="A53" s="9" t="n">
        <x:v>7</x:v>
      </x:c>
      <x:c r="B53" s="9" t="str">
        <x:v>S010</x:v>
      </x:c>
      <x:c r="C53" s="9" t="str">
        <x:v>Mutlu et al. (2023)</x:v>
      </x:c>
      <x:c r="D53" s="9" t="str">
        <x:v>A 3D-Printed Soft Haptic Device with Built-in Force Sensing Delivering Bio-Mimicked Feedback</x:v>
      </x:c>
      <x:c r="E53" s="9" t="str">
        <x:v>D4</x:v>
      </x:c>
      <x:c r="F53" s="9" t="str">
        <x:v>Low concern</x:v>
      </x:c>
      <x:c r="G53" s="9" t="str">
        <x:v>Initial agreement</x:v>
      </x:c>
      <x:c r="H53" s="9" t="str">
        <x:v>Static/dynamic conditions are stated</x:v>
      </x:c>
      <x:c r="I53" s="9" t="str">
        <x:v>PDF pp. 3–16; Figs. 1–13; Appendix A</x:v>
      </x:c>
    </x:row>
    <x:row r="54">
      <x:c r="A54" s="9" t="n">
        <x:v>7</x:v>
      </x:c>
      <x:c r="B54" s="9" t="str">
        <x:v>S010</x:v>
      </x:c>
      <x:c r="C54" s="9" t="str">
        <x:v>Mutlu et al. (2023)</x:v>
      </x:c>
      <x:c r="D54" s="9" t="str">
        <x:v>A 3D-Printed Soft Haptic Device with Built-in Force Sensing Delivering Bio-Mimicked Feedback</x:v>
      </x:c>
      <x:c r="E54" s="9" t="str">
        <x:v>D5</x:v>
      </x:c>
      <x:c r="F54" s="9" t="str">
        <x:v>Some concern</x:v>
      </x:c>
      <x:c r="G54" s="9" t="str">
        <x:v>Initial agreement</x:v>
      </x:c>
      <x:c r="H54" s="9" t="str">
        <x:v>Cyclic loading count is unclear</x:v>
      </x:c>
      <x:c r="I54" s="9" t="str">
        <x:v>PDF pp. 3–16; Figs. 1–13; Appendix A</x:v>
      </x:c>
    </x:row>
    <x:row r="55">
      <x:c r="A55" s="9" t="n">
        <x:v>7</x:v>
      </x:c>
      <x:c r="B55" s="9" t="str">
        <x:v>S010</x:v>
      </x:c>
      <x:c r="C55" s="9" t="str">
        <x:v>Mutlu et al. (2023)</x:v>
      </x:c>
      <x:c r="D55" s="9" t="str">
        <x:v>A 3D-Printed Soft Haptic Device with Built-in Force Sensing Delivering Bio-Mimicked Feedback</x:v>
      </x:c>
      <x:c r="E55" s="9" t="str">
        <x:v>D6</x:v>
      </x:c>
      <x:c r="F55" s="9" t="str">
        <x:v>High concern</x:v>
      </x:c>
      <x:c r="G55" s="9" t="str">
        <x:v>Initial agreement</x:v>
      </x:c>
      <x:c r="H55" s="9" t="str">
        <x:v>No independent-device replication</x:v>
      </x:c>
      <x:c r="I55" s="9" t="str">
        <x:v>PDF pp. 3–16; Figs. 1–13; Appendix A</x:v>
      </x:c>
    </x:row>
    <x:row r="56">
      <x:c r="A56" s="9" t="n">
        <x:v>7</x:v>
      </x:c>
      <x:c r="B56" s="9" t="str">
        <x:v>S010</x:v>
      </x:c>
      <x:c r="C56" s="9" t="str">
        <x:v>Mutlu et al. (2023)</x:v>
      </x:c>
      <x:c r="D56" s="9" t="str">
        <x:v>A 3D-Printed Soft Haptic Device with Built-in Force Sensing Delivering Bio-Mimicked Feedback</x:v>
      </x:c>
      <x:c r="E56" s="9" t="str">
        <x:v>D7</x:v>
      </x:c>
      <x:c r="F56" s="9" t="str">
        <x:v>Low concern</x:v>
      </x:c>
      <x:c r="G56" s="9" t="str">
        <x:v>Adjudicated to Reviewer 1</x:v>
      </x:c>
      <x:c r="H56" s="9" t="str">
        <x:v>Static, dynamic and task outcomes reported</x:v>
      </x:c>
      <x:c r="I56" s="9" t="str">
        <x:v>PDF pp. 3–16; Figs. 1–13; Appendix A</x:v>
      </x:c>
    </x:row>
    <x:row r="57">
      <x:c r="A57" s="9" t="n">
        <x:v>7</x:v>
      </x:c>
      <x:c r="B57" s="9" t="str">
        <x:v>S010</x:v>
      </x:c>
      <x:c r="C57" s="9" t="str">
        <x:v>Mutlu et al. (2023)</x:v>
      </x:c>
      <x:c r="D57" s="9" t="str">
        <x:v>A 3D-Printed Soft Haptic Device with Built-in Force Sensing Delivering Bio-Mimicked Feedback</x:v>
      </x:c>
      <x:c r="E57" s="9" t="str">
        <x:v>D8</x:v>
      </x:c>
      <x:c r="F57" s="9" t="str">
        <x:v>Some concern</x:v>
      </x:c>
      <x:c r="G57" s="9" t="str">
        <x:v>Adjudicated to Reviewer 1</x:v>
      </x:c>
      <x:c r="H57" s="9" t="str">
        <x:v>Worn application is demonstrated but small and exploratory</x:v>
      </x:c>
      <x:c r="I57" s="9" t="str">
        <x:v>PDF pp. 3–16; Figs. 1–13; Appendix A</x:v>
      </x:c>
    </x:row>
    <x:row r="58">
      <x:c r="A58" s="9" t="n">
        <x:v>8</x:v>
      </x:c>
      <x:c r="B58" s="9" t="str">
        <x:v>S011</x:v>
      </x:c>
      <x:c r="C58" s="9" t="str">
        <x:v>Samarentsis et al. (2022)</x:v>
      </x:c>
      <x:c r="D58" s="9" t="str">
        <x:v>A 3D-Printed Capacitive Smart Insole for Plantar Pressure Monitoring</x:v>
      </x:c>
      <x:c r="E58" s="9" t="str">
        <x:v>D1</x:v>
      </x:c>
      <x:c r="F58" s="9" t="str">
        <x:v>Some concern</x:v>
      </x:c>
      <x:c r="G58" s="9" t="str">
        <x:v>Adjudicated to Reviewer 1</x:v>
      </x:c>
      <x:c r="H58" s="9" t="str">
        <x:v>Sixteen sensors support bench results; on-body evaluation uses one participant</x:v>
      </x:c>
      <x:c r="I58" s="9" t="str">
        <x:v>PDF pp. 8-14</x:v>
      </x:c>
    </x:row>
    <x:row r="59">
      <x:c r="A59" s="9" t="n">
        <x:v>8</x:v>
      </x:c>
      <x:c r="B59" s="9" t="str">
        <x:v>S011</x:v>
      </x:c>
      <x:c r="C59" s="9" t="str">
        <x:v>Samarentsis et al. (2022)</x:v>
      </x:c>
      <x:c r="D59" s="9" t="str">
        <x:v>A 3D-Printed Capacitive Smart Insole for Plantar Pressure Monitoring</x:v>
      </x:c>
      <x:c r="E59" s="9" t="str">
        <x:v>D2</x:v>
      </x:c>
      <x:c r="F59" s="9" t="str">
        <x:v>Low concern</x:v>
      </x:c>
      <x:c r="G59" s="9" t="str">
        <x:v>Initial agreement</x:v>
      </x:c>
      <x:c r="H59" s="9" t="str">
        <x:v>Materials and detailed print parameters are reported</x:v>
      </x:c>
      <x:c r="I59" s="9" t="str">
        <x:v>PDF pp. 3-5, Table 1</x:v>
      </x:c>
    </x:row>
    <x:row r="60">
      <x:c r="A60" s="9" t="n">
        <x:v>8</x:v>
      </x:c>
      <x:c r="B60" s="9" t="str">
        <x:v>S011</x:v>
      </x:c>
      <x:c r="C60" s="9" t="str">
        <x:v>Samarentsis et al. (2022)</x:v>
      </x:c>
      <x:c r="D60" s="9" t="str">
        <x:v>A 3D-Printed Capacitive Smart Insole for Plantar Pressure Monitoring</x:v>
      </x:c>
      <x:c r="E60" s="9" t="str">
        <x:v>D3</x:v>
      </x:c>
      <x:c r="F60" s="9" t="str">
        <x:v>Low concern</x:v>
      </x:c>
      <x:c r="G60" s="9" t="str">
        <x:v>Adjudicated to Reviewer 1</x:v>
      </x:c>
      <x:c r="H60" s="9" t="str">
        <x:v>Pressure calibration range and analysis are described</x:v>
      </x:c>
      <x:c r="I60" s="9" t="str">
        <x:v>PDF pp. 5-9</x:v>
      </x:c>
    </x:row>
    <x:row r="61">
      <x:c r="A61" s="9" t="n">
        <x:v>8</x:v>
      </x:c>
      <x:c r="B61" s="9" t="str">
        <x:v>S011</x:v>
      </x:c>
      <x:c r="C61" s="9" t="str">
        <x:v>Samarentsis et al. (2022)</x:v>
      </x:c>
      <x:c r="D61" s="9" t="str">
        <x:v>A 3D-Printed Capacitive Smart Insole for Plantar Pressure Monitoring</x:v>
      </x:c>
      <x:c r="E61" s="9" t="str">
        <x:v>D4</x:v>
      </x:c>
      <x:c r="F61" s="9" t="str">
        <x:v>Low concern</x:v>
      </x:c>
      <x:c r="G61" s="9" t="str">
        <x:v>Initial agreement</x:v>
      </x:c>
      <x:c r="H61" s="9" t="str">
        <x:v>Loading range/rate and fixed laboratory conditions are stated</x:v>
      </x:c>
      <x:c r="I61" s="9" t="str">
        <x:v>PDF pp. 5-10</x:v>
      </x:c>
    </x:row>
    <x:row r="62">
      <x:c r="A62" s="9" t="n">
        <x:v>8</x:v>
      </x:c>
      <x:c r="B62" s="9" t="str">
        <x:v>S011</x:v>
      </x:c>
      <x:c r="C62" s="9" t="str">
        <x:v>Samarentsis et al. (2022)</x:v>
      </x:c>
      <x:c r="D62" s="9" t="str">
        <x:v>A 3D-Printed Capacitive Smart Insole for Plantar Pressure Monitoring</x:v>
      </x:c>
      <x:c r="E62" s="9" t="str">
        <x:v>D5</x:v>
      </x:c>
      <x:c r="F62" s="9" t="str">
        <x:v>Low concern</x:v>
      </x:c>
      <x:c r="G62" s="9" t="str">
        <x:v>Initial agreement</x:v>
      </x:c>
      <x:c r="H62" s="9" t="str">
        <x:v>Three cycles and 2280-cycle test reported</x:v>
      </x:c>
      <x:c r="I62" s="9" t="str">
        <x:v>PDF pp. 8-11</x:v>
      </x:c>
    </x:row>
    <x:row r="63">
      <x:c r="A63" s="9" t="n">
        <x:v>8</x:v>
      </x:c>
      <x:c r="B63" s="9" t="str">
        <x:v>S011</x:v>
      </x:c>
      <x:c r="C63" s="9" t="str">
        <x:v>Samarentsis et al. (2022)</x:v>
      </x:c>
      <x:c r="D63" s="9" t="str">
        <x:v>A 3D-Printed Capacitive Smart Insole for Plantar Pressure Monitoring</x:v>
      </x:c>
      <x:c r="E63" s="9" t="str">
        <x:v>D6</x:v>
      </x:c>
      <x:c r="F63" s="9" t="str">
        <x:v>Low concern</x:v>
      </x:c>
      <x:c r="G63" s="9" t="str">
        <x:v>Adjudicated to Reviewer 1</x:v>
      </x:c>
      <x:c r="H63" s="9" t="str">
        <x:v>Sixteen separate sensors summarized with mean and SD</x:v>
      </x:c>
      <x:c r="I63" s="9" t="str">
        <x:v>PDF pp. 8-9</x:v>
      </x:c>
    </x:row>
    <x:row r="64">
      <x:c r="A64" s="9" t="n">
        <x:v>8</x:v>
      </x:c>
      <x:c r="B64" s="9" t="str">
        <x:v>S011</x:v>
      </x:c>
      <x:c r="C64" s="9" t="str">
        <x:v>Samarentsis et al. (2022)</x:v>
      </x:c>
      <x:c r="D64" s="9" t="str">
        <x:v>A 3D-Printed Capacitive Smart Insole for Plantar Pressure Monitoring</x:v>
      </x:c>
      <x:c r="E64" s="9" t="str">
        <x:v>D7</x:v>
      </x:c>
      <x:c r="F64" s="9" t="str">
        <x:v>Low concern</x:v>
      </x:c>
      <x:c r="G64" s="9" t="str">
        <x:v>Adjudicated to Reviewer 1</x:v>
      </x:c>
      <x:c r="H64" s="9" t="str">
        <x:v>Major response, durability and integration outcomes are reported</x:v>
      </x:c>
      <x:c r="I64" s="9" t="str">
        <x:v>PDF pp. 8-14</x:v>
      </x:c>
    </x:row>
    <x:row r="65">
      <x:c r="A65" s="9" t="n">
        <x:v>8</x:v>
      </x:c>
      <x:c r="B65" s="9" t="str">
        <x:v>S011</x:v>
      </x:c>
      <x:c r="C65" s="9" t="str">
        <x:v>Samarentsis et al. (2022)</x:v>
      </x:c>
      <x:c r="D65" s="9" t="str">
        <x:v>A 3D-Printed Capacitive Smart Insole for Plantar Pressure Monitoring</x:v>
      </x:c>
      <x:c r="E65" s="9" t="str">
        <x:v>D8</x:v>
      </x:c>
      <x:c r="F65" s="9" t="str">
        <x:v>Low concern</x:v>
      </x:c>
      <x:c r="G65" s="9" t="str">
        <x:v>Initial agreement</x:v>
      </x:c>
      <x:c r="H65" s="9" t="str">
        <x:v>Final insole tested on a participant</x:v>
      </x:c>
      <x:c r="I65" s="9" t="str">
        <x:v>PDF pp. 12-14</x:v>
      </x:c>
    </x:row>
    <x:row r="66">
      <x:c r="A66" s="9" t="n">
        <x:v>9</x:v>
      </x:c>
      <x:c r="B66" s="9" t="str">
        <x:v>S012</x:v>
      </x:c>
      <x:c r="C66" s="9" t="str">
        <x:v>Wolterink et al. (2020)</x:v>
      </x:c>
      <x:c r="D66" s="9" t="str">
        <x:v>Development of Soft sEMG Sensing Structures Using 3D-Printing Technologies</x:v>
      </x:c>
      <x:c r="E66" s="9" t="str">
        <x:v>D1</x:v>
      </x:c>
      <x:c r="F66" s="9" t="str">
        <x:v>Some concern</x:v>
      </x:c>
      <x:c r="G66" s="9" t="str">
        <x:v>Initial agreement</x:v>
      </x:c>
      <x:c r="H66" s="9" t="str">
        <x:v>Six plus three volunteers; electrode-unit sampling not reported</x:v>
      </x:c>
      <x:c r="I66" s="9" t="str">
        <x:v>PDF pp. 4–14; Figs. 1–17; Tables 2–3</x:v>
      </x:c>
    </x:row>
    <x:row r="67">
      <x:c r="A67" s="9" t="n">
        <x:v>9</x:v>
      </x:c>
      <x:c r="B67" s="9" t="str">
        <x:v>S012</x:v>
      </x:c>
      <x:c r="C67" s="9" t="str">
        <x:v>Wolterink et al. (2020)</x:v>
      </x:c>
      <x:c r="D67" s="9" t="str">
        <x:v>Development of Soft sEMG Sensing Structures Using 3D-Printing Technologies</x:v>
      </x:c>
      <x:c r="E67" s="9" t="str">
        <x:v>D2</x:v>
      </x:c>
      <x:c r="F67" s="9" t="str">
        <x:v>Some concern</x:v>
      </x:c>
      <x:c r="G67" s="9" t="str">
        <x:v>Initial agreement</x:v>
      </x:c>
      <x:c r="H67" s="9" t="str">
        <x:v>Several settings and materials reported, but temperatures/speeds omitted</x:v>
      </x:c>
      <x:c r="I67" s="9" t="str">
        <x:v>PDF pp. 4–14; Figs. 1–17; Tables 2–3</x:v>
      </x:c>
    </x:row>
    <x:row r="68">
      <x:c r="A68" s="9" t="n">
        <x:v>9</x:v>
      </x:c>
      <x:c r="B68" s="9" t="str">
        <x:v>S012</x:v>
      </x:c>
      <x:c r="C68" s="9" t="str">
        <x:v>Wolterink et al. (2020)</x:v>
      </x:c>
      <x:c r="D68" s="9" t="str">
        <x:v>Development of Soft sEMG Sensing Structures Using 3D-Printing Technologies</x:v>
      </x:c>
      <x:c r="E68" s="9" t="str">
        <x:v>D3</x:v>
      </x:c>
      <x:c r="F68" s="9" t="str">
        <x:v>Low concern</x:v>
      </x:c>
      <x:c r="G68" s="9" t="str">
        <x:v>Initial agreement</x:v>
      </x:c>
      <x:c r="H68" s="9" t="str">
        <x:v>Ag/AgCl comparison and load protocol described</x:v>
      </x:c>
      <x:c r="I68" s="9" t="str">
        <x:v>PDF pp. 4–14; Figs. 1–17; Tables 2–3</x:v>
      </x:c>
    </x:row>
    <x:row r="69">
      <x:c r="A69" s="9" t="n">
        <x:v>9</x:v>
      </x:c>
      <x:c r="B69" s="9" t="str">
        <x:v>S012</x:v>
      </x:c>
      <x:c r="C69" s="9" t="str">
        <x:v>Wolterink et al. (2020)</x:v>
      </x:c>
      <x:c r="D69" s="9" t="str">
        <x:v>Development of Soft sEMG Sensing Structures Using 3D-Printing Technologies</x:v>
      </x:c>
      <x:c r="E69" s="9" t="str">
        <x:v>D4</x:v>
      </x:c>
      <x:c r="F69" s="9" t="str">
        <x:v>Low concern</x:v>
      </x:c>
      <x:c r="G69" s="9" t="str">
        <x:v>Initial agreement</x:v>
      </x:c>
      <x:c r="H69" s="9" t="str">
        <x:v>Contact and task conditions are stated</x:v>
      </x:c>
      <x:c r="I69" s="9" t="str">
        <x:v>PDF pp. 4–14; Figs. 1–17; Tables 2–3</x:v>
      </x:c>
    </x:row>
    <x:row r="70">
      <x:c r="A70" s="9" t="n">
        <x:v>9</x:v>
      </x:c>
      <x:c r="B70" s="9" t="str">
        <x:v>S012</x:v>
      </x:c>
      <x:c r="C70" s="9" t="str">
        <x:v>Wolterink et al. (2020)</x:v>
      </x:c>
      <x:c r="D70" s="9" t="str">
        <x:v>Development of Soft sEMG Sensing Structures Using 3D-Printing Technologies</x:v>
      </x:c>
      <x:c r="E70" s="9" t="str">
        <x:v>D5</x:v>
      </x:c>
      <x:c r="F70" s="9" t="str">
        <x:v>Low concern</x:v>
      </x:c>
      <x:c r="G70" s="9" t="str">
        <x:v>Adjudicated to Reviewer 1</x:v>
      </x:c>
      <x:c r="H70" s="9" t="str">
        <x:v>Repeated contractions and variability outputs reported</x:v>
      </x:c>
      <x:c r="I70" s="9" t="str">
        <x:v>PDF pp. 4–14; Figs. 1–17; Tables 2–3</x:v>
      </x:c>
    </x:row>
    <x:row r="71">
      <x:c r="A71" s="9" t="n">
        <x:v>9</x:v>
      </x:c>
      <x:c r="B71" s="9" t="str">
        <x:v>S012</x:v>
      </x:c>
      <x:c r="C71" s="9" t="str">
        <x:v>Wolterink et al. (2020)</x:v>
      </x:c>
      <x:c r="D71" s="9" t="str">
        <x:v>Development of Soft sEMG Sensing Structures Using 3D-Printing Technologies</x:v>
      </x:c>
      <x:c r="E71" s="9" t="str">
        <x:v>D6</x:v>
      </x:c>
      <x:c r="F71" s="9" t="str">
        <x:v>High concern</x:v>
      </x:c>
      <x:c r="G71" s="9" t="str">
        <x:v>Initial agreement</x:v>
      </x:c>
      <x:c r="H71" s="9" t="str">
        <x:v>No separate-device replication</x:v>
      </x:c>
      <x:c r="I71" s="9" t="str">
        <x:v>PDF pp. 4–14; Figs. 1–17; Tables 2–3</x:v>
      </x:c>
    </x:row>
    <x:row r="72">
      <x:c r="A72" s="9" t="n">
        <x:v>9</x:v>
      </x:c>
      <x:c r="B72" s="9" t="str">
        <x:v>S012</x:v>
      </x:c>
      <x:c r="C72" s="9" t="str">
        <x:v>Wolterink et al. (2020)</x:v>
      </x:c>
      <x:c r="D72" s="9" t="str">
        <x:v>Development of Soft sEMG Sensing Structures Using 3D-Printing Technologies</x:v>
      </x:c>
      <x:c r="E72" s="9" t="str">
        <x:v>D7</x:v>
      </x:c>
      <x:c r="F72" s="9" t="str">
        <x:v>Low concern</x:v>
      </x:c>
      <x:c r="G72" s="9" t="str">
        <x:v>Adjudicated to Reviewer 1</x:v>
      </x:c>
      <x:c r="H72" s="9" t="str">
        <x:v>Impedance, statistics and accuracy reported</x:v>
      </x:c>
      <x:c r="I72" s="9" t="str">
        <x:v>PDF pp. 4–14; Figs. 1–17; Tables 2–3</x:v>
      </x:c>
    </x:row>
    <x:row r="73">
      <x:c r="A73" s="9" t="n">
        <x:v>9</x:v>
      </x:c>
      <x:c r="B73" s="9" t="str">
        <x:v>S012</x:v>
      </x:c>
      <x:c r="C73" s="9" t="str">
        <x:v>Wolterink et al. (2020)</x:v>
      </x:c>
      <x:c r="D73" s="9" t="str">
        <x:v>Development of Soft sEMG Sensing Structures Using 3D-Printing Technologies</x:v>
      </x:c>
      <x:c r="E73" s="9" t="str">
        <x:v>D8</x:v>
      </x:c>
      <x:c r="F73" s="9" t="str">
        <x:v>Low concern</x:v>
      </x:c>
      <x:c r="G73" s="9" t="str">
        <x:v>Initial agreement</x:v>
      </x:c>
      <x:c r="H73" s="9" t="str">
        <x:v>Direct on-body electrode and band testing</x:v>
      </x:c>
      <x:c r="I73" s="9" t="str">
        <x:v>PDF pp. 4–14; Figs. 1–17; Tables 2–3</x:v>
      </x:c>
    </x:row>
    <x:row r="74">
      <x:c r="A74" s="9" t="n">
        <x:v>10</x:v>
      </x:c>
      <x:c r="B74" s="9" t="str">
        <x:v>S013</x:v>
      </x:c>
      <x:c r="C74" s="9" t="str">
        <x:v>Poulladofonou et al. (2022)</x:v>
      </x:c>
      <x:c r="D74" s="9" t="str">
        <x:v>Wearable Electronic Finger for Date Rape Drugs Screening: From Do-It-Yourself Fabrication to Self-Testing</x:v>
      </x:c>
      <x:c r="E74" s="9" t="str">
        <x:v>D1</x:v>
      </x:c>
      <x:c r="F74" s="9" t="str">
        <x:v>Some concern</x:v>
      </x:c>
      <x:c r="G74" s="9" t="str">
        <x:v>Initial agreement</x:v>
      </x:c>
      <x:c r="H74" s="9" t="str">
        <x:v>Five devices support between-device precision; allocation details limited</x:v>
      </x:c>
      <x:c r="I74" s="9" t="str">
        <x:v>PDF pp. 3–7; Figs. 1–6; Table 1; cited SI</x:v>
      </x:c>
    </x:row>
    <x:row r="75">
      <x:c r="A75" s="9" t="n">
        <x:v>10</x:v>
      </x:c>
      <x:c r="B75" s="9" t="str">
        <x:v>S013</x:v>
      </x:c>
      <x:c r="C75" s="9" t="str">
        <x:v>Poulladofonou et al. (2022)</x:v>
      </x:c>
      <x:c r="D75" s="9" t="str">
        <x:v>Wearable Electronic Finger for Date Rape Drugs Screening: From Do-It-Yourself Fabrication to Self-Testing</x:v>
      </x:c>
      <x:c r="E75" s="9" t="str">
        <x:v>D2</x:v>
      </x:c>
      <x:c r="F75" s="9" t="str">
        <x:v>Some concern</x:v>
      </x:c>
      <x:c r="G75" s="9" t="str">
        <x:v>Initial agreement</x:v>
      </x:c>
      <x:c r="H75" s="9" t="str">
        <x:v>Materials/temperatures reported; several print settings absent</x:v>
      </x:c>
      <x:c r="I75" s="9" t="str">
        <x:v>PDF pp. 3–7; Figs. 1–6; Table 1; cited SI</x:v>
      </x:c>
    </x:row>
    <x:row r="76">
      <x:c r="A76" s="9" t="n">
        <x:v>10</x:v>
      </x:c>
      <x:c r="B76" s="9" t="str">
        <x:v>S013</x:v>
      </x:c>
      <x:c r="C76" s="9" t="str">
        <x:v>Poulladofonou et al. (2022)</x:v>
      </x:c>
      <x:c r="D76" s="9" t="str">
        <x:v>Wearable Electronic Finger for Date Rape Drugs Screening: From Do-It-Yourself Fabrication to Self-Testing</x:v>
      </x:c>
      <x:c r="E76" s="9" t="str">
        <x:v>D3</x:v>
      </x:c>
      <x:c r="F76" s="9" t="str">
        <x:v>Low concern</x:v>
      </x:c>
      <x:c r="G76" s="9" t="str">
        <x:v>Adjudicated to Reviewer 1</x:v>
      </x:c>
      <x:c r="H76" s="9" t="str">
        <x:v>Matrix-specific DPV calibration described</x:v>
      </x:c>
      <x:c r="I76" s="9" t="str">
        <x:v>PDF pp. 3–7; Figs. 1–6; Table 1; cited SI</x:v>
      </x:c>
    </x:row>
    <x:row r="77">
      <x:c r="A77" s="9" t="n">
        <x:v>10</x:v>
      </x:c>
      <x:c r="B77" s="9" t="str">
        <x:v>S013</x:v>
      </x:c>
      <x:c r="C77" s="9" t="str">
        <x:v>Poulladofonou et al. (2022)</x:v>
      </x:c>
      <x:c r="D77" s="9" t="str">
        <x:v>Wearable Electronic Finger for Date Rape Drugs Screening: From Do-It-Yourself Fabrication to Self-Testing</x:v>
      </x:c>
      <x:c r="E77" s="9" t="str">
        <x:v>D4</x:v>
      </x:c>
      <x:c r="F77" s="9" t="str">
        <x:v>Low concern</x:v>
      </x:c>
      <x:c r="G77" s="9" t="str">
        <x:v>Initial agreement</x:v>
      </x:c>
      <x:c r="H77" s="9" t="str">
        <x:v>Ranges, matrices and repeated wash/storage schedule stated</x:v>
      </x:c>
      <x:c r="I77" s="9" t="str">
        <x:v>PDF pp. 3–7; Figs. 1–6; Table 1; cited SI</x:v>
      </x:c>
    </x:row>
    <x:row r="78">
      <x:c r="A78" s="9" t="n">
        <x:v>10</x:v>
      </x:c>
      <x:c r="B78" s="9" t="str">
        <x:v>S013</x:v>
      </x:c>
      <x:c r="C78" s="9" t="str">
        <x:v>Poulladofonou et al. (2022)</x:v>
      </x:c>
      <x:c r="D78" s="9" t="str">
        <x:v>Wearable Electronic Finger for Date Rape Drugs Screening: From Do-It-Yourself Fabrication to Self-Testing</x:v>
      </x:c>
      <x:c r="E78" s="9" t="str">
        <x:v>D5</x:v>
      </x:c>
      <x:c r="F78" s="9" t="str">
        <x:v>Low concern</x:v>
      </x:c>
      <x:c r="G78" s="9" t="str">
        <x:v>Initial agreement</x:v>
      </x:c>
      <x:c r="H78" s="9" t="str">
        <x:v>Within-device and 12-day repeated measurements</x:v>
      </x:c>
      <x:c r="I78" s="9" t="str">
        <x:v>PDF pp. 3–7; Figs. 1–6; Table 1; cited SI</x:v>
      </x:c>
    </x:row>
    <x:row r="79">
      <x:c r="A79" s="9" t="n">
        <x:v>10</x:v>
      </x:c>
      <x:c r="B79" s="9" t="str">
        <x:v>S013</x:v>
      </x:c>
      <x:c r="C79" s="9" t="str">
        <x:v>Poulladofonou et al. (2022)</x:v>
      </x:c>
      <x:c r="D79" s="9" t="str">
        <x:v>Wearable Electronic Finger for Date Rape Drugs Screening: From Do-It-Yourself Fabrication to Self-Testing</x:v>
      </x:c>
      <x:c r="E79" s="9" t="str">
        <x:v>D6</x:v>
      </x:c>
      <x:c r="F79" s="9" t="str">
        <x:v>Low concern</x:v>
      </x:c>
      <x:c r="G79" s="9" t="str">
        <x:v>Initial agreement</x:v>
      </x:c>
      <x:c r="H79" s="9" t="str">
        <x:v>Five-device RSD reported</x:v>
      </x:c>
      <x:c r="I79" s="9" t="str">
        <x:v>PDF pp. 3–7; Figs. 1–6; Table 1; cited SI</x:v>
      </x:c>
    </x:row>
    <x:row r="80">
      <x:c r="A80" s="9" t="n">
        <x:v>10</x:v>
      </x:c>
      <x:c r="B80" s="9" t="str">
        <x:v>S013</x:v>
      </x:c>
      <x:c r="C80" s="9" t="str">
        <x:v>Poulladofonou et al. (2022)</x:v>
      </x:c>
      <x:c r="D80" s="9" t="str">
        <x:v>Wearable Electronic Finger for Date Rape Drugs Screening: From Do-It-Yourself Fabrication to Self-Testing</x:v>
      </x:c>
      <x:c r="E80" s="9" t="str">
        <x:v>D7</x:v>
      </x:c>
      <x:c r="F80" s="9" t="str">
        <x:v>Low concern</x:v>
      </x:c>
      <x:c r="G80" s="9" t="str">
        <x:v>Initial agreement</x:v>
      </x:c>
      <x:c r="H80" s="9" t="str">
        <x:v>Range, LOD, precision and stability outcomes reported</x:v>
      </x:c>
      <x:c r="I80" s="9" t="str">
        <x:v>PDF pp. 3–7; Figs. 1–6; Table 1; cited SI</x:v>
      </x:c>
    </x:row>
    <x:row r="81">
      <x:c r="A81" s="9" t="n">
        <x:v>10</x:v>
      </x:c>
      <x:c r="B81" s="9" t="str">
        <x:v>S013</x:v>
      </x:c>
      <x:c r="C81" s="9" t="str">
        <x:v>Poulladofonou et al. (2022)</x:v>
      </x:c>
      <x:c r="D81" s="9" t="str">
        <x:v>Wearable Electronic Finger for Date Rape Drugs Screening: From Do-It-Yourself Fabrication to Self-Testing</x:v>
      </x:c>
      <x:c r="E81" s="9" t="str">
        <x:v>D8</x:v>
      </x:c>
      <x:c r="F81" s="9" t="str">
        <x:v>Low concern</x:v>
      </x:c>
      <x:c r="G81" s="9" t="str">
        <x:v>Initial agreement</x:v>
      </x:c>
      <x:c r="H81" s="9" t="str">
        <x:v>Device is worn during realistic beverage testing</x:v>
      </x:c>
      <x:c r="I81" s="9" t="str">
        <x:v>PDF pp. 3–7; Figs. 1–6; Table 1; cited SI</x:v>
      </x:c>
    </x:row>
    <x:row r="82">
      <x:c r="A82" s="9" t="n">
        <x:v>11</x:v>
      </x:c>
      <x:c r="B82" s="9" t="str">
        <x:v>S014</x:v>
      </x:c>
      <x:c r="C82" s="9" t="str">
        <x:v>Dimo et al. (2025)</x:v>
      </x:c>
      <x:c r="D82" s="9" t="str">
        <x:v>3D-Printed Wearable Sensors for the Identification of Shoulder Movement Planes</x:v>
      </x:c>
      <x:c r="E82" s="9" t="str">
        <x:v>D1</x:v>
      </x:c>
      <x:c r="F82" s="9" t="str">
        <x:v>Some concern</x:v>
      </x:c>
      <x:c r="G82" s="9" t="str">
        <x:v>Initial agreement</x:v>
      </x:c>
      <x:c r="H82" s="9" t="str">
        <x:v>Eight volunteers but only two functional material variants</x:v>
      </x:c>
      <x:c r="I82" s="9" t="str">
        <x:v>PDF pp. 4–15; Figs. 1–10; Tables 1–2</x:v>
      </x:c>
    </x:row>
    <x:row r="83">
      <x:c r="A83" s="9" t="n">
        <x:v>11</x:v>
      </x:c>
      <x:c r="B83" s="9" t="str">
        <x:v>S014</x:v>
      </x:c>
      <x:c r="C83" s="9" t="str">
        <x:v>Dimo et al. (2025)</x:v>
      </x:c>
      <x:c r="D83" s="9" t="str">
        <x:v>3D-Printed Wearable Sensors for the Identification of Shoulder Movement Planes</x:v>
      </x:c>
      <x:c r="E83" s="9" t="str">
        <x:v>D2</x:v>
      </x:c>
      <x:c r="F83" s="9" t="str">
        <x:v>High concern</x:v>
      </x:c>
      <x:c r="G83" s="9" t="str">
        <x:v>Adjudicated to Reviewer 1</x:v>
      </x:c>
      <x:c r="H83" s="9" t="str">
        <x:v>Many print settings are omitted</x:v>
      </x:c>
      <x:c r="I83" s="9" t="str">
        <x:v>PDF pp. 4–15; Figs. 1–10; Tables 1–2</x:v>
      </x:c>
    </x:row>
    <x:row r="84">
      <x:c r="A84" s="9" t="n">
        <x:v>11</x:v>
      </x:c>
      <x:c r="B84" s="9" t="str">
        <x:v>S014</x:v>
      </x:c>
      <x:c r="C84" s="9" t="str">
        <x:v>Dimo et al. (2025)</x:v>
      </x:c>
      <x:c r="D84" s="9" t="str">
        <x:v>3D-Printed Wearable Sensors for the Identification of Shoulder Movement Planes</x:v>
      </x:c>
      <x:c r="E84" s="9" t="str">
        <x:v>D3</x:v>
      </x:c>
      <x:c r="F84" s="9" t="str">
        <x:v>Low concern</x:v>
      </x:c>
      <x:c r="G84" s="9" t="str">
        <x:v>Initial agreement</x:v>
      </x:c>
      <x:c r="H84" s="9" t="str">
        <x:v>Instron and temperature references specified</x:v>
      </x:c>
      <x:c r="I84" s="9" t="str">
        <x:v>PDF pp. 4–15; Figs. 1–10; Tables 1–2</x:v>
      </x:c>
    </x:row>
    <x:row r="85">
      <x:c r="A85" s="9" t="n">
        <x:v>11</x:v>
      </x:c>
      <x:c r="B85" s="9" t="str">
        <x:v>S014</x:v>
      </x:c>
      <x:c r="C85" s="9" t="str">
        <x:v>Dimo et al. (2025)</x:v>
      </x:c>
      <x:c r="D85" s="9" t="str">
        <x:v>3D-Printed Wearable Sensors for the Identification of Shoulder Movement Planes</x:v>
      </x:c>
      <x:c r="E85" s="9" t="str">
        <x:v>D4</x:v>
      </x:c>
      <x:c r="F85" s="9" t="str">
        <x:v>Low concern</x:v>
      </x:c>
      <x:c r="G85" s="9" t="str">
        <x:v>Initial agreement</x:v>
      </x:c>
      <x:c r="H85" s="9" t="str">
        <x:v>Strain, thermal, cycle, pull-out and on-body protocols stated</x:v>
      </x:c>
      <x:c r="I85" s="9" t="str">
        <x:v>PDF pp. 4–15; Figs. 1–10; Tables 1–2</x:v>
      </x:c>
    </x:row>
    <x:row r="86">
      <x:c r="A86" s="9" t="n">
        <x:v>11</x:v>
      </x:c>
      <x:c r="B86" s="9" t="str">
        <x:v>S014</x:v>
      </x:c>
      <x:c r="C86" s="9" t="str">
        <x:v>Dimo et al. (2025)</x:v>
      </x:c>
      <x:c r="D86" s="9" t="str">
        <x:v>3D-Printed Wearable Sensors for the Identification of Shoulder Movement Planes</x:v>
      </x:c>
      <x:c r="E86" s="9" t="str">
        <x:v>D5</x:v>
      </x:c>
      <x:c r="F86" s="9" t="str">
        <x:v>Low concern</x:v>
      </x:c>
      <x:c r="G86" s="9" t="str">
        <x:v>Initial agreement</x:v>
      </x:c>
      <x:c r="H86" s="9" t="str">
        <x:v>Ten-cycle tests and repeated reapplication</x:v>
      </x:c>
      <x:c r="I86" s="9" t="str">
        <x:v>PDF pp. 4–15; Figs. 1–10; Tables 1–2</x:v>
      </x:c>
    </x:row>
    <x:row r="87">
      <x:c r="A87" s="9" t="n">
        <x:v>11</x:v>
      </x:c>
      <x:c r="B87" s="9" t="str">
        <x:v>S014</x:v>
      </x:c>
      <x:c r="C87" s="9" t="str">
        <x:v>Dimo et al. (2025)</x:v>
      </x:c>
      <x:c r="D87" s="9" t="str">
        <x:v>3D-Printed Wearable Sensors for the Identification of Shoulder Movement Planes</x:v>
      </x:c>
      <x:c r="E87" s="9" t="str">
        <x:v>D6</x:v>
      </x:c>
      <x:c r="F87" s="9" t="str">
        <x:v>High concern</x:v>
      </x:c>
      <x:c r="G87" s="9" t="str">
        <x:v>Initial agreement</x:v>
      </x:c>
      <x:c r="H87" s="9" t="str">
        <x:v>No ≥3 functional-device comparison</x:v>
      </x:c>
      <x:c r="I87" s="9" t="str">
        <x:v>PDF pp. 4–15; Figs. 1–10; Tables 1–2</x:v>
      </x:c>
    </x:row>
    <x:row r="88">
      <x:c r="A88" s="9" t="n">
        <x:v>11</x:v>
      </x:c>
      <x:c r="B88" s="9" t="str">
        <x:v>S014</x:v>
      </x:c>
      <x:c r="C88" s="9" t="str">
        <x:v>Dimo et al. (2025)</x:v>
      </x:c>
      <x:c r="D88" s="9" t="str">
        <x:v>3D-Printed Wearable Sensors for the Identification of Shoulder Movement Planes</x:v>
      </x:c>
      <x:c r="E88" s="9" t="str">
        <x:v>D7</x:v>
      </x:c>
      <x:c r="F88" s="9" t="str">
        <x:v>Low concern</x:v>
      </x:c>
      <x:c r="G88" s="9" t="str">
        <x:v>Initial agreement</x:v>
      </x:c>
      <x:c r="H88" s="9" t="str">
        <x:v>Sensitivity, uncertainty, hysteresis and interface results reported</x:v>
      </x:c>
      <x:c r="I88" s="9" t="str">
        <x:v>PDF pp. 4–15; Figs. 1–10; Tables 1–2</x:v>
      </x:c>
    </x:row>
    <x:row r="89">
      <x:c r="A89" s="9" t="n">
        <x:v>11</x:v>
      </x:c>
      <x:c r="B89" s="9" t="str">
        <x:v>S014</x:v>
      </x:c>
      <x:c r="C89" s="9" t="str">
        <x:v>Dimo et al. (2025)</x:v>
      </x:c>
      <x:c r="D89" s="9" t="str">
        <x:v>3D-Printed Wearable Sensors for the Identification of Shoulder Movement Planes</x:v>
      </x:c>
      <x:c r="E89" s="9" t="str">
        <x:v>D8</x:v>
      </x:c>
      <x:c r="F89" s="9" t="str">
        <x:v>Some concern</x:v>
      </x:c>
      <x:c r="G89" s="9" t="str">
        <x:v>Adjudicated to Reviewer 1</x:v>
      </x:c>
      <x:c r="H89" s="9" t="str">
        <x:v>Eight-person exploratory test without external motion reference</x:v>
      </x:c>
      <x:c r="I89" s="9" t="str">
        <x:v>PDF pp. 4–15; Figs. 1–10; Tables 1–2</x:v>
      </x:c>
    </x:row>
    <x:row r="90">
      <x:c r="A90" s="9" t="n">
        <x:v>12</x:v>
      </x:c>
      <x:c r="B90" s="9" t="str">
        <x:v>S015</x:v>
      </x:c>
      <x:c r="C90" s="9" t="str">
        <x:v>Farook et al. (2023)</x:v>
      </x:c>
      <x:c r="D90" s="9" t="str">
        <x:v>A 3D printed electronic wearable device to generate vertical, horizontal and phono-articulatory jaw movement parameters</x:v>
      </x:c>
      <x:c r="E90" s="9" t="str">
        <x:v>D1</x:v>
      </x:c>
      <x:c r="F90" s="9" t="str">
        <x:v>High concern</x:v>
      </x:c>
      <x:c r="G90" s="9" t="str">
        <x:v>Initial agreement</x:v>
      </x:c>
      <x:c r="H90" s="9" t="str">
        <x:v>One prototype and two convenience participants</x:v>
      </x:c>
      <x:c r="I90" s="9" t="str">
        <x:v>PDF pp. 3–11; Figs. 1–6; Table 1</x:v>
      </x:c>
    </x:row>
    <x:row r="91">
      <x:c r="A91" s="9" t="n">
        <x:v>12</x:v>
      </x:c>
      <x:c r="B91" s="9" t="str">
        <x:v>S015</x:v>
      </x:c>
      <x:c r="C91" s="9" t="str">
        <x:v>Farook et al. (2023)</x:v>
      </x:c>
      <x:c r="D91" s="9" t="str">
        <x:v>A 3D printed electronic wearable device to generate vertical, horizontal and phono-articulatory jaw movement parameters</x:v>
      </x:c>
      <x:c r="E91" s="9" t="str">
        <x:v>D2</x:v>
      </x:c>
      <x:c r="F91" s="9" t="str">
        <x:v>High concern</x:v>
      </x:c>
      <x:c r="G91" s="9" t="str">
        <x:v>Initial agreement</x:v>
      </x:c>
      <x:c r="H91" s="9" t="str">
        <x:v>Core print settings are incomplete</x:v>
      </x:c>
      <x:c r="I91" s="9" t="str">
        <x:v>PDF pp. 3–11; Figs. 1–6; Table 1</x:v>
      </x:c>
    </x:row>
    <x:row r="92">
      <x:c r="A92" s="9" t="n">
        <x:v>12</x:v>
      </x:c>
      <x:c r="B92" s="9" t="str">
        <x:v>S015</x:v>
      </x:c>
      <x:c r="C92" s="9" t="str">
        <x:v>Farook et al. (2023)</x:v>
      </x:c>
      <x:c r="D92" s="9" t="str">
        <x:v>A 3D printed electronic wearable device to generate vertical, horizontal and phono-articulatory jaw movement parameters</x:v>
      </x:c>
      <x:c r="E92" s="9" t="str">
        <x:v>D3</x:v>
      </x:c>
      <x:c r="F92" s="9" t="str">
        <x:v>Low concern</x:v>
      </x:c>
      <x:c r="G92" s="9" t="str">
        <x:v>Adjudicated to Reviewer 1</x:v>
      </x:c>
      <x:c r="H92" s="9" t="str">
        <x:v>Caliper comparison and analysis equations reported</x:v>
      </x:c>
      <x:c r="I92" s="9" t="str">
        <x:v>PDF pp. 3–11; Figs. 1–6; Table 1</x:v>
      </x:c>
    </x:row>
    <x:row r="93">
      <x:c r="A93" s="9" t="n">
        <x:v>12</x:v>
      </x:c>
      <x:c r="B93" s="9" t="str">
        <x:v>S015</x:v>
      </x:c>
      <x:c r="C93" s="9" t="str">
        <x:v>Farook et al. (2023)</x:v>
      </x:c>
      <x:c r="D93" s="9" t="str">
        <x:v>A 3D printed electronic wearable device to generate vertical, horizontal and phono-articulatory jaw movement parameters</x:v>
      </x:c>
      <x:c r="E93" s="9" t="str">
        <x:v>D4</x:v>
      </x:c>
      <x:c r="F93" s="9" t="str">
        <x:v>Some concern</x:v>
      </x:c>
      <x:c r="G93" s="9" t="str">
        <x:v>Adjudicated to Reviewer 1</x:v>
      </x:c>
      <x:c r="H93" s="9" t="str">
        <x:v>On-body procedure is described but calibration is limited</x:v>
      </x:c>
      <x:c r="I93" s="9" t="str">
        <x:v>PDF pp. 3–11; Figs. 1–6; Table 1</x:v>
      </x:c>
    </x:row>
    <x:row r="94">
      <x:c r="A94" s="9" t="n">
        <x:v>12</x:v>
      </x:c>
      <x:c r="B94" s="9" t="str">
        <x:v>S015</x:v>
      </x:c>
      <x:c r="C94" s="9" t="str">
        <x:v>Farook et al. (2023)</x:v>
      </x:c>
      <x:c r="D94" s="9" t="str">
        <x:v>A 3D printed electronic wearable device to generate vertical, horizontal and phono-articulatory jaw movement parameters</x:v>
      </x:c>
      <x:c r="E94" s="9" t="str">
        <x:v>D5</x:v>
      </x:c>
      <x:c r="F94" s="9" t="str">
        <x:v>High concern</x:v>
      </x:c>
      <x:c r="G94" s="9" t="str">
        <x:v>Initial agreement</x:v>
      </x:c>
      <x:c r="H94" s="9" t="str">
        <x:v>Practice repeats were unrecorded</x:v>
      </x:c>
      <x:c r="I94" s="9" t="str">
        <x:v>PDF pp. 3–11; Figs. 1–6; Table 1</x:v>
      </x:c>
    </x:row>
    <x:row r="95">
      <x:c r="A95" s="9" t="n">
        <x:v>12</x:v>
      </x:c>
      <x:c r="B95" s="9" t="str">
        <x:v>S015</x:v>
      </x:c>
      <x:c r="C95" s="9" t="str">
        <x:v>Farook et al. (2023)</x:v>
      </x:c>
      <x:c r="D95" s="9" t="str">
        <x:v>A 3D printed electronic wearable device to generate vertical, horizontal and phono-articulatory jaw movement parameters</x:v>
      </x:c>
      <x:c r="E95" s="9" t="str">
        <x:v>D6</x:v>
      </x:c>
      <x:c r="F95" s="9" t="str">
        <x:v>High concern</x:v>
      </x:c>
      <x:c r="G95" s="9" t="str">
        <x:v>Initial agreement</x:v>
      </x:c>
      <x:c r="H95" s="9" t="str">
        <x:v>No independent-device replication</x:v>
      </x:c>
      <x:c r="I95" s="9" t="str">
        <x:v>PDF pp. 3–11; Figs. 1–6; Table 1</x:v>
      </x:c>
    </x:row>
    <x:row r="96">
      <x:c r="A96" s="9" t="n">
        <x:v>12</x:v>
      </x:c>
      <x:c r="B96" s="9" t="str">
        <x:v>S015</x:v>
      </x:c>
      <x:c r="C96" s="9" t="str">
        <x:v>Farook et al. (2023)</x:v>
      </x:c>
      <x:c r="D96" s="9" t="str">
        <x:v>A 3D printed electronic wearable device to generate vertical, horizontal and phono-articulatory jaw movement parameters</x:v>
      </x:c>
      <x:c r="E96" s="9" t="str">
        <x:v>D7</x:v>
      </x:c>
      <x:c r="F96" s="9" t="str">
        <x:v>Some concern</x:v>
      </x:c>
      <x:c r="G96" s="9" t="str">
        <x:v>Initial agreement</x:v>
      </x:c>
      <x:c r="H96" s="9" t="str">
        <x:v>Errors reported; device-level uncertainty limited</x:v>
      </x:c>
      <x:c r="I96" s="9" t="str">
        <x:v>PDF pp. 3–11; Figs. 1–6; Table 1</x:v>
      </x:c>
    </x:row>
    <x:row r="97">
      <x:c r="A97" s="9" t="n">
        <x:v>12</x:v>
      </x:c>
      <x:c r="B97" s="9" t="str">
        <x:v>S015</x:v>
      </x:c>
      <x:c r="C97" s="9" t="str">
        <x:v>Farook et al. (2023)</x:v>
      </x:c>
      <x:c r="D97" s="9" t="str">
        <x:v>A 3D printed electronic wearable device to generate vertical, horizontal and phono-articulatory jaw movement parameters</x:v>
      </x:c>
      <x:c r="E97" s="9" t="str">
        <x:v>D8</x:v>
      </x:c>
      <x:c r="F97" s="9" t="str">
        <x:v>Some concern</x:v>
      </x:c>
      <x:c r="G97" s="9" t="str">
        <x:v>Initial agreement</x:v>
      </x:c>
      <x:c r="H97" s="9" t="str">
        <x:v>Direct on-body feasibility only</x:v>
      </x:c>
      <x:c r="I97" s="9" t="str">
        <x:v>PDF pp. 3–11; Figs. 1–6; Table 1</x:v>
      </x:c>
    </x:row>
    <x:row r="98">
      <x:c r="A98" s="9" t="n">
        <x:v>13</x:v>
      </x:c>
      <x:c r="B98" s="9" t="str">
        <x:v>S017</x:v>
      </x:c>
      <x:c r="C98" s="9" t="str">
        <x:v>Zhang and Ma (2025)</x:v>
      </x:c>
      <x:c r="D98" s="9" t="str">
        <x:v>A Triboelectric Nanogenerator Based on TPU/PLA for Basketball Motion Monitoring</x:v>
      </x:c>
      <x:c r="E98" s="9" t="str">
        <x:v>D1</x:v>
      </x:c>
      <x:c r="F98" s="9" t="str">
        <x:v>High concern</x:v>
      </x:c>
      <x:c r="G98" s="9" t="str">
        <x:v>Initial agreement</x:v>
      </x:c>
      <x:c r="H98" s="9" t="str">
        <x:v>Device and participant counts are NR</x:v>
      </x:c>
      <x:c r="I98" s="9" t="str">
        <x:v>PDF pp. 2-5</x:v>
      </x:c>
    </x:row>
    <x:row r="99">
      <x:c r="A99" s="9" t="n">
        <x:v>13</x:v>
      </x:c>
      <x:c r="B99" s="9" t="str">
        <x:v>S017</x:v>
      </x:c>
      <x:c r="C99" s="9" t="str">
        <x:v>Zhang and Ma (2025)</x:v>
      </x:c>
      <x:c r="D99" s="9" t="str">
        <x:v>A Triboelectric Nanogenerator Based on TPU/PLA for Basketball Motion Monitoring</x:v>
      </x:c>
      <x:c r="E99" s="9" t="str">
        <x:v>D2</x:v>
      </x:c>
      <x:c r="F99" s="9" t="str">
        <x:v>High concern</x:v>
      </x:c>
      <x:c r="G99" s="9" t="str">
        <x:v>Initial agreement</x:v>
      </x:c>
      <x:c r="H99" s="9" t="str">
        <x:v>Printer/settings and carbon-fiber loading are missing</x:v>
      </x:c>
      <x:c r="I99" s="9" t="str">
        <x:v>PDF p. 2</x:v>
      </x:c>
    </x:row>
    <x:row r="100">
      <x:c r="A100" s="9" t="n">
        <x:v>13</x:v>
      </x:c>
      <x:c r="B100" s="9" t="str">
        <x:v>S017</x:v>
      </x:c>
      <x:c r="C100" s="9" t="str">
        <x:v>Zhang and Ma (2025)</x:v>
      </x:c>
      <x:c r="D100" s="9" t="str">
        <x:v>A Triboelectric Nanogenerator Based on TPU/PLA for Basketball Motion Monitoring</x:v>
      </x:c>
      <x:c r="E100" s="9" t="str">
        <x:v>D3</x:v>
      </x:c>
      <x:c r="F100" s="9" t="str">
        <x:v>Some concern</x:v>
      </x:c>
      <x:c r="G100" s="9" t="str">
        <x:v>Initial agreement</x:v>
      </x:c>
      <x:c r="H100" s="9" t="str">
        <x:v>Force/frequency/displacement are controlled, but calibration traceability is limited</x:v>
      </x:c>
      <x:c r="I100" s="9" t="str">
        <x:v>PDF pp. 2-4</x:v>
      </x:c>
    </x:row>
    <x:row r="101">
      <x:c r="A101" s="9" t="n">
        <x:v>13</x:v>
      </x:c>
      <x:c r="B101" s="9" t="str">
        <x:v>S017</x:v>
      </x:c>
      <x:c r="C101" s="9" t="str">
        <x:v>Zhang and Ma (2025)</x:v>
      </x:c>
      <x:c r="D101" s="9" t="str">
        <x:v>A Triboelectric Nanogenerator Based on TPU/PLA for Basketball Motion Monitoring</x:v>
      </x:c>
      <x:c r="E101" s="9" t="str">
        <x:v>D4</x:v>
      </x:c>
      <x:c r="F101" s="9" t="str">
        <x:v>Some concern</x:v>
      </x:c>
      <x:c r="G101" s="9" t="str">
        <x:v>Adjudicated to Reviewer 1</x:v>
      </x:c>
      <x:c r="H101" s="9" t="str">
        <x:v>Core test settings stated; humidity levels are mainly figure-based</x:v>
      </x:c>
      <x:c r="I101" s="9" t="str">
        <x:v>PDF pp. 3-5</x:v>
      </x:c>
    </x:row>
    <x:row r="102">
      <x:c r="A102" s="9" t="n">
        <x:v>13</x:v>
      </x:c>
      <x:c r="B102" s="9" t="str">
        <x:v>S017</x:v>
      </x:c>
      <x:c r="C102" s="9" t="str">
        <x:v>Zhang and Ma (2025)</x:v>
      </x:c>
      <x:c r="D102" s="9" t="str">
        <x:v>A Triboelectric Nanogenerator Based on TPU/PLA for Basketball Motion Monitoring</x:v>
      </x:c>
      <x:c r="E102" s="9" t="str">
        <x:v>D5</x:v>
      </x:c>
      <x:c r="F102" s="9" t="str">
        <x:v>Some concern</x:v>
      </x:c>
      <x:c r="G102" s="9" t="str">
        <x:v>Adjudicated to Reviewer 1</x:v>
      </x:c>
      <x:c r="H102" s="9" t="str">
        <x:v>1600-cycle trace reported without full specimen/repeat structure</x:v>
      </x:c>
      <x:c r="I102" s="9" t="str">
        <x:v>PDF pp. 4-5</x:v>
      </x:c>
    </x:row>
    <x:row r="103">
      <x:c r="A103" s="9" t="n">
        <x:v>13</x:v>
      </x:c>
      <x:c r="B103" s="9" t="str">
        <x:v>S017</x:v>
      </x:c>
      <x:c r="C103" s="9" t="str">
        <x:v>Zhang and Ma (2025)</x:v>
      </x:c>
      <x:c r="D103" s="9" t="str">
        <x:v>A Triboelectric Nanogenerator Based on TPU/PLA for Basketball Motion Monitoring</x:v>
      </x:c>
      <x:c r="E103" s="9" t="str">
        <x:v>D6</x:v>
      </x:c>
      <x:c r="F103" s="9" t="str">
        <x:v>High concern</x:v>
      </x:c>
      <x:c r="G103" s="9" t="str">
        <x:v>Initial agreement</x:v>
      </x:c>
      <x:c r="H103" s="9" t="str">
        <x:v>No independent-device comparison</x:v>
      </x:c>
      <x:c r="I103" s="9" t="str">
        <x:v>PDF pp. 1-6</x:v>
      </x:c>
    </x:row>
    <x:row r="104">
      <x:c r="A104" s="9" t="n">
        <x:v>13</x:v>
      </x:c>
      <x:c r="B104" s="9" t="str">
        <x:v>S017</x:v>
      </x:c>
      <x:c r="C104" s="9" t="str">
        <x:v>Zhang and Ma (2025)</x:v>
      </x:c>
      <x:c r="D104" s="9" t="str">
        <x:v>A Triboelectric Nanogenerator Based on TPU/PLA for Basketball Motion Monitoring</x:v>
      </x:c>
      <x:c r="E104" s="9" t="str">
        <x:v>D7</x:v>
      </x:c>
      <x:c r="F104" s="9" t="str">
        <x:v>Some concern</x:v>
      </x:c>
      <x:c r="G104" s="9" t="str">
        <x:v>Initial agreement</x:v>
      </x:c>
      <x:c r="H104" s="9" t="str">
        <x:v>Multiple outputs reported; uncertainty/device-level dispersion limited</x:v>
      </x:c>
      <x:c r="I104" s="9" t="str">
        <x:v>PDF pp. 3-5</x:v>
      </x:c>
    </x:row>
    <x:row r="105">
      <x:c r="A105" s="9" t="n">
        <x:v>13</x:v>
      </x:c>
      <x:c r="B105" s="9" t="str">
        <x:v>S017</x:v>
      </x:c>
      <x:c r="C105" s="9" t="str">
        <x:v>Zhang and Ma (2025)</x:v>
      </x:c>
      <x:c r="D105" s="9" t="str">
        <x:v>A Triboelectric Nanogenerator Based on TPU/PLA for Basketball Motion Monitoring</x:v>
      </x:c>
      <x:c r="E105" s="9" t="str">
        <x:v>D8</x:v>
      </x:c>
      <x:c r="F105" s="9" t="str">
        <x:v>Some concern</x:v>
      </x:c>
      <x:c r="G105" s="9" t="str">
        <x:v>Adjudicated to Reviewer 1</x:v>
      </x:c>
      <x:c r="H105" s="9" t="str">
        <x:v>Body-motion demonstrations reported, but attachment and participant details are NR</x:v>
      </x:c>
      <x:c r="I105" s="9" t="str">
        <x:v>PDF pp. 3, 5</x:v>
      </x:c>
    </x:row>
    <x:row r="106">
      <x:c r="A106" s="9" t="n">
        <x:v>14</x:v>
      </x:c>
      <x:c r="B106" s="9" t="str">
        <x:v>S018</x:v>
      </x:c>
      <x:c r="C106" s="9" t="str">
        <x:v>Vu et al. (2025)</x:v>
      </x:c>
      <x:c r="D106" s="9" t="str">
        <x:v>3D-Printed Insole for Measuring Ground Reaction Force and Center of Pressure During Walking</x:v>
      </x:c>
      <x:c r="E106" s="9" t="str">
        <x:v>D1</x:v>
      </x:c>
      <x:c r="F106" s="9" t="str">
        <x:v>High concern</x:v>
      </x:c>
      <x:c r="G106" s="9" t="str">
        <x:v>Adjudicated to Reviewer 1</x:v>
      </x:c>
      <x:c r="H106" s="9" t="str">
        <x:v>Human evaluation used one participant.</x:v>
      </x:c>
      <x:c r="I106" s="9" t="str">
        <x:v>PDF pp. 3–11; Figs. 1–6; Table 1</x:v>
      </x:c>
    </x:row>
    <x:row r="107">
      <x:c r="A107" s="9" t="n">
        <x:v>14</x:v>
      </x:c>
      <x:c r="B107" s="9" t="str">
        <x:v>S018</x:v>
      </x:c>
      <x:c r="C107" s="9" t="str">
        <x:v>Vu et al. (2025)</x:v>
      </x:c>
      <x:c r="D107" s="9" t="str">
        <x:v>3D-Printed Insole for Measuring Ground Reaction Force and Center of Pressure During Walking</x:v>
      </x:c>
      <x:c r="E107" s="9" t="str">
        <x:v>D2</x:v>
      </x:c>
      <x:c r="F107" s="9" t="str">
        <x:v>Some concern</x:v>
      </x:c>
      <x:c r="G107" s="9" t="str">
        <x:v>Unclear resolved</x:v>
      </x:c>
      <x:c r="H107" s="9" t="str">
        <x:v>Study-specific limitations are recorded in the extraction and REB sheets.</x:v>
      </x:c>
      <x:c r="I107" s="9" t="str">
        <x:v>PDF pp. 3–11; Figs. 1–6; Table 1</x:v>
      </x:c>
    </x:row>
    <x:row r="108">
      <x:c r="A108" s="9" t="n">
        <x:v>14</x:v>
      </x:c>
      <x:c r="B108" s="9" t="str">
        <x:v>S018</x:v>
      </x:c>
      <x:c r="C108" s="9" t="str">
        <x:v>Vu et al. (2025)</x:v>
      </x:c>
      <x:c r="D108" s="9" t="str">
        <x:v>3D-Printed Insole for Measuring Ground Reaction Force and Center of Pressure During Walking</x:v>
      </x:c>
      <x:c r="E108" s="9" t="str">
        <x:v>D3</x:v>
      </x:c>
      <x:c r="F108" s="9" t="str">
        <x:v>Low concern</x:v>
      </x:c>
      <x:c r="G108" s="9" t="str">
        <x:v>Initial agreement</x:v>
      </x:c>
      <x:c r="H108" s="9" t="str">
        <x:v>Reference/protocol and principal quantitative outcomes are reported.</x:v>
      </x:c>
      <x:c r="I108" s="9" t="str">
        <x:v>PDF pp. 3–11; Figs. 1–6; Table 1</x:v>
      </x:c>
    </x:row>
    <x:row r="109">
      <x:c r="A109" s="9" t="n">
        <x:v>14</x:v>
      </x:c>
      <x:c r="B109" s="9" t="str">
        <x:v>S018</x:v>
      </x:c>
      <x:c r="C109" s="9" t="str">
        <x:v>Vu et al. (2025)</x:v>
      </x:c>
      <x:c r="D109" s="9" t="str">
        <x:v>3D-Printed Insole for Measuring Ground Reaction Force and Center of Pressure During Walking</x:v>
      </x:c>
      <x:c r="E109" s="9" t="str">
        <x:v>D4</x:v>
      </x:c>
      <x:c r="F109" s="9" t="str">
        <x:v>Low concern</x:v>
      </x:c>
      <x:c r="G109" s="9" t="str">
        <x:v>Initial agreement</x:v>
      </x:c>
      <x:c r="H109" s="9" t="str">
        <x:v>Reference/protocol and principal quantitative outcomes are reported.</x:v>
      </x:c>
      <x:c r="I109" s="9" t="str">
        <x:v>PDF pp. 3–11; Figs. 1–6; Table 1</x:v>
      </x:c>
    </x:row>
    <x:row r="110">
      <x:c r="A110" s="9" t="n">
        <x:v>14</x:v>
      </x:c>
      <x:c r="B110" s="9" t="str">
        <x:v>S018</x:v>
      </x:c>
      <x:c r="C110" s="9" t="str">
        <x:v>Vu et al. (2025)</x:v>
      </x:c>
      <x:c r="D110" s="9" t="str">
        <x:v>3D-Printed Insole for Measuring Ground Reaction Force and Center of Pressure During Walking</x:v>
      </x:c>
      <x:c r="E110" s="9" t="str">
        <x:v>D5</x:v>
      </x:c>
      <x:c r="F110" s="9" t="str">
        <x:v>Some concern</x:v>
      </x:c>
      <x:c r="G110" s="9" t="str">
        <x:v>Adjudicated to Reviewer 1</x:v>
      </x:c>
      <x:c r="H110" s="9" t="str">
        <x:v>Study-specific limitations are recorded in the extraction and REB sheets.</x:v>
      </x:c>
      <x:c r="I110" s="9" t="str">
        <x:v>PDF pp. 3–11; Figs. 1–6; Table 1</x:v>
      </x:c>
    </x:row>
    <x:row r="111">
      <x:c r="A111" s="9" t="n">
        <x:v>14</x:v>
      </x:c>
      <x:c r="B111" s="9" t="str">
        <x:v>S018</x:v>
      </x:c>
      <x:c r="C111" s="9" t="str">
        <x:v>Vu et al. (2025)</x:v>
      </x:c>
      <x:c r="D111" s="9" t="str">
        <x:v>3D-Printed Insole for Measuring Ground Reaction Force and Center of Pressure During Walking</x:v>
      </x:c>
      <x:c r="E111" s="9" t="str">
        <x:v>D6</x:v>
      </x:c>
      <x:c r="F111" s="9" t="str">
        <x:v>High concern</x:v>
      </x:c>
      <x:c r="G111" s="9" t="str">
        <x:v>Initial agreement</x:v>
      </x:c>
      <x:c r="H111" s="9" t="str">
        <x:v>No clear quantitative comparison of at least three separate functional devices.</x:v>
      </x:c>
      <x:c r="I111" s="9" t="str">
        <x:v>PDF pp. 3–11; Figs. 1–6; Table 1</x:v>
      </x:c>
    </x:row>
    <x:row r="112">
      <x:c r="A112" s="9" t="n">
        <x:v>14</x:v>
      </x:c>
      <x:c r="B112" s="9" t="str">
        <x:v>S018</x:v>
      </x:c>
      <x:c r="C112" s="9" t="str">
        <x:v>Vu et al. (2025)</x:v>
      </x:c>
      <x:c r="D112" s="9" t="str">
        <x:v>3D-Printed Insole for Measuring Ground Reaction Force and Center of Pressure During Walking</x:v>
      </x:c>
      <x:c r="E112" s="9" t="str">
        <x:v>D7</x:v>
      </x:c>
      <x:c r="F112" s="9" t="str">
        <x:v>Low concern</x:v>
      </x:c>
      <x:c r="G112" s="9" t="str">
        <x:v>Initial agreement</x:v>
      </x:c>
      <x:c r="H112" s="9" t="str">
        <x:v>Reference/protocol and principal quantitative outcomes are reported.</x:v>
      </x:c>
      <x:c r="I112" s="9" t="str">
        <x:v>PDF pp. 3–11; Figs. 1–6; Table 1</x:v>
      </x:c>
    </x:row>
    <x:row r="113">
      <x:c r="A113" s="9" t="n">
        <x:v>14</x:v>
      </x:c>
      <x:c r="B113" s="9" t="str">
        <x:v>S018</x:v>
      </x:c>
      <x:c r="C113" s="9" t="str">
        <x:v>Vu et al. (2025)</x:v>
      </x:c>
      <x:c r="D113" s="9" t="str">
        <x:v>3D-Printed Insole for Measuring Ground Reaction Force and Center of Pressure During Walking</x:v>
      </x:c>
      <x:c r="E113" s="9" t="str">
        <x:v>D8</x:v>
      </x:c>
      <x:c r="F113" s="9" t="str">
        <x:v>Some concern</x:v>
      </x:c>
      <x:c r="G113" s="9" t="str">
        <x:v>Adjudicated to Reviewer 1</x:v>
      </x:c>
      <x:c r="H113" s="9" t="str">
        <x:v>Study-specific limitations are recorded in the extraction and REB sheets.</x:v>
      </x:c>
      <x:c r="I113" s="9" t="str">
        <x:v>PDF pp. 3–11; Figs. 1–6; Table 1</x:v>
      </x:c>
    </x:row>
    <x:row r="114">
      <x:c r="A114" s="9" t="n">
        <x:v>15</x:v>
      </x:c>
      <x:c r="B114" s="9" t="str">
        <x:v>S019</x:v>
      </x:c>
      <x:c r="C114" s="9" t="str">
        <x:v>Vu et al. (2021)</x:v>
      </x:c>
      <x:c r="D114" s="9" t="str">
        <x:v>Effects of 3D Printing-Line Directions for Stretchable Sensor Performances</x:v>
      </x:c>
      <x:c r="E114" s="9" t="str">
        <x:v>D1</x:v>
      </x:c>
      <x:c r="F114" s="9" t="str">
        <x:v>Some concern</x:v>
      </x:c>
      <x:c r="G114" s="9" t="str">
        <x:v>Initial agreement</x:v>
      </x:c>
      <x:c r="H114" s="9" t="str">
        <x:v>Study-specific limitations are recorded in the extraction and REB sheets.</x:v>
      </x:c>
      <x:c r="I114" s="9" t="str">
        <x:v>PDF pp. 2–8; Figs. 1–7</x:v>
      </x:c>
    </x:row>
    <x:row r="115">
      <x:c r="A115" s="9" t="n">
        <x:v>15</x:v>
      </x:c>
      <x:c r="B115" s="9" t="str">
        <x:v>S019</x:v>
      </x:c>
      <x:c r="C115" s="9" t="str">
        <x:v>Vu et al. (2021)</x:v>
      </x:c>
      <x:c r="D115" s="9" t="str">
        <x:v>Effects of 3D Printing-Line Directions for Stretchable Sensor Performances</x:v>
      </x:c>
      <x:c r="E115" s="9" t="str">
        <x:v>D2</x:v>
      </x:c>
      <x:c r="F115" s="9" t="str">
        <x:v>Some concern</x:v>
      </x:c>
      <x:c r="G115" s="9" t="str">
        <x:v>Initial agreement</x:v>
      </x:c>
      <x:c r="H115" s="9" t="str">
        <x:v>Study-specific limitations are recorded in the extraction and REB sheets.</x:v>
      </x:c>
      <x:c r="I115" s="9" t="str">
        <x:v>PDF pp. 2–8; Figs. 1–7</x:v>
      </x:c>
    </x:row>
    <x:row r="116">
      <x:c r="A116" s="9" t="n">
        <x:v>15</x:v>
      </x:c>
      <x:c r="B116" s="9" t="str">
        <x:v>S019</x:v>
      </x:c>
      <x:c r="C116" s="9" t="str">
        <x:v>Vu et al. (2021)</x:v>
      </x:c>
      <x:c r="D116" s="9" t="str">
        <x:v>Effects of 3D Printing-Line Directions for Stretchable Sensor Performances</x:v>
      </x:c>
      <x:c r="E116" s="9" t="str">
        <x:v>D3</x:v>
      </x:c>
      <x:c r="F116" s="9" t="str">
        <x:v>Low concern</x:v>
      </x:c>
      <x:c r="G116" s="9" t="str">
        <x:v>Initial agreement</x:v>
      </x:c>
      <x:c r="H116" s="9" t="str">
        <x:v>Reference/protocol and principal quantitative outcomes are reported.</x:v>
      </x:c>
      <x:c r="I116" s="9" t="str">
        <x:v>PDF pp. 2–8; Figs. 1–7</x:v>
      </x:c>
    </x:row>
    <x:row r="117">
      <x:c r="A117" s="9" t="n">
        <x:v>15</x:v>
      </x:c>
      <x:c r="B117" s="9" t="str">
        <x:v>S019</x:v>
      </x:c>
      <x:c r="C117" s="9" t="str">
        <x:v>Vu et al. (2021)</x:v>
      </x:c>
      <x:c r="D117" s="9" t="str">
        <x:v>Effects of 3D Printing-Line Directions for Stretchable Sensor Performances</x:v>
      </x:c>
      <x:c r="E117" s="9" t="str">
        <x:v>D4</x:v>
      </x:c>
      <x:c r="F117" s="9" t="str">
        <x:v>Low concern</x:v>
      </x:c>
      <x:c r="G117" s="9" t="str">
        <x:v>Initial agreement</x:v>
      </x:c>
      <x:c r="H117" s="9" t="str">
        <x:v>Reference/protocol and principal quantitative outcomes are reported.</x:v>
      </x:c>
      <x:c r="I117" s="9" t="str">
        <x:v>PDF pp. 2–8; Figs. 1–7</x:v>
      </x:c>
    </x:row>
    <x:row r="118">
      <x:c r="A118" s="9" t="n">
        <x:v>15</x:v>
      </x:c>
      <x:c r="B118" s="9" t="str">
        <x:v>S019</x:v>
      </x:c>
      <x:c r="C118" s="9" t="str">
        <x:v>Vu et al. (2021)</x:v>
      </x:c>
      <x:c r="D118" s="9" t="str">
        <x:v>Effects of 3D Printing-Line Directions for Stretchable Sensor Performances</x:v>
      </x:c>
      <x:c r="E118" s="9" t="str">
        <x:v>D5</x:v>
      </x:c>
      <x:c r="F118" s="9" t="str">
        <x:v>Some concern</x:v>
      </x:c>
      <x:c r="G118" s="9" t="str">
        <x:v>Adjudicated to Reviewer 1</x:v>
      </x:c>
      <x:c r="H118" s="9" t="str">
        <x:v>Study-specific limitations are recorded in the extraction and REB sheets.</x:v>
      </x:c>
      <x:c r="I118" s="9" t="str">
        <x:v>PDF pp. 2–8; Figs. 1–7</x:v>
      </x:c>
    </x:row>
    <x:row r="119">
      <x:c r="A119" s="9" t="n">
        <x:v>15</x:v>
      </x:c>
      <x:c r="B119" s="9" t="str">
        <x:v>S019</x:v>
      </x:c>
      <x:c r="C119" s="9" t="str">
        <x:v>Vu et al. (2021)</x:v>
      </x:c>
      <x:c r="D119" s="9" t="str">
        <x:v>Effects of 3D Printing-Line Directions for Stretchable Sensor Performances</x:v>
      </x:c>
      <x:c r="E119" s="9" t="str">
        <x:v>D6</x:v>
      </x:c>
      <x:c r="F119" s="9" t="str">
        <x:v>Low concern</x:v>
      </x:c>
      <x:c r="G119" s="9" t="str">
        <x:v>Adjudicated to Reviewer 1</x:v>
      </x:c>
      <x:c r="H119" s="9" t="str">
        <x:v>At least three separately fabricated sensing units are compared quantitatively.</x:v>
      </x:c>
      <x:c r="I119" s="9" t="str">
        <x:v>PDF pp. 2–8; Figs. 1–7</x:v>
      </x:c>
    </x:row>
    <x:row r="120">
      <x:c r="A120" s="9" t="n">
        <x:v>15</x:v>
      </x:c>
      <x:c r="B120" s="9" t="str">
        <x:v>S019</x:v>
      </x:c>
      <x:c r="C120" s="9" t="str">
        <x:v>Vu et al. (2021)</x:v>
      </x:c>
      <x:c r="D120" s="9" t="str">
        <x:v>Effects of 3D Printing-Line Directions for Stretchable Sensor Performances</x:v>
      </x:c>
      <x:c r="E120" s="9" t="str">
        <x:v>D7</x:v>
      </x:c>
      <x:c r="F120" s="9" t="str">
        <x:v>Low concern</x:v>
      </x:c>
      <x:c r="G120" s="9" t="str">
        <x:v>Adjudicated to Reviewer 1</x:v>
      </x:c>
      <x:c r="H120" s="9" t="str">
        <x:v>Reference/protocol and principal quantitative outcomes are reported.</x:v>
      </x:c>
      <x:c r="I120" s="9" t="str">
        <x:v>PDF pp. 2–8; Figs. 1–7</x:v>
      </x:c>
    </x:row>
    <x:row r="121">
      <x:c r="A121" s="9" t="n">
        <x:v>15</x:v>
      </x:c>
      <x:c r="B121" s="9" t="str">
        <x:v>S019</x:v>
      </x:c>
      <x:c r="C121" s="9" t="str">
        <x:v>Vu et al. (2021)</x:v>
      </x:c>
      <x:c r="D121" s="9" t="str">
        <x:v>Effects of 3D Printing-Line Directions for Stretchable Sensor Performances</x:v>
      </x:c>
      <x:c r="E121" s="9" t="str">
        <x:v>D8</x:v>
      </x:c>
      <x:c r="F121" s="9" t="str">
        <x:v>Some concern</x:v>
      </x:c>
      <x:c r="G121" s="9" t="str">
        <x:v>Adjudicated to Reviewer 1</x:v>
      </x:c>
      <x:c r="H121" s="9" t="str">
        <x:v>Study-specific limitations are recorded in the extraction and REB sheets.</x:v>
      </x:c>
      <x:c r="I121" s="9" t="str">
        <x:v>PDF pp. 2–8; Figs. 1–7</x:v>
      </x:c>
    </x:row>
    <x:row r="122">
      <x:c r="A122" s="9" t="n">
        <x:v>16</x:v>
      </x:c>
      <x:c r="B122" s="9" t="str">
        <x:v>S020</x:v>
      </x:c>
      <x:c r="C122" s="9" t="str">
        <x:v>Langlois et al. (2021)</x:v>
      </x:c>
      <x:c r="D122" s="9" t="str">
        <x:v>Integration of 3D Printed Flexible Pressure Sensors into Physical Interfaces for Wearable Robots</x:v>
      </x:c>
      <x:c r="E122" s="9" t="str">
        <x:v>D1</x:v>
      </x:c>
      <x:c r="F122" s="9" t="str">
        <x:v>Some concern</x:v>
      </x:c>
      <x:c r="G122" s="9" t="str">
        <x:v>Initial agreement</x:v>
      </x:c>
      <x:c r="H122" s="9" t="str">
        <x:v>Study-specific limitations are recorded in the extraction and REB sheets.</x:v>
      </x:c>
      <x:c r="I122" s="9" t="str">
        <x:v>PDF pp. 5–14; Figs. 5–12</x:v>
      </x:c>
    </x:row>
    <x:row r="123">
      <x:c r="A123" s="9" t="n">
        <x:v>16</x:v>
      </x:c>
      <x:c r="B123" s="9" t="str">
        <x:v>S020</x:v>
      </x:c>
      <x:c r="C123" s="9" t="str">
        <x:v>Langlois et al. (2021)</x:v>
      </x:c>
      <x:c r="D123" s="9" t="str">
        <x:v>Integration of 3D Printed Flexible Pressure Sensors into Physical Interfaces for Wearable Robots</x:v>
      </x:c>
      <x:c r="E123" s="9" t="str">
        <x:v>D2</x:v>
      </x:c>
      <x:c r="F123" s="9" t="str">
        <x:v>Some concern</x:v>
      </x:c>
      <x:c r="G123" s="9" t="str">
        <x:v>Adjudicated to Reviewer 1</x:v>
      </x:c>
      <x:c r="H123" s="9" t="str">
        <x:v>Study-specific limitations are recorded in the extraction and REB sheets.</x:v>
      </x:c>
      <x:c r="I123" s="9" t="str">
        <x:v>PDF pp. 5–14; Figs. 5–12</x:v>
      </x:c>
    </x:row>
    <x:row r="124">
      <x:c r="A124" s="9" t="n">
        <x:v>16</x:v>
      </x:c>
      <x:c r="B124" s="9" t="str">
        <x:v>S020</x:v>
      </x:c>
      <x:c r="C124" s="9" t="str">
        <x:v>Langlois et al. (2021)</x:v>
      </x:c>
      <x:c r="D124" s="9" t="str">
        <x:v>Integration of 3D Printed Flexible Pressure Sensors into Physical Interfaces for Wearable Robots</x:v>
      </x:c>
      <x:c r="E124" s="9" t="str">
        <x:v>D3</x:v>
      </x:c>
      <x:c r="F124" s="9" t="str">
        <x:v>Low concern</x:v>
      </x:c>
      <x:c r="G124" s="9" t="str">
        <x:v>Initial agreement</x:v>
      </x:c>
      <x:c r="H124" s="9" t="str">
        <x:v>Reference/protocol and principal quantitative outcomes are reported.</x:v>
      </x:c>
      <x:c r="I124" s="9" t="str">
        <x:v>PDF pp. 5–14; Figs. 5–12</x:v>
      </x:c>
    </x:row>
    <x:row r="125">
      <x:c r="A125" s="9" t="n">
        <x:v>16</x:v>
      </x:c>
      <x:c r="B125" s="9" t="str">
        <x:v>S020</x:v>
      </x:c>
      <x:c r="C125" s="9" t="str">
        <x:v>Langlois et al. (2021)</x:v>
      </x:c>
      <x:c r="D125" s="9" t="str">
        <x:v>Integration of 3D Printed Flexible Pressure Sensors into Physical Interfaces for Wearable Robots</x:v>
      </x:c>
      <x:c r="E125" s="9" t="str">
        <x:v>D4</x:v>
      </x:c>
      <x:c r="F125" s="9" t="str">
        <x:v>Low concern</x:v>
      </x:c>
      <x:c r="G125" s="9" t="str">
        <x:v>Initial agreement</x:v>
      </x:c>
      <x:c r="H125" s="9" t="str">
        <x:v>Reference/protocol and principal quantitative outcomes are reported.</x:v>
      </x:c>
      <x:c r="I125" s="9" t="str">
        <x:v>PDF pp. 5–14; Figs. 5–12</x:v>
      </x:c>
    </x:row>
    <x:row r="126">
      <x:c r="A126" s="9" t="n">
        <x:v>16</x:v>
      </x:c>
      <x:c r="B126" s="9" t="str">
        <x:v>S020</x:v>
      </x:c>
      <x:c r="C126" s="9" t="str">
        <x:v>Langlois et al. (2021)</x:v>
      </x:c>
      <x:c r="D126" s="9" t="str">
        <x:v>Integration of 3D Printed Flexible Pressure Sensors into Physical Interfaces for Wearable Robots</x:v>
      </x:c>
      <x:c r="E126" s="9" t="str">
        <x:v>D5</x:v>
      </x:c>
      <x:c r="F126" s="9" t="str">
        <x:v>Some concern</x:v>
      </x:c>
      <x:c r="G126" s="9" t="str">
        <x:v>Adjudicated to Reviewer 1</x:v>
      </x:c>
      <x:c r="H126" s="9" t="str">
        <x:v>Study-specific limitations are recorded in the extraction and REB sheets.</x:v>
      </x:c>
      <x:c r="I126" s="9" t="str">
        <x:v>PDF pp. 5–14; Figs. 5–12</x:v>
      </x:c>
    </x:row>
    <x:row r="127">
      <x:c r="A127" s="9" t="n">
        <x:v>16</x:v>
      </x:c>
      <x:c r="B127" s="9" t="str">
        <x:v>S020</x:v>
      </x:c>
      <x:c r="C127" s="9" t="str">
        <x:v>Langlois et al. (2021)</x:v>
      </x:c>
      <x:c r="D127" s="9" t="str">
        <x:v>Integration of 3D Printed Flexible Pressure Sensors into Physical Interfaces for Wearable Robots</x:v>
      </x:c>
      <x:c r="E127" s="9" t="str">
        <x:v>D6</x:v>
      </x:c>
      <x:c r="F127" s="9" t="str">
        <x:v>Low concern</x:v>
      </x:c>
      <x:c r="G127" s="9" t="str">
        <x:v>Adjudicated to Reviewer 1</x:v>
      </x:c>
      <x:c r="H127" s="9" t="str">
        <x:v>At least three separately fabricated sensing units are compared quantitatively.</x:v>
      </x:c>
      <x:c r="I127" s="9" t="str">
        <x:v>PDF pp. 5–14; Figs. 5–12</x:v>
      </x:c>
    </x:row>
    <x:row r="128">
      <x:c r="A128" s="9" t="n">
        <x:v>16</x:v>
      </x:c>
      <x:c r="B128" s="9" t="str">
        <x:v>S020</x:v>
      </x:c>
      <x:c r="C128" s="9" t="str">
        <x:v>Langlois et al. (2021)</x:v>
      </x:c>
      <x:c r="D128" s="9" t="str">
        <x:v>Integration of 3D Printed Flexible Pressure Sensors into Physical Interfaces for Wearable Robots</x:v>
      </x:c>
      <x:c r="E128" s="9" t="str">
        <x:v>D7</x:v>
      </x:c>
      <x:c r="F128" s="9" t="str">
        <x:v>Low concern</x:v>
      </x:c>
      <x:c r="G128" s="9" t="str">
        <x:v>Adjudicated to Reviewer 1</x:v>
      </x:c>
      <x:c r="H128" s="9" t="str">
        <x:v>Reference/protocol and principal quantitative outcomes are reported.</x:v>
      </x:c>
      <x:c r="I128" s="9" t="str">
        <x:v>PDF pp. 5–14; Figs. 5–12</x:v>
      </x:c>
    </x:row>
    <x:row r="129">
      <x:c r="A129" s="9" t="n">
        <x:v>16</x:v>
      </x:c>
      <x:c r="B129" s="9" t="str">
        <x:v>S020</x:v>
      </x:c>
      <x:c r="C129" s="9" t="str">
        <x:v>Langlois et al. (2021)</x:v>
      </x:c>
      <x:c r="D129" s="9" t="str">
        <x:v>Integration of 3D Printed Flexible Pressure Sensors into Physical Interfaces for Wearable Robots</x:v>
      </x:c>
      <x:c r="E129" s="9" t="str">
        <x:v>D8</x:v>
      </x:c>
      <x:c r="F129" s="9" t="str">
        <x:v>Some concern</x:v>
      </x:c>
      <x:c r="G129" s="9" t="str">
        <x:v>Adjudicated to Reviewer 1</x:v>
      </x:c>
      <x:c r="H129" s="9" t="str">
        <x:v>Study-specific limitations are recorded in the extraction and REB sheets.</x:v>
      </x:c>
      <x:c r="I129" s="9" t="str">
        <x:v>PDF pp. 5–14; Figs. 5–12</x:v>
      </x:c>
    </x:row>
    <x:row r="130">
      <x:c r="A130" s="9" t="n">
        <x:v>17</x:v>
      </x:c>
      <x:c r="B130" s="9" t="str">
        <x:v>S021</x:v>
      </x:c>
      <x:c r="C130" s="9" t="str">
        <x:v>Li et al. (2026)</x:v>
      </x:c>
      <x:c r="D130" s="9" t="str">
        <x:v>A Flexible Wearable Data Glove Based on Hybrid Fiber-Optic Sensing for Hand Motion Monitoring</x:v>
      </x:c>
      <x:c r="E130" s="9" t="str">
        <x:v>D1</x:v>
      </x:c>
      <x:c r="F130" s="9" t="str">
        <x:v>High concern</x:v>
      </x:c>
      <x:c r="G130" s="9" t="str">
        <x:v>Adjudicated to Reviewer 1</x:v>
      </x:c>
      <x:c r="H130" s="9" t="str">
        <x:v>Human evaluation used one participant.</x:v>
      </x:c>
      <x:c r="I130" s="9" t="str">
        <x:v>PDF pp. 3–12; Figs. 1–8; Table 1</x:v>
      </x:c>
    </x:row>
    <x:row r="131">
      <x:c r="A131" s="9" t="n">
        <x:v>17</x:v>
      </x:c>
      <x:c r="B131" s="9" t="str">
        <x:v>S021</x:v>
      </x:c>
      <x:c r="C131" s="9" t="str">
        <x:v>Li et al. (2026)</x:v>
      </x:c>
      <x:c r="D131" s="9" t="str">
        <x:v>A Flexible Wearable Data Glove Based on Hybrid Fiber-Optic Sensing for Hand Motion Monitoring</x:v>
      </x:c>
      <x:c r="E131" s="9" t="str">
        <x:v>D2</x:v>
      </x:c>
      <x:c r="F131" s="9" t="str">
        <x:v>Some concern</x:v>
      </x:c>
      <x:c r="G131" s="9" t="str">
        <x:v>Adjudicated to Reviewer 1</x:v>
      </x:c>
      <x:c r="H131" s="9" t="str">
        <x:v>Study-specific limitations are recorded in the extraction and REB sheets.</x:v>
      </x:c>
      <x:c r="I131" s="9" t="str">
        <x:v>PDF pp. 3–12; Figs. 1–8; Table 1</x:v>
      </x:c>
    </x:row>
    <x:row r="132">
      <x:c r="A132" s="9" t="n">
        <x:v>17</x:v>
      </x:c>
      <x:c r="B132" s="9" t="str">
        <x:v>S021</x:v>
      </x:c>
      <x:c r="C132" s="9" t="str">
        <x:v>Li et al. (2026)</x:v>
      </x:c>
      <x:c r="D132" s="9" t="str">
        <x:v>A Flexible Wearable Data Glove Based on Hybrid Fiber-Optic Sensing for Hand Motion Monitoring</x:v>
      </x:c>
      <x:c r="E132" s="9" t="str">
        <x:v>D3</x:v>
      </x:c>
      <x:c r="F132" s="9" t="str">
        <x:v>Low concern</x:v>
      </x:c>
      <x:c r="G132" s="9" t="str">
        <x:v>Initial agreement</x:v>
      </x:c>
      <x:c r="H132" s="9" t="str">
        <x:v>Reference/protocol and principal quantitative outcomes are reported.</x:v>
      </x:c>
      <x:c r="I132" s="9" t="str">
        <x:v>PDF pp. 3–12; Figs. 1–8; Table 1</x:v>
      </x:c>
    </x:row>
    <x:row r="133">
      <x:c r="A133" s="9" t="n">
        <x:v>17</x:v>
      </x:c>
      <x:c r="B133" s="9" t="str">
        <x:v>S021</x:v>
      </x:c>
      <x:c r="C133" s="9" t="str">
        <x:v>Li et al. (2026)</x:v>
      </x:c>
      <x:c r="D133" s="9" t="str">
        <x:v>A Flexible Wearable Data Glove Based on Hybrid Fiber-Optic Sensing for Hand Motion Monitoring</x:v>
      </x:c>
      <x:c r="E133" s="9" t="str">
        <x:v>D4</x:v>
      </x:c>
      <x:c r="F133" s="9" t="str">
        <x:v>Low concern</x:v>
      </x:c>
      <x:c r="G133" s="9" t="str">
        <x:v>Initial agreement</x:v>
      </x:c>
      <x:c r="H133" s="9" t="str">
        <x:v>Reference/protocol and principal quantitative outcomes are reported.</x:v>
      </x:c>
      <x:c r="I133" s="9" t="str">
        <x:v>PDF pp. 3–12; Figs. 1–8; Table 1</x:v>
      </x:c>
    </x:row>
    <x:row r="134">
      <x:c r="A134" s="9" t="n">
        <x:v>17</x:v>
      </x:c>
      <x:c r="B134" s="9" t="str">
        <x:v>S021</x:v>
      </x:c>
      <x:c r="C134" s="9" t="str">
        <x:v>Li et al. (2026)</x:v>
      </x:c>
      <x:c r="D134" s="9" t="str">
        <x:v>A Flexible Wearable Data Glove Based on Hybrid Fiber-Optic Sensing for Hand Motion Monitoring</x:v>
      </x:c>
      <x:c r="E134" s="9" t="str">
        <x:v>D5</x:v>
      </x:c>
      <x:c r="F134" s="9" t="str">
        <x:v>Some concern</x:v>
      </x:c>
      <x:c r="G134" s="9" t="str">
        <x:v>Adjudicated to Reviewer 1</x:v>
      </x:c>
      <x:c r="H134" s="9" t="str">
        <x:v>Study-specific limitations are recorded in the extraction and REB sheets.</x:v>
      </x:c>
      <x:c r="I134" s="9" t="str">
        <x:v>PDF pp. 3–12; Figs. 1–8; Table 1</x:v>
      </x:c>
    </x:row>
    <x:row r="135">
      <x:c r="A135" s="9" t="n">
        <x:v>17</x:v>
      </x:c>
      <x:c r="B135" s="9" t="str">
        <x:v>S021</x:v>
      </x:c>
      <x:c r="C135" s="9" t="str">
        <x:v>Li et al. (2026)</x:v>
      </x:c>
      <x:c r="D135" s="9" t="str">
        <x:v>A Flexible Wearable Data Glove Based on Hybrid Fiber-Optic Sensing for Hand Motion Monitoring</x:v>
      </x:c>
      <x:c r="E135" s="9" t="str">
        <x:v>D6</x:v>
      </x:c>
      <x:c r="F135" s="9" t="str">
        <x:v>High concern</x:v>
      </x:c>
      <x:c r="G135" s="9" t="str">
        <x:v>Initial agreement</x:v>
      </x:c>
      <x:c r="H135" s="9" t="str">
        <x:v>No clear quantitative comparison of at least three separate functional devices.</x:v>
      </x:c>
      <x:c r="I135" s="9" t="str">
        <x:v>PDF pp. 3–12; Figs. 1–8; Table 1</x:v>
      </x:c>
    </x:row>
    <x:row r="136">
      <x:c r="A136" s="9" t="n">
        <x:v>17</x:v>
      </x:c>
      <x:c r="B136" s="9" t="str">
        <x:v>S021</x:v>
      </x:c>
      <x:c r="C136" s="9" t="str">
        <x:v>Li et al. (2026)</x:v>
      </x:c>
      <x:c r="D136" s="9" t="str">
        <x:v>A Flexible Wearable Data Glove Based on Hybrid Fiber-Optic Sensing for Hand Motion Monitoring</x:v>
      </x:c>
      <x:c r="E136" s="9" t="str">
        <x:v>D7</x:v>
      </x:c>
      <x:c r="F136" s="9" t="str">
        <x:v>Low concern</x:v>
      </x:c>
      <x:c r="G136" s="9" t="str">
        <x:v>Adjudicated to Reviewer 1</x:v>
      </x:c>
      <x:c r="H136" s="9" t="str">
        <x:v>Reference/protocol and principal quantitative outcomes are reported.</x:v>
      </x:c>
      <x:c r="I136" s="9" t="str">
        <x:v>PDF pp. 3–12; Figs. 1–8; Table 1</x:v>
      </x:c>
    </x:row>
    <x:row r="137">
      <x:c r="A137" s="9" t="n">
        <x:v>17</x:v>
      </x:c>
      <x:c r="B137" s="9" t="str">
        <x:v>S021</x:v>
      </x:c>
      <x:c r="C137" s="9" t="str">
        <x:v>Li et al. (2026)</x:v>
      </x:c>
      <x:c r="D137" s="9" t="str">
        <x:v>A Flexible Wearable Data Glove Based on Hybrid Fiber-Optic Sensing for Hand Motion Monitoring</x:v>
      </x:c>
      <x:c r="E137" s="9" t="str">
        <x:v>D8</x:v>
      </x:c>
      <x:c r="F137" s="9" t="str">
        <x:v>Some concern</x:v>
      </x:c>
      <x:c r="G137" s="9" t="str">
        <x:v>Adjudicated to Reviewer 1</x:v>
      </x:c>
      <x:c r="H137" s="9" t="str">
        <x:v>Study-specific limitations are recorded in the extraction and REB sheets.</x:v>
      </x:c>
      <x:c r="I137" s="9" t="str">
        <x:v>PDF pp. 3–12; Figs. 1–8; Table 1</x:v>
      </x:c>
    </x:row>
    <x:row r="138">
      <x:c r="A138" s="9" t="n">
        <x:v>18</x:v>
      </x:c>
      <x:c r="B138" s="9" t="str">
        <x:v>S022</x:v>
      </x:c>
      <x:c r="C138" s="9" t="str">
        <x:v>Yan et al. (2025)</x:v>
      </x:c>
      <x:c r="D138" s="9" t="str">
        <x:v>Additive Manufactured Programmable Scaffold Sensor Based on Triply Periodic Minimal Surfaces for Broad-Spectrum Pressure Detection</x:v>
      </x:c>
      <x:c r="E138" s="9" t="str">
        <x:v>D1</x:v>
      </x:c>
      <x:c r="F138" s="9" t="str">
        <x:v>Some concern</x:v>
      </x:c>
      <x:c r="G138" s="9" t="str">
        <x:v>Initial agreement</x:v>
      </x:c>
      <x:c r="H138" s="9" t="str">
        <x:v>Study-specific limitations are recorded in the extraction and REB sheets.</x:v>
      </x:c>
      <x:c r="I138" s="9" t="str">
        <x:v>PDF pp. 1–9; Figs. 1–6; cited SI</x:v>
      </x:c>
    </x:row>
    <x:row r="139">
      <x:c r="A139" s="9" t="n">
        <x:v>18</x:v>
      </x:c>
      <x:c r="B139" s="9" t="str">
        <x:v>S022</x:v>
      </x:c>
      <x:c r="C139" s="9" t="str">
        <x:v>Yan et al. (2025)</x:v>
      </x:c>
      <x:c r="D139" s="9" t="str">
        <x:v>Additive Manufactured Programmable Scaffold Sensor Based on Triply Periodic Minimal Surfaces for Broad-Spectrum Pressure Detection</x:v>
      </x:c>
      <x:c r="E139" s="9" t="str">
        <x:v>D2</x:v>
      </x:c>
      <x:c r="F139" s="9" t="str">
        <x:v>Some concern</x:v>
      </x:c>
      <x:c r="G139" s="9" t="str">
        <x:v>Adjudicated to Reviewer 1</x:v>
      </x:c>
      <x:c r="H139" s="9" t="str">
        <x:v>Study-specific limitations are recorded in the extraction and REB sheets.</x:v>
      </x:c>
      <x:c r="I139" s="9" t="str">
        <x:v>PDF pp. 1–9; Figs. 1–6; cited SI</x:v>
      </x:c>
    </x:row>
    <x:row r="140">
      <x:c r="A140" s="9" t="n">
        <x:v>18</x:v>
      </x:c>
      <x:c r="B140" s="9" t="str">
        <x:v>S022</x:v>
      </x:c>
      <x:c r="C140" s="9" t="str">
        <x:v>Yan et al. (2025)</x:v>
      </x:c>
      <x:c r="D140" s="9" t="str">
        <x:v>Additive Manufactured Programmable Scaffold Sensor Based on Triply Periodic Minimal Surfaces for Broad-Spectrum Pressure Detection</x:v>
      </x:c>
      <x:c r="E140" s="9" t="str">
        <x:v>D3</x:v>
      </x:c>
      <x:c r="F140" s="9" t="str">
        <x:v>Low concern</x:v>
      </x:c>
      <x:c r="G140" s="9" t="str">
        <x:v>Initial agreement</x:v>
      </x:c>
      <x:c r="H140" s="9" t="str">
        <x:v>Reference/protocol and principal quantitative outcomes are reported.</x:v>
      </x:c>
      <x:c r="I140" s="9" t="str">
        <x:v>PDF pp. 1–9; Figs. 1–6; cited SI</x:v>
      </x:c>
    </x:row>
    <x:row r="141">
      <x:c r="A141" s="9" t="n">
        <x:v>18</x:v>
      </x:c>
      <x:c r="B141" s="9" t="str">
        <x:v>S022</x:v>
      </x:c>
      <x:c r="C141" s="9" t="str">
        <x:v>Yan et al. (2025)</x:v>
      </x:c>
      <x:c r="D141" s="9" t="str">
        <x:v>Additive Manufactured Programmable Scaffold Sensor Based on Triply Periodic Minimal Surfaces for Broad-Spectrum Pressure Detection</x:v>
      </x:c>
      <x:c r="E141" s="9" t="str">
        <x:v>D4</x:v>
      </x:c>
      <x:c r="F141" s="9" t="str">
        <x:v>Low concern</x:v>
      </x:c>
      <x:c r="G141" s="9" t="str">
        <x:v>Initial agreement</x:v>
      </x:c>
      <x:c r="H141" s="9" t="str">
        <x:v>Reference/protocol and principal quantitative outcomes are reported.</x:v>
      </x:c>
      <x:c r="I141" s="9" t="str">
        <x:v>PDF pp. 1–9; Figs. 1–6; cited SI</x:v>
      </x:c>
    </x:row>
    <x:row r="142">
      <x:c r="A142" s="9" t="n">
        <x:v>18</x:v>
      </x:c>
      <x:c r="B142" s="9" t="str">
        <x:v>S022</x:v>
      </x:c>
      <x:c r="C142" s="9" t="str">
        <x:v>Yan et al. (2025)</x:v>
      </x:c>
      <x:c r="D142" s="9" t="str">
        <x:v>Additive Manufactured Programmable Scaffold Sensor Based on Triply Periodic Minimal Surfaces for Broad-Spectrum Pressure Detection</x:v>
      </x:c>
      <x:c r="E142" s="9" t="str">
        <x:v>D5</x:v>
      </x:c>
      <x:c r="F142" s="9" t="str">
        <x:v>Some concern</x:v>
      </x:c>
      <x:c r="G142" s="9" t="str">
        <x:v>Adjudicated to Reviewer 1</x:v>
      </x:c>
      <x:c r="H142" s="9" t="str">
        <x:v>Study-specific limitations are recorded in the extraction and REB sheets.</x:v>
      </x:c>
      <x:c r="I142" s="9" t="str">
        <x:v>PDF pp. 1–9; Figs. 1–6; cited SI</x:v>
      </x:c>
    </x:row>
    <x:row r="143">
      <x:c r="A143" s="9" t="n">
        <x:v>18</x:v>
      </x:c>
      <x:c r="B143" s="9" t="str">
        <x:v>S022</x:v>
      </x:c>
      <x:c r="C143" s="9" t="str">
        <x:v>Yan et al. (2025)</x:v>
      </x:c>
      <x:c r="D143" s="9" t="str">
        <x:v>Additive Manufactured Programmable Scaffold Sensor Based on Triply Periodic Minimal Surfaces for Broad-Spectrum Pressure Detection</x:v>
      </x:c>
      <x:c r="E143" s="9" t="str">
        <x:v>D6</x:v>
      </x:c>
      <x:c r="F143" s="9" t="str">
        <x:v>High concern</x:v>
      </x:c>
      <x:c r="G143" s="9" t="str">
        <x:v>Initial agreement</x:v>
      </x:c>
      <x:c r="H143" s="9" t="str">
        <x:v>No clear quantitative comparison of at least three separate functional devices.</x:v>
      </x:c>
      <x:c r="I143" s="9" t="str">
        <x:v>PDF pp. 1–9; Figs. 1–6; cited SI</x:v>
      </x:c>
    </x:row>
    <x:row r="144">
      <x:c r="A144" s="9" t="n">
        <x:v>18</x:v>
      </x:c>
      <x:c r="B144" s="9" t="str">
        <x:v>S022</x:v>
      </x:c>
      <x:c r="C144" s="9" t="str">
        <x:v>Yan et al. (2025)</x:v>
      </x:c>
      <x:c r="D144" s="9" t="str">
        <x:v>Additive Manufactured Programmable Scaffold Sensor Based on Triply Periodic Minimal Surfaces for Broad-Spectrum Pressure Detection</x:v>
      </x:c>
      <x:c r="E144" s="9" t="str">
        <x:v>D7</x:v>
      </x:c>
      <x:c r="F144" s="9" t="str">
        <x:v>Low concern</x:v>
      </x:c>
      <x:c r="G144" s="9" t="str">
        <x:v>Adjudicated to Reviewer 1</x:v>
      </x:c>
      <x:c r="H144" s="9" t="str">
        <x:v>Reference/protocol and principal quantitative outcomes are reported.</x:v>
      </x:c>
      <x:c r="I144" s="9" t="str">
        <x:v>PDF pp. 1–9; Figs. 1–6; cited SI</x:v>
      </x:c>
    </x:row>
    <x:row r="145">
      <x:c r="A145" s="9" t="n">
        <x:v>18</x:v>
      </x:c>
      <x:c r="B145" s="9" t="str">
        <x:v>S022</x:v>
      </x:c>
      <x:c r="C145" s="9" t="str">
        <x:v>Yan et al. (2025)</x:v>
      </x:c>
      <x:c r="D145" s="9" t="str">
        <x:v>Additive Manufactured Programmable Scaffold Sensor Based on Triply Periodic Minimal Surfaces for Broad-Spectrum Pressure Detection</x:v>
      </x:c>
      <x:c r="E145" s="9" t="str">
        <x:v>D8</x:v>
      </x:c>
      <x:c r="F145" s="9" t="str">
        <x:v>Some concern</x:v>
      </x:c>
      <x:c r="G145" s="9" t="str">
        <x:v>Adjudicated to Reviewer 1</x:v>
      </x:c>
      <x:c r="H145" s="9" t="str">
        <x:v>Study-specific limitations are recorded in the extraction and REB sheets.</x:v>
      </x:c>
      <x:c r="I145" s="9" t="str">
        <x:v>PDF pp. 1–9; Figs. 1–6; cited SI</x:v>
      </x:c>
    </x:row>
    <x:row r="146">
      <x:c r="A146" s="9" t="n">
        <x:v>19</x:v>
      </x:c>
      <x:c r="B146" s="9" t="str">
        <x:v>S023</x:v>
      </x:c>
      <x:c r="C146" s="9" t="str">
        <x:v>Salo et al. (2022)</x:v>
      </x:c>
      <x:c r="D146" s="9" t="str">
        <x:v>Electromechanical Properties of 3D-Printed Stretchable Carbon Fiber Composites</x:v>
      </x:c>
      <x:c r="E146" s="9" t="str">
        <x:v>D1</x:v>
      </x:c>
      <x:c r="F146" s="9" t="str">
        <x:v>Some concern</x:v>
      </x:c>
      <x:c r="G146" s="9" t="str">
        <x:v>Adjudicated to Reviewer 1</x:v>
      </x:c>
      <x:c r="H146" s="9" t="str">
        <x:v>Study-specific limitations are recorded in the extraction and REB sheets.</x:v>
      </x:c>
      <x:c r="I146" s="9" t="str">
        <x:v>PDF pp. 3–16; Figs. 2–10; Tables 1–2</x:v>
      </x:c>
    </x:row>
    <x:row r="147">
      <x:c r="A147" s="9" t="n">
        <x:v>19</x:v>
      </x:c>
      <x:c r="B147" s="9" t="str">
        <x:v>S023</x:v>
      </x:c>
      <x:c r="C147" s="9" t="str">
        <x:v>Salo et al. (2022)</x:v>
      </x:c>
      <x:c r="D147" s="9" t="str">
        <x:v>Electromechanical Properties of 3D-Printed Stretchable Carbon Fiber Composites</x:v>
      </x:c>
      <x:c r="E147" s="9" t="str">
        <x:v>D2</x:v>
      </x:c>
      <x:c r="F147" s="9" t="str">
        <x:v>Some concern</x:v>
      </x:c>
      <x:c r="G147" s="9" t="str">
        <x:v>Adjudicated to Reviewer 1</x:v>
      </x:c>
      <x:c r="H147" s="9" t="str">
        <x:v>Study-specific limitations are recorded in the extraction and REB sheets.</x:v>
      </x:c>
      <x:c r="I147" s="9" t="str">
        <x:v>PDF pp. 3–16; Figs. 2–10; Tables 1–2</x:v>
      </x:c>
    </x:row>
    <x:row r="148">
      <x:c r="A148" s="9" t="n">
        <x:v>19</x:v>
      </x:c>
      <x:c r="B148" s="9" t="str">
        <x:v>S023</x:v>
      </x:c>
      <x:c r="C148" s="9" t="str">
        <x:v>Salo et al. (2022)</x:v>
      </x:c>
      <x:c r="D148" s="9" t="str">
        <x:v>Electromechanical Properties of 3D-Printed Stretchable Carbon Fiber Composites</x:v>
      </x:c>
      <x:c r="E148" s="9" t="str">
        <x:v>D3</x:v>
      </x:c>
      <x:c r="F148" s="9" t="str">
        <x:v>Low concern</x:v>
      </x:c>
      <x:c r="G148" s="9" t="str">
        <x:v>Initial agreement</x:v>
      </x:c>
      <x:c r="H148" s="9" t="str">
        <x:v>Reference/protocol and principal quantitative outcomes are reported.</x:v>
      </x:c>
      <x:c r="I148" s="9" t="str">
        <x:v>PDF pp. 3–16; Figs. 2–10; Tables 1–2</x:v>
      </x:c>
    </x:row>
    <x:row r="149">
      <x:c r="A149" s="9" t="n">
        <x:v>19</x:v>
      </x:c>
      <x:c r="B149" s="9" t="str">
        <x:v>S023</x:v>
      </x:c>
      <x:c r="C149" s="9" t="str">
        <x:v>Salo et al. (2022)</x:v>
      </x:c>
      <x:c r="D149" s="9" t="str">
        <x:v>Electromechanical Properties of 3D-Printed Stretchable Carbon Fiber Composites</x:v>
      </x:c>
      <x:c r="E149" s="9" t="str">
        <x:v>D4</x:v>
      </x:c>
      <x:c r="F149" s="9" t="str">
        <x:v>Low concern</x:v>
      </x:c>
      <x:c r="G149" s="9" t="str">
        <x:v>Initial agreement</x:v>
      </x:c>
      <x:c r="H149" s="9" t="str">
        <x:v>Reference/protocol and principal quantitative outcomes are reported.</x:v>
      </x:c>
      <x:c r="I149" s="9" t="str">
        <x:v>PDF pp. 3–16; Figs. 2–10; Tables 1–2</x:v>
      </x:c>
    </x:row>
    <x:row r="150">
      <x:c r="A150" s="9" t="n">
        <x:v>19</x:v>
      </x:c>
      <x:c r="B150" s="9" t="str">
        <x:v>S023</x:v>
      </x:c>
      <x:c r="C150" s="9" t="str">
        <x:v>Salo et al. (2022)</x:v>
      </x:c>
      <x:c r="D150" s="9" t="str">
        <x:v>Electromechanical Properties of 3D-Printed Stretchable Carbon Fiber Composites</x:v>
      </x:c>
      <x:c r="E150" s="9" t="str">
        <x:v>D5</x:v>
      </x:c>
      <x:c r="F150" s="9" t="str">
        <x:v>Some concern</x:v>
      </x:c>
      <x:c r="G150" s="9" t="str">
        <x:v>Adjudicated to Reviewer 1</x:v>
      </x:c>
      <x:c r="H150" s="9" t="str">
        <x:v>Study-specific limitations are recorded in the extraction and REB sheets.</x:v>
      </x:c>
      <x:c r="I150" s="9" t="str">
        <x:v>PDF pp. 3–16; Figs. 2–10; Tables 1–2</x:v>
      </x:c>
    </x:row>
    <x:row r="151">
      <x:c r="A151" s="9" t="n">
        <x:v>19</x:v>
      </x:c>
      <x:c r="B151" s="9" t="str">
        <x:v>S023</x:v>
      </x:c>
      <x:c r="C151" s="9" t="str">
        <x:v>Salo et al. (2022)</x:v>
      </x:c>
      <x:c r="D151" s="9" t="str">
        <x:v>Electromechanical Properties of 3D-Printed Stretchable Carbon Fiber Composites</x:v>
      </x:c>
      <x:c r="E151" s="9" t="str">
        <x:v>D6</x:v>
      </x:c>
      <x:c r="F151" s="9" t="str">
        <x:v>Low concern</x:v>
      </x:c>
      <x:c r="G151" s="9" t="str">
        <x:v>Initial agreement</x:v>
      </x:c>
      <x:c r="H151" s="9" t="str">
        <x:v>At least three separately fabricated sensing units are compared quantitatively.</x:v>
      </x:c>
      <x:c r="I151" s="9" t="str">
        <x:v>PDF pp. 3–16; Figs. 2–10; Tables 1–2</x:v>
      </x:c>
    </x:row>
    <x:row r="152">
      <x:c r="A152" s="9" t="n">
        <x:v>19</x:v>
      </x:c>
      <x:c r="B152" s="9" t="str">
        <x:v>S023</x:v>
      </x:c>
      <x:c r="C152" s="9" t="str">
        <x:v>Salo et al. (2022)</x:v>
      </x:c>
      <x:c r="D152" s="9" t="str">
        <x:v>Electromechanical Properties of 3D-Printed Stretchable Carbon Fiber Composites</x:v>
      </x:c>
      <x:c r="E152" s="9" t="str">
        <x:v>D7</x:v>
      </x:c>
      <x:c r="F152" s="9" t="str">
        <x:v>Low concern</x:v>
      </x:c>
      <x:c r="G152" s="9" t="str">
        <x:v>Initial agreement</x:v>
      </x:c>
      <x:c r="H152" s="9" t="str">
        <x:v>Reference/protocol and principal quantitative outcomes are reported.</x:v>
      </x:c>
      <x:c r="I152" s="9" t="str">
        <x:v>PDF pp. 3–16; Figs. 2–10; Tables 1–2</x:v>
      </x:c>
    </x:row>
    <x:row r="153">
      <x:c r="A153" s="9" t="n">
        <x:v>19</x:v>
      </x:c>
      <x:c r="B153" s="9" t="str">
        <x:v>S023</x:v>
      </x:c>
      <x:c r="C153" s="9" t="str">
        <x:v>Salo et al. (2022)</x:v>
      </x:c>
      <x:c r="D153" s="9" t="str">
        <x:v>Electromechanical Properties of 3D-Printed Stretchable Carbon Fiber Composites</x:v>
      </x:c>
      <x:c r="E153" s="9" t="str">
        <x:v>D8</x:v>
      </x:c>
      <x:c r="F153" s="9" t="str">
        <x:v>Some concern</x:v>
      </x:c>
      <x:c r="G153" s="9" t="str">
        <x:v>Initial agreement</x:v>
      </x:c>
      <x:c r="H153" s="9" t="str">
        <x:v>Wearable relevance is component-level; no body-worn assembly was tested.</x:v>
      </x:c>
      <x:c r="I153" s="9" t="str">
        <x:v>PDF pp. 3–16; Figs. 2–10; Tables 1–2</x:v>
      </x:c>
    </x:row>
    <x:row r="154">
      <x:c r="A154" s="9" t="n">
        <x:v>20</x:v>
      </x:c>
      <x:c r="B154" s="9" t="str">
        <x:v>S024</x:v>
      </x:c>
      <x:c r="C154" s="9" t="str">
        <x:v>Han et al. (2026)</x:v>
      </x:c>
      <x:c r="D154" s="9" t="str">
        <x:v>Geometry-engineered hourglass-shaped cracks enable wide-linearity wearable strain sensors</x:v>
      </x:c>
      <x:c r="E154" s="9" t="str">
        <x:v>D1</x:v>
      </x:c>
      <x:c r="F154" s="9" t="str">
        <x:v>Some concern</x:v>
      </x:c>
      <x:c r="G154" s="9" t="str">
        <x:v>Initial agreement</x:v>
      </x:c>
      <x:c r="H154" s="9" t="str">
        <x:v>Study-specific limitations are recorded in the extraction and REB sheets.</x:v>
      </x:c>
      <x:c r="I154" s="9" t="str">
        <x:v>PDF pp. 2–11; Figs. 1–6; cited SI</x:v>
      </x:c>
    </x:row>
    <x:row r="155">
      <x:c r="A155" s="9" t="n">
        <x:v>20</x:v>
      </x:c>
      <x:c r="B155" s="9" t="str">
        <x:v>S024</x:v>
      </x:c>
      <x:c r="C155" s="9" t="str">
        <x:v>Han et al. (2026)</x:v>
      </x:c>
      <x:c r="D155" s="9" t="str">
        <x:v>Geometry-engineered hourglass-shaped cracks enable wide-linearity wearable strain sensors</x:v>
      </x:c>
      <x:c r="E155" s="9" t="str">
        <x:v>D2</x:v>
      </x:c>
      <x:c r="F155" s="9" t="str">
        <x:v>Some concern</x:v>
      </x:c>
      <x:c r="G155" s="9" t="str">
        <x:v>Initial agreement</x:v>
      </x:c>
      <x:c r="H155" s="9" t="str">
        <x:v>Study-specific limitations are recorded in the extraction and REB sheets.</x:v>
      </x:c>
      <x:c r="I155" s="9" t="str">
        <x:v>PDF pp. 2–11; Figs. 1–6; cited SI</x:v>
      </x:c>
    </x:row>
    <x:row r="156">
      <x:c r="A156" s="9" t="n">
        <x:v>20</x:v>
      </x:c>
      <x:c r="B156" s="9" t="str">
        <x:v>S024</x:v>
      </x:c>
      <x:c r="C156" s="9" t="str">
        <x:v>Han et al. (2026)</x:v>
      </x:c>
      <x:c r="D156" s="9" t="str">
        <x:v>Geometry-engineered hourglass-shaped cracks enable wide-linearity wearable strain sensors</x:v>
      </x:c>
      <x:c r="E156" s="9" t="str">
        <x:v>D3</x:v>
      </x:c>
      <x:c r="F156" s="9" t="str">
        <x:v>Low concern</x:v>
      </x:c>
      <x:c r="G156" s="9" t="str">
        <x:v>Initial agreement</x:v>
      </x:c>
      <x:c r="H156" s="9" t="str">
        <x:v>Reference/protocol and principal quantitative outcomes are reported.</x:v>
      </x:c>
      <x:c r="I156" s="9" t="str">
        <x:v>PDF pp. 2–11; Figs. 1–6; cited SI</x:v>
      </x:c>
    </x:row>
    <x:row r="157">
      <x:c r="A157" s="9" t="n">
        <x:v>20</x:v>
      </x:c>
      <x:c r="B157" s="9" t="str">
        <x:v>S024</x:v>
      </x:c>
      <x:c r="C157" s="9" t="str">
        <x:v>Han et al. (2026)</x:v>
      </x:c>
      <x:c r="D157" s="9" t="str">
        <x:v>Geometry-engineered hourglass-shaped cracks enable wide-linearity wearable strain sensors</x:v>
      </x:c>
      <x:c r="E157" s="9" t="str">
        <x:v>D4</x:v>
      </x:c>
      <x:c r="F157" s="9" t="str">
        <x:v>Low concern</x:v>
      </x:c>
      <x:c r="G157" s="9" t="str">
        <x:v>Initial agreement</x:v>
      </x:c>
      <x:c r="H157" s="9" t="str">
        <x:v>Reference/protocol and principal quantitative outcomes are reported.</x:v>
      </x:c>
      <x:c r="I157" s="9" t="str">
        <x:v>PDF pp. 2–11; Figs. 1–6; cited SI</x:v>
      </x:c>
    </x:row>
    <x:row r="158">
      <x:c r="A158" s="9" t="n">
        <x:v>20</x:v>
      </x:c>
      <x:c r="B158" s="9" t="str">
        <x:v>S024</x:v>
      </x:c>
      <x:c r="C158" s="9" t="str">
        <x:v>Han et al. (2026)</x:v>
      </x:c>
      <x:c r="D158" s="9" t="str">
        <x:v>Geometry-engineered hourglass-shaped cracks enable wide-linearity wearable strain sensors</x:v>
      </x:c>
      <x:c r="E158" s="9" t="str">
        <x:v>D5</x:v>
      </x:c>
      <x:c r="F158" s="9" t="str">
        <x:v>Some concern</x:v>
      </x:c>
      <x:c r="G158" s="9" t="str">
        <x:v>Adjudicated to Reviewer 1</x:v>
      </x:c>
      <x:c r="H158" s="9" t="str">
        <x:v>Study-specific limitations are recorded in the extraction and REB sheets.</x:v>
      </x:c>
      <x:c r="I158" s="9" t="str">
        <x:v>PDF pp. 2–11; Figs. 1–6; cited SI</x:v>
      </x:c>
    </x:row>
    <x:row r="159">
      <x:c r="A159" s="9" t="n">
        <x:v>20</x:v>
      </x:c>
      <x:c r="B159" s="9" t="str">
        <x:v>S024</x:v>
      </x:c>
      <x:c r="C159" s="9" t="str">
        <x:v>Han et al. (2026)</x:v>
      </x:c>
      <x:c r="D159" s="9" t="str">
        <x:v>Geometry-engineered hourglass-shaped cracks enable wide-linearity wearable strain sensors</x:v>
      </x:c>
      <x:c r="E159" s="9" t="str">
        <x:v>D6</x:v>
      </x:c>
      <x:c r="F159" s="9" t="str">
        <x:v>High concern</x:v>
      </x:c>
      <x:c r="G159" s="9" t="str">
        <x:v>Initial agreement</x:v>
      </x:c>
      <x:c r="H159" s="9" t="str">
        <x:v>No clear quantitative comparison of at least three separate functional devices.</x:v>
      </x:c>
      <x:c r="I159" s="9" t="str">
        <x:v>PDF pp. 2–11; Figs. 1–6; cited SI</x:v>
      </x:c>
    </x:row>
    <x:row r="160">
      <x:c r="A160" s="9" t="n">
        <x:v>20</x:v>
      </x:c>
      <x:c r="B160" s="9" t="str">
        <x:v>S024</x:v>
      </x:c>
      <x:c r="C160" s="9" t="str">
        <x:v>Han et al. (2026)</x:v>
      </x:c>
      <x:c r="D160" s="9" t="str">
        <x:v>Geometry-engineered hourglass-shaped cracks enable wide-linearity wearable strain sensors</x:v>
      </x:c>
      <x:c r="E160" s="9" t="str">
        <x:v>D7</x:v>
      </x:c>
      <x:c r="F160" s="9" t="str">
        <x:v>Low concern</x:v>
      </x:c>
      <x:c r="G160" s="9" t="str">
        <x:v>Adjudicated to Reviewer 1</x:v>
      </x:c>
      <x:c r="H160" s="9" t="str">
        <x:v>Reference/protocol and principal quantitative outcomes are reported.</x:v>
      </x:c>
      <x:c r="I160" s="9" t="str">
        <x:v>PDF pp. 2–11; Figs. 1–6; cited SI</x:v>
      </x:c>
    </x:row>
    <x:row r="161">
      <x:c r="A161" s="9" t="n">
        <x:v>20</x:v>
      </x:c>
      <x:c r="B161" s="9" t="str">
        <x:v>S024</x:v>
      </x:c>
      <x:c r="C161" s="9" t="str">
        <x:v>Han et al. (2026)</x:v>
      </x:c>
      <x:c r="D161" s="9" t="str">
        <x:v>Geometry-engineered hourglass-shaped cracks enable wide-linearity wearable strain sensors</x:v>
      </x:c>
      <x:c r="E161" s="9" t="str">
        <x:v>D8</x:v>
      </x:c>
      <x:c r="F161" s="9" t="str">
        <x:v>Some concern</x:v>
      </x:c>
      <x:c r="G161" s="9" t="str">
        <x:v>Adjudicated to Reviewer 1</x:v>
      </x:c>
      <x:c r="H161" s="9" t="str">
        <x:v>Study-specific limitations are recorded in the extraction and REB sheets.</x:v>
      </x:c>
      <x:c r="I161" s="9" t="str">
        <x:v>PDF pp. 2–11; Figs. 1–6; cited SI</x:v>
      </x:c>
    </x:row>
    <x:row r="162">
      <x:c r="A162" s="9" t="n">
        <x:v>21</x:v>
      </x:c>
      <x:c r="B162" s="9" t="str">
        <x:v>S025</x:v>
      </x:c>
      <x:c r="C162" s="9" t="str">
        <x:v>Wei et al. (2026)</x:v>
      </x:c>
      <x:c r="D162" s="9" t="str">
        <x:v>3D-Printed Hollow Microneedle Potentiometric Sensors: A Modular Approach</x:v>
      </x:c>
      <x:c r="E162" s="9" t="str">
        <x:v>D1</x:v>
      </x:c>
      <x:c r="F162" s="9" t="str">
        <x:v>Some concern</x:v>
      </x:c>
      <x:c r="G162" s="9" t="str">
        <x:v>Initial agreement</x:v>
      </x:c>
      <x:c r="H162" s="9" t="str">
        <x:v>Study-specific limitations are recorded in the extraction and REB sheets.</x:v>
      </x:c>
      <x:c r="I162" s="9" t="str">
        <x:v>PDF pp. 2–10; Figs. 1–6; Table 1; cited SI</x:v>
      </x:c>
    </x:row>
    <x:row r="163">
      <x:c r="A163" s="9" t="n">
        <x:v>21</x:v>
      </x:c>
      <x:c r="B163" s="9" t="str">
        <x:v>S025</x:v>
      </x:c>
      <x:c r="C163" s="9" t="str">
        <x:v>Wei et al. (2026)</x:v>
      </x:c>
      <x:c r="D163" s="9" t="str">
        <x:v>3D-Printed Hollow Microneedle Potentiometric Sensors: A Modular Approach</x:v>
      </x:c>
      <x:c r="E163" s="9" t="str">
        <x:v>D2</x:v>
      </x:c>
      <x:c r="F163" s="9" t="str">
        <x:v>Some concern</x:v>
      </x:c>
      <x:c r="G163" s="9" t="str">
        <x:v>Initial agreement</x:v>
      </x:c>
      <x:c r="H163" s="9" t="str">
        <x:v>Study-specific limitations are recorded in the extraction and REB sheets.</x:v>
      </x:c>
      <x:c r="I163" s="9" t="str">
        <x:v>PDF pp. 2–10; Figs. 1–6; Table 1; cited SI</x:v>
      </x:c>
    </x:row>
    <x:row r="164">
      <x:c r="A164" s="9" t="n">
        <x:v>21</x:v>
      </x:c>
      <x:c r="B164" s="9" t="str">
        <x:v>S025</x:v>
      </x:c>
      <x:c r="C164" s="9" t="str">
        <x:v>Wei et al. (2026)</x:v>
      </x:c>
      <x:c r="D164" s="9" t="str">
        <x:v>3D-Printed Hollow Microneedle Potentiometric Sensors: A Modular Approach</x:v>
      </x:c>
      <x:c r="E164" s="9" t="str">
        <x:v>D3</x:v>
      </x:c>
      <x:c r="F164" s="9" t="str">
        <x:v>Low concern</x:v>
      </x:c>
      <x:c r="G164" s="9" t="str">
        <x:v>Initial agreement</x:v>
      </x:c>
      <x:c r="H164" s="9" t="str">
        <x:v>Reference/protocol and principal quantitative outcomes are reported.</x:v>
      </x:c>
      <x:c r="I164" s="9" t="str">
        <x:v>PDF pp. 2–10; Figs. 1–6; Table 1; cited SI</x:v>
      </x:c>
    </x:row>
    <x:row r="165">
      <x:c r="A165" s="9" t="n">
        <x:v>21</x:v>
      </x:c>
      <x:c r="B165" s="9" t="str">
        <x:v>S025</x:v>
      </x:c>
      <x:c r="C165" s="9" t="str">
        <x:v>Wei et al. (2026)</x:v>
      </x:c>
      <x:c r="D165" s="9" t="str">
        <x:v>3D-Printed Hollow Microneedle Potentiometric Sensors: A Modular Approach</x:v>
      </x:c>
      <x:c r="E165" s="9" t="str">
        <x:v>D4</x:v>
      </x:c>
      <x:c r="F165" s="9" t="str">
        <x:v>Low concern</x:v>
      </x:c>
      <x:c r="G165" s="9" t="str">
        <x:v>Initial agreement</x:v>
      </x:c>
      <x:c r="H165" s="9" t="str">
        <x:v>Reference/protocol and principal quantitative outcomes are reported.</x:v>
      </x:c>
      <x:c r="I165" s="9" t="str">
        <x:v>PDF pp. 2–10; Figs. 1–6; Table 1; cited SI</x:v>
      </x:c>
    </x:row>
    <x:row r="166">
      <x:c r="A166" s="9" t="n">
        <x:v>21</x:v>
      </x:c>
      <x:c r="B166" s="9" t="str">
        <x:v>S025</x:v>
      </x:c>
      <x:c r="C166" s="9" t="str">
        <x:v>Wei et al. (2026)</x:v>
      </x:c>
      <x:c r="D166" s="9" t="str">
        <x:v>3D-Printed Hollow Microneedle Potentiometric Sensors: A Modular Approach</x:v>
      </x:c>
      <x:c r="E166" s="9" t="str">
        <x:v>D5</x:v>
      </x:c>
      <x:c r="F166" s="9" t="str">
        <x:v>Some concern</x:v>
      </x:c>
      <x:c r="G166" s="9" t="str">
        <x:v>Adjudicated to Reviewer 1</x:v>
      </x:c>
      <x:c r="H166" s="9" t="str">
        <x:v>Study-specific limitations are recorded in the extraction and REB sheets.</x:v>
      </x:c>
      <x:c r="I166" s="9" t="str">
        <x:v>PDF pp. 2–10; Figs. 1–6; Table 1; cited SI</x:v>
      </x:c>
    </x:row>
    <x:row r="167">
      <x:c r="A167" s="9" t="n">
        <x:v>21</x:v>
      </x:c>
      <x:c r="B167" s="9" t="str">
        <x:v>S025</x:v>
      </x:c>
      <x:c r="C167" s="9" t="str">
        <x:v>Wei et al. (2026)</x:v>
      </x:c>
      <x:c r="D167" s="9" t="str">
        <x:v>3D-Printed Hollow Microneedle Potentiometric Sensors: A Modular Approach</x:v>
      </x:c>
      <x:c r="E167" s="9" t="str">
        <x:v>D6</x:v>
      </x:c>
      <x:c r="F167" s="9" t="str">
        <x:v>Low concern</x:v>
      </x:c>
      <x:c r="G167" s="9" t="str">
        <x:v>Initial agreement</x:v>
      </x:c>
      <x:c r="H167" s="9" t="str">
        <x:v>At least three separately fabricated sensing units are compared quantitatively.</x:v>
      </x:c>
      <x:c r="I167" s="9" t="str">
        <x:v>PDF pp. 2–10; Figs. 1–6; Table 1; cited SI</x:v>
      </x:c>
    </x:row>
    <x:row r="168">
      <x:c r="A168" s="9" t="n">
        <x:v>21</x:v>
      </x:c>
      <x:c r="B168" s="9" t="str">
        <x:v>S025</x:v>
      </x:c>
      <x:c r="C168" s="9" t="str">
        <x:v>Wei et al. (2026)</x:v>
      </x:c>
      <x:c r="D168" s="9" t="str">
        <x:v>3D-Printed Hollow Microneedle Potentiometric Sensors: A Modular Approach</x:v>
      </x:c>
      <x:c r="E168" s="9" t="str">
        <x:v>D7</x:v>
      </x:c>
      <x:c r="F168" s="9" t="str">
        <x:v>Low concern</x:v>
      </x:c>
      <x:c r="G168" s="9" t="str">
        <x:v>Initial agreement</x:v>
      </x:c>
      <x:c r="H168" s="9" t="str">
        <x:v>Reference/protocol and principal quantitative outcomes are reported.</x:v>
      </x:c>
      <x:c r="I168" s="9" t="str">
        <x:v>PDF pp. 2–10; Figs. 1–6; Table 1; cited SI</x:v>
      </x:c>
    </x:row>
    <x:row r="169">
      <x:c r="A169" s="9" t="n">
        <x:v>21</x:v>
      </x:c>
      <x:c r="B169" s="9" t="str">
        <x:v>S025</x:v>
      </x:c>
      <x:c r="C169" s="9" t="str">
        <x:v>Wei et al. (2026)</x:v>
      </x:c>
      <x:c r="D169" s="9" t="str">
        <x:v>3D-Printed Hollow Microneedle Potentiometric Sensors: A Modular Approach</x:v>
      </x:c>
      <x:c r="E169" s="9" t="str">
        <x:v>D8</x:v>
      </x:c>
      <x:c r="F169" s="9" t="str">
        <x:v>Some concern</x:v>
      </x:c>
      <x:c r="G169" s="9" t="str">
        <x:v>Initial agreement</x:v>
      </x:c>
      <x:c r="H169" s="9" t="str">
        <x:v>Study-specific limitations are recorded in the extraction and REB sheets.</x:v>
      </x:c>
      <x:c r="I169" s="9" t="str">
        <x:v>PDF pp. 2–10; Figs. 1–6; Table 1; cited SI</x:v>
      </x:c>
    </x:row>
    <x:row r="170">
      <x:c r="A170" s="9" t="n">
        <x:v>22</x:v>
      </x:c>
      <x:c r="B170" s="9" t="str">
        <x:v>S028</x:v>
      </x:c>
      <x:c r="C170" s="9" t="str">
        <x:v>Gothard et al. (2023)</x:v>
      </x:c>
      <x:c r="D170" s="9" t="str">
        <x:v>Dynamic Characterization of a Low-Cost Fully and Continuously 3D Printed Capacitive Pressure-Sensing System for Plantar Pressure Measurements</x:v>
      </x:c>
      <x:c r="E170" s="9" t="str">
        <x:v>D1</x:v>
      </x:c>
      <x:c r="F170" s="9" t="str">
        <x:v>Some concern</x:v>
      </x:c>
      <x:c r="G170" s="9" t="str">
        <x:v>Adjudicated to Reviewer 1</x:v>
      </x:c>
      <x:c r="H170" s="9" t="str">
        <x:v>Study-specific limitations are recorded in the extraction and REB sheets.</x:v>
      </x:c>
      <x:c r="I170" s="9" t="str">
        <x:v>PDF pp. 4–17; Figs. 1–10; Tables 1–4</x:v>
      </x:c>
    </x:row>
    <x:row r="171">
      <x:c r="A171" s="9" t="n">
        <x:v>22</x:v>
      </x:c>
      <x:c r="B171" s="9" t="str">
        <x:v>S028</x:v>
      </x:c>
      <x:c r="C171" s="9" t="str">
        <x:v>Gothard et al. (2023)</x:v>
      </x:c>
      <x:c r="D171" s="9" t="str">
        <x:v>Dynamic Characterization of a Low-Cost Fully and Continuously 3D Printed Capacitive Pressure-Sensing System for Plantar Pressure Measurements</x:v>
      </x:c>
      <x:c r="E171" s="9" t="str">
        <x:v>D2</x:v>
      </x:c>
      <x:c r="F171" s="9" t="str">
        <x:v>Some concern</x:v>
      </x:c>
      <x:c r="G171" s="9" t="str">
        <x:v>Adjudicated to Reviewer 1</x:v>
      </x:c>
      <x:c r="H171" s="9" t="str">
        <x:v>Study-specific limitations are recorded in the extraction and REB sheets.</x:v>
      </x:c>
      <x:c r="I171" s="9" t="str">
        <x:v>PDF pp. 4–17; Figs. 1–10; Tables 1–4</x:v>
      </x:c>
    </x:row>
    <x:row r="172">
      <x:c r="A172" s="9" t="n">
        <x:v>22</x:v>
      </x:c>
      <x:c r="B172" s="9" t="str">
        <x:v>S028</x:v>
      </x:c>
      <x:c r="C172" s="9" t="str">
        <x:v>Gothard et al. (2023)</x:v>
      </x:c>
      <x:c r="D172" s="9" t="str">
        <x:v>Dynamic Characterization of a Low-Cost Fully and Continuously 3D Printed Capacitive Pressure-Sensing System for Plantar Pressure Measurements</x:v>
      </x:c>
      <x:c r="E172" s="9" t="str">
        <x:v>D3</x:v>
      </x:c>
      <x:c r="F172" s="9" t="str">
        <x:v>Low concern</x:v>
      </x:c>
      <x:c r="G172" s="9" t="str">
        <x:v>Initial agreement</x:v>
      </x:c>
      <x:c r="H172" s="9" t="str">
        <x:v>Reference/protocol and principal quantitative outcomes are reported.</x:v>
      </x:c>
      <x:c r="I172" s="9" t="str">
        <x:v>PDF pp. 4–17; Figs. 1–10; Tables 1–4</x:v>
      </x:c>
    </x:row>
    <x:row r="173">
      <x:c r="A173" s="9" t="n">
        <x:v>22</x:v>
      </x:c>
      <x:c r="B173" s="9" t="str">
        <x:v>S028</x:v>
      </x:c>
      <x:c r="C173" s="9" t="str">
        <x:v>Gothard et al. (2023)</x:v>
      </x:c>
      <x:c r="D173" s="9" t="str">
        <x:v>Dynamic Characterization of a Low-Cost Fully and Continuously 3D Printed Capacitive Pressure-Sensing System for Plantar Pressure Measurements</x:v>
      </x:c>
      <x:c r="E173" s="9" t="str">
        <x:v>D4</x:v>
      </x:c>
      <x:c r="F173" s="9" t="str">
        <x:v>Low concern</x:v>
      </x:c>
      <x:c r="G173" s="9" t="str">
        <x:v>Initial agreement</x:v>
      </x:c>
      <x:c r="H173" s="9" t="str">
        <x:v>Reference/protocol and principal quantitative outcomes are reported.</x:v>
      </x:c>
      <x:c r="I173" s="9" t="str">
        <x:v>PDF pp. 4–17; Figs. 1–10; Tables 1–4</x:v>
      </x:c>
    </x:row>
    <x:row r="174">
      <x:c r="A174" s="9" t="n">
        <x:v>22</x:v>
      </x:c>
      <x:c r="B174" s="9" t="str">
        <x:v>S028</x:v>
      </x:c>
      <x:c r="C174" s="9" t="str">
        <x:v>Gothard et al. (2023)</x:v>
      </x:c>
      <x:c r="D174" s="9" t="str">
        <x:v>Dynamic Characterization of a Low-Cost Fully and Continuously 3D Printed Capacitive Pressure-Sensing System for Plantar Pressure Measurements</x:v>
      </x:c>
      <x:c r="E174" s="9" t="str">
        <x:v>D5</x:v>
      </x:c>
      <x:c r="F174" s="9" t="str">
        <x:v>Some concern</x:v>
      </x:c>
      <x:c r="G174" s="9" t="str">
        <x:v>Adjudicated to Reviewer 1</x:v>
      </x:c>
      <x:c r="H174" s="9" t="str">
        <x:v>Study-specific limitations are recorded in the extraction and REB sheets.</x:v>
      </x:c>
      <x:c r="I174" s="9" t="str">
        <x:v>PDF pp. 4–17; Figs. 1–10; Tables 1–4</x:v>
      </x:c>
    </x:row>
    <x:row r="175">
      <x:c r="A175" s="9" t="n">
        <x:v>22</x:v>
      </x:c>
      <x:c r="B175" s="9" t="str">
        <x:v>S028</x:v>
      </x:c>
      <x:c r="C175" s="9" t="str">
        <x:v>Gothard et al. (2023)</x:v>
      </x:c>
      <x:c r="D175" s="9" t="str">
        <x:v>Dynamic Characterization of a Low-Cost Fully and Continuously 3D Printed Capacitive Pressure-Sensing System for Plantar Pressure Measurements</x:v>
      </x:c>
      <x:c r="E175" s="9" t="str">
        <x:v>D6</x:v>
      </x:c>
      <x:c r="F175" s="9" t="str">
        <x:v>Low concern</x:v>
      </x:c>
      <x:c r="G175" s="9" t="str">
        <x:v>Initial agreement</x:v>
      </x:c>
      <x:c r="H175" s="9" t="str">
        <x:v>At least three separately fabricated sensing units were compared quantitatively.</x:v>
      </x:c>
      <x:c r="I175" s="9" t="str">
        <x:v>PDF pp. 4–17; Figs. 1–10; Tables 1–4</x:v>
      </x:c>
    </x:row>
    <x:row r="176">
      <x:c r="A176" s="9" t="n">
        <x:v>22</x:v>
      </x:c>
      <x:c r="B176" s="9" t="str">
        <x:v>S028</x:v>
      </x:c>
      <x:c r="C176" s="9" t="str">
        <x:v>Gothard et al. (2023)</x:v>
      </x:c>
      <x:c r="D176" s="9" t="str">
        <x:v>Dynamic Characterization of a Low-Cost Fully and Continuously 3D Printed Capacitive Pressure-Sensing System for Plantar Pressure Measurements</x:v>
      </x:c>
      <x:c r="E176" s="9" t="str">
        <x:v>D7</x:v>
      </x:c>
      <x:c r="F176" s="9" t="str">
        <x:v>Low concern</x:v>
      </x:c>
      <x:c r="G176" s="9" t="str">
        <x:v>Initial agreement</x:v>
      </x:c>
      <x:c r="H176" s="9" t="str">
        <x:v>Reference/protocol and principal quantitative outcomes are reported.</x:v>
      </x:c>
      <x:c r="I176" s="9" t="str">
        <x:v>PDF pp. 4–17; Figs. 1–10; Tables 1–4</x:v>
      </x:c>
    </x:row>
    <x:row r="177">
      <x:c r="A177" s="9" t="n">
        <x:v>22</x:v>
      </x:c>
      <x:c r="B177" s="9" t="str">
        <x:v>S028</x:v>
      </x:c>
      <x:c r="C177" s="9" t="str">
        <x:v>Gothard et al. (2023)</x:v>
      </x:c>
      <x:c r="D177" s="9" t="str">
        <x:v>Dynamic Characterization of a Low-Cost Fully and Continuously 3D Printed Capacitive Pressure-Sensing System for Plantar Pressure Measurements</x:v>
      </x:c>
      <x:c r="E177" s="9" t="str">
        <x:v>D8</x:v>
      </x:c>
      <x:c r="F177" s="9" t="str">
        <x:v>Some concern</x:v>
      </x:c>
      <x:c r="G177" s="9" t="str">
        <x:v>Initial agreement</x:v>
      </x:c>
      <x:c r="H177" s="9" t="str">
        <x:v>Wearable relevance is application-specific/component-level; no complete human-worn assembly was tested.</x:v>
      </x:c>
      <x:c r="I177" s="9" t="str">
        <x:v>PDF pp. 4–17; Figs. 1–10; Tables 1–4</x:v>
      </x:c>
    </x:row>
    <x:row r="178">
      <x:c r="A178" s="9" t="n">
        <x:v>23</x:v>
      </x:c>
      <x:c r="B178" s="9" t="str">
        <x:v>S029</x:v>
      </x:c>
      <x:c r="C178" s="9" t="str">
        <x:v>Özkurt et al. (2026)</x:v>
      </x:c>
      <x:c r="D178" s="9" t="str">
        <x:v>Geometrically Optimized FDM-Printed Conductive TPU Bend Sensors for Hand Rehabilitation</x:v>
      </x:c>
      <x:c r="E178" s="9" t="str">
        <x:v>D1</x:v>
      </x:c>
      <x:c r="F178" s="9" t="str">
        <x:v>Some concern</x:v>
      </x:c>
      <x:c r="G178" s="9" t="str">
        <x:v>Initial agreement</x:v>
      </x:c>
      <x:c r="H178" s="9" t="str">
        <x:v>Study-specific limitations are recorded in the extraction and REB sheets.</x:v>
      </x:c>
      <x:c r="I178" s="9" t="str">
        <x:v>PDF pp. 4–23; Figs. 3–17; Tables 2–7</x:v>
      </x:c>
    </x:row>
    <x:row r="179">
      <x:c r="A179" s="9" t="n">
        <x:v>23</x:v>
      </x:c>
      <x:c r="B179" s="9" t="str">
        <x:v>S029</x:v>
      </x:c>
      <x:c r="C179" s="9" t="str">
        <x:v>Özkurt et al. (2026)</x:v>
      </x:c>
      <x:c r="D179" s="9" t="str">
        <x:v>Geometrically Optimized FDM-Printed Conductive TPU Bend Sensors for Hand Rehabilitation</x:v>
      </x:c>
      <x:c r="E179" s="9" t="str">
        <x:v>D2</x:v>
      </x:c>
      <x:c r="F179" s="9" t="str">
        <x:v>Some concern</x:v>
      </x:c>
      <x:c r="G179" s="9" t="str">
        <x:v>Adjudicated to Reviewer 1</x:v>
      </x:c>
      <x:c r="H179" s="9" t="str">
        <x:v>Study-specific limitations are recorded in the extraction and REB sheets.</x:v>
      </x:c>
      <x:c r="I179" s="9" t="str">
        <x:v>PDF pp. 4–23; Figs. 3–17; Tables 2–7</x:v>
      </x:c>
    </x:row>
    <x:row r="180">
      <x:c r="A180" s="9" t="n">
        <x:v>23</x:v>
      </x:c>
      <x:c r="B180" s="9" t="str">
        <x:v>S029</x:v>
      </x:c>
      <x:c r="C180" s="9" t="str">
        <x:v>Özkurt et al. (2026)</x:v>
      </x:c>
      <x:c r="D180" s="9" t="str">
        <x:v>Geometrically Optimized FDM-Printed Conductive TPU Bend Sensors for Hand Rehabilitation</x:v>
      </x:c>
      <x:c r="E180" s="9" t="str">
        <x:v>D3</x:v>
      </x:c>
      <x:c r="F180" s="9" t="str">
        <x:v>Low concern</x:v>
      </x:c>
      <x:c r="G180" s="9" t="str">
        <x:v>Initial agreement</x:v>
      </x:c>
      <x:c r="H180" s="9" t="str">
        <x:v>Reference/protocol and principal quantitative outcomes are reported.</x:v>
      </x:c>
      <x:c r="I180" s="9" t="str">
        <x:v>PDF pp. 4–23; Figs. 3–17; Tables 2–7</x:v>
      </x:c>
    </x:row>
    <x:row r="181">
      <x:c r="A181" s="9" t="n">
        <x:v>23</x:v>
      </x:c>
      <x:c r="B181" s="9" t="str">
        <x:v>S029</x:v>
      </x:c>
      <x:c r="C181" s="9" t="str">
        <x:v>Özkurt et al. (2026)</x:v>
      </x:c>
      <x:c r="D181" s="9" t="str">
        <x:v>Geometrically Optimized FDM-Printed Conductive TPU Bend Sensors for Hand Rehabilitation</x:v>
      </x:c>
      <x:c r="E181" s="9" t="str">
        <x:v>D4</x:v>
      </x:c>
      <x:c r="F181" s="9" t="str">
        <x:v>Low concern</x:v>
      </x:c>
      <x:c r="G181" s="9" t="str">
        <x:v>Initial agreement</x:v>
      </x:c>
      <x:c r="H181" s="9" t="str">
        <x:v>Reference/protocol and principal quantitative outcomes are reported.</x:v>
      </x:c>
      <x:c r="I181" s="9" t="str">
        <x:v>PDF pp. 4–23; Figs. 3–17; Tables 2–7</x:v>
      </x:c>
    </x:row>
    <x:row r="182">
      <x:c r="A182" s="9" t="n">
        <x:v>23</x:v>
      </x:c>
      <x:c r="B182" s="9" t="str">
        <x:v>S029</x:v>
      </x:c>
      <x:c r="C182" s="9" t="str">
        <x:v>Özkurt et al. (2026)</x:v>
      </x:c>
      <x:c r="D182" s="9" t="str">
        <x:v>Geometrically Optimized FDM-Printed Conductive TPU Bend Sensors for Hand Rehabilitation</x:v>
      </x:c>
      <x:c r="E182" s="9" t="str">
        <x:v>D5</x:v>
      </x:c>
      <x:c r="F182" s="9" t="str">
        <x:v>Some concern</x:v>
      </x:c>
      <x:c r="G182" s="9" t="str">
        <x:v>Adjudicated to Reviewer 1</x:v>
      </x:c>
      <x:c r="H182" s="9" t="str">
        <x:v>Study-specific limitations are recorded in the extraction and REB sheets.</x:v>
      </x:c>
      <x:c r="I182" s="9" t="str">
        <x:v>PDF pp. 4–23; Figs. 3–17; Tables 2–7</x:v>
      </x:c>
    </x:row>
    <x:row r="183">
      <x:c r="A183" s="9" t="n">
        <x:v>23</x:v>
      </x:c>
      <x:c r="B183" s="9" t="str">
        <x:v>S029</x:v>
      </x:c>
      <x:c r="C183" s="9" t="str">
        <x:v>Özkurt et al. (2026)</x:v>
      </x:c>
      <x:c r="D183" s="9" t="str">
        <x:v>Geometrically Optimized FDM-Printed Conductive TPU Bend Sensors for Hand Rehabilitation</x:v>
      </x:c>
      <x:c r="E183" s="9" t="str">
        <x:v>D6</x:v>
      </x:c>
      <x:c r="F183" s="9" t="str">
        <x:v>Low concern</x:v>
      </x:c>
      <x:c r="G183" s="9" t="str">
        <x:v>Adjudicated to Reviewer 1</x:v>
      </x:c>
      <x:c r="H183" s="9" t="str">
        <x:v>At least three separately fabricated sensing units were compared quantitatively.</x:v>
      </x:c>
      <x:c r="I183" s="9" t="str">
        <x:v>PDF pp. 4–23; Figs. 3–17; Tables 2–7</x:v>
      </x:c>
    </x:row>
    <x:row r="184">
      <x:c r="A184" s="9" t="n">
        <x:v>23</x:v>
      </x:c>
      <x:c r="B184" s="9" t="str">
        <x:v>S029</x:v>
      </x:c>
      <x:c r="C184" s="9" t="str">
        <x:v>Özkurt et al. (2026)</x:v>
      </x:c>
      <x:c r="D184" s="9" t="str">
        <x:v>Geometrically Optimized FDM-Printed Conductive TPU Bend Sensors for Hand Rehabilitation</x:v>
      </x:c>
      <x:c r="E184" s="9" t="str">
        <x:v>D7</x:v>
      </x:c>
      <x:c r="F184" s="9" t="str">
        <x:v>Low concern</x:v>
      </x:c>
      <x:c r="G184" s="9" t="str">
        <x:v>Initial agreement</x:v>
      </x:c>
      <x:c r="H184" s="9" t="str">
        <x:v>Reference/protocol and principal quantitative outcomes are reported.</x:v>
      </x:c>
      <x:c r="I184" s="9" t="str">
        <x:v>PDF pp. 4–23; Figs. 3–17; Tables 2–7</x:v>
      </x:c>
    </x:row>
    <x:row r="185">
      <x:c r="A185" s="9" t="n">
        <x:v>23</x:v>
      </x:c>
      <x:c r="B185" s="9" t="str">
        <x:v>S029</x:v>
      </x:c>
      <x:c r="C185" s="9" t="str">
        <x:v>Özkurt et al. (2026)</x:v>
      </x:c>
      <x:c r="D185" s="9" t="str">
        <x:v>Geometrically Optimized FDM-Printed Conductive TPU Bend Sensors for Hand Rehabilitation</x:v>
      </x:c>
      <x:c r="E185" s="9" t="str">
        <x:v>D8</x:v>
      </x:c>
      <x:c r="F185" s="9" t="str">
        <x:v>Some concern</x:v>
      </x:c>
      <x:c r="G185" s="9" t="str">
        <x:v>Adjudicated to Reviewer 1</x:v>
      </x:c>
      <x:c r="H185" s="9" t="str">
        <x:v>Study-specific limitations are recorded in the extraction and REB sheets.</x:v>
      </x:c>
      <x:c r="I185" s="9" t="str">
        <x:v>PDF pp. 4–23; Figs. 3–17; Tables 2–7</x:v>
      </x:c>
    </x:row>
    <x:row r="186">
      <x:c r="A186" s="9" t="n">
        <x:v>24</x:v>
      </x:c>
      <x:c r="B186" s="9" t="str">
        <x:v>S031</x:v>
      </x:c>
      <x:c r="C186" s="9" t="str">
        <x:v>Rivera et al. (2022)</x:v>
      </x:c>
      <x:c r="D186" s="9" t="str">
        <x:v>A 3D-Printed Knee Wearable Goniometer with a Mobile-App Interface for Measuring Range of Motion and Monitoring Activities</x:v>
      </x:c>
      <x:c r="E186" s="9" t="str">
        <x:v>D1</x:v>
      </x:c>
      <x:c r="F186" s="9" t="str">
        <x:v>High concern</x:v>
      </x:c>
      <x:c r="G186" s="9" t="str">
        <x:v>Adjudicated to Reviewer 1</x:v>
      </x:c>
      <x:c r="H186" s="9" t="str">
        <x:v>Human sample was small and not described as prospectively powered.</x:v>
      </x:c>
      <x:c r="I186" s="9" t="str">
        <x:v>PDF pp. 3–12; Figs. 1–9; Tables 1–3; Appendix A</x:v>
      </x:c>
    </x:row>
    <x:row r="187">
      <x:c r="A187" s="9" t="n">
        <x:v>24</x:v>
      </x:c>
      <x:c r="B187" s="9" t="str">
        <x:v>S031</x:v>
      </x:c>
      <x:c r="C187" s="9" t="str">
        <x:v>Rivera et al. (2022)</x:v>
      </x:c>
      <x:c r="D187" s="9" t="str">
        <x:v>A 3D-Printed Knee Wearable Goniometer with a Mobile-App Interface for Measuring Range of Motion and Monitoring Activities</x:v>
      </x:c>
      <x:c r="E187" s="9" t="str">
        <x:v>D2</x:v>
      </x:c>
      <x:c r="F187" s="9" t="str">
        <x:v>Some concern</x:v>
      </x:c>
      <x:c r="G187" s="9" t="str">
        <x:v>Adjudicated to Reviewer 1</x:v>
      </x:c>
      <x:c r="H187" s="9" t="str">
        <x:v>Study-specific limitations are recorded in the extraction and REB sheets.</x:v>
      </x:c>
      <x:c r="I187" s="9" t="str">
        <x:v>PDF pp. 3–12; Figs. 1–9; Tables 1–3; Appendix A</x:v>
      </x:c>
    </x:row>
    <x:row r="188">
      <x:c r="A188" s="9" t="n">
        <x:v>24</x:v>
      </x:c>
      <x:c r="B188" s="9" t="str">
        <x:v>S031</x:v>
      </x:c>
      <x:c r="C188" s="9" t="str">
        <x:v>Rivera et al. (2022)</x:v>
      </x:c>
      <x:c r="D188" s="9" t="str">
        <x:v>A 3D-Printed Knee Wearable Goniometer with a Mobile-App Interface for Measuring Range of Motion and Monitoring Activities</x:v>
      </x:c>
      <x:c r="E188" s="9" t="str">
        <x:v>D3</x:v>
      </x:c>
      <x:c r="F188" s="9" t="str">
        <x:v>Low concern</x:v>
      </x:c>
      <x:c r="G188" s="9" t="str">
        <x:v>Initial agreement</x:v>
      </x:c>
      <x:c r="H188" s="9" t="str">
        <x:v>Reference/protocol and principal quantitative outcomes are reported.</x:v>
      </x:c>
      <x:c r="I188" s="9" t="str">
        <x:v>PDF pp. 3–12; Figs. 1–9; Tables 1–3; Appendix A</x:v>
      </x:c>
    </x:row>
    <x:row r="189">
      <x:c r="A189" s="9" t="n">
        <x:v>24</x:v>
      </x:c>
      <x:c r="B189" s="9" t="str">
        <x:v>S031</x:v>
      </x:c>
      <x:c r="C189" s="9" t="str">
        <x:v>Rivera et al. (2022)</x:v>
      </x:c>
      <x:c r="D189" s="9" t="str">
        <x:v>A 3D-Printed Knee Wearable Goniometer with a Mobile-App Interface for Measuring Range of Motion and Monitoring Activities</x:v>
      </x:c>
      <x:c r="E189" s="9" t="str">
        <x:v>D4</x:v>
      </x:c>
      <x:c r="F189" s="9" t="str">
        <x:v>Low concern</x:v>
      </x:c>
      <x:c r="G189" s="9" t="str">
        <x:v>Initial agreement</x:v>
      </x:c>
      <x:c r="H189" s="9" t="str">
        <x:v>Reference/protocol and principal quantitative outcomes are reported.</x:v>
      </x:c>
      <x:c r="I189" s="9" t="str">
        <x:v>PDF pp. 3–12; Figs. 1–9; Tables 1–3; Appendix A</x:v>
      </x:c>
    </x:row>
    <x:row r="190">
      <x:c r="A190" s="9" t="n">
        <x:v>24</x:v>
      </x:c>
      <x:c r="B190" s="9" t="str">
        <x:v>S031</x:v>
      </x:c>
      <x:c r="C190" s="9" t="str">
        <x:v>Rivera et al. (2022)</x:v>
      </x:c>
      <x:c r="D190" s="9" t="str">
        <x:v>A 3D-Printed Knee Wearable Goniometer with a Mobile-App Interface for Measuring Range of Motion and Monitoring Activities</x:v>
      </x:c>
      <x:c r="E190" s="9" t="str">
        <x:v>D5</x:v>
      </x:c>
      <x:c r="F190" s="9" t="str">
        <x:v>Some concern</x:v>
      </x:c>
      <x:c r="G190" s="9" t="str">
        <x:v>Adjudicated to Reviewer 1</x:v>
      </x:c>
      <x:c r="H190" s="9" t="str">
        <x:v>Study-specific limitations are recorded in the extraction and REB sheets.</x:v>
      </x:c>
      <x:c r="I190" s="9" t="str">
        <x:v>PDF pp. 3–12; Figs. 1–9; Tables 1–3; Appendix A</x:v>
      </x:c>
    </x:row>
    <x:row r="191">
      <x:c r="A191" s="9" t="n">
        <x:v>24</x:v>
      </x:c>
      <x:c r="B191" s="9" t="str">
        <x:v>S031</x:v>
      </x:c>
      <x:c r="C191" s="9" t="str">
        <x:v>Rivera et al. (2022)</x:v>
      </x:c>
      <x:c r="D191" s="9" t="str">
        <x:v>A 3D-Printed Knee Wearable Goniometer with a Mobile-App Interface for Measuring Range of Motion and Monitoring Activities</x:v>
      </x:c>
      <x:c r="E191" s="9" t="str">
        <x:v>D6</x:v>
      </x:c>
      <x:c r="F191" s="9" t="str">
        <x:v>High concern</x:v>
      </x:c>
      <x:c r="G191" s="9" t="str">
        <x:v>Initial agreement</x:v>
      </x:c>
      <x:c r="H191" s="9" t="str">
        <x:v>A quantitative comparison of at least three separately fabricated complete sensing units was not identified.</x:v>
      </x:c>
      <x:c r="I191" s="9" t="str">
        <x:v>PDF pp. 3–12; Figs. 1–9; Tables 1–3; Appendix A</x:v>
      </x:c>
    </x:row>
    <x:row r="192">
      <x:c r="A192" s="9" t="n">
        <x:v>24</x:v>
      </x:c>
      <x:c r="B192" s="9" t="str">
        <x:v>S031</x:v>
      </x:c>
      <x:c r="C192" s="9" t="str">
        <x:v>Rivera et al. (2022)</x:v>
      </x:c>
      <x:c r="D192" s="9" t="str">
        <x:v>A 3D-Printed Knee Wearable Goniometer with a Mobile-App Interface for Measuring Range of Motion and Monitoring Activities</x:v>
      </x:c>
      <x:c r="E192" s="9" t="str">
        <x:v>D7</x:v>
      </x:c>
      <x:c r="F192" s="9" t="str">
        <x:v>Low concern</x:v>
      </x:c>
      <x:c r="G192" s="9" t="str">
        <x:v>Adjudicated to Reviewer 1</x:v>
      </x:c>
      <x:c r="H192" s="9" t="str">
        <x:v>Reference/protocol and principal quantitative outcomes are reported.</x:v>
      </x:c>
      <x:c r="I192" s="9" t="str">
        <x:v>PDF pp. 3–12; Figs. 1–9; Tables 1–3; Appendix A</x:v>
      </x:c>
    </x:row>
    <x:row r="193">
      <x:c r="A193" s="9" t="n">
        <x:v>24</x:v>
      </x:c>
      <x:c r="B193" s="9" t="str">
        <x:v>S031</x:v>
      </x:c>
      <x:c r="C193" s="9" t="str">
        <x:v>Rivera et al. (2022)</x:v>
      </x:c>
      <x:c r="D193" s="9" t="str">
        <x:v>A 3D-Printed Knee Wearable Goniometer with a Mobile-App Interface for Measuring Range of Motion and Monitoring Activities</x:v>
      </x:c>
      <x:c r="E193" s="9" t="str">
        <x:v>D8</x:v>
      </x:c>
      <x:c r="F193" s="9" t="str">
        <x:v>Some concern</x:v>
      </x:c>
      <x:c r="G193" s="9" t="str">
        <x:v>Adjudicated to Reviewer 1</x:v>
      </x:c>
      <x:c r="H193" s="9" t="str">
        <x:v>Study-specific limitations are recorded in the extraction and REB sheets.</x:v>
      </x:c>
      <x:c r="I193" s="9" t="str">
        <x:v>PDF pp. 3–12; Figs. 1–9; Tables 1–3; Appendix A</x:v>
      </x:c>
    </x:row>
    <x:row r="194">
      <x:c r="A194" s="9" t="n">
        <x:v>25</x:v>
      </x:c>
      <x:c r="B194" s="9" t="str">
        <x:v>S032</x:v>
      </x:c>
      <x:c r="C194" s="9" t="str">
        <x:v>Liu et al. (2021)</x:v>
      </x:c>
      <x:c r="D194" s="9" t="str">
        <x:v>Simultaneous Measurements of Tissue Blood Flow and Oxygenation Using a Wearable Fiber-Free Optical Sensor</x:v>
      </x:c>
      <x:c r="E194" s="9" t="str">
        <x:v>D1</x:v>
      </x:c>
      <x:c r="F194" s="9" t="str">
        <x:v>High concern</x:v>
      </x:c>
      <x:c r="G194" s="9" t="str">
        <x:v>Adjudicated to Reviewer 1</x:v>
      </x:c>
      <x:c r="H194" s="9" t="str">
        <x:v>Human sample was small and not described as prospectively powered.</x:v>
      </x:c>
      <x:c r="I194" s="9" t="str">
        <x:v>PDF pp. 3–10; Figs. 1–8</x:v>
      </x:c>
    </x:row>
    <x:row r="195">
      <x:c r="A195" s="9" t="n">
        <x:v>25</x:v>
      </x:c>
      <x:c r="B195" s="9" t="str">
        <x:v>S032</x:v>
      </x:c>
      <x:c r="C195" s="9" t="str">
        <x:v>Liu et al. (2021)</x:v>
      </x:c>
      <x:c r="D195" s="9" t="str">
        <x:v>Simultaneous Measurements of Tissue Blood Flow and Oxygenation Using a Wearable Fiber-Free Optical Sensor</x:v>
      </x:c>
      <x:c r="E195" s="9" t="str">
        <x:v>D2</x:v>
      </x:c>
      <x:c r="F195" s="9" t="str">
        <x:v>Some concern</x:v>
      </x:c>
      <x:c r="G195" s="9" t="str">
        <x:v>Adjudicated to Reviewer 1</x:v>
      </x:c>
      <x:c r="H195" s="9" t="str">
        <x:v>Study-specific limitations are recorded in the extraction and REB sheets.</x:v>
      </x:c>
      <x:c r="I195" s="9" t="str">
        <x:v>PDF pp. 3–10; Figs. 1–8</x:v>
      </x:c>
    </x:row>
    <x:row r="196">
      <x:c r="A196" s="9" t="n">
        <x:v>25</x:v>
      </x:c>
      <x:c r="B196" s="9" t="str">
        <x:v>S032</x:v>
      </x:c>
      <x:c r="C196" s="9" t="str">
        <x:v>Liu et al. (2021)</x:v>
      </x:c>
      <x:c r="D196" s="9" t="str">
        <x:v>Simultaneous Measurements of Tissue Blood Flow and Oxygenation Using a Wearable Fiber-Free Optical Sensor</x:v>
      </x:c>
      <x:c r="E196" s="9" t="str">
        <x:v>D3</x:v>
      </x:c>
      <x:c r="F196" s="9" t="str">
        <x:v>Low concern</x:v>
      </x:c>
      <x:c r="G196" s="9" t="str">
        <x:v>Initial agreement</x:v>
      </x:c>
      <x:c r="H196" s="9" t="str">
        <x:v>Reference/protocol and principal quantitative outcomes are reported.</x:v>
      </x:c>
      <x:c r="I196" s="9" t="str">
        <x:v>PDF pp. 3–10; Figs. 1–8</x:v>
      </x:c>
    </x:row>
    <x:row r="197">
      <x:c r="A197" s="9" t="n">
        <x:v>25</x:v>
      </x:c>
      <x:c r="B197" s="9" t="str">
        <x:v>S032</x:v>
      </x:c>
      <x:c r="C197" s="9" t="str">
        <x:v>Liu et al. (2021)</x:v>
      </x:c>
      <x:c r="D197" s="9" t="str">
        <x:v>Simultaneous Measurements of Tissue Blood Flow and Oxygenation Using a Wearable Fiber-Free Optical Sensor</x:v>
      </x:c>
      <x:c r="E197" s="9" t="str">
        <x:v>D4</x:v>
      </x:c>
      <x:c r="F197" s="9" t="str">
        <x:v>Low concern</x:v>
      </x:c>
      <x:c r="G197" s="9" t="str">
        <x:v>Initial agreement</x:v>
      </x:c>
      <x:c r="H197" s="9" t="str">
        <x:v>Reference/protocol and principal quantitative outcomes are reported.</x:v>
      </x:c>
      <x:c r="I197" s="9" t="str">
        <x:v>PDF pp. 3–10; Figs. 1–8</x:v>
      </x:c>
    </x:row>
    <x:row r="198">
      <x:c r="A198" s="9" t="n">
        <x:v>25</x:v>
      </x:c>
      <x:c r="B198" s="9" t="str">
        <x:v>S032</x:v>
      </x:c>
      <x:c r="C198" s="9" t="str">
        <x:v>Liu et al. (2021)</x:v>
      </x:c>
      <x:c r="D198" s="9" t="str">
        <x:v>Simultaneous Measurements of Tissue Blood Flow and Oxygenation Using a Wearable Fiber-Free Optical Sensor</x:v>
      </x:c>
      <x:c r="E198" s="9" t="str">
        <x:v>D5</x:v>
      </x:c>
      <x:c r="F198" s="9" t="str">
        <x:v>Some concern</x:v>
      </x:c>
      <x:c r="G198" s="9" t="str">
        <x:v>Adjudicated to Reviewer 1</x:v>
      </x:c>
      <x:c r="H198" s="9" t="str">
        <x:v>Study-specific limitations are recorded in the extraction and REB sheets.</x:v>
      </x:c>
      <x:c r="I198" s="9" t="str">
        <x:v>PDF pp. 3–10; Figs. 1–8</x:v>
      </x:c>
    </x:row>
    <x:row r="199">
      <x:c r="A199" s="9" t="n">
        <x:v>25</x:v>
      </x:c>
      <x:c r="B199" s="9" t="str">
        <x:v>S032</x:v>
      </x:c>
      <x:c r="C199" s="9" t="str">
        <x:v>Liu et al. (2021)</x:v>
      </x:c>
      <x:c r="D199" s="9" t="str">
        <x:v>Simultaneous Measurements of Tissue Blood Flow and Oxygenation Using a Wearable Fiber-Free Optical Sensor</x:v>
      </x:c>
      <x:c r="E199" s="9" t="str">
        <x:v>D6</x:v>
      </x:c>
      <x:c r="F199" s="9" t="str">
        <x:v>High concern</x:v>
      </x:c>
      <x:c r="G199" s="9" t="str">
        <x:v>Initial agreement</x:v>
      </x:c>
      <x:c r="H199" s="9" t="str">
        <x:v>A quantitative comparison of at least three separately fabricated complete sensing units was not identified.</x:v>
      </x:c>
      <x:c r="I199" s="9" t="str">
        <x:v>PDF pp. 3–10; Figs. 1–8</x:v>
      </x:c>
    </x:row>
    <x:row r="200">
      <x:c r="A200" s="9" t="n">
        <x:v>25</x:v>
      </x:c>
      <x:c r="B200" s="9" t="str">
        <x:v>S032</x:v>
      </x:c>
      <x:c r="C200" s="9" t="str">
        <x:v>Liu et al. (2021)</x:v>
      </x:c>
      <x:c r="D200" s="9" t="str">
        <x:v>Simultaneous Measurements of Tissue Blood Flow and Oxygenation Using a Wearable Fiber-Free Optical Sensor</x:v>
      </x:c>
      <x:c r="E200" s="9" t="str">
        <x:v>D7</x:v>
      </x:c>
      <x:c r="F200" s="9" t="str">
        <x:v>Low concern</x:v>
      </x:c>
      <x:c r="G200" s="9" t="str">
        <x:v>Adjudicated to Reviewer 1</x:v>
      </x:c>
      <x:c r="H200" s="9" t="str">
        <x:v>Reference/protocol and principal quantitative outcomes are reported.</x:v>
      </x:c>
      <x:c r="I200" s="9" t="str">
        <x:v>PDF pp. 3–10; Figs. 1–8</x:v>
      </x:c>
    </x:row>
    <x:row r="201">
      <x:c r="A201" s="9" t="n">
        <x:v>25</x:v>
      </x:c>
      <x:c r="B201" s="9" t="str">
        <x:v>S032</x:v>
      </x:c>
      <x:c r="C201" s="9" t="str">
        <x:v>Liu et al. (2021)</x:v>
      </x:c>
      <x:c r="D201" s="9" t="str">
        <x:v>Simultaneous Measurements of Tissue Blood Flow and Oxygenation Using a Wearable Fiber-Free Optical Sensor</x:v>
      </x:c>
      <x:c r="E201" s="9" t="str">
        <x:v>D8</x:v>
      </x:c>
      <x:c r="F201" s="9" t="str">
        <x:v>Some concern</x:v>
      </x:c>
      <x:c r="G201" s="9" t="str">
        <x:v>Adjudicated to Reviewer 1</x:v>
      </x:c>
      <x:c r="H201" s="9" t="str">
        <x:v>Study-specific limitations are recorded in the extraction and REB sheets.</x:v>
      </x:c>
      <x:c r="I201" s="9" t="str">
        <x:v>PDF pp. 3–10; Figs. 1–8</x:v>
      </x:c>
    </x:row>
    <x:row r="202">
      <x:c r="A202" s="9" t="n">
        <x:v>26</x:v>
      </x:c>
      <x:c r="B202" s="9" t="str">
        <x:v>S033</x:v>
      </x:c>
      <x:c r="C202" s="9" t="str">
        <x:v>Yu et al. (2020)</x:v>
      </x:c>
      <x:c r="D202" s="9" t="str">
        <x:v>Highly Sensitive Flexible Piezoresistive Sensor with 3D Conductive Network</x:v>
      </x:c>
      <x:c r="E202" s="9" t="str">
        <x:v>D1</x:v>
      </x:c>
      <x:c r="F202" s="9" t="str">
        <x:v>Some concern</x:v>
      </x:c>
      <x:c r="G202" s="9" t="str">
        <x:v>Initial agreement</x:v>
      </x:c>
      <x:c r="H202" s="9" t="str">
        <x:v>Study-specific limitations are recorded in the extraction and REB sheets.</x:v>
      </x:c>
      <x:c r="I202" s="9" t="str">
        <x:v>PDF pp. 2–7; Figs. 1–5; cited SI</x:v>
      </x:c>
    </x:row>
    <x:row r="203">
      <x:c r="A203" s="9" t="n">
        <x:v>26</x:v>
      </x:c>
      <x:c r="B203" s="9" t="str">
        <x:v>S033</x:v>
      </x:c>
      <x:c r="C203" s="9" t="str">
        <x:v>Yu et al. (2020)</x:v>
      </x:c>
      <x:c r="D203" s="9" t="str">
        <x:v>Highly Sensitive Flexible Piezoresistive Sensor with 3D Conductive Network</x:v>
      </x:c>
      <x:c r="E203" s="9" t="str">
        <x:v>D2</x:v>
      </x:c>
      <x:c r="F203" s="9" t="str">
        <x:v>Some concern</x:v>
      </x:c>
      <x:c r="G203" s="9" t="str">
        <x:v>Adjudicated to Reviewer 1</x:v>
      </x:c>
      <x:c r="H203" s="9" t="str">
        <x:v>Study-specific limitations are recorded in the extraction and REB sheets.</x:v>
      </x:c>
      <x:c r="I203" s="9" t="str">
        <x:v>PDF pp. 2–7; Figs. 1–5; cited SI</x:v>
      </x:c>
    </x:row>
    <x:row r="204">
      <x:c r="A204" s="9" t="n">
        <x:v>26</x:v>
      </x:c>
      <x:c r="B204" s="9" t="str">
        <x:v>S033</x:v>
      </x:c>
      <x:c r="C204" s="9" t="str">
        <x:v>Yu et al. (2020)</x:v>
      </x:c>
      <x:c r="D204" s="9" t="str">
        <x:v>Highly Sensitive Flexible Piezoresistive Sensor with 3D Conductive Network</x:v>
      </x:c>
      <x:c r="E204" s="9" t="str">
        <x:v>D3</x:v>
      </x:c>
      <x:c r="F204" s="9" t="str">
        <x:v>Low concern</x:v>
      </x:c>
      <x:c r="G204" s="9" t="str">
        <x:v>Initial agreement</x:v>
      </x:c>
      <x:c r="H204" s="9" t="str">
        <x:v>Reference/protocol and principal quantitative outcomes are reported.</x:v>
      </x:c>
      <x:c r="I204" s="9" t="str">
        <x:v>PDF pp. 2–7; Figs. 1–5; cited SI</x:v>
      </x:c>
    </x:row>
    <x:row r="205">
      <x:c r="A205" s="9" t="n">
        <x:v>26</x:v>
      </x:c>
      <x:c r="B205" s="9" t="str">
        <x:v>S033</x:v>
      </x:c>
      <x:c r="C205" s="9" t="str">
        <x:v>Yu et al. (2020)</x:v>
      </x:c>
      <x:c r="D205" s="9" t="str">
        <x:v>Highly Sensitive Flexible Piezoresistive Sensor with 3D Conductive Network</x:v>
      </x:c>
      <x:c r="E205" s="9" t="str">
        <x:v>D4</x:v>
      </x:c>
      <x:c r="F205" s="9" t="str">
        <x:v>Low concern</x:v>
      </x:c>
      <x:c r="G205" s="9" t="str">
        <x:v>Initial agreement</x:v>
      </x:c>
      <x:c r="H205" s="9" t="str">
        <x:v>Reference/protocol and principal quantitative outcomes are reported.</x:v>
      </x:c>
      <x:c r="I205" s="9" t="str">
        <x:v>PDF pp. 2–7; Figs. 1–5; cited SI</x:v>
      </x:c>
    </x:row>
    <x:row r="206">
      <x:c r="A206" s="9" t="n">
        <x:v>26</x:v>
      </x:c>
      <x:c r="B206" s="9" t="str">
        <x:v>S033</x:v>
      </x:c>
      <x:c r="C206" s="9" t="str">
        <x:v>Yu et al. (2020)</x:v>
      </x:c>
      <x:c r="D206" s="9" t="str">
        <x:v>Highly Sensitive Flexible Piezoresistive Sensor with 3D Conductive Network</x:v>
      </x:c>
      <x:c r="E206" s="9" t="str">
        <x:v>D5</x:v>
      </x:c>
      <x:c r="F206" s="9" t="str">
        <x:v>Some concern</x:v>
      </x:c>
      <x:c r="G206" s="9" t="str">
        <x:v>Adjudicated to Reviewer 1</x:v>
      </x:c>
      <x:c r="H206" s="9" t="str">
        <x:v>Study-specific limitations are recorded in the extraction and REB sheets.</x:v>
      </x:c>
      <x:c r="I206" s="9" t="str">
        <x:v>PDF pp. 2–7; Figs. 1–5; cited SI</x:v>
      </x:c>
    </x:row>
    <x:row r="207">
      <x:c r="A207" s="9" t="n">
        <x:v>26</x:v>
      </x:c>
      <x:c r="B207" s="9" t="str">
        <x:v>S033</x:v>
      </x:c>
      <x:c r="C207" s="9" t="str">
        <x:v>Yu et al. (2020)</x:v>
      </x:c>
      <x:c r="D207" s="9" t="str">
        <x:v>Highly Sensitive Flexible Piezoresistive Sensor with 3D Conductive Network</x:v>
      </x:c>
      <x:c r="E207" s="9" t="str">
        <x:v>D6</x:v>
      </x:c>
      <x:c r="F207" s="9" t="str">
        <x:v>High concern</x:v>
      </x:c>
      <x:c r="G207" s="9" t="str">
        <x:v>Initial agreement</x:v>
      </x:c>
      <x:c r="H207" s="9" t="str">
        <x:v>A quantitative comparison of at least three separately fabricated complete sensing units was not identified.</x:v>
      </x:c>
      <x:c r="I207" s="9" t="str">
        <x:v>PDF pp. 2–7; Figs. 1–5; cited SI</x:v>
      </x:c>
    </x:row>
    <x:row r="208">
      <x:c r="A208" s="9" t="n">
        <x:v>26</x:v>
      </x:c>
      <x:c r="B208" s="9" t="str">
        <x:v>S033</x:v>
      </x:c>
      <x:c r="C208" s="9" t="str">
        <x:v>Yu et al. (2020)</x:v>
      </x:c>
      <x:c r="D208" s="9" t="str">
        <x:v>Highly Sensitive Flexible Piezoresistive Sensor with 3D Conductive Network</x:v>
      </x:c>
      <x:c r="E208" s="9" t="str">
        <x:v>D7</x:v>
      </x:c>
      <x:c r="F208" s="9" t="str">
        <x:v>Low concern</x:v>
      </x:c>
      <x:c r="G208" s="9" t="str">
        <x:v>Adjudicated to Reviewer 1</x:v>
      </x:c>
      <x:c r="H208" s="9" t="str">
        <x:v>Reference/protocol and principal quantitative outcomes are reported.</x:v>
      </x:c>
      <x:c r="I208" s="9" t="str">
        <x:v>PDF pp. 2–7; Figs. 1–5; cited SI</x:v>
      </x:c>
    </x:row>
    <x:row r="209">
      <x:c r="A209" s="9" t="n">
        <x:v>26</x:v>
      </x:c>
      <x:c r="B209" s="9" t="str">
        <x:v>S033</x:v>
      </x:c>
      <x:c r="C209" s="9" t="str">
        <x:v>Yu et al. (2020)</x:v>
      </x:c>
      <x:c r="D209" s="9" t="str">
        <x:v>Highly Sensitive Flexible Piezoresistive Sensor with 3D Conductive Network</x:v>
      </x:c>
      <x:c r="E209" s="9" t="str">
        <x:v>D8</x:v>
      </x:c>
      <x:c r="F209" s="9" t="str">
        <x:v>Some concern</x:v>
      </x:c>
      <x:c r="G209" s="9" t="str">
        <x:v>Adjudicated to Reviewer 1</x:v>
      </x:c>
      <x:c r="H209" s="9" t="str">
        <x:v>Study-specific limitations are recorded in the extraction and REB sheets.</x:v>
      </x:c>
      <x:c r="I209" s="9" t="str">
        <x:v>PDF pp. 2–7; Figs. 1–5; cited SI</x:v>
      </x:c>
    </x:row>
    <x:row r="210">
      <x:c r="A210" s="9" t="n">
        <x:v>27</x:v>
      </x:c>
      <x:c r="B210" s="9" t="str">
        <x:v>S034</x:v>
      </x:c>
      <x:c r="C210" s="9" t="str">
        <x:v>Zhang et al. (2026)</x:v>
      </x:c>
      <x:c r="D210" s="9" t="str">
        <x:v>Reusable 3D-Printed Microfluidic-on-Fabric with Modular Electrodes for Point-of-Care Na+ and K+ Detection in Various Biofluids</x:v>
      </x:c>
      <x:c r="E210" s="9" t="str">
        <x:v>D1</x:v>
      </x:c>
      <x:c r="F210" s="9" t="str">
        <x:v>Some concern</x:v>
      </x:c>
      <x:c r="G210" s="9" t="str">
        <x:v>Initial agreement</x:v>
      </x:c>
      <x:c r="H210" s="9" t="str">
        <x:v>Study-specific limitations are recorded in the extraction and REB sheets.</x:v>
      </x:c>
      <x:c r="I210" s="9" t="str">
        <x:v>PDF pp. 2–9; Figs. 1–5; cited SI</x:v>
      </x:c>
    </x:row>
    <x:row r="211">
      <x:c r="A211" s="9" t="n">
        <x:v>27</x:v>
      </x:c>
      <x:c r="B211" s="9" t="str">
        <x:v>S034</x:v>
      </x:c>
      <x:c r="C211" s="9" t="str">
        <x:v>Zhang et al. (2026)</x:v>
      </x:c>
      <x:c r="D211" s="9" t="str">
        <x:v>Reusable 3D-Printed Microfluidic-on-Fabric with Modular Electrodes for Point-of-Care Na+ and K+ Detection in Various Biofluids</x:v>
      </x:c>
      <x:c r="E211" s="9" t="str">
        <x:v>D2</x:v>
      </x:c>
      <x:c r="F211" s="9" t="str">
        <x:v>Some concern</x:v>
      </x:c>
      <x:c r="G211" s="9" t="str">
        <x:v>Initial agreement</x:v>
      </x:c>
      <x:c r="H211" s="9" t="str">
        <x:v>Study-specific limitations are recorded in the extraction and REB sheets.</x:v>
      </x:c>
      <x:c r="I211" s="9" t="str">
        <x:v>PDF pp. 2–9; Figs. 1–5; cited SI</x:v>
      </x:c>
    </x:row>
    <x:row r="212">
      <x:c r="A212" s="9" t="n">
        <x:v>27</x:v>
      </x:c>
      <x:c r="B212" s="9" t="str">
        <x:v>S034</x:v>
      </x:c>
      <x:c r="C212" s="9" t="str">
        <x:v>Zhang et al. (2026)</x:v>
      </x:c>
      <x:c r="D212" s="9" t="str">
        <x:v>Reusable 3D-Printed Microfluidic-on-Fabric with Modular Electrodes for Point-of-Care Na+ and K+ Detection in Various Biofluids</x:v>
      </x:c>
      <x:c r="E212" s="9" t="str">
        <x:v>D3</x:v>
      </x:c>
      <x:c r="F212" s="9" t="str">
        <x:v>Low concern</x:v>
      </x:c>
      <x:c r="G212" s="9" t="str">
        <x:v>Initial agreement</x:v>
      </x:c>
      <x:c r="H212" s="9" t="str">
        <x:v>Reference/protocol and principal quantitative outcomes are reported.</x:v>
      </x:c>
      <x:c r="I212" s="9" t="str">
        <x:v>PDF pp. 2–9; Figs. 1–5; cited SI</x:v>
      </x:c>
    </x:row>
    <x:row r="213">
      <x:c r="A213" s="9" t="n">
        <x:v>27</x:v>
      </x:c>
      <x:c r="B213" s="9" t="str">
        <x:v>S034</x:v>
      </x:c>
      <x:c r="C213" s="9" t="str">
        <x:v>Zhang et al. (2026)</x:v>
      </x:c>
      <x:c r="D213" s="9" t="str">
        <x:v>Reusable 3D-Printed Microfluidic-on-Fabric with Modular Electrodes for Point-of-Care Na+ and K+ Detection in Various Biofluids</x:v>
      </x:c>
      <x:c r="E213" s="9" t="str">
        <x:v>D4</x:v>
      </x:c>
      <x:c r="F213" s="9" t="str">
        <x:v>Low concern</x:v>
      </x:c>
      <x:c r="G213" s="9" t="str">
        <x:v>Initial agreement</x:v>
      </x:c>
      <x:c r="H213" s="9" t="str">
        <x:v>Reference/protocol and principal quantitative outcomes are reported.</x:v>
      </x:c>
      <x:c r="I213" s="9" t="str">
        <x:v>PDF pp. 2–9; Figs. 1–5; cited SI</x:v>
      </x:c>
    </x:row>
    <x:row r="214">
      <x:c r="A214" s="9" t="n">
        <x:v>27</x:v>
      </x:c>
      <x:c r="B214" s="9" t="str">
        <x:v>S034</x:v>
      </x:c>
      <x:c r="C214" s="9" t="str">
        <x:v>Zhang et al. (2026)</x:v>
      </x:c>
      <x:c r="D214" s="9" t="str">
        <x:v>Reusable 3D-Printed Microfluidic-on-Fabric with Modular Electrodes for Point-of-Care Na+ and K+ Detection in Various Biofluids</x:v>
      </x:c>
      <x:c r="E214" s="9" t="str">
        <x:v>D5</x:v>
      </x:c>
      <x:c r="F214" s="9" t="str">
        <x:v>Some concern</x:v>
      </x:c>
      <x:c r="G214" s="9" t="str">
        <x:v>Adjudicated to Reviewer 1</x:v>
      </x:c>
      <x:c r="H214" s="9" t="str">
        <x:v>Study-specific limitations are recorded in the extraction and REB sheets.</x:v>
      </x:c>
      <x:c r="I214" s="9" t="str">
        <x:v>PDF pp. 2–9; Figs. 1–5; cited SI</x:v>
      </x:c>
    </x:row>
    <x:row r="215">
      <x:c r="A215" s="9" t="n">
        <x:v>27</x:v>
      </x:c>
      <x:c r="B215" s="9" t="str">
        <x:v>S034</x:v>
      </x:c>
      <x:c r="C215" s="9" t="str">
        <x:v>Zhang et al. (2026)</x:v>
      </x:c>
      <x:c r="D215" s="9" t="str">
        <x:v>Reusable 3D-Printed Microfluidic-on-Fabric with Modular Electrodes for Point-of-Care Na+ and K+ Detection in Various Biofluids</x:v>
      </x:c>
      <x:c r="E215" s="9" t="str">
        <x:v>D6</x:v>
      </x:c>
      <x:c r="F215" s="9" t="str">
        <x:v>Low concern</x:v>
      </x:c>
      <x:c r="G215" s="9" t="str">
        <x:v>Adjudicated to Reviewer 1</x:v>
      </x:c>
      <x:c r="H215" s="9" t="str">
        <x:v>At least three separately fabricated sensing units were compared quantitatively.</x:v>
      </x:c>
      <x:c r="I215" s="9" t="str">
        <x:v>PDF pp. 2–9; Figs. 1–5; cited SI</x:v>
      </x:c>
    </x:row>
    <x:row r="216">
      <x:c r="A216" s="9" t="n">
        <x:v>27</x:v>
      </x:c>
      <x:c r="B216" s="9" t="str">
        <x:v>S034</x:v>
      </x:c>
      <x:c r="C216" s="9" t="str">
        <x:v>Zhang et al. (2026)</x:v>
      </x:c>
      <x:c r="D216" s="9" t="str">
        <x:v>Reusable 3D-Printed Microfluidic-on-Fabric with Modular Electrodes for Point-of-Care Na+ and K+ Detection in Various Biofluids</x:v>
      </x:c>
      <x:c r="E216" s="9" t="str">
        <x:v>D7</x:v>
      </x:c>
      <x:c r="F216" s="9" t="str">
        <x:v>Low concern</x:v>
      </x:c>
      <x:c r="G216" s="9" t="str">
        <x:v>Initial agreement</x:v>
      </x:c>
      <x:c r="H216" s="9" t="str">
        <x:v>Reference/protocol and principal quantitative outcomes are reported.</x:v>
      </x:c>
      <x:c r="I216" s="9" t="str">
        <x:v>PDF pp. 2–9; Figs. 1–5; cited SI</x:v>
      </x:c>
    </x:row>
    <x:row r="217">
      <x:c r="A217" s="9" t="n">
        <x:v>27</x:v>
      </x:c>
      <x:c r="B217" s="9" t="str">
        <x:v>S034</x:v>
      </x:c>
      <x:c r="C217" s="9" t="str">
        <x:v>Zhang et al. (2026)</x:v>
      </x:c>
      <x:c r="D217" s="9" t="str">
        <x:v>Reusable 3D-Printed Microfluidic-on-Fabric with Modular Electrodes for Point-of-Care Na+ and K+ Detection in Various Biofluids</x:v>
      </x:c>
      <x:c r="E217" s="9" t="str">
        <x:v>D8</x:v>
      </x:c>
      <x:c r="F217" s="9" t="str">
        <x:v>Some concern</x:v>
      </x:c>
      <x:c r="G217" s="9" t="str">
        <x:v>Initial agreement</x:v>
      </x:c>
      <x:c r="H217" s="9" t="str">
        <x:v>Study-specific limitations are recorded in the extraction and REB sheets.</x:v>
      </x:c>
      <x:c r="I217" s="9" t="str">
        <x:v>PDF pp. 2–9; Figs. 1–5; cited SI</x:v>
      </x:c>
    </x:row>
    <x:row r="218">
      <x:c r="A218" s="9" t="n">
        <x:v>28</x:v>
      </x:c>
      <x:c r="B218" s="9" t="str">
        <x:v>S035</x:v>
      </x:c>
      <x:c r="C218" s="9" t="str">
        <x:v>Katseli et al. (2021)</x:v>
      </x:c>
      <x:c r="D218" s="9" t="str">
        <x:v>Smartphone-Addressable 3D-Printed Electrochemical Ring for Nonenzymatic Self-Monitoring of Glucose in Human Sweat</x:v>
      </x:c>
      <x:c r="E218" s="9" t="str">
        <x:v>D1</x:v>
      </x:c>
      <x:c r="F218" s="9" t="str">
        <x:v>High concern</x:v>
      </x:c>
      <x:c r="G218" s="9" t="str">
        <x:v>Adjudicated to Reviewer 1</x:v>
      </x:c>
      <x:c r="H218" s="9" t="str">
        <x:v>On-body proof-of-concept used one or two participants.</x:v>
      </x:c>
      <x:c r="I218" s="9" t="str">
        <x:v>PDF pp. 1–5; Figs. 1–4; cited SI</x:v>
      </x:c>
    </x:row>
    <x:row r="219">
      <x:c r="A219" s="9" t="n">
        <x:v>28</x:v>
      </x:c>
      <x:c r="B219" s="9" t="str">
        <x:v>S035</x:v>
      </x:c>
      <x:c r="C219" s="9" t="str">
        <x:v>Katseli et al. (2021)</x:v>
      </x:c>
      <x:c r="D219" s="9" t="str">
        <x:v>Smartphone-Addressable 3D-Printed Electrochemical Ring for Nonenzymatic Self-Monitoring of Glucose in Human Sweat</x:v>
      </x:c>
      <x:c r="E219" s="9" t="str">
        <x:v>D2</x:v>
      </x:c>
      <x:c r="F219" s="9" t="str">
        <x:v>Some concern</x:v>
      </x:c>
      <x:c r="G219" s="9" t="str">
        <x:v>Adjudicated to Reviewer 1</x:v>
      </x:c>
      <x:c r="H219" s="9" t="str">
        <x:v>Study-specific limitations are recorded in the extraction and REB sheets.</x:v>
      </x:c>
      <x:c r="I219" s="9" t="str">
        <x:v>PDF pp. 1–5; Figs. 1–4; cited SI</x:v>
      </x:c>
    </x:row>
    <x:row r="220">
      <x:c r="A220" s="9" t="n">
        <x:v>28</x:v>
      </x:c>
      <x:c r="B220" s="9" t="str">
        <x:v>S035</x:v>
      </x:c>
      <x:c r="C220" s="9" t="str">
        <x:v>Katseli et al. (2021)</x:v>
      </x:c>
      <x:c r="D220" s="9" t="str">
        <x:v>Smartphone-Addressable 3D-Printed Electrochemical Ring for Nonenzymatic Self-Monitoring of Glucose in Human Sweat</x:v>
      </x:c>
      <x:c r="E220" s="9" t="str">
        <x:v>D3</x:v>
      </x:c>
      <x:c r="F220" s="9" t="str">
        <x:v>Low concern</x:v>
      </x:c>
      <x:c r="G220" s="9" t="str">
        <x:v>Initial agreement</x:v>
      </x:c>
      <x:c r="H220" s="9" t="str">
        <x:v>Reference/protocol and principal quantitative outcomes are reported.</x:v>
      </x:c>
      <x:c r="I220" s="9" t="str">
        <x:v>PDF pp. 1–5; Figs. 1–4; cited SI</x:v>
      </x:c>
    </x:row>
    <x:row r="221">
      <x:c r="A221" s="9" t="n">
        <x:v>28</x:v>
      </x:c>
      <x:c r="B221" s="9" t="str">
        <x:v>S035</x:v>
      </x:c>
      <x:c r="C221" s="9" t="str">
        <x:v>Katseli et al. (2021)</x:v>
      </x:c>
      <x:c r="D221" s="9" t="str">
        <x:v>Smartphone-Addressable 3D-Printed Electrochemical Ring for Nonenzymatic Self-Monitoring of Glucose in Human Sweat</x:v>
      </x:c>
      <x:c r="E221" s="9" t="str">
        <x:v>D4</x:v>
      </x:c>
      <x:c r="F221" s="9" t="str">
        <x:v>Low concern</x:v>
      </x:c>
      <x:c r="G221" s="9" t="str">
        <x:v>Initial agreement</x:v>
      </x:c>
      <x:c r="H221" s="9" t="str">
        <x:v>Reference/protocol and principal quantitative outcomes are reported.</x:v>
      </x:c>
      <x:c r="I221" s="9" t="str">
        <x:v>PDF pp. 1–5; Figs. 1–4; cited SI</x:v>
      </x:c>
    </x:row>
    <x:row r="222">
      <x:c r="A222" s="9" t="n">
        <x:v>28</x:v>
      </x:c>
      <x:c r="B222" s="9" t="str">
        <x:v>S035</x:v>
      </x:c>
      <x:c r="C222" s="9" t="str">
        <x:v>Katseli et al. (2021)</x:v>
      </x:c>
      <x:c r="D222" s="9" t="str">
        <x:v>Smartphone-Addressable 3D-Printed Electrochemical Ring for Nonenzymatic Self-Monitoring of Glucose in Human Sweat</x:v>
      </x:c>
      <x:c r="E222" s="9" t="str">
        <x:v>D5</x:v>
      </x:c>
      <x:c r="F222" s="9" t="str">
        <x:v>Some concern</x:v>
      </x:c>
      <x:c r="G222" s="9" t="str">
        <x:v>Adjudicated to Reviewer 1</x:v>
      </x:c>
      <x:c r="H222" s="9" t="str">
        <x:v>Study-specific limitations are recorded in the extraction and REB sheets.</x:v>
      </x:c>
      <x:c r="I222" s="9" t="str">
        <x:v>PDF pp. 1–5; Figs. 1–4; cited SI</x:v>
      </x:c>
    </x:row>
    <x:row r="223">
      <x:c r="A223" s="9" t="n">
        <x:v>28</x:v>
      </x:c>
      <x:c r="B223" s="9" t="str">
        <x:v>S035</x:v>
      </x:c>
      <x:c r="C223" s="9" t="str">
        <x:v>Katseli et al. (2021)</x:v>
      </x:c>
      <x:c r="D223" s="9" t="str">
        <x:v>Smartphone-Addressable 3D-Printed Electrochemical Ring for Nonenzymatic Self-Monitoring of Glucose in Human Sweat</x:v>
      </x:c>
      <x:c r="E223" s="9" t="str">
        <x:v>D6</x:v>
      </x:c>
      <x:c r="F223" s="9" t="str">
        <x:v>Low concern</x:v>
      </x:c>
      <x:c r="G223" s="9" t="str">
        <x:v>Initial agreement</x:v>
      </x:c>
      <x:c r="H223" s="9" t="str">
        <x:v>At least three separately fabricated sensing units were compared quantitatively.</x:v>
      </x:c>
      <x:c r="I223" s="9" t="str">
        <x:v>PDF pp. 1–5; Figs. 1–4; cited SI</x:v>
      </x:c>
    </x:row>
    <x:row r="224">
      <x:c r="A224" s="9" t="n">
        <x:v>28</x:v>
      </x:c>
      <x:c r="B224" s="9" t="str">
        <x:v>S035</x:v>
      </x:c>
      <x:c r="C224" s="9" t="str">
        <x:v>Katseli et al. (2021)</x:v>
      </x:c>
      <x:c r="D224" s="9" t="str">
        <x:v>Smartphone-Addressable 3D-Printed Electrochemical Ring for Nonenzymatic Self-Monitoring of Glucose in Human Sweat</x:v>
      </x:c>
      <x:c r="E224" s="9" t="str">
        <x:v>D7</x:v>
      </x:c>
      <x:c r="F224" s="9" t="str">
        <x:v>Low concern</x:v>
      </x:c>
      <x:c r="G224" s="9" t="str">
        <x:v>Initial agreement</x:v>
      </x:c>
      <x:c r="H224" s="9" t="str">
        <x:v>Reference/protocol and principal quantitative outcomes are reported.</x:v>
      </x:c>
      <x:c r="I224" s="9" t="str">
        <x:v>PDF pp. 1–5; Figs. 1–4; cited SI</x:v>
      </x:c>
    </x:row>
    <x:row r="225">
      <x:c r="A225" s="9" t="n">
        <x:v>28</x:v>
      </x:c>
      <x:c r="B225" s="9" t="str">
        <x:v>S035</x:v>
      </x:c>
      <x:c r="C225" s="9" t="str">
        <x:v>Katseli et al. (2021)</x:v>
      </x:c>
      <x:c r="D225" s="9" t="str">
        <x:v>Smartphone-Addressable 3D-Printed Electrochemical Ring for Nonenzymatic Self-Monitoring of Glucose in Human Sweat</x:v>
      </x:c>
      <x:c r="E225" s="9" t="str">
        <x:v>D8</x:v>
      </x:c>
      <x:c r="F225" s="9" t="str">
        <x:v>Some concern</x:v>
      </x:c>
      <x:c r="G225" s="9" t="str">
        <x:v>Adjudicated to Reviewer 1</x:v>
      </x:c>
      <x:c r="H225" s="9" t="str">
        <x:v>Study-specific limitations are recorded in the extraction and REB sheets.</x:v>
      </x:c>
      <x:c r="I225" s="9" t="str">
        <x:v>PDF pp. 1–5; Figs. 1–4; cited SI</x:v>
      </x:c>
    </x:row>
    <x:row r="226">
      <x:c r="A226" s="9" t="n">
        <x:v>29</x:v>
      </x:c>
      <x:c r="B226" s="9" t="str">
        <x:v>S036</x:v>
      </x:c>
      <x:c r="C226" s="9" t="str">
        <x:v>Xuan et al. (2026)</x:v>
      </x:c>
      <x:c r="D226" s="9" t="str">
        <x:v>Fully 3D-Printed Analytical Device Based on a Novel Floating Electrode Mechanism for Sweat Rate Acquisition</x:v>
      </x:c>
      <x:c r="E226" s="9" t="str">
        <x:v>D1</x:v>
      </x:c>
      <x:c r="F226" s="9" t="str">
        <x:v>High concern</x:v>
      </x:c>
      <x:c r="G226" s="9" t="str">
        <x:v>Adjudicated to Reviewer 1</x:v>
      </x:c>
      <x:c r="H226" s="9" t="str">
        <x:v>On-body proof-of-concept used one or two participants.</x:v>
      </x:c>
      <x:c r="I226" s="9" t="str">
        <x:v>PDF pp. 2–11; Figs. 1–6; cited SI</x:v>
      </x:c>
    </x:row>
    <x:row r="227">
      <x:c r="A227" s="9" t="n">
        <x:v>29</x:v>
      </x:c>
      <x:c r="B227" s="9" t="str">
        <x:v>S036</x:v>
      </x:c>
      <x:c r="C227" s="9" t="str">
        <x:v>Xuan et al. (2026)</x:v>
      </x:c>
      <x:c r="D227" s="9" t="str">
        <x:v>Fully 3D-Printed Analytical Device Based on a Novel Floating Electrode Mechanism for Sweat Rate Acquisition</x:v>
      </x:c>
      <x:c r="E227" s="9" t="str">
        <x:v>D2</x:v>
      </x:c>
      <x:c r="F227" s="9" t="str">
        <x:v>Some concern</x:v>
      </x:c>
      <x:c r="G227" s="9" t="str">
        <x:v>Initial agreement</x:v>
      </x:c>
      <x:c r="H227" s="9" t="str">
        <x:v>Study-specific limitations are recorded in the extraction and REB sheets.</x:v>
      </x:c>
      <x:c r="I227" s="9" t="str">
        <x:v>PDF pp. 2–11; Figs. 1–6; cited SI</x:v>
      </x:c>
    </x:row>
    <x:row r="228">
      <x:c r="A228" s="9" t="n">
        <x:v>29</x:v>
      </x:c>
      <x:c r="B228" s="9" t="str">
        <x:v>S036</x:v>
      </x:c>
      <x:c r="C228" s="9" t="str">
        <x:v>Xuan et al. (2026)</x:v>
      </x:c>
      <x:c r="D228" s="9" t="str">
        <x:v>Fully 3D-Printed Analytical Device Based on a Novel Floating Electrode Mechanism for Sweat Rate Acquisition</x:v>
      </x:c>
      <x:c r="E228" s="9" t="str">
        <x:v>D3</x:v>
      </x:c>
      <x:c r="F228" s="9" t="str">
        <x:v>Low concern</x:v>
      </x:c>
      <x:c r="G228" s="9" t="str">
        <x:v>Adjudicated to Reviewer 1</x:v>
      </x:c>
      <x:c r="H228" s="9" t="str">
        <x:v>Reference/protocol and principal quantitative outcomes are reported.</x:v>
      </x:c>
      <x:c r="I228" s="9" t="str">
        <x:v>PDF pp. 2–11; Figs. 1–6; cited SI</x:v>
      </x:c>
    </x:row>
    <x:row r="229">
      <x:c r="A229" s="9" t="n">
        <x:v>29</x:v>
      </x:c>
      <x:c r="B229" s="9" t="str">
        <x:v>S036</x:v>
      </x:c>
      <x:c r="C229" s="9" t="str">
        <x:v>Xuan et al. (2026)</x:v>
      </x:c>
      <x:c r="D229" s="9" t="str">
        <x:v>Fully 3D-Printed Analytical Device Based on a Novel Floating Electrode Mechanism for Sweat Rate Acquisition</x:v>
      </x:c>
      <x:c r="E229" s="9" t="str">
        <x:v>D4</x:v>
      </x:c>
      <x:c r="F229" s="9" t="str">
        <x:v>Low concern</x:v>
      </x:c>
      <x:c r="G229" s="9" t="str">
        <x:v>Initial agreement</x:v>
      </x:c>
      <x:c r="H229" s="9" t="str">
        <x:v>Reference/protocol and principal quantitative outcomes are reported.</x:v>
      </x:c>
      <x:c r="I229" s="9" t="str">
        <x:v>PDF pp. 2–11; Figs. 1–6; cited SI</x:v>
      </x:c>
    </x:row>
    <x:row r="230">
      <x:c r="A230" s="9" t="n">
        <x:v>29</x:v>
      </x:c>
      <x:c r="B230" s="9" t="str">
        <x:v>S036</x:v>
      </x:c>
      <x:c r="C230" s="9" t="str">
        <x:v>Xuan et al. (2026)</x:v>
      </x:c>
      <x:c r="D230" s="9" t="str">
        <x:v>Fully 3D-Printed Analytical Device Based on a Novel Floating Electrode Mechanism for Sweat Rate Acquisition</x:v>
      </x:c>
      <x:c r="E230" s="9" t="str">
        <x:v>D5</x:v>
      </x:c>
      <x:c r="F230" s="9" t="str">
        <x:v>Some concern</x:v>
      </x:c>
      <x:c r="G230" s="9" t="str">
        <x:v>Adjudicated to Reviewer 1</x:v>
      </x:c>
      <x:c r="H230" s="9" t="str">
        <x:v>Study-specific limitations are recorded in the extraction and REB sheets.</x:v>
      </x:c>
      <x:c r="I230" s="9" t="str">
        <x:v>PDF pp. 2–11; Figs. 1–6; cited SI</x:v>
      </x:c>
    </x:row>
    <x:row r="231">
      <x:c r="A231" s="9" t="n">
        <x:v>29</x:v>
      </x:c>
      <x:c r="B231" s="9" t="str">
        <x:v>S036</x:v>
      </x:c>
      <x:c r="C231" s="9" t="str">
        <x:v>Xuan et al. (2026)</x:v>
      </x:c>
      <x:c r="D231" s="9" t="str">
        <x:v>Fully 3D-Printed Analytical Device Based on a Novel Floating Electrode Mechanism for Sweat Rate Acquisition</x:v>
      </x:c>
      <x:c r="E231" s="9" t="str">
        <x:v>D6</x:v>
      </x:c>
      <x:c r="F231" s="9" t="str">
        <x:v>High concern</x:v>
      </x:c>
      <x:c r="G231" s="9" t="str">
        <x:v>Adjudicated to Reviewer 1</x:v>
      </x:c>
      <x:c r="H231" s="9" t="str">
        <x:v>A quantitative comparison of at least three separately fabricated complete sensing units was not identified.</x:v>
      </x:c>
      <x:c r="I231" s="9" t="str">
        <x:v>PDF pp. 2–11; Figs. 1–6; cited SI</x:v>
      </x:c>
    </x:row>
    <x:row r="232">
      <x:c r="A232" s="9" t="n">
        <x:v>29</x:v>
      </x:c>
      <x:c r="B232" s="9" t="str">
        <x:v>S036</x:v>
      </x:c>
      <x:c r="C232" s="9" t="str">
        <x:v>Xuan et al. (2026)</x:v>
      </x:c>
      <x:c r="D232" s="9" t="str">
        <x:v>Fully 3D-Printed Analytical Device Based on a Novel Floating Electrode Mechanism for Sweat Rate Acquisition</x:v>
      </x:c>
      <x:c r="E232" s="9" t="str">
        <x:v>D7</x:v>
      </x:c>
      <x:c r="F232" s="9" t="str">
        <x:v>Low concern</x:v>
      </x:c>
      <x:c r="G232" s="9" t="str">
        <x:v>Adjudicated to Reviewer 1</x:v>
      </x:c>
      <x:c r="H232" s="9" t="str">
        <x:v>Reference/protocol and principal quantitative outcomes are reported.</x:v>
      </x:c>
      <x:c r="I232" s="9" t="str">
        <x:v>PDF pp. 2–11; Figs. 1–6; cited SI</x:v>
      </x:c>
    </x:row>
    <x:row r="233">
      <x:c r="A233" s="9" t="n">
        <x:v>29</x:v>
      </x:c>
      <x:c r="B233" s="9" t="str">
        <x:v>S036</x:v>
      </x:c>
      <x:c r="C233" s="9" t="str">
        <x:v>Xuan et al. (2026)</x:v>
      </x:c>
      <x:c r="D233" s="9" t="str">
        <x:v>Fully 3D-Printed Analytical Device Based on a Novel Floating Electrode Mechanism for Sweat Rate Acquisition</x:v>
      </x:c>
      <x:c r="E233" s="9" t="str">
        <x:v>D8</x:v>
      </x:c>
      <x:c r="F233" s="9" t="str">
        <x:v>Some concern</x:v>
      </x:c>
      <x:c r="G233" s="9" t="str">
        <x:v>Adjudicated to Reviewer 1</x:v>
      </x:c>
      <x:c r="H233" s="9" t="str">
        <x:v>Study-specific limitations are recorded in the extraction and REB sheets.</x:v>
      </x:c>
      <x:c r="I233" s="9" t="str">
        <x:v>PDF pp. 2–11; Figs. 1–6; cited SI</x:v>
      </x:c>
    </x:row>
    <x:row r="234">
      <x:c r="A234" s="9" t="n">
        <x:v>30</x:v>
      </x:c>
      <x:c r="B234" s="9" t="str">
        <x:v>S037</x:v>
      </x:c>
      <x:c r="C234" s="9" t="str">
        <x:v>Wolterink et al. (2021)</x:v>
      </x:c>
      <x:c r="D234" s="9" t="str">
        <x:v>A 3D-Printed Soft Fingertip Sensor for Providing Information about Normal and Shear Components of Interaction Forces</x:v>
      </x:c>
      <x:c r="E234" s="9" t="str">
        <x:v>D1</x:v>
      </x:c>
      <x:c r="F234" s="9" t="str">
        <x:v>Some concern</x:v>
      </x:c>
      <x:c r="G234" s="9" t="str">
        <x:v>Initial agreement</x:v>
      </x:c>
      <x:c r="H234" s="9" t="str">
        <x:v>Study-specific limitations are recorded in the extraction and REB sheets.</x:v>
      </x:c>
      <x:c r="I234" s="9" t="str">
        <x:v>PDF pp. 1–10; Figs. 1–16</x:v>
      </x:c>
    </x:row>
    <x:row r="235">
      <x:c r="A235" s="9" t="n">
        <x:v>30</x:v>
      </x:c>
      <x:c r="B235" s="9" t="str">
        <x:v>S037</x:v>
      </x:c>
      <x:c r="C235" s="9" t="str">
        <x:v>Wolterink et al. (2021)</x:v>
      </x:c>
      <x:c r="D235" s="9" t="str">
        <x:v>A 3D-Printed Soft Fingertip Sensor for Providing Information about Normal and Shear Components of Interaction Forces</x:v>
      </x:c>
      <x:c r="E235" s="9" t="str">
        <x:v>D2</x:v>
      </x:c>
      <x:c r="F235" s="9" t="str">
        <x:v>Some concern</x:v>
      </x:c>
      <x:c r="G235" s="9" t="str">
        <x:v>Adjudicated to Reviewer 1</x:v>
      </x:c>
      <x:c r="H235" s="9" t="str">
        <x:v>Study-specific limitations are recorded in the extraction and REB sheets.</x:v>
      </x:c>
      <x:c r="I235" s="9" t="str">
        <x:v>PDF pp. 1–10; Figs. 1–16</x:v>
      </x:c>
    </x:row>
    <x:row r="236">
      <x:c r="A236" s="9" t="n">
        <x:v>30</x:v>
      </x:c>
      <x:c r="B236" s="9" t="str">
        <x:v>S037</x:v>
      </x:c>
      <x:c r="C236" s="9" t="str">
        <x:v>Wolterink et al. (2021)</x:v>
      </x:c>
      <x:c r="D236" s="9" t="str">
        <x:v>A 3D-Printed Soft Fingertip Sensor for Providing Information about Normal and Shear Components of Interaction Forces</x:v>
      </x:c>
      <x:c r="E236" s="9" t="str">
        <x:v>D3</x:v>
      </x:c>
      <x:c r="F236" s="9" t="str">
        <x:v>Low concern</x:v>
      </x:c>
      <x:c r="G236" s="9" t="str">
        <x:v>Initial agreement</x:v>
      </x:c>
      <x:c r="H236" s="9" t="str">
        <x:v>Reference/protocol and principal quantitative outcomes are reported.</x:v>
      </x:c>
      <x:c r="I236" s="9" t="str">
        <x:v>PDF pp. 1–10; Figs. 1–16</x:v>
      </x:c>
    </x:row>
    <x:row r="237">
      <x:c r="A237" s="9" t="n">
        <x:v>30</x:v>
      </x:c>
      <x:c r="B237" s="9" t="str">
        <x:v>S037</x:v>
      </x:c>
      <x:c r="C237" s="9" t="str">
        <x:v>Wolterink et al. (2021)</x:v>
      </x:c>
      <x:c r="D237" s="9" t="str">
        <x:v>A 3D-Printed Soft Fingertip Sensor for Providing Information about Normal and Shear Components of Interaction Forces</x:v>
      </x:c>
      <x:c r="E237" s="9" t="str">
        <x:v>D4</x:v>
      </x:c>
      <x:c r="F237" s="9" t="str">
        <x:v>Low concern</x:v>
      </x:c>
      <x:c r="G237" s="9" t="str">
        <x:v>Initial agreement</x:v>
      </x:c>
      <x:c r="H237" s="9" t="str">
        <x:v>Reference/protocol and principal quantitative outcomes are reported.</x:v>
      </x:c>
      <x:c r="I237" s="9" t="str">
        <x:v>PDF pp. 1–10; Figs. 1–16</x:v>
      </x:c>
    </x:row>
    <x:row r="238">
      <x:c r="A238" s="9" t="n">
        <x:v>30</x:v>
      </x:c>
      <x:c r="B238" s="9" t="str">
        <x:v>S037</x:v>
      </x:c>
      <x:c r="C238" s="9" t="str">
        <x:v>Wolterink et al. (2021)</x:v>
      </x:c>
      <x:c r="D238" s="9" t="str">
        <x:v>A 3D-Printed Soft Fingertip Sensor for Providing Information about Normal and Shear Components of Interaction Forces</x:v>
      </x:c>
      <x:c r="E238" s="9" t="str">
        <x:v>D5</x:v>
      </x:c>
      <x:c r="F238" s="9" t="str">
        <x:v>Some concern</x:v>
      </x:c>
      <x:c r="G238" s="9" t="str">
        <x:v>Adjudicated to Reviewer 1</x:v>
      </x:c>
      <x:c r="H238" s="9" t="str">
        <x:v>Study-specific limitations are recorded in the extraction and REB sheets.</x:v>
      </x:c>
      <x:c r="I238" s="9" t="str">
        <x:v>PDF pp. 1–10; Figs. 1–16</x:v>
      </x:c>
    </x:row>
    <x:row r="239">
      <x:c r="A239" s="9" t="n">
        <x:v>30</x:v>
      </x:c>
      <x:c r="B239" s="9" t="str">
        <x:v>S037</x:v>
      </x:c>
      <x:c r="C239" s="9" t="str">
        <x:v>Wolterink et al. (2021)</x:v>
      </x:c>
      <x:c r="D239" s="9" t="str">
        <x:v>A 3D-Printed Soft Fingertip Sensor for Providing Information about Normal and Shear Components of Interaction Forces</x:v>
      </x:c>
      <x:c r="E239" s="9" t="str">
        <x:v>D6</x:v>
      </x:c>
      <x:c r="F239" s="9" t="str">
        <x:v>High concern</x:v>
      </x:c>
      <x:c r="G239" s="9" t="str">
        <x:v>Initial agreement</x:v>
      </x:c>
      <x:c r="H239" s="9" t="str">
        <x:v>A quantitative comparison of at least three separately fabricated complete sensing units was not identified.</x:v>
      </x:c>
      <x:c r="I239" s="9" t="str">
        <x:v>PDF pp. 1–10; Figs. 1–16</x:v>
      </x:c>
    </x:row>
    <x:row r="240">
      <x:c r="A240" s="9" t="n">
        <x:v>30</x:v>
      </x:c>
      <x:c r="B240" s="9" t="str">
        <x:v>S037</x:v>
      </x:c>
      <x:c r="C240" s="9" t="str">
        <x:v>Wolterink et al. (2021)</x:v>
      </x:c>
      <x:c r="D240" s="9" t="str">
        <x:v>A 3D-Printed Soft Fingertip Sensor for Providing Information about Normal and Shear Components of Interaction Forces</x:v>
      </x:c>
      <x:c r="E240" s="9" t="str">
        <x:v>D7</x:v>
      </x:c>
      <x:c r="F240" s="9" t="str">
        <x:v>Low concern</x:v>
      </x:c>
      <x:c r="G240" s="9" t="str">
        <x:v>Adjudicated to Reviewer 1</x:v>
      </x:c>
      <x:c r="H240" s="9" t="str">
        <x:v>Reference/protocol and principal quantitative outcomes are reported.</x:v>
      </x:c>
      <x:c r="I240" s="9" t="str">
        <x:v>PDF pp. 1–10; Figs. 1–16</x:v>
      </x:c>
    </x:row>
    <x:row r="241">
      <x:c r="A241" s="9" t="n">
        <x:v>30</x:v>
      </x:c>
      <x:c r="B241" s="9" t="str">
        <x:v>S037</x:v>
      </x:c>
      <x:c r="C241" s="9" t="str">
        <x:v>Wolterink et al. (2021)</x:v>
      </x:c>
      <x:c r="D241" s="9" t="str">
        <x:v>A 3D-Printed Soft Fingertip Sensor for Providing Information about Normal and Shear Components of Interaction Forces</x:v>
      </x:c>
      <x:c r="E241" s="9" t="str">
        <x:v>D8</x:v>
      </x:c>
      <x:c r="F241" s="9" t="str">
        <x:v>Some concern</x:v>
      </x:c>
      <x:c r="G241" s="9" t="str">
        <x:v>Initial agreement</x:v>
      </x:c>
      <x:c r="H241" s="9" t="str">
        <x:v>Wearable relevance is application-specific/component-level; no complete human-worn assembly was tested.</x:v>
      </x:c>
      <x:c r="I241" s="9" t="str">
        <x:v>PDF pp. 1–10; Figs. 1–16</x:v>
      </x:c>
    </x:row>
    <x:row r="242">
      <x:c r="A242" s="9" t="n">
        <x:v>31</x:v>
      </x:c>
      <x:c r="B242" s="9" t="str">
        <x:v>S038</x:v>
      </x:c>
      <x:c r="C242" s="9" t="str">
        <x:v>Christ et al. (2018)</x:v>
      </x:c>
      <x:c r="D242" s="9" t="str">
        <x:v>Bidirectional and Stretchable Piezoresistive Sensors Enabled by Multimaterial 3D Printing of Carbon Nanotube/Thermoplastic Polyurethane Nanocomposites</x:v>
      </x:c>
      <x:c r="E242" s="9" t="str">
        <x:v>D1</x:v>
      </x:c>
      <x:c r="F242" s="9" t="str">
        <x:v>Some concern</x:v>
      </x:c>
      <x:c r="G242" s="9" t="str">
        <x:v>Initial agreement</x:v>
      </x:c>
      <x:c r="H242" s="9" t="str">
        <x:v>Study-specific limitations are recorded in the extraction and REB sheets.</x:v>
      </x:c>
      <x:c r="I242" s="9" t="str">
        <x:v>PDF pp. 3–12; Figs. 1–11; Table 1</x:v>
      </x:c>
    </x:row>
    <x:row r="243">
      <x:c r="A243" s="9" t="n">
        <x:v>31</x:v>
      </x:c>
      <x:c r="B243" s="9" t="str">
        <x:v>S038</x:v>
      </x:c>
      <x:c r="C243" s="9" t="str">
        <x:v>Christ et al. (2018)</x:v>
      </x:c>
      <x:c r="D243" s="9" t="str">
        <x:v>Bidirectional and Stretchable Piezoresistive Sensors Enabled by Multimaterial 3D Printing of Carbon Nanotube/Thermoplastic Polyurethane Nanocomposites</x:v>
      </x:c>
      <x:c r="E243" s="9" t="str">
        <x:v>D2</x:v>
      </x:c>
      <x:c r="F243" s="9" t="str">
        <x:v>Some concern</x:v>
      </x:c>
      <x:c r="G243" s="9" t="str">
        <x:v>Adjudicated to Reviewer 1</x:v>
      </x:c>
      <x:c r="H243" s="9" t="str">
        <x:v>Study-specific limitations are recorded in the extraction and REB sheets.</x:v>
      </x:c>
      <x:c r="I243" s="9" t="str">
        <x:v>PDF pp. 3–12; Figs. 1–11; Table 1</x:v>
      </x:c>
    </x:row>
    <x:row r="244">
      <x:c r="A244" s="9" t="n">
        <x:v>31</x:v>
      </x:c>
      <x:c r="B244" s="9" t="str">
        <x:v>S038</x:v>
      </x:c>
      <x:c r="C244" s="9" t="str">
        <x:v>Christ et al. (2018)</x:v>
      </x:c>
      <x:c r="D244" s="9" t="str">
        <x:v>Bidirectional and Stretchable Piezoresistive Sensors Enabled by Multimaterial 3D Printing of Carbon Nanotube/Thermoplastic Polyurethane Nanocomposites</x:v>
      </x:c>
      <x:c r="E244" s="9" t="str">
        <x:v>D3</x:v>
      </x:c>
      <x:c r="F244" s="9" t="str">
        <x:v>Low concern</x:v>
      </x:c>
      <x:c r="G244" s="9" t="str">
        <x:v>Adjudicated to Reviewer 1</x:v>
      </x:c>
      <x:c r="H244" s="9" t="str">
        <x:v>The reference/protocol and principal quantitative outcomes are reported.</x:v>
      </x:c>
      <x:c r="I244" s="9" t="str">
        <x:v>PDF pp. 3–12; Figs. 1–11; Table 1</x:v>
      </x:c>
    </x:row>
    <x:row r="245">
      <x:c r="A245" s="9" t="n">
        <x:v>31</x:v>
      </x:c>
      <x:c r="B245" s="9" t="str">
        <x:v>S038</x:v>
      </x:c>
      <x:c r="C245" s="9" t="str">
        <x:v>Christ et al. (2018)</x:v>
      </x:c>
      <x:c r="D245" s="9" t="str">
        <x:v>Bidirectional and Stretchable Piezoresistive Sensors Enabled by Multimaterial 3D Printing of Carbon Nanotube/Thermoplastic Polyurethane Nanocomposites</x:v>
      </x:c>
      <x:c r="E245" s="9" t="str">
        <x:v>D4</x:v>
      </x:c>
      <x:c r="F245" s="9" t="str">
        <x:v>Low concern</x:v>
      </x:c>
      <x:c r="G245" s="9" t="str">
        <x:v>Initial agreement</x:v>
      </x:c>
      <x:c r="H245" s="9" t="str">
        <x:v>The reference/protocol and principal quantitative outcomes are reported.</x:v>
      </x:c>
      <x:c r="I245" s="9" t="str">
        <x:v>PDF pp. 3–12; Figs. 1–11; Table 1</x:v>
      </x:c>
    </x:row>
    <x:row r="246">
      <x:c r="A246" s="9" t="n">
        <x:v>31</x:v>
      </x:c>
      <x:c r="B246" s="9" t="str">
        <x:v>S038</x:v>
      </x:c>
      <x:c r="C246" s="9" t="str">
        <x:v>Christ et al. (2018)</x:v>
      </x:c>
      <x:c r="D246" s="9" t="str">
        <x:v>Bidirectional and Stretchable Piezoresistive Sensors Enabled by Multimaterial 3D Printing of Carbon Nanotube/Thermoplastic Polyurethane Nanocomposites</x:v>
      </x:c>
      <x:c r="E246" s="9" t="str">
        <x:v>D5</x:v>
      </x:c>
      <x:c r="F246" s="9" t="str">
        <x:v>Some concern</x:v>
      </x:c>
      <x:c r="G246" s="9" t="str">
        <x:v>Adjudicated to Reviewer 1</x:v>
      </x:c>
      <x:c r="H246" s="9" t="str">
        <x:v>Study-specific limitations are recorded in the extraction and REB sheets.</x:v>
      </x:c>
      <x:c r="I246" s="9" t="str">
        <x:v>PDF pp. 3–12; Figs. 1–11; Table 1</x:v>
      </x:c>
    </x:row>
    <x:row r="247">
      <x:c r="A247" s="9" t="n">
        <x:v>31</x:v>
      </x:c>
      <x:c r="B247" s="9" t="str">
        <x:v>S038</x:v>
      </x:c>
      <x:c r="C247" s="9" t="str">
        <x:v>Christ et al. (2018)</x:v>
      </x:c>
      <x:c r="D247" s="9" t="str">
        <x:v>Bidirectional and Stretchable Piezoresistive Sensors Enabled by Multimaterial 3D Printing of Carbon Nanotube/Thermoplastic Polyurethane Nanocomposites</x:v>
      </x:c>
      <x:c r="E247" s="9" t="str">
        <x:v>D6</x:v>
      </x:c>
      <x:c r="F247" s="9" t="str">
        <x:v>High concern</x:v>
      </x:c>
      <x:c r="G247" s="9" t="str">
        <x:v>Initial agreement</x:v>
      </x:c>
      <x:c r="H247" s="9" t="str">
        <x:v>A quantitative comparison of at least three separately fabricated complete sensing systems was not identified.</x:v>
      </x:c>
      <x:c r="I247" s="9" t="str">
        <x:v>PDF pp. 3–12; Figs. 1–11; Table 1</x:v>
      </x:c>
    </x:row>
    <x:row r="248">
      <x:c r="A248" s="9" t="n">
        <x:v>31</x:v>
      </x:c>
      <x:c r="B248" s="9" t="str">
        <x:v>S038</x:v>
      </x:c>
      <x:c r="C248" s="9" t="str">
        <x:v>Christ et al. (2018)</x:v>
      </x:c>
      <x:c r="D248" s="9" t="str">
        <x:v>Bidirectional and Stretchable Piezoresistive Sensors Enabled by Multimaterial 3D Printing of Carbon Nanotube/Thermoplastic Polyurethane Nanocomposites</x:v>
      </x:c>
      <x:c r="E248" s="9" t="str">
        <x:v>D7</x:v>
      </x:c>
      <x:c r="F248" s="9" t="str">
        <x:v>Low concern</x:v>
      </x:c>
      <x:c r="G248" s="9" t="str">
        <x:v>Adjudicated to Reviewer 1</x:v>
      </x:c>
      <x:c r="H248" s="9" t="str">
        <x:v>The reference/protocol and principal quantitative outcomes are reported.</x:v>
      </x:c>
      <x:c r="I248" s="9" t="str">
        <x:v>PDF pp. 3–12; Figs. 1–11; Table 1</x:v>
      </x:c>
    </x:row>
    <x:row r="249">
      <x:c r="A249" s="9" t="n">
        <x:v>31</x:v>
      </x:c>
      <x:c r="B249" s="9" t="str">
        <x:v>S038</x:v>
      </x:c>
      <x:c r="C249" s="9" t="str">
        <x:v>Christ et al. (2018)</x:v>
      </x:c>
      <x:c r="D249" s="9" t="str">
        <x:v>Bidirectional and Stretchable Piezoresistive Sensors Enabled by Multimaterial 3D Printing of Carbon Nanotube/Thermoplastic Polyurethane Nanocomposites</x:v>
      </x:c>
      <x:c r="E249" s="9" t="str">
        <x:v>D8</x:v>
      </x:c>
      <x:c r="F249" s="9" t="str">
        <x:v>Some concern</x:v>
      </x:c>
      <x:c r="G249" s="9" t="str">
        <x:v>Adjudicated to Reviewer 1</x:v>
      </x:c>
      <x:c r="H249" s="9" t="str">
        <x:v>A wearable prototype was demonstrated, but application testing was limited.</x:v>
      </x:c>
      <x:c r="I249" s="9" t="str">
        <x:v>PDF pp. 3–12; Figs. 1–11; Table 1</x:v>
      </x:c>
    </x:row>
    <x:row r="250">
      <x:c r="A250" s="9" t="n">
        <x:v>32</x:v>
      </x:c>
      <x:c r="B250" s="9" t="str">
        <x:v>S039</x:v>
      </x:c>
      <x:c r="C250" s="9" t="str">
        <x:v>Shin et al. (2022)</x:v>
      </x:c>
      <x:c r="D250" s="9" t="str">
        <x:v>Structural effects of 3D printing resolution on the gauge factor of microcrack-based strain gauges for health care monitoring</x:v>
      </x:c>
      <x:c r="E250" s="9" t="str">
        <x:v>D1</x:v>
      </x:c>
      <x:c r="F250" s="9" t="str">
        <x:v>Some concern</x:v>
      </x:c>
      <x:c r="G250" s="9" t="str">
        <x:v>Initial agreement</x:v>
      </x:c>
      <x:c r="H250" s="9" t="str">
        <x:v>Study-specific limitations are recorded in the extraction and REB sheets.</x:v>
      </x:c>
      <x:c r="I250" s="9" t="str">
        <x:v>PDF pp. 3–9; Figs. 2–10</x:v>
      </x:c>
    </x:row>
    <x:row r="251">
      <x:c r="A251" s="9" t="n">
        <x:v>32</x:v>
      </x:c>
      <x:c r="B251" s="9" t="str">
        <x:v>S039</x:v>
      </x:c>
      <x:c r="C251" s="9" t="str">
        <x:v>Shin et al. (2022)</x:v>
      </x:c>
      <x:c r="D251" s="9" t="str">
        <x:v>Structural effects of 3D printing resolution on the gauge factor of microcrack-based strain gauges for health care monitoring</x:v>
      </x:c>
      <x:c r="E251" s="9" t="str">
        <x:v>D2</x:v>
      </x:c>
      <x:c r="F251" s="9" t="str">
        <x:v>Some concern</x:v>
      </x:c>
      <x:c r="G251" s="9" t="str">
        <x:v>Adjudicated to Reviewer 1</x:v>
      </x:c>
      <x:c r="H251" s="9" t="str">
        <x:v>Study-specific limitations are recorded in the extraction and REB sheets.</x:v>
      </x:c>
      <x:c r="I251" s="9" t="str">
        <x:v>PDF pp. 3–9; Figs. 2–10</x:v>
      </x:c>
    </x:row>
    <x:row r="252">
      <x:c r="A252" s="9" t="n">
        <x:v>32</x:v>
      </x:c>
      <x:c r="B252" s="9" t="str">
        <x:v>S039</x:v>
      </x:c>
      <x:c r="C252" s="9" t="str">
        <x:v>Shin et al. (2022)</x:v>
      </x:c>
      <x:c r="D252" s="9" t="str">
        <x:v>Structural effects of 3D printing resolution on the gauge factor of microcrack-based strain gauges for health care monitoring</x:v>
      </x:c>
      <x:c r="E252" s="9" t="str">
        <x:v>D3</x:v>
      </x:c>
      <x:c r="F252" s="9" t="str">
        <x:v>Low concern</x:v>
      </x:c>
      <x:c r="G252" s="9" t="str">
        <x:v>Adjudicated to Reviewer 1</x:v>
      </x:c>
      <x:c r="H252" s="9" t="str">
        <x:v>The reference/protocol and principal quantitative outcomes are reported.</x:v>
      </x:c>
      <x:c r="I252" s="9" t="str">
        <x:v>PDF pp. 3–9; Figs. 2–10</x:v>
      </x:c>
    </x:row>
    <x:row r="253">
      <x:c r="A253" s="9" t="n">
        <x:v>32</x:v>
      </x:c>
      <x:c r="B253" s="9" t="str">
        <x:v>S039</x:v>
      </x:c>
      <x:c r="C253" s="9" t="str">
        <x:v>Shin et al. (2022)</x:v>
      </x:c>
      <x:c r="D253" s="9" t="str">
        <x:v>Structural effects of 3D printing resolution on the gauge factor of microcrack-based strain gauges for health care monitoring</x:v>
      </x:c>
      <x:c r="E253" s="9" t="str">
        <x:v>D4</x:v>
      </x:c>
      <x:c r="F253" s="9" t="str">
        <x:v>Low concern</x:v>
      </x:c>
      <x:c r="G253" s="9" t="str">
        <x:v>Initial agreement</x:v>
      </x:c>
      <x:c r="H253" s="9" t="str">
        <x:v>The reference/protocol and principal quantitative outcomes are reported.</x:v>
      </x:c>
      <x:c r="I253" s="9" t="str">
        <x:v>PDF pp. 3–9; Figs. 2–10</x:v>
      </x:c>
    </x:row>
    <x:row r="254">
      <x:c r="A254" s="9" t="n">
        <x:v>32</x:v>
      </x:c>
      <x:c r="B254" s="9" t="str">
        <x:v>S039</x:v>
      </x:c>
      <x:c r="C254" s="9" t="str">
        <x:v>Shin et al. (2022)</x:v>
      </x:c>
      <x:c r="D254" s="9" t="str">
        <x:v>Structural effects of 3D printing resolution on the gauge factor of microcrack-based strain gauges for health care monitoring</x:v>
      </x:c>
      <x:c r="E254" s="9" t="str">
        <x:v>D5</x:v>
      </x:c>
      <x:c r="F254" s="9" t="str">
        <x:v>Some concern</x:v>
      </x:c>
      <x:c r="G254" s="9" t="str">
        <x:v>Adjudicated to Reviewer 1</x:v>
      </x:c>
      <x:c r="H254" s="9" t="str">
        <x:v>Study-specific limitations are recorded in the extraction and REB sheets.</x:v>
      </x:c>
      <x:c r="I254" s="9" t="str">
        <x:v>PDF pp. 3–9; Figs. 2–10</x:v>
      </x:c>
    </x:row>
    <x:row r="255">
      <x:c r="A255" s="9" t="n">
        <x:v>32</x:v>
      </x:c>
      <x:c r="B255" s="9" t="str">
        <x:v>S039</x:v>
      </x:c>
      <x:c r="C255" s="9" t="str">
        <x:v>Shin et al. (2022)</x:v>
      </x:c>
      <x:c r="D255" s="9" t="str">
        <x:v>Structural effects of 3D printing resolution on the gauge factor of microcrack-based strain gauges for health care monitoring</x:v>
      </x:c>
      <x:c r="E255" s="9" t="str">
        <x:v>D6</x:v>
      </x:c>
      <x:c r="F255" s="9" t="str">
        <x:v>Low concern</x:v>
      </x:c>
      <x:c r="G255" s="9" t="str">
        <x:v>Adjudicated to Reviewer 1</x:v>
      </x:c>
      <x:c r="H255" s="9" t="str">
        <x:v>Four separately fabricated devices per FSG type were compared quantitatively.</x:v>
      </x:c>
      <x:c r="I255" s="9" t="str">
        <x:v>PDF pp. 3–9; Figs. 2–10</x:v>
      </x:c>
    </x:row>
    <x:row r="256">
      <x:c r="A256" s="9" t="n">
        <x:v>32</x:v>
      </x:c>
      <x:c r="B256" s="9" t="str">
        <x:v>S039</x:v>
      </x:c>
      <x:c r="C256" s="9" t="str">
        <x:v>Shin et al. (2022)</x:v>
      </x:c>
      <x:c r="D256" s="9" t="str">
        <x:v>Structural effects of 3D printing resolution on the gauge factor of microcrack-based strain gauges for health care monitoring</x:v>
      </x:c>
      <x:c r="E256" s="9" t="str">
        <x:v>D7</x:v>
      </x:c>
      <x:c r="F256" s="9" t="str">
        <x:v>Low concern</x:v>
      </x:c>
      <x:c r="G256" s="9" t="str">
        <x:v>Initial agreement</x:v>
      </x:c>
      <x:c r="H256" s="9" t="str">
        <x:v>The reference/protocol and principal quantitative outcomes are reported.</x:v>
      </x:c>
      <x:c r="I256" s="9" t="str">
        <x:v>PDF pp. 3–9; Figs. 2–10</x:v>
      </x:c>
    </x:row>
    <x:row r="257">
      <x:c r="A257" s="9" t="n">
        <x:v>32</x:v>
      </x:c>
      <x:c r="B257" s="9" t="str">
        <x:v>S039</x:v>
      </x:c>
      <x:c r="C257" s="9" t="str">
        <x:v>Shin et al. (2022)</x:v>
      </x:c>
      <x:c r="D257" s="9" t="str">
        <x:v>Structural effects of 3D printing resolution on the gauge factor of microcrack-based strain gauges for health care monitoring</x:v>
      </x:c>
      <x:c r="E257" s="9" t="str">
        <x:v>D8</x:v>
      </x:c>
      <x:c r="F257" s="9" t="str">
        <x:v>Low concern</x:v>
      </x:c>
      <x:c r="G257" s="9" t="str">
        <x:v>Adjudicated to Reviewer 1</x:v>
      </x:c>
      <x:c r="H257" s="9" t="str">
        <x:v>The device was tested in a human-worn configuration.</x:v>
      </x:c>
      <x:c r="I257" s="9" t="str">
        <x:v>PDF pp. 3–9; Figs. 2–10</x:v>
      </x:c>
    </x:row>
    <x:row r="258">
      <x:c r="A258" s="9" t="n">
        <x:v>33</x:v>
      </x:c>
      <x:c r="B258" s="9" t="str">
        <x:v>S043</x:v>
      </x:c>
      <x:c r="C258" s="9" t="str">
        <x:v>Carvalho et al. (2025)</x:v>
      </x:c>
      <x:c r="D258" s="9" t="str">
        <x:v>Additive Manufacturing of Customized Flexible Wearable Sensors for Sweat Analysis with Bespoke, Low-Cost Conductive TPU</x:v>
      </x:c>
      <x:c r="E258" s="9" t="str">
        <x:v>D1</x:v>
      </x:c>
      <x:c r="F258" s="9" t="str">
        <x:v>Some concern</x:v>
      </x:c>
      <x:c r="G258" s="9" t="str">
        <x:v>Initial agreement</x:v>
      </x:c>
      <x:c r="H258" s="9" t="str">
        <x:v>Study-specific limitations are recorded in the extraction and REB sheets.</x:v>
      </x:c>
      <x:c r="I258" s="9" t="str">
        <x:v>PDF pp. 2–12; Figs. 1–8; Tables 1–4; cited SI</x:v>
      </x:c>
    </x:row>
    <x:row r="259">
      <x:c r="A259" s="9" t="n">
        <x:v>33</x:v>
      </x:c>
      <x:c r="B259" s="9" t="str">
        <x:v>S043</x:v>
      </x:c>
      <x:c r="C259" s="9" t="str">
        <x:v>Carvalho et al. (2025)</x:v>
      </x:c>
      <x:c r="D259" s="9" t="str">
        <x:v>Additive Manufacturing of Customized Flexible Wearable Sensors for Sweat Analysis with Bespoke, Low-Cost Conductive TPU</x:v>
      </x:c>
      <x:c r="E259" s="9" t="str">
        <x:v>D2</x:v>
      </x:c>
      <x:c r="F259" s="9" t="str">
        <x:v>Some concern</x:v>
      </x:c>
      <x:c r="G259" s="9" t="str">
        <x:v>Adjudicated to Reviewer 1</x:v>
      </x:c>
      <x:c r="H259" s="9" t="str">
        <x:v>Study-specific limitations are recorded in the extraction and REB sheets.</x:v>
      </x:c>
      <x:c r="I259" s="9" t="str">
        <x:v>PDF pp. 2–12; Figs. 1–8; Tables 1–4; cited SI</x:v>
      </x:c>
    </x:row>
    <x:row r="260">
      <x:c r="A260" s="9" t="n">
        <x:v>33</x:v>
      </x:c>
      <x:c r="B260" s="9" t="str">
        <x:v>S043</x:v>
      </x:c>
      <x:c r="C260" s="9" t="str">
        <x:v>Carvalho et al. (2025)</x:v>
      </x:c>
      <x:c r="D260" s="9" t="str">
        <x:v>Additive Manufacturing of Customized Flexible Wearable Sensors for Sweat Analysis with Bespoke, Low-Cost Conductive TPU</x:v>
      </x:c>
      <x:c r="E260" s="9" t="str">
        <x:v>D3</x:v>
      </x:c>
      <x:c r="F260" s="9" t="str">
        <x:v>Low concern</x:v>
      </x:c>
      <x:c r="G260" s="9" t="str">
        <x:v>Initial agreement</x:v>
      </x:c>
      <x:c r="H260" s="9" t="str">
        <x:v>The reference/protocol and principal quantitative outcomes are reported.</x:v>
      </x:c>
      <x:c r="I260" s="9" t="str">
        <x:v>PDF pp. 2–12; Figs. 1–8; Tables 1–4; cited SI</x:v>
      </x:c>
    </x:row>
    <x:row r="261">
      <x:c r="A261" s="9" t="n">
        <x:v>33</x:v>
      </x:c>
      <x:c r="B261" s="9" t="str">
        <x:v>S043</x:v>
      </x:c>
      <x:c r="C261" s="9" t="str">
        <x:v>Carvalho et al. (2025)</x:v>
      </x:c>
      <x:c r="D261" s="9" t="str">
        <x:v>Additive Manufacturing of Customized Flexible Wearable Sensors for Sweat Analysis with Bespoke, Low-Cost Conductive TPU</x:v>
      </x:c>
      <x:c r="E261" s="9" t="str">
        <x:v>D4</x:v>
      </x:c>
      <x:c r="F261" s="9" t="str">
        <x:v>Low concern</x:v>
      </x:c>
      <x:c r="G261" s="9" t="str">
        <x:v>Initial agreement</x:v>
      </x:c>
      <x:c r="H261" s="9" t="str">
        <x:v>The reference/protocol and principal quantitative outcomes are reported.</x:v>
      </x:c>
      <x:c r="I261" s="9" t="str">
        <x:v>PDF pp. 2–12; Figs. 1–8; Tables 1–4; cited SI</x:v>
      </x:c>
    </x:row>
    <x:row r="262">
      <x:c r="A262" s="9" t="n">
        <x:v>33</x:v>
      </x:c>
      <x:c r="B262" s="9" t="str">
        <x:v>S043</x:v>
      </x:c>
      <x:c r="C262" s="9" t="str">
        <x:v>Carvalho et al. (2025)</x:v>
      </x:c>
      <x:c r="D262" s="9" t="str">
        <x:v>Additive Manufacturing of Customized Flexible Wearable Sensors for Sweat Analysis with Bespoke, Low-Cost Conductive TPU</x:v>
      </x:c>
      <x:c r="E262" s="9" t="str">
        <x:v>D5</x:v>
      </x:c>
      <x:c r="F262" s="9" t="str">
        <x:v>Some concern</x:v>
      </x:c>
      <x:c r="G262" s="9" t="str">
        <x:v>Adjudicated to Reviewer 1</x:v>
      </x:c>
      <x:c r="H262" s="9" t="str">
        <x:v>Study-specific limitations are recorded in the extraction and REB sheets.</x:v>
      </x:c>
      <x:c r="I262" s="9" t="str">
        <x:v>PDF pp. 2–12; Figs. 1–8; Tables 1–4; cited SI</x:v>
      </x:c>
    </x:row>
    <x:row r="263">
      <x:c r="A263" s="9" t="n">
        <x:v>33</x:v>
      </x:c>
      <x:c r="B263" s="9" t="str">
        <x:v>S043</x:v>
      </x:c>
      <x:c r="C263" s="9" t="str">
        <x:v>Carvalho et al. (2025)</x:v>
      </x:c>
      <x:c r="D263" s="9" t="str">
        <x:v>Additive Manufacturing of Customized Flexible Wearable Sensors for Sweat Analysis with Bespoke, Low-Cost Conductive TPU</x:v>
      </x:c>
      <x:c r="E263" s="9" t="str">
        <x:v>D6</x:v>
      </x:c>
      <x:c r="F263" s="9" t="str">
        <x:v>High concern</x:v>
      </x:c>
      <x:c r="G263" s="9" t="str">
        <x:v>Initial agreement</x:v>
      </x:c>
      <x:c r="H263" s="9" t="str">
        <x:v>A quantitative comparison of at least three separately fabricated complete sensing systems was not identified.</x:v>
      </x:c>
      <x:c r="I263" s="9" t="str">
        <x:v>PDF pp. 2–12; Figs. 1–8; Tables 1–4; cited SI</x:v>
      </x:c>
    </x:row>
    <x:row r="264">
      <x:c r="A264" s="9" t="n">
        <x:v>33</x:v>
      </x:c>
      <x:c r="B264" s="9" t="str">
        <x:v>S043</x:v>
      </x:c>
      <x:c r="C264" s="9" t="str">
        <x:v>Carvalho et al. (2025)</x:v>
      </x:c>
      <x:c r="D264" s="9" t="str">
        <x:v>Additive Manufacturing of Customized Flexible Wearable Sensors for Sweat Analysis with Bespoke, Low-Cost Conductive TPU</x:v>
      </x:c>
      <x:c r="E264" s="9" t="str">
        <x:v>D7</x:v>
      </x:c>
      <x:c r="F264" s="9" t="str">
        <x:v>Low concern</x:v>
      </x:c>
      <x:c r="G264" s="9" t="str">
        <x:v>Adjudicated to Reviewer 1</x:v>
      </x:c>
      <x:c r="H264" s="9" t="str">
        <x:v>The reference/protocol and principal quantitative outcomes are reported.</x:v>
      </x:c>
      <x:c r="I264" s="9" t="str">
        <x:v>PDF pp. 2–12; Figs. 1–8; Tables 1–4; cited SI</x:v>
      </x:c>
    </x:row>
    <x:row r="265">
      <x:c r="A265" s="9" t="n">
        <x:v>33</x:v>
      </x:c>
      <x:c r="B265" s="9" t="str">
        <x:v>S043</x:v>
      </x:c>
      <x:c r="C265" s="9" t="str">
        <x:v>Carvalho et al. (2025)</x:v>
      </x:c>
      <x:c r="D265" s="9" t="str">
        <x:v>Additive Manufacturing of Customized Flexible Wearable Sensors for Sweat Analysis with Bespoke, Low-Cost Conductive TPU</x:v>
      </x:c>
      <x:c r="E265" s="9" t="str">
        <x:v>D8</x:v>
      </x:c>
      <x:c r="F265" s="9" t="str">
        <x:v>Some concern</x:v>
      </x:c>
      <x:c r="G265" s="9" t="str">
        <x:v>Initial agreement</x:v>
      </x:c>
      <x:c r="H265" s="9" t="str">
        <x:v>A wearable prototype was demonstrated, but application testing was limited.</x:v>
      </x:c>
      <x:c r="I265" s="9" t="str">
        <x:v>PDF pp. 2–12; Figs. 1–8; Tables 1–4; cited SI</x:v>
      </x:c>
    </x:row>
    <x:row r="266">
      <x:c r="A266" s="9" t="n">
        <x:v>34</x:v>
      </x:c>
      <x:c r="B266" s="9" t="str">
        <x:v>S044</x:v>
      </x:c>
      <x:c r="C266" s="9" t="str">
        <x:v>Li et al. (2021)</x:v>
      </x:c>
      <x:c r="D266" s="9" t="str">
        <x:v>3D printed graphene/polyurethane wearable pressure sensor for motion fitness monitoring</x:v>
      </x:c>
      <x:c r="E266" s="9" t="str">
        <x:v>D1</x:v>
      </x:c>
      <x:c r="F266" s="9" t="str">
        <x:v>Some concern</x:v>
      </x:c>
      <x:c r="G266" s="9" t="str">
        <x:v>Adjudicated to Reviewer 1</x:v>
      </x:c>
      <x:c r="H266" s="9" t="str">
        <x:v>Study-specific limitations are recorded in the extraction and REB sheets.</x:v>
      </x:c>
      <x:c r="I266" s="9" t="str">
        <x:v>PDF pp. 4–11; Figs. 1, 5–6; cited SI</x:v>
      </x:c>
    </x:row>
    <x:row r="267">
      <x:c r="A267" s="9" t="n">
        <x:v>34</x:v>
      </x:c>
      <x:c r="B267" s="9" t="str">
        <x:v>S044</x:v>
      </x:c>
      <x:c r="C267" s="9" t="str">
        <x:v>Li et al. (2021)</x:v>
      </x:c>
      <x:c r="D267" s="9" t="str">
        <x:v>3D printed graphene/polyurethane wearable pressure sensor for motion fitness monitoring</x:v>
      </x:c>
      <x:c r="E267" s="9" t="str">
        <x:v>D2</x:v>
      </x:c>
      <x:c r="F267" s="9" t="str">
        <x:v>Some concern</x:v>
      </x:c>
      <x:c r="G267" s="9" t="str">
        <x:v>Initial agreement</x:v>
      </x:c>
      <x:c r="H267" s="9" t="str">
        <x:v>Study-specific limitations are recorded in the extraction and REB sheets.</x:v>
      </x:c>
      <x:c r="I267" s="9" t="str">
        <x:v>PDF pp. 4–11; Figs. 1, 5–6; cited SI</x:v>
      </x:c>
    </x:row>
    <x:row r="268">
      <x:c r="A268" s="9" t="n">
        <x:v>34</x:v>
      </x:c>
      <x:c r="B268" s="9" t="str">
        <x:v>S044</x:v>
      </x:c>
      <x:c r="C268" s="9" t="str">
        <x:v>Li et al. (2021)</x:v>
      </x:c>
      <x:c r="D268" s="9" t="str">
        <x:v>3D printed graphene/polyurethane wearable pressure sensor for motion fitness monitoring</x:v>
      </x:c>
      <x:c r="E268" s="9" t="str">
        <x:v>D3</x:v>
      </x:c>
      <x:c r="F268" s="9" t="str">
        <x:v>Low concern</x:v>
      </x:c>
      <x:c r="G268" s="9" t="str">
        <x:v>Adjudicated to Reviewer 1</x:v>
      </x:c>
      <x:c r="H268" s="9" t="str">
        <x:v>The reference/protocol and principal quantitative outcomes are reported.</x:v>
      </x:c>
      <x:c r="I268" s="9" t="str">
        <x:v>PDF pp. 4–11; Figs. 1, 5–6; cited SI</x:v>
      </x:c>
    </x:row>
    <x:row r="269">
      <x:c r="A269" s="9" t="n">
        <x:v>34</x:v>
      </x:c>
      <x:c r="B269" s="9" t="str">
        <x:v>S044</x:v>
      </x:c>
      <x:c r="C269" s="9" t="str">
        <x:v>Li et al. (2021)</x:v>
      </x:c>
      <x:c r="D269" s="9" t="str">
        <x:v>3D printed graphene/polyurethane wearable pressure sensor for motion fitness monitoring</x:v>
      </x:c>
      <x:c r="E269" s="9" t="str">
        <x:v>D4</x:v>
      </x:c>
      <x:c r="F269" s="9" t="str">
        <x:v>Low concern</x:v>
      </x:c>
      <x:c r="G269" s="9" t="str">
        <x:v>Initial agreement</x:v>
      </x:c>
      <x:c r="H269" s="9" t="str">
        <x:v>The reference/protocol and principal quantitative outcomes are reported.</x:v>
      </x:c>
      <x:c r="I269" s="9" t="str">
        <x:v>PDF pp. 4–11; Figs. 1, 5–6; cited SI</x:v>
      </x:c>
    </x:row>
    <x:row r="270">
      <x:c r="A270" s="9" t="n">
        <x:v>34</x:v>
      </x:c>
      <x:c r="B270" s="9" t="str">
        <x:v>S044</x:v>
      </x:c>
      <x:c r="C270" s="9" t="str">
        <x:v>Li et al. (2021)</x:v>
      </x:c>
      <x:c r="D270" s="9" t="str">
        <x:v>3D printed graphene/polyurethane wearable pressure sensor for motion fitness monitoring</x:v>
      </x:c>
      <x:c r="E270" s="9" t="str">
        <x:v>D5</x:v>
      </x:c>
      <x:c r="F270" s="9" t="str">
        <x:v>Some concern</x:v>
      </x:c>
      <x:c r="G270" s="9" t="str">
        <x:v>Adjudicated to Reviewer 1</x:v>
      </x:c>
      <x:c r="H270" s="9" t="str">
        <x:v>Study-specific limitations are recorded in the extraction and REB sheets.</x:v>
      </x:c>
      <x:c r="I270" s="9" t="str">
        <x:v>PDF pp. 4–11; Figs. 1, 5–6; cited SI</x:v>
      </x:c>
    </x:row>
    <x:row r="271">
      <x:c r="A271" s="9" t="n">
        <x:v>34</x:v>
      </x:c>
      <x:c r="B271" s="9" t="str">
        <x:v>S044</x:v>
      </x:c>
      <x:c r="C271" s="9" t="str">
        <x:v>Li et al. (2021)</x:v>
      </x:c>
      <x:c r="D271" s="9" t="str">
        <x:v>3D printed graphene/polyurethane wearable pressure sensor for motion fitness monitoring</x:v>
      </x:c>
      <x:c r="E271" s="9" t="str">
        <x:v>D6</x:v>
      </x:c>
      <x:c r="F271" s="9" t="str">
        <x:v>High concern</x:v>
      </x:c>
      <x:c r="G271" s="9" t="str">
        <x:v>Initial agreement</x:v>
      </x:c>
      <x:c r="H271" s="9" t="str">
        <x:v>A quantitative comparison of at least three separately fabricated complete sensing systems was not identified.</x:v>
      </x:c>
      <x:c r="I271" s="9" t="str">
        <x:v>PDF pp. 4–11; Figs. 1, 5–6; cited SI</x:v>
      </x:c>
    </x:row>
    <x:row r="272">
      <x:c r="A272" s="9" t="n">
        <x:v>34</x:v>
      </x:c>
      <x:c r="B272" s="9" t="str">
        <x:v>S044</x:v>
      </x:c>
      <x:c r="C272" s="9" t="str">
        <x:v>Li et al. (2021)</x:v>
      </x:c>
      <x:c r="D272" s="9" t="str">
        <x:v>3D printed graphene/polyurethane wearable pressure sensor for motion fitness monitoring</x:v>
      </x:c>
      <x:c r="E272" s="9" t="str">
        <x:v>D7</x:v>
      </x:c>
      <x:c r="F272" s="9" t="str">
        <x:v>Low concern</x:v>
      </x:c>
      <x:c r="G272" s="9" t="str">
        <x:v>Adjudicated to Reviewer 1</x:v>
      </x:c>
      <x:c r="H272" s="9" t="str">
        <x:v>The reference/protocol and principal quantitative outcomes are reported.</x:v>
      </x:c>
      <x:c r="I272" s="9" t="str">
        <x:v>PDF pp. 4–11; Figs. 1, 5–6; cited SI</x:v>
      </x:c>
    </x:row>
    <x:row r="273">
      <x:c r="A273" s="9" t="n">
        <x:v>34</x:v>
      </x:c>
      <x:c r="B273" s="9" t="str">
        <x:v>S044</x:v>
      </x:c>
      <x:c r="C273" s="9" t="str">
        <x:v>Li et al. (2021)</x:v>
      </x:c>
      <x:c r="D273" s="9" t="str">
        <x:v>3D printed graphene/polyurethane wearable pressure sensor for motion fitness monitoring</x:v>
      </x:c>
      <x:c r="E273" s="9" t="str">
        <x:v>D8</x:v>
      </x:c>
      <x:c r="F273" s="9" t="str">
        <x:v>Low concern</x:v>
      </x:c>
      <x:c r="G273" s="9" t="str">
        <x:v>Initial agreement</x:v>
      </x:c>
      <x:c r="H273" s="9" t="str">
        <x:v>The device was tested in a human-worn configuration.</x:v>
      </x:c>
      <x:c r="I273" s="9" t="str">
        <x:v>PDF pp. 4–11; Figs. 1, 5–6; cited SI</x:v>
      </x:c>
    </x:row>
    <x:row r="274">
      <x:c r="A274" s="9" t="n">
        <x:v>35</x:v>
      </x:c>
      <x:c r="B274" s="9" t="str">
        <x:v>S046</x:v>
      </x:c>
      <x:c r="C274" s="9" t="str">
        <x:v>Zhou et al. (2024)</x:v>
      </x:c>
      <x:c r="D274" s="9" t="str">
        <x:v>3D Printed Magnetoelectric Composites for Personalized Wearable Multifunctional Sensors</x:v>
      </x:c>
      <x:c r="E274" s="9" t="str">
        <x:v>D1</x:v>
      </x:c>
      <x:c r="F274" s="9" t="str">
        <x:v>Some concern</x:v>
      </x:c>
      <x:c r="G274" s="9" t="str">
        <x:v>Initial agreement</x:v>
      </x:c>
      <x:c r="H274" s="9" t="str">
        <x:v>Study-specific limitations are recorded in the extraction and REB sheets.</x:v>
      </x:c>
      <x:c r="I274" s="9" t="str">
        <x:v>PDF pp. 2–7; Figs. 3–5; cited Supplementary Figs. S1–S5</x:v>
      </x:c>
    </x:row>
    <x:row r="275">
      <x:c r="A275" s="9" t="n">
        <x:v>35</x:v>
      </x:c>
      <x:c r="B275" s="9" t="str">
        <x:v>S046</x:v>
      </x:c>
      <x:c r="C275" s="9" t="str">
        <x:v>Zhou et al. (2024)</x:v>
      </x:c>
      <x:c r="D275" s="9" t="str">
        <x:v>3D Printed Magnetoelectric Composites for Personalized Wearable Multifunctional Sensors</x:v>
      </x:c>
      <x:c r="E275" s="9" t="str">
        <x:v>D2</x:v>
      </x:c>
      <x:c r="F275" s="9" t="str">
        <x:v>Some concern</x:v>
      </x:c>
      <x:c r="G275" s="9" t="str">
        <x:v>Initial agreement</x:v>
      </x:c>
      <x:c r="H275" s="9" t="str">
        <x:v>Study-specific limitations are recorded in the extraction and REB sheets.</x:v>
      </x:c>
      <x:c r="I275" s="9" t="str">
        <x:v>PDF pp. 2–7; Figs. 3–5; cited Supplementary Figs. S1–S5</x:v>
      </x:c>
    </x:row>
    <x:row r="276">
      <x:c r="A276" s="9" t="n">
        <x:v>35</x:v>
      </x:c>
      <x:c r="B276" s="9" t="str">
        <x:v>S046</x:v>
      </x:c>
      <x:c r="C276" s="9" t="str">
        <x:v>Zhou et al. (2024)</x:v>
      </x:c>
      <x:c r="D276" s="9" t="str">
        <x:v>3D Printed Magnetoelectric Composites for Personalized Wearable Multifunctional Sensors</x:v>
      </x:c>
      <x:c r="E276" s="9" t="str">
        <x:v>D3</x:v>
      </x:c>
      <x:c r="F276" s="9" t="str">
        <x:v>Low concern</x:v>
      </x:c>
      <x:c r="G276" s="9" t="str">
        <x:v>Initial agreement</x:v>
      </x:c>
      <x:c r="H276" s="9" t="str">
        <x:v>The reference/protocol and principal quantitative outcomes are reported.</x:v>
      </x:c>
      <x:c r="I276" s="9" t="str">
        <x:v>PDF pp. 2–7; Figs. 3–5; cited Supplementary Figs. S1–S5</x:v>
      </x:c>
    </x:row>
    <x:row r="277">
      <x:c r="A277" s="9" t="n">
        <x:v>35</x:v>
      </x:c>
      <x:c r="B277" s="9" t="str">
        <x:v>S046</x:v>
      </x:c>
      <x:c r="C277" s="9" t="str">
        <x:v>Zhou et al. (2024)</x:v>
      </x:c>
      <x:c r="D277" s="9" t="str">
        <x:v>3D Printed Magnetoelectric Composites for Personalized Wearable Multifunctional Sensors</x:v>
      </x:c>
      <x:c r="E277" s="9" t="str">
        <x:v>D4</x:v>
      </x:c>
      <x:c r="F277" s="9" t="str">
        <x:v>Low concern</x:v>
      </x:c>
      <x:c r="G277" s="9" t="str">
        <x:v>Initial agreement</x:v>
      </x:c>
      <x:c r="H277" s="9" t="str">
        <x:v>The reference/protocol and principal quantitative outcomes are reported.</x:v>
      </x:c>
      <x:c r="I277" s="9" t="str">
        <x:v>PDF pp. 2–7; Figs. 3–5; cited Supplementary Figs. S1–S5</x:v>
      </x:c>
    </x:row>
    <x:row r="278">
      <x:c r="A278" s="9" t="n">
        <x:v>35</x:v>
      </x:c>
      <x:c r="B278" s="9" t="str">
        <x:v>S046</x:v>
      </x:c>
      <x:c r="C278" s="9" t="str">
        <x:v>Zhou et al. (2024)</x:v>
      </x:c>
      <x:c r="D278" s="9" t="str">
        <x:v>3D Printed Magnetoelectric Composites for Personalized Wearable Multifunctional Sensors</x:v>
      </x:c>
      <x:c r="E278" s="9" t="str">
        <x:v>D5</x:v>
      </x:c>
      <x:c r="F278" s="9" t="str">
        <x:v>Some concern</x:v>
      </x:c>
      <x:c r="G278" s="9" t="str">
        <x:v>Adjudicated to Reviewer 1</x:v>
      </x:c>
      <x:c r="H278" s="9" t="str">
        <x:v>Study-specific limitations are recorded in the extraction and REB sheets.</x:v>
      </x:c>
      <x:c r="I278" s="9" t="str">
        <x:v>PDF pp. 2–7; Figs. 3–5; cited Supplementary Figs. S1–S5</x:v>
      </x:c>
    </x:row>
    <x:row r="279">
      <x:c r="A279" s="9" t="n">
        <x:v>35</x:v>
      </x:c>
      <x:c r="B279" s="9" t="str">
        <x:v>S046</x:v>
      </x:c>
      <x:c r="C279" s="9" t="str">
        <x:v>Zhou et al. (2024)</x:v>
      </x:c>
      <x:c r="D279" s="9" t="str">
        <x:v>3D Printed Magnetoelectric Composites for Personalized Wearable Multifunctional Sensors</x:v>
      </x:c>
      <x:c r="E279" s="9" t="str">
        <x:v>D6</x:v>
      </x:c>
      <x:c r="F279" s="9" t="str">
        <x:v>High concern</x:v>
      </x:c>
      <x:c r="G279" s="9" t="str">
        <x:v>Initial agreement</x:v>
      </x:c>
      <x:c r="H279" s="9" t="str">
        <x:v>A quantitative comparison of at least three separately fabricated complete sensing systems was not identified.</x:v>
      </x:c>
      <x:c r="I279" s="9" t="str">
        <x:v>PDF pp. 2–7; Figs. 3–5; cited Supplementary Figs. S1–S5</x:v>
      </x:c>
    </x:row>
    <x:row r="280">
      <x:c r="A280" s="9" t="n">
        <x:v>35</x:v>
      </x:c>
      <x:c r="B280" s="9" t="str">
        <x:v>S046</x:v>
      </x:c>
      <x:c r="C280" s="9" t="str">
        <x:v>Zhou et al. (2024)</x:v>
      </x:c>
      <x:c r="D280" s="9" t="str">
        <x:v>3D Printed Magnetoelectric Composites for Personalized Wearable Multifunctional Sensors</x:v>
      </x:c>
      <x:c r="E280" s="9" t="str">
        <x:v>D7</x:v>
      </x:c>
      <x:c r="F280" s="9" t="str">
        <x:v>Low concern</x:v>
      </x:c>
      <x:c r="G280" s="9" t="str">
        <x:v>Adjudicated to Reviewer 1</x:v>
      </x:c>
      <x:c r="H280" s="9" t="str">
        <x:v>The reference/protocol and principal quantitative outcomes are reported.</x:v>
      </x:c>
      <x:c r="I280" s="9" t="str">
        <x:v>PDF pp. 2–7; Figs. 3–5; cited Supplementary Figs. S1–S5</x:v>
      </x:c>
    </x:row>
    <x:row r="281">
      <x:c r="A281" s="9" t="n">
        <x:v>35</x:v>
      </x:c>
      <x:c r="B281" s="9" t="str">
        <x:v>S046</x:v>
      </x:c>
      <x:c r="C281" s="9" t="str">
        <x:v>Zhou et al. (2024)</x:v>
      </x:c>
      <x:c r="D281" s="9" t="str">
        <x:v>3D Printed Magnetoelectric Composites for Personalized Wearable Multifunctional Sensors</x:v>
      </x:c>
      <x:c r="E281" s="9" t="str">
        <x:v>D8</x:v>
      </x:c>
      <x:c r="F281" s="9" t="str">
        <x:v>Low concern</x:v>
      </x:c>
      <x:c r="G281" s="9" t="str">
        <x:v>Initial agreement</x:v>
      </x:c>
      <x:c r="H281" s="9" t="str">
        <x:v>The device was tested in a human-worn configuration.</x:v>
      </x:c>
      <x:c r="I281" s="9" t="str">
        <x:v>PDF pp. 2–7; Figs. 3–5; cited Supplementary Figs. S1–S5</x:v>
      </x:c>
    </x:row>
    <x:row r="282">
      <x:c r="A282" s="9" t="n">
        <x:v>36</x:v>
      </x:c>
      <x:c r="B282" s="9" t="str">
        <x:v>S047</x:v>
      </x:c>
      <x:c r="C282" s="9" t="str">
        <x:v>Shin et al. (2025)</x:v>
      </x:c>
      <x:c r="D282" s="9" t="str">
        <x:v>Preliminary Study on the Development of a Real-Time Pressure-Monitoring Facial Mask for Burn Rehabilitation</x:v>
      </x:c>
      <x:c r="E282" s="9" t="str">
        <x:v>D1</x:v>
      </x:c>
      <x:c r="F282" s="9" t="str">
        <x:v>High concern</x:v>
      </x:c>
      <x:c r="G282" s="9" t="str">
        <x:v>Adjudicated to Reviewer 1</x:v>
      </x:c>
      <x:c r="H282" s="9" t="str">
        <x:v>The clinical feasibility study included two patients and was not prospectively powered.</x:v>
      </x:c>
      <x:c r="I282" s="9" t="str">
        <x:v>PDF pp. 3–13; Figs. 2–12; Table 1</x:v>
      </x:c>
    </x:row>
    <x:row r="283">
      <x:c r="A283" s="9" t="n">
        <x:v>36</x:v>
      </x:c>
      <x:c r="B283" s="9" t="str">
        <x:v>S047</x:v>
      </x:c>
      <x:c r="C283" s="9" t="str">
        <x:v>Shin et al. (2025)</x:v>
      </x:c>
      <x:c r="D283" s="9" t="str">
        <x:v>Preliminary Study on the Development of a Real-Time Pressure-Monitoring Facial Mask for Burn Rehabilitation</x:v>
      </x:c>
      <x:c r="E283" s="9" t="str">
        <x:v>D2</x:v>
      </x:c>
      <x:c r="F283" s="9" t="str">
        <x:v>Some concern</x:v>
      </x:c>
      <x:c r="G283" s="9" t="str">
        <x:v>Adjudicated to Reviewer 1</x:v>
      </x:c>
      <x:c r="H283" s="9" t="str">
        <x:v>Study-specific limitations are recorded in the extraction and REB sheets.</x:v>
      </x:c>
      <x:c r="I283" s="9" t="str">
        <x:v>PDF pp. 3–13; Figs. 2–12; Table 1</x:v>
      </x:c>
    </x:row>
    <x:row r="284">
      <x:c r="A284" s="9" t="n">
        <x:v>36</x:v>
      </x:c>
      <x:c r="B284" s="9" t="str">
        <x:v>S047</x:v>
      </x:c>
      <x:c r="C284" s="9" t="str">
        <x:v>Shin et al. (2025)</x:v>
      </x:c>
      <x:c r="D284" s="9" t="str">
        <x:v>Preliminary Study on the Development of a Real-Time Pressure-Monitoring Facial Mask for Burn Rehabilitation</x:v>
      </x:c>
      <x:c r="E284" s="9" t="str">
        <x:v>D3</x:v>
      </x:c>
      <x:c r="F284" s="9" t="str">
        <x:v>Low concern</x:v>
      </x:c>
      <x:c r="G284" s="9" t="str">
        <x:v>Adjudicated to Reviewer 1</x:v>
      </x:c>
      <x:c r="H284" s="9" t="str">
        <x:v>The reference/protocol and principal quantitative outcomes are reported.</x:v>
      </x:c>
      <x:c r="I284" s="9" t="str">
        <x:v>PDF pp. 3–13; Figs. 2–12; Table 1</x:v>
      </x:c>
    </x:row>
    <x:row r="285">
      <x:c r="A285" s="9" t="n">
        <x:v>36</x:v>
      </x:c>
      <x:c r="B285" s="9" t="str">
        <x:v>S047</x:v>
      </x:c>
      <x:c r="C285" s="9" t="str">
        <x:v>Shin et al. (2025)</x:v>
      </x:c>
      <x:c r="D285" s="9" t="str">
        <x:v>Preliminary Study on the Development of a Real-Time Pressure-Monitoring Facial Mask for Burn Rehabilitation</x:v>
      </x:c>
      <x:c r="E285" s="9" t="str">
        <x:v>D4</x:v>
      </x:c>
      <x:c r="F285" s="9" t="str">
        <x:v>Low concern</x:v>
      </x:c>
      <x:c r="G285" s="9" t="str">
        <x:v>Initial agreement</x:v>
      </x:c>
      <x:c r="H285" s="9" t="str">
        <x:v>The reference/protocol and principal quantitative outcomes are reported.</x:v>
      </x:c>
      <x:c r="I285" s="9" t="str">
        <x:v>PDF pp. 3–13; Figs. 2–12; Table 1</x:v>
      </x:c>
    </x:row>
    <x:row r="286">
      <x:c r="A286" s="9" t="n">
        <x:v>36</x:v>
      </x:c>
      <x:c r="B286" s="9" t="str">
        <x:v>S047</x:v>
      </x:c>
      <x:c r="C286" s="9" t="str">
        <x:v>Shin et al. (2025)</x:v>
      </x:c>
      <x:c r="D286" s="9" t="str">
        <x:v>Preliminary Study on the Development of a Real-Time Pressure-Monitoring Facial Mask for Burn Rehabilitation</x:v>
      </x:c>
      <x:c r="E286" s="9" t="str">
        <x:v>D5</x:v>
      </x:c>
      <x:c r="F286" s="9" t="str">
        <x:v>Some concern</x:v>
      </x:c>
      <x:c r="G286" s="9" t="str">
        <x:v>Adjudicated to Reviewer 1</x:v>
      </x:c>
      <x:c r="H286" s="9" t="str">
        <x:v>Study-specific limitations are recorded in the extraction and REB sheets.</x:v>
      </x:c>
      <x:c r="I286" s="9" t="str">
        <x:v>PDF pp. 3–13; Figs. 2–12; Table 1</x:v>
      </x:c>
    </x:row>
    <x:row r="287">
      <x:c r="A287" s="9" t="n">
        <x:v>36</x:v>
      </x:c>
      <x:c r="B287" s="9" t="str">
        <x:v>S047</x:v>
      </x:c>
      <x:c r="C287" s="9" t="str">
        <x:v>Shin et al. (2025)</x:v>
      </x:c>
      <x:c r="D287" s="9" t="str">
        <x:v>Preliminary Study on the Development of a Real-Time Pressure-Monitoring Facial Mask for Burn Rehabilitation</x:v>
      </x:c>
      <x:c r="E287" s="9" t="str">
        <x:v>D6</x:v>
      </x:c>
      <x:c r="F287" s="9" t="str">
        <x:v>High concern</x:v>
      </x:c>
      <x:c r="G287" s="9" t="str">
        <x:v>Initial agreement</x:v>
      </x:c>
      <x:c r="H287" s="9" t="str">
        <x:v>A quantitative comparison of at least three separately fabricated complete sensing systems was not identified.</x:v>
      </x:c>
      <x:c r="I287" s="9" t="str">
        <x:v>PDF pp. 3–13; Figs. 2–12; Table 1</x:v>
      </x:c>
    </x:row>
    <x:row r="288">
      <x:c r="A288" s="9" t="n">
        <x:v>36</x:v>
      </x:c>
      <x:c r="B288" s="9" t="str">
        <x:v>S047</x:v>
      </x:c>
      <x:c r="C288" s="9" t="str">
        <x:v>Shin et al. (2025)</x:v>
      </x:c>
      <x:c r="D288" s="9" t="str">
        <x:v>Preliminary Study on the Development of a Real-Time Pressure-Monitoring Facial Mask for Burn Rehabilitation</x:v>
      </x:c>
      <x:c r="E288" s="9" t="str">
        <x:v>D7</x:v>
      </x:c>
      <x:c r="F288" s="9" t="str">
        <x:v>Low concern</x:v>
      </x:c>
      <x:c r="G288" s="9" t="str">
        <x:v>Adjudicated to Reviewer 1</x:v>
      </x:c>
      <x:c r="H288" s="9" t="str">
        <x:v>The reference/protocol and principal quantitative outcomes are reported.</x:v>
      </x:c>
      <x:c r="I288" s="9" t="str">
        <x:v>PDF pp. 3–13; Figs. 2–12; Table 1</x:v>
      </x:c>
    </x:row>
    <x:row r="289">
      <x:c r="A289" s="9" t="n">
        <x:v>36</x:v>
      </x:c>
      <x:c r="B289" s="9" t="str">
        <x:v>S047</x:v>
      </x:c>
      <x:c r="C289" s="9" t="str">
        <x:v>Shin et al. (2025)</x:v>
      </x:c>
      <x:c r="D289" s="9" t="str">
        <x:v>Preliminary Study on the Development of a Real-Time Pressure-Monitoring Facial Mask for Burn Rehabilitation</x:v>
      </x:c>
      <x:c r="E289" s="9" t="str">
        <x:v>D8</x:v>
      </x:c>
      <x:c r="F289" s="9" t="str">
        <x:v>Low concern</x:v>
      </x:c>
      <x:c r="G289" s="9" t="str">
        <x:v>Initial agreement</x:v>
      </x:c>
      <x:c r="H289" s="9" t="str">
        <x:v>The device was tested in a human-worn configuration.</x:v>
      </x:c>
      <x:c r="I289" s="9" t="str">
        <x:v>PDF pp. 3–13; Figs. 2–12; Table 1</x:v>
      </x:c>
    </x:row>
    <x:row r="290">
      <x:c r="A290" s="9" t="n">
        <x:v>37</x:v>
      </x:c>
      <x:c r="B290" s="9" t="str">
        <x:v>S048</x:v>
      </x:c>
      <x:c r="C290" s="9" t="str">
        <x:v>Gunasekaran et al. (2022)</x:v>
      </x:c>
      <x:c r="D290" s="9" t="str">
        <x:v>Facile Fabrication of Highly Sensitive Thermoplastic Polyurethane Sensors with Surface- and Interface-Impregnated 3D Conductive Networks</x:v>
      </x:c>
      <x:c r="E290" s="9" t="str">
        <x:v>D1</x:v>
      </x:c>
      <x:c r="F290" s="9" t="str">
        <x:v>Some concern</x:v>
      </x:c>
      <x:c r="G290" s="9" t="str">
        <x:v>Initial agreement</x:v>
      </x:c>
      <x:c r="H290" s="9" t="str">
        <x:v>Study-specific limitations are recorded in the extraction and REB sheets.</x:v>
      </x:c>
      <x:c r="I290" s="9" t="str">
        <x:v>PDF pp. 3–9; Figs. 1, 4–9; cited SI</x:v>
      </x:c>
    </x:row>
    <x:row r="291">
      <x:c r="A291" s="9" t="n">
        <x:v>37</x:v>
      </x:c>
      <x:c r="B291" s="9" t="str">
        <x:v>S048</x:v>
      </x:c>
      <x:c r="C291" s="9" t="str">
        <x:v>Gunasekaran et al. (2022)</x:v>
      </x:c>
      <x:c r="D291" s="9" t="str">
        <x:v>Facile Fabrication of Highly Sensitive Thermoplastic Polyurethane Sensors with Surface- and Interface-Impregnated 3D Conductive Networks</x:v>
      </x:c>
      <x:c r="E291" s="9" t="str">
        <x:v>D2</x:v>
      </x:c>
      <x:c r="F291" s="9" t="str">
        <x:v>Some concern</x:v>
      </x:c>
      <x:c r="G291" s="9" t="str">
        <x:v>Adjudicated to Reviewer 1</x:v>
      </x:c>
      <x:c r="H291" s="9" t="str">
        <x:v>Study-specific limitations are recorded in the extraction and REB sheets.</x:v>
      </x:c>
      <x:c r="I291" s="9" t="str">
        <x:v>PDF pp. 3–9; Figs. 1, 4–9; cited SI</x:v>
      </x:c>
    </x:row>
    <x:row r="292">
      <x:c r="A292" s="9" t="n">
        <x:v>37</x:v>
      </x:c>
      <x:c r="B292" s="9" t="str">
        <x:v>S048</x:v>
      </x:c>
      <x:c r="C292" s="9" t="str">
        <x:v>Gunasekaran et al. (2022)</x:v>
      </x:c>
      <x:c r="D292" s="9" t="str">
        <x:v>Facile Fabrication of Highly Sensitive Thermoplastic Polyurethane Sensors with Surface- and Interface-Impregnated 3D Conductive Networks</x:v>
      </x:c>
      <x:c r="E292" s="9" t="str">
        <x:v>D3</x:v>
      </x:c>
      <x:c r="F292" s="9" t="str">
        <x:v>Low concern</x:v>
      </x:c>
      <x:c r="G292" s="9" t="str">
        <x:v>Initial agreement</x:v>
      </x:c>
      <x:c r="H292" s="9" t="str">
        <x:v>The reference/protocol and principal quantitative outcomes are reported.</x:v>
      </x:c>
      <x:c r="I292" s="9" t="str">
        <x:v>PDF pp. 3–9; Figs. 1, 4–9; cited SI</x:v>
      </x:c>
    </x:row>
    <x:row r="293">
      <x:c r="A293" s="9" t="n">
        <x:v>37</x:v>
      </x:c>
      <x:c r="B293" s="9" t="str">
        <x:v>S048</x:v>
      </x:c>
      <x:c r="C293" s="9" t="str">
        <x:v>Gunasekaran et al. (2022)</x:v>
      </x:c>
      <x:c r="D293" s="9" t="str">
        <x:v>Facile Fabrication of Highly Sensitive Thermoplastic Polyurethane Sensors with Surface- and Interface-Impregnated 3D Conductive Networks</x:v>
      </x:c>
      <x:c r="E293" s="9" t="str">
        <x:v>D4</x:v>
      </x:c>
      <x:c r="F293" s="9" t="str">
        <x:v>Low concern</x:v>
      </x:c>
      <x:c r="G293" s="9" t="str">
        <x:v>Initial agreement</x:v>
      </x:c>
      <x:c r="H293" s="9" t="str">
        <x:v>The reference/protocol and principal quantitative outcomes are reported.</x:v>
      </x:c>
      <x:c r="I293" s="9" t="str">
        <x:v>PDF pp. 3–9; Figs. 1, 4–9; cited SI</x:v>
      </x:c>
    </x:row>
    <x:row r="294">
      <x:c r="A294" s="9" t="n">
        <x:v>37</x:v>
      </x:c>
      <x:c r="B294" s="9" t="str">
        <x:v>S048</x:v>
      </x:c>
      <x:c r="C294" s="9" t="str">
        <x:v>Gunasekaran et al. (2022)</x:v>
      </x:c>
      <x:c r="D294" s="9" t="str">
        <x:v>Facile Fabrication of Highly Sensitive Thermoplastic Polyurethane Sensors with Surface- and Interface-Impregnated 3D Conductive Networks</x:v>
      </x:c>
      <x:c r="E294" s="9" t="str">
        <x:v>D5</x:v>
      </x:c>
      <x:c r="F294" s="9" t="str">
        <x:v>Some concern</x:v>
      </x:c>
      <x:c r="G294" s="9" t="str">
        <x:v>Adjudicated to Reviewer 1</x:v>
      </x:c>
      <x:c r="H294" s="9" t="str">
        <x:v>Study-specific limitations are recorded in the extraction and REB sheets.</x:v>
      </x:c>
      <x:c r="I294" s="9" t="str">
        <x:v>PDF pp. 3–9; Figs. 1, 4–9; cited SI</x:v>
      </x:c>
    </x:row>
    <x:row r="295">
      <x:c r="A295" s="9" t="n">
        <x:v>37</x:v>
      </x:c>
      <x:c r="B295" s="9" t="str">
        <x:v>S048</x:v>
      </x:c>
      <x:c r="C295" s="9" t="str">
        <x:v>Gunasekaran et al. (2022)</x:v>
      </x:c>
      <x:c r="D295" s="9" t="str">
        <x:v>Facile Fabrication of Highly Sensitive Thermoplastic Polyurethane Sensors with Surface- and Interface-Impregnated 3D Conductive Networks</x:v>
      </x:c>
      <x:c r="E295" s="9" t="str">
        <x:v>D6</x:v>
      </x:c>
      <x:c r="F295" s="9" t="str">
        <x:v>High concern</x:v>
      </x:c>
      <x:c r="G295" s="9" t="str">
        <x:v>Initial agreement</x:v>
      </x:c>
      <x:c r="H295" s="9" t="str">
        <x:v>A quantitative comparison of at least three separately fabricated complete sensing systems was not identified.</x:v>
      </x:c>
      <x:c r="I295" s="9" t="str">
        <x:v>PDF pp. 3–9; Figs. 1, 4–9; cited SI</x:v>
      </x:c>
    </x:row>
    <x:row r="296">
      <x:c r="A296" s="9" t="n">
        <x:v>37</x:v>
      </x:c>
      <x:c r="B296" s="9" t="str">
        <x:v>S048</x:v>
      </x:c>
      <x:c r="C296" s="9" t="str">
        <x:v>Gunasekaran et al. (2022)</x:v>
      </x:c>
      <x:c r="D296" s="9" t="str">
        <x:v>Facile Fabrication of Highly Sensitive Thermoplastic Polyurethane Sensors with Surface- and Interface-Impregnated 3D Conductive Networks</x:v>
      </x:c>
      <x:c r="E296" s="9" t="str">
        <x:v>D7</x:v>
      </x:c>
      <x:c r="F296" s="9" t="str">
        <x:v>Low concern</x:v>
      </x:c>
      <x:c r="G296" s="9" t="str">
        <x:v>Adjudicated to Reviewer 1</x:v>
      </x:c>
      <x:c r="H296" s="9" t="str">
        <x:v>The reference/protocol and principal quantitative outcomes are reported.</x:v>
      </x:c>
      <x:c r="I296" s="9" t="str">
        <x:v>PDF pp. 3–9; Figs. 1, 4–9; cited SI</x:v>
      </x:c>
    </x:row>
    <x:row r="297">
      <x:c r="A297" s="9" t="n">
        <x:v>37</x:v>
      </x:c>
      <x:c r="B297" s="9" t="str">
        <x:v>S048</x:v>
      </x:c>
      <x:c r="C297" s="9" t="str">
        <x:v>Gunasekaran et al. (2022)</x:v>
      </x:c>
      <x:c r="D297" s="9" t="str">
        <x:v>Facile Fabrication of Highly Sensitive Thermoplastic Polyurethane Sensors with Surface- and Interface-Impregnated 3D Conductive Networks</x:v>
      </x:c>
      <x:c r="E297" s="9" t="str">
        <x:v>D8</x:v>
      </x:c>
      <x:c r="F297" s="9" t="str">
        <x:v>Low concern</x:v>
      </x:c>
      <x:c r="G297" s="9" t="str">
        <x:v>Initial agreement</x:v>
      </x:c>
      <x:c r="H297" s="9" t="str">
        <x:v>The device was tested in a human-worn configuration.</x:v>
      </x:c>
      <x:c r="I297" s="9" t="str">
        <x:v>PDF pp. 3–9; Figs. 1, 4–9; cited SI</x:v>
      </x:c>
    </x:row>
    <x:row r="298">
      <x:c r="A298" s="9" t="n">
        <x:v>38</x:v>
      </x:c>
      <x:c r="B298" s="9" t="str">
        <x:v>S050</x:v>
      </x:c>
      <x:c r="C298" s="9" t="str">
        <x:v>Leal-Junior et al. (2018)</x:v>
      </x:c>
      <x:c r="D298" s="9" t="str">
        <x:v>Fiber Bragg Gratings in CYTOP Fibers Embedded in a 3D-Printed Flexible Support for Assessment of Human–Robot Interaction Forces</x:v>
      </x:c>
      <x:c r="E298" s="9" t="str">
        <x:v>D1</x:v>
      </x:c>
      <x:c r="F298" s="9" t="str">
        <x:v>Some concern</x:v>
      </x:c>
      <x:c r="G298" s="9" t="str">
        <x:v>Adjudicated to Reviewer 1</x:v>
      </x:c>
      <x:c r="H298" s="9" t="str">
        <x:v>Study-specific evidence is documented in the extraction and REB sheets.</x:v>
      </x:c>
      <x:c r="I298" s="9" t="str">
        <x:v>PDF pp. 3–10; Figs. 1–8</x:v>
      </x:c>
    </x:row>
    <x:row r="299">
      <x:c r="A299" s="9" t="n">
        <x:v>38</x:v>
      </x:c>
      <x:c r="B299" s="9" t="str">
        <x:v>S050</x:v>
      </x:c>
      <x:c r="C299" s="9" t="str">
        <x:v>Leal-Junior et al. (2018)</x:v>
      </x:c>
      <x:c r="D299" s="9" t="str">
        <x:v>Fiber Bragg Gratings in CYTOP Fibers Embedded in a 3D-Printed Flexible Support for Assessment of Human–Robot Interaction Forces</x:v>
      </x:c>
      <x:c r="E299" s="9" t="str">
        <x:v>D2</x:v>
      </x:c>
      <x:c r="F299" s="9" t="str">
        <x:v>Some concern</x:v>
      </x:c>
      <x:c r="G299" s="9" t="str">
        <x:v>Adjudicated to Reviewer 1</x:v>
      </x:c>
      <x:c r="H299" s="9" t="str">
        <x:v>Study-specific evidence is documented in the extraction and REB sheets.</x:v>
      </x:c>
      <x:c r="I299" s="9" t="str">
        <x:v>PDF pp. 3–10; Figs. 1–8</x:v>
      </x:c>
    </x:row>
    <x:row r="300">
      <x:c r="A300" s="9" t="n">
        <x:v>38</x:v>
      </x:c>
      <x:c r="B300" s="9" t="str">
        <x:v>S050</x:v>
      </x:c>
      <x:c r="C300" s="9" t="str">
        <x:v>Leal-Junior et al. (2018)</x:v>
      </x:c>
      <x:c r="D300" s="9" t="str">
        <x:v>Fiber Bragg Gratings in CYTOP Fibers Embedded in a 3D-Printed Flexible Support for Assessment of Human–Robot Interaction Forces</x:v>
      </x:c>
      <x:c r="E300" s="9" t="str">
        <x:v>D3</x:v>
      </x:c>
      <x:c r="F300" s="9" t="str">
        <x:v>Low concern</x:v>
      </x:c>
      <x:c r="G300" s="9" t="str">
        <x:v>Initial agreement</x:v>
      </x:c>
      <x:c r="H300" s="9" t="str">
        <x:v>Study-specific evidence is documented in the extraction and REB sheets.</x:v>
      </x:c>
      <x:c r="I300" s="9" t="str">
        <x:v>PDF pp. 3–10; Figs. 1–8</x:v>
      </x:c>
    </x:row>
    <x:row r="301">
      <x:c r="A301" s="9" t="n">
        <x:v>38</x:v>
      </x:c>
      <x:c r="B301" s="9" t="str">
        <x:v>S050</x:v>
      </x:c>
      <x:c r="C301" s="9" t="str">
        <x:v>Leal-Junior et al. (2018)</x:v>
      </x:c>
      <x:c r="D301" s="9" t="str">
        <x:v>Fiber Bragg Gratings in CYTOP Fibers Embedded in a 3D-Printed Flexible Support for Assessment of Human–Robot Interaction Forces</x:v>
      </x:c>
      <x:c r="E301" s="9" t="str">
        <x:v>D4</x:v>
      </x:c>
      <x:c r="F301" s="9" t="str">
        <x:v>Low concern</x:v>
      </x:c>
      <x:c r="G301" s="9" t="str">
        <x:v>Initial agreement</x:v>
      </x:c>
      <x:c r="H301" s="9" t="str">
        <x:v>Study-specific evidence is documented in the extraction and REB sheets.</x:v>
      </x:c>
      <x:c r="I301" s="9" t="str">
        <x:v>PDF pp. 3–10; Figs. 1–8</x:v>
      </x:c>
    </x:row>
    <x:row r="302">
      <x:c r="A302" s="9" t="n">
        <x:v>38</x:v>
      </x:c>
      <x:c r="B302" s="9" t="str">
        <x:v>S050</x:v>
      </x:c>
      <x:c r="C302" s="9" t="str">
        <x:v>Leal-Junior et al. (2018)</x:v>
      </x:c>
      <x:c r="D302" s="9" t="str">
        <x:v>Fiber Bragg Gratings in CYTOP Fibers Embedded in a 3D-Printed Flexible Support for Assessment of Human–Robot Interaction Forces</x:v>
      </x:c>
      <x:c r="E302" s="9" t="str">
        <x:v>D5</x:v>
      </x:c>
      <x:c r="F302" s="9" t="str">
        <x:v>Some concern</x:v>
      </x:c>
      <x:c r="G302" s="9" t="str">
        <x:v>Adjudicated to Reviewer 1</x:v>
      </x:c>
      <x:c r="H302" s="9" t="str">
        <x:v>Study-specific evidence is documented in the extraction and REB sheets.</x:v>
      </x:c>
      <x:c r="I302" s="9" t="str">
        <x:v>PDF pp. 3–10; Figs. 1–8</x:v>
      </x:c>
    </x:row>
    <x:row r="303">
      <x:c r="A303" s="9" t="n">
        <x:v>38</x:v>
      </x:c>
      <x:c r="B303" s="9" t="str">
        <x:v>S050</x:v>
      </x:c>
      <x:c r="C303" s="9" t="str">
        <x:v>Leal-Junior et al. (2018)</x:v>
      </x:c>
      <x:c r="D303" s="9" t="str">
        <x:v>Fiber Bragg Gratings in CYTOP Fibers Embedded in a 3D-Printed Flexible Support for Assessment of Human–Robot Interaction Forces</x:v>
      </x:c>
      <x:c r="E303" s="9" t="str">
        <x:v>D6</x:v>
      </x:c>
      <x:c r="F303" s="9" t="str">
        <x:v>High concern</x:v>
      </x:c>
      <x:c r="G303" s="9" t="str">
        <x:v>Initial agreement</x:v>
      </x:c>
      <x:c r="H303" s="9" t="str">
        <x:v>A quantitative comparison of at least three separately fabricated complete sensors was not identified.</x:v>
      </x:c>
      <x:c r="I303" s="9" t="str">
        <x:v>PDF pp. 3–10; Figs. 1–8</x:v>
      </x:c>
    </x:row>
    <x:row r="304">
      <x:c r="A304" s="9" t="n">
        <x:v>38</x:v>
      </x:c>
      <x:c r="B304" s="9" t="str">
        <x:v>S050</x:v>
      </x:c>
      <x:c r="C304" s="9" t="str">
        <x:v>Leal-Junior et al. (2018)</x:v>
      </x:c>
      <x:c r="D304" s="9" t="str">
        <x:v>Fiber Bragg Gratings in CYTOP Fibers Embedded in a 3D-Printed Flexible Support for Assessment of Human–Robot Interaction Forces</x:v>
      </x:c>
      <x:c r="E304" s="9" t="str">
        <x:v>D7</x:v>
      </x:c>
      <x:c r="F304" s="9" t="str">
        <x:v>Low concern</x:v>
      </x:c>
      <x:c r="G304" s="9" t="str">
        <x:v>Adjudicated to Reviewer 1</x:v>
      </x:c>
      <x:c r="H304" s="9" t="str">
        <x:v>Study-specific evidence is documented in the extraction and REB sheets.</x:v>
      </x:c>
      <x:c r="I304" s="9" t="str">
        <x:v>PDF pp. 3–10; Figs. 1–8</x:v>
      </x:c>
    </x:row>
    <x:row r="305">
      <x:c r="A305" s="9" t="n">
        <x:v>38</x:v>
      </x:c>
      <x:c r="B305" s="9" t="str">
        <x:v>S050</x:v>
      </x:c>
      <x:c r="C305" s="9" t="str">
        <x:v>Leal-Junior et al. (2018)</x:v>
      </x:c>
      <x:c r="D305" s="9" t="str">
        <x:v>Fiber Bragg Gratings in CYTOP Fibers Embedded in a 3D-Printed Flexible Support for Assessment of Human–Robot Interaction Forces</x:v>
      </x:c>
      <x:c r="E305" s="9" t="str">
        <x:v>D8</x:v>
      </x:c>
      <x:c r="F305" s="9" t="str">
        <x:v>Some concern</x:v>
      </x:c>
      <x:c r="G305" s="9" t="str">
        <x:v>Adjudicated to Reviewer 1</x:v>
      </x:c>
      <x:c r="H305" s="9" t="str">
        <x:v>The wearable configuration and extent of application testing are documented.</x:v>
      </x:c>
      <x:c r="I305" s="9" t="str">
        <x:v>PDF pp. 3–10; Figs. 1–8</x:v>
      </x:c>
    </x:row>
    <x:row r="306">
      <x:c r="A306" s="9" t="n">
        <x:v>39</x:v>
      </x:c>
      <x:c r="B306" s="9" t="str">
        <x:v>S051</x:v>
      </x:c>
      <x:c r="C306" s="9" t="str">
        <x:v>Ota et al. (2017)</x:v>
      </x:c>
      <x:c r="D306" s="9" t="str">
        <x:v>3D Printed ‘Earable’ Smart Devices for Real-Time Detection of Core Body Temperature</x:v>
      </x:c>
      <x:c r="E306" s="9" t="str">
        <x:v>D1</x:v>
      </x:c>
      <x:c r="F306" s="9" t="str">
        <x:v>High concern</x:v>
      </x:c>
      <x:c r="G306" s="9" t="str">
        <x:v>Adjudicated to Reviewer 1</x:v>
      </x:c>
      <x:c r="H306" s="9" t="str">
        <x:v>The on-body study involved one subject.</x:v>
      </x:c>
      <x:c r="I306" s="9" t="str">
        <x:v>PDF pp. 2–7; Figs. 1–5</x:v>
      </x:c>
    </x:row>
    <x:row r="307">
      <x:c r="A307" s="9" t="n">
        <x:v>39</x:v>
      </x:c>
      <x:c r="B307" s="9" t="str">
        <x:v>S051</x:v>
      </x:c>
      <x:c r="C307" s="9" t="str">
        <x:v>Ota et al. (2017)</x:v>
      </x:c>
      <x:c r="D307" s="9" t="str">
        <x:v>3D Printed ‘Earable’ Smart Devices for Real-Time Detection of Core Body Temperature</x:v>
      </x:c>
      <x:c r="E307" s="9" t="str">
        <x:v>D2</x:v>
      </x:c>
      <x:c r="F307" s="9" t="str">
        <x:v>Some concern</x:v>
      </x:c>
      <x:c r="G307" s="9" t="str">
        <x:v>Initial agreement</x:v>
      </x:c>
      <x:c r="H307" s="9" t="str">
        <x:v>Study-specific evidence is documented in the extraction and REB sheets.</x:v>
      </x:c>
      <x:c r="I307" s="9" t="str">
        <x:v>PDF pp. 2–7; Figs. 1–5</x:v>
      </x:c>
    </x:row>
    <x:row r="308">
      <x:c r="A308" s="9" t="n">
        <x:v>39</x:v>
      </x:c>
      <x:c r="B308" s="9" t="str">
        <x:v>S051</x:v>
      </x:c>
      <x:c r="C308" s="9" t="str">
        <x:v>Ota et al. (2017)</x:v>
      </x:c>
      <x:c r="D308" s="9" t="str">
        <x:v>3D Printed ‘Earable’ Smart Devices for Real-Time Detection of Core Body Temperature</x:v>
      </x:c>
      <x:c r="E308" s="9" t="str">
        <x:v>D3</x:v>
      </x:c>
      <x:c r="F308" s="9" t="str">
        <x:v>Low concern</x:v>
      </x:c>
      <x:c r="G308" s="9" t="str">
        <x:v>Adjudicated to Reviewer 1</x:v>
      </x:c>
      <x:c r="H308" s="9" t="str">
        <x:v>Study-specific evidence is documented in the extraction and REB sheets.</x:v>
      </x:c>
      <x:c r="I308" s="9" t="str">
        <x:v>PDF pp. 2–7; Figs. 1–5</x:v>
      </x:c>
    </x:row>
    <x:row r="309">
      <x:c r="A309" s="9" t="n">
        <x:v>39</x:v>
      </x:c>
      <x:c r="B309" s="9" t="str">
        <x:v>S051</x:v>
      </x:c>
      <x:c r="C309" s="9" t="str">
        <x:v>Ota et al. (2017)</x:v>
      </x:c>
      <x:c r="D309" s="9" t="str">
        <x:v>3D Printed ‘Earable’ Smart Devices for Real-Time Detection of Core Body Temperature</x:v>
      </x:c>
      <x:c r="E309" s="9" t="str">
        <x:v>D4</x:v>
      </x:c>
      <x:c r="F309" s="9" t="str">
        <x:v>Low concern</x:v>
      </x:c>
      <x:c r="G309" s="9" t="str">
        <x:v>Initial agreement</x:v>
      </x:c>
      <x:c r="H309" s="9" t="str">
        <x:v>Study-specific evidence is documented in the extraction and REB sheets.</x:v>
      </x:c>
      <x:c r="I309" s="9" t="str">
        <x:v>PDF pp. 2–7; Figs. 1–5</x:v>
      </x:c>
    </x:row>
    <x:row r="310">
      <x:c r="A310" s="9" t="n">
        <x:v>39</x:v>
      </x:c>
      <x:c r="B310" s="9" t="str">
        <x:v>S051</x:v>
      </x:c>
      <x:c r="C310" s="9" t="str">
        <x:v>Ota et al. (2017)</x:v>
      </x:c>
      <x:c r="D310" s="9" t="str">
        <x:v>3D Printed ‘Earable’ Smart Devices for Real-Time Detection of Core Body Temperature</x:v>
      </x:c>
      <x:c r="E310" s="9" t="str">
        <x:v>D5</x:v>
      </x:c>
      <x:c r="F310" s="9" t="str">
        <x:v>High concern</x:v>
      </x:c>
      <x:c r="G310" s="9" t="str">
        <x:v>Initial agreement</x:v>
      </x:c>
      <x:c r="H310" s="9" t="str">
        <x:v>Study-specific evidence is documented in the extraction and REB sheets.</x:v>
      </x:c>
      <x:c r="I310" s="9" t="str">
        <x:v>PDF pp. 2–7; Figs. 1–5</x:v>
      </x:c>
    </x:row>
    <x:row r="311">
      <x:c r="A311" s="9" t="n">
        <x:v>39</x:v>
      </x:c>
      <x:c r="B311" s="9" t="str">
        <x:v>S051</x:v>
      </x:c>
      <x:c r="C311" s="9" t="str">
        <x:v>Ota et al. (2017)</x:v>
      </x:c>
      <x:c r="D311" s="9" t="str">
        <x:v>3D Printed ‘Earable’ Smart Devices for Real-Time Detection of Core Body Temperature</x:v>
      </x:c>
      <x:c r="E311" s="9" t="str">
        <x:v>D6</x:v>
      </x:c>
      <x:c r="F311" s="9" t="str">
        <x:v>High concern</x:v>
      </x:c>
      <x:c r="G311" s="9" t="str">
        <x:v>Initial agreement</x:v>
      </x:c>
      <x:c r="H311" s="9" t="str">
        <x:v>A quantitative comparison of at least three separately fabricated complete sensors was not identified.</x:v>
      </x:c>
      <x:c r="I311" s="9" t="str">
        <x:v>PDF pp. 2–7; Figs. 1–5</x:v>
      </x:c>
    </x:row>
    <x:row r="312">
      <x:c r="A312" s="9" t="n">
        <x:v>39</x:v>
      </x:c>
      <x:c r="B312" s="9" t="str">
        <x:v>S051</x:v>
      </x:c>
      <x:c r="C312" s="9" t="str">
        <x:v>Ota et al. (2017)</x:v>
      </x:c>
      <x:c r="D312" s="9" t="str">
        <x:v>3D Printed ‘Earable’ Smart Devices for Real-Time Detection of Core Body Temperature</x:v>
      </x:c>
      <x:c r="E312" s="9" t="str">
        <x:v>D7</x:v>
      </x:c>
      <x:c r="F312" s="9" t="str">
        <x:v>Low concern</x:v>
      </x:c>
      <x:c r="G312" s="9" t="str">
        <x:v>Adjudicated to Reviewer 1</x:v>
      </x:c>
      <x:c r="H312" s="9" t="str">
        <x:v>Study-specific evidence is documented in the extraction and REB sheets.</x:v>
      </x:c>
      <x:c r="I312" s="9" t="str">
        <x:v>PDF pp. 2–7; Figs. 1–5</x:v>
      </x:c>
    </x:row>
    <x:row r="313">
      <x:c r="A313" s="9" t="n">
        <x:v>39</x:v>
      </x:c>
      <x:c r="B313" s="9" t="str">
        <x:v>S051</x:v>
      </x:c>
      <x:c r="C313" s="9" t="str">
        <x:v>Ota et al. (2017)</x:v>
      </x:c>
      <x:c r="D313" s="9" t="str">
        <x:v>3D Printed ‘Earable’ Smart Devices for Real-Time Detection of Core Body Temperature</x:v>
      </x:c>
      <x:c r="E313" s="9" t="str">
        <x:v>D8</x:v>
      </x:c>
      <x:c r="F313" s="9" t="str">
        <x:v>Some concern</x:v>
      </x:c>
      <x:c r="G313" s="9" t="str">
        <x:v>Adjudicated to Reviewer 1</x:v>
      </x:c>
      <x:c r="H313" s="9" t="str">
        <x:v>The wearable configuration and extent of application testing are documented.</x:v>
      </x:c>
      <x:c r="I313" s="9" t="str">
        <x:v>PDF pp. 2–7; Figs. 1–5</x:v>
      </x:c>
    </x:row>
    <x:row r="314">
      <x:c r="A314" s="9" t="n">
        <x:v>40</x:v>
      </x:c>
      <x:c r="B314" s="9" t="str">
        <x:v>S052</x:v>
      </x:c>
      <x:c r="C314" s="9" t="str">
        <x:v>Li et al. (2026)</x:v>
      </x:c>
      <x:c r="D314" s="9" t="str">
        <x:v>Arch-Bridge-Inspired Auxetic Piezoelectric Nanogenerators for Machine Learning-Assisted Object Recognition</x:v>
      </x:c>
      <x:c r="E314" s="9" t="str">
        <x:v>D1</x:v>
      </x:c>
      <x:c r="F314" s="9" t="str">
        <x:v>Some concern</x:v>
      </x:c>
      <x:c r="G314" s="9" t="str">
        <x:v>Initial agreement</x:v>
      </x:c>
      <x:c r="H314" s="9" t="str">
        <x:v>Study-specific evidence is documented in the extraction and REB sheets.</x:v>
      </x:c>
      <x:c r="I314" s="9" t="str">
        <x:v>PDF pp. 2–12; Figs. 1–6; cited Supplementary Table S1 and Figs. S1–S21</x:v>
      </x:c>
    </x:row>
    <x:row r="315">
      <x:c r="A315" s="9" t="n">
        <x:v>40</x:v>
      </x:c>
      <x:c r="B315" s="9" t="str">
        <x:v>S052</x:v>
      </x:c>
      <x:c r="C315" s="9" t="str">
        <x:v>Li et al. (2026)</x:v>
      </x:c>
      <x:c r="D315" s="9" t="str">
        <x:v>Arch-Bridge-Inspired Auxetic Piezoelectric Nanogenerators for Machine Learning-Assisted Object Recognition</x:v>
      </x:c>
      <x:c r="E315" s="9" t="str">
        <x:v>D2</x:v>
      </x:c>
      <x:c r="F315" s="9" t="str">
        <x:v>Some concern</x:v>
      </x:c>
      <x:c r="G315" s="9" t="str">
        <x:v>Initial agreement</x:v>
      </x:c>
      <x:c r="H315" s="9" t="str">
        <x:v>Study-specific evidence is documented in the extraction and REB sheets.</x:v>
      </x:c>
      <x:c r="I315" s="9" t="str">
        <x:v>PDF pp. 2–12; Figs. 1–6; cited Supplementary Table S1 and Figs. S1–S21</x:v>
      </x:c>
    </x:row>
    <x:row r="316">
      <x:c r="A316" s="9" t="n">
        <x:v>40</x:v>
      </x:c>
      <x:c r="B316" s="9" t="str">
        <x:v>S052</x:v>
      </x:c>
      <x:c r="C316" s="9" t="str">
        <x:v>Li et al. (2026)</x:v>
      </x:c>
      <x:c r="D316" s="9" t="str">
        <x:v>Arch-Bridge-Inspired Auxetic Piezoelectric Nanogenerators for Machine Learning-Assisted Object Recognition</x:v>
      </x:c>
      <x:c r="E316" s="9" t="str">
        <x:v>D3</x:v>
      </x:c>
      <x:c r="F316" s="9" t="str">
        <x:v>Low concern</x:v>
      </x:c>
      <x:c r="G316" s="9" t="str">
        <x:v>Adjudicated to Reviewer 1</x:v>
      </x:c>
      <x:c r="H316" s="9" t="str">
        <x:v>Study-specific evidence is documented in the extraction and REB sheets.</x:v>
      </x:c>
      <x:c r="I316" s="9" t="str">
        <x:v>PDF pp. 2–12; Figs. 1–6; cited Supplementary Table S1 and Figs. S1–S21</x:v>
      </x:c>
    </x:row>
    <x:row r="317">
      <x:c r="A317" s="9" t="n">
        <x:v>40</x:v>
      </x:c>
      <x:c r="B317" s="9" t="str">
        <x:v>S052</x:v>
      </x:c>
      <x:c r="C317" s="9" t="str">
        <x:v>Li et al. (2026)</x:v>
      </x:c>
      <x:c r="D317" s="9" t="str">
        <x:v>Arch-Bridge-Inspired Auxetic Piezoelectric Nanogenerators for Machine Learning-Assisted Object Recognition</x:v>
      </x:c>
      <x:c r="E317" s="9" t="str">
        <x:v>D4</x:v>
      </x:c>
      <x:c r="F317" s="9" t="str">
        <x:v>Low concern</x:v>
      </x:c>
      <x:c r="G317" s="9" t="str">
        <x:v>Adjudicated to Reviewer 1</x:v>
      </x:c>
      <x:c r="H317" s="9" t="str">
        <x:v>Study-specific evidence is documented in the extraction and REB sheets.</x:v>
      </x:c>
      <x:c r="I317" s="9" t="str">
        <x:v>PDF pp. 2–12; Figs. 1–6; cited Supplementary Table S1 and Figs. S1–S21</x:v>
      </x:c>
    </x:row>
    <x:row r="318">
      <x:c r="A318" s="9" t="n">
        <x:v>40</x:v>
      </x:c>
      <x:c r="B318" s="9" t="str">
        <x:v>S052</x:v>
      </x:c>
      <x:c r="C318" s="9" t="str">
        <x:v>Li et al. (2026)</x:v>
      </x:c>
      <x:c r="D318" s="9" t="str">
        <x:v>Arch-Bridge-Inspired Auxetic Piezoelectric Nanogenerators for Machine Learning-Assisted Object Recognition</x:v>
      </x:c>
      <x:c r="E318" s="9" t="str">
        <x:v>D5</x:v>
      </x:c>
      <x:c r="F318" s="9" t="str">
        <x:v>Low concern</x:v>
      </x:c>
      <x:c r="G318" s="9" t="str">
        <x:v>Initial agreement</x:v>
      </x:c>
      <x:c r="H318" s="9" t="str">
        <x:v>Study-specific evidence is documented in the extraction and REB sheets.</x:v>
      </x:c>
      <x:c r="I318" s="9" t="str">
        <x:v>PDF pp. 2–12; Figs. 1–6; cited Supplementary Table S1 and Figs. S1–S21</x:v>
      </x:c>
    </x:row>
    <x:row r="319">
      <x:c r="A319" s="9" t="n">
        <x:v>40</x:v>
      </x:c>
      <x:c r="B319" s="9" t="str">
        <x:v>S052</x:v>
      </x:c>
      <x:c r="C319" s="9" t="str">
        <x:v>Li et al. (2026)</x:v>
      </x:c>
      <x:c r="D319" s="9" t="str">
        <x:v>Arch-Bridge-Inspired Auxetic Piezoelectric Nanogenerators for Machine Learning-Assisted Object Recognition</x:v>
      </x:c>
      <x:c r="E319" s="9" t="str">
        <x:v>D6</x:v>
      </x:c>
      <x:c r="F319" s="9" t="str">
        <x:v>High concern</x:v>
      </x:c>
      <x:c r="G319" s="9" t="str">
        <x:v>Unclear resolved</x:v>
      </x:c>
      <x:c r="H319" s="9" t="str">
        <x:v>A quantitative comparison of at least three separately fabricated complete sensors was not identified.</x:v>
      </x:c>
      <x:c r="I319" s="9" t="str">
        <x:v>PDF pp. 2–12; Figs. 1–6; cited Supplementary Table S1 and Figs. S1–S21</x:v>
      </x:c>
    </x:row>
    <x:row r="320">
      <x:c r="A320" s="9" t="n">
        <x:v>40</x:v>
      </x:c>
      <x:c r="B320" s="9" t="str">
        <x:v>S052</x:v>
      </x:c>
      <x:c r="C320" s="9" t="str">
        <x:v>Li et al. (2026)</x:v>
      </x:c>
      <x:c r="D320" s="9" t="str">
        <x:v>Arch-Bridge-Inspired Auxetic Piezoelectric Nanogenerators for Machine Learning-Assisted Object Recognition</x:v>
      </x:c>
      <x:c r="E320" s="9" t="str">
        <x:v>D7</x:v>
      </x:c>
      <x:c r="F320" s="9" t="str">
        <x:v>Low concern</x:v>
      </x:c>
      <x:c r="G320" s="9" t="str">
        <x:v>Adjudicated to Reviewer 1</x:v>
      </x:c>
      <x:c r="H320" s="9" t="str">
        <x:v>Study-specific evidence is documented in the extraction and REB sheets.</x:v>
      </x:c>
      <x:c r="I320" s="9" t="str">
        <x:v>PDF pp. 2–12; Figs. 1–6; cited Supplementary Table S1 and Figs. S1–S21</x:v>
      </x:c>
    </x:row>
    <x:row r="321">
      <x:c r="A321" s="9" t="n">
        <x:v>40</x:v>
      </x:c>
      <x:c r="B321" s="9" t="str">
        <x:v>S052</x:v>
      </x:c>
      <x:c r="C321" s="9" t="str">
        <x:v>Li et al. (2026)</x:v>
      </x:c>
      <x:c r="D321" s="9" t="str">
        <x:v>Arch-Bridge-Inspired Auxetic Piezoelectric Nanogenerators for Machine Learning-Assisted Object Recognition</x:v>
      </x:c>
      <x:c r="E321" s="9" t="str">
        <x:v>D8</x:v>
      </x:c>
      <x:c r="F321" s="9" t="str">
        <x:v>Some concern</x:v>
      </x:c>
      <x:c r="G321" s="9" t="str">
        <x:v>Initial agreement</x:v>
      </x:c>
      <x:c r="H321" s="9" t="str">
        <x:v>The wearable configuration and extent of application testing are documented.</x:v>
      </x:c>
      <x:c r="I321" s="9" t="str">
        <x:v>PDF pp. 2–12; Figs. 1–6; cited Supplementary Table S1 and Figs. S1–S21</x:v>
      </x:c>
    </x:row>
    <x:row r="322">
      <x:c r="A322" s="9" t="n">
        <x:v>41</x:v>
      </x:c>
      <x:c r="B322" s="9" t="str">
        <x:v>S053</x:v>
      </x:c>
      <x:c r="C322" s="9" t="str">
        <x:v>Li et al. (2023)</x:v>
      </x:c>
      <x:c r="D322" s="9" t="str">
        <x:v>Ultra-Wide Range, High Sensitivity Piezoresistive Sensor Based on Triple Periodic Minimum Surface Construction</x:v>
      </x:c>
      <x:c r="E322" s="9" t="str">
        <x:v>D1</x:v>
      </x:c>
      <x:c r="F322" s="9" t="str">
        <x:v>Some concern</x:v>
      </x:c>
      <x:c r="G322" s="9" t="str">
        <x:v>Adjudicated to Reviewer 1</x:v>
      </x:c>
      <x:c r="H322" s="9" t="str">
        <x:v>Study-specific evidence is documented in the extraction and REB sheets.</x:v>
      </x:c>
      <x:c r="I322" s="9" t="str">
        <x:v>PDF pp. 3–13; Figs. 1–9</x:v>
      </x:c>
    </x:row>
    <x:row r="323">
      <x:c r="A323" s="9" t="n">
        <x:v>41</x:v>
      </x:c>
      <x:c r="B323" s="9" t="str">
        <x:v>S053</x:v>
      </x:c>
      <x:c r="C323" s="9" t="str">
        <x:v>Li et al. (2023)</x:v>
      </x:c>
      <x:c r="D323" s="9" t="str">
        <x:v>Ultra-Wide Range, High Sensitivity Piezoresistive Sensor Based on Triple Periodic Minimum Surface Construction</x:v>
      </x:c>
      <x:c r="E323" s="9" t="str">
        <x:v>D2</x:v>
      </x:c>
      <x:c r="F323" s="9" t="str">
        <x:v>Some concern</x:v>
      </x:c>
      <x:c r="G323" s="9" t="str">
        <x:v>Initial agreement</x:v>
      </x:c>
      <x:c r="H323" s="9" t="str">
        <x:v>Study-specific evidence is documented in the extraction and REB sheets.</x:v>
      </x:c>
      <x:c r="I323" s="9" t="str">
        <x:v>PDF pp. 3–13; Figs. 1–9</x:v>
      </x:c>
    </x:row>
    <x:row r="324">
      <x:c r="A324" s="9" t="n">
        <x:v>41</x:v>
      </x:c>
      <x:c r="B324" s="9" t="str">
        <x:v>S053</x:v>
      </x:c>
      <x:c r="C324" s="9" t="str">
        <x:v>Li et al. (2023)</x:v>
      </x:c>
      <x:c r="D324" s="9" t="str">
        <x:v>Ultra-Wide Range, High Sensitivity Piezoresistive Sensor Based on Triple Periodic Minimum Surface Construction</x:v>
      </x:c>
      <x:c r="E324" s="9" t="str">
        <x:v>D3</x:v>
      </x:c>
      <x:c r="F324" s="9" t="str">
        <x:v>Low concern</x:v>
      </x:c>
      <x:c r="G324" s="9" t="str">
        <x:v>Initial agreement</x:v>
      </x:c>
      <x:c r="H324" s="9" t="str">
        <x:v>Study-specific evidence is documented in the extraction and REB sheets.</x:v>
      </x:c>
      <x:c r="I324" s="9" t="str">
        <x:v>PDF pp. 3–13; Figs. 1–9</x:v>
      </x:c>
    </x:row>
    <x:row r="325">
      <x:c r="A325" s="9" t="n">
        <x:v>41</x:v>
      </x:c>
      <x:c r="B325" s="9" t="str">
        <x:v>S053</x:v>
      </x:c>
      <x:c r="C325" s="9" t="str">
        <x:v>Li et al. (2023)</x:v>
      </x:c>
      <x:c r="D325" s="9" t="str">
        <x:v>Ultra-Wide Range, High Sensitivity Piezoresistive Sensor Based on Triple Periodic Minimum Surface Construction</x:v>
      </x:c>
      <x:c r="E325" s="9" t="str">
        <x:v>D4</x:v>
      </x:c>
      <x:c r="F325" s="9" t="str">
        <x:v>Low concern</x:v>
      </x:c>
      <x:c r="G325" s="9" t="str">
        <x:v>Initial agreement</x:v>
      </x:c>
      <x:c r="H325" s="9" t="str">
        <x:v>Study-specific evidence is documented in the extraction and REB sheets.</x:v>
      </x:c>
      <x:c r="I325" s="9" t="str">
        <x:v>PDF pp. 3–13; Figs. 1–9</x:v>
      </x:c>
    </x:row>
    <x:row r="326">
      <x:c r="A326" s="9" t="n">
        <x:v>41</x:v>
      </x:c>
      <x:c r="B326" s="9" t="str">
        <x:v>S053</x:v>
      </x:c>
      <x:c r="C326" s="9" t="str">
        <x:v>Li et al. (2023)</x:v>
      </x:c>
      <x:c r="D326" s="9" t="str">
        <x:v>Ultra-Wide Range, High Sensitivity Piezoresistive Sensor Based on Triple Periodic Minimum Surface Construction</x:v>
      </x:c>
      <x:c r="E326" s="9" t="str">
        <x:v>D5</x:v>
      </x:c>
      <x:c r="F326" s="9" t="str">
        <x:v>Low concern</x:v>
      </x:c>
      <x:c r="G326" s="9" t="str">
        <x:v>Initial agreement</x:v>
      </x:c>
      <x:c r="H326" s="9" t="str">
        <x:v>Study-specific evidence is documented in the extraction and REB sheets.</x:v>
      </x:c>
      <x:c r="I326" s="9" t="str">
        <x:v>PDF pp. 3–13; Figs. 1–9</x:v>
      </x:c>
    </x:row>
    <x:row r="327">
      <x:c r="A327" s="9" t="n">
        <x:v>41</x:v>
      </x:c>
      <x:c r="B327" s="9" t="str">
        <x:v>S053</x:v>
      </x:c>
      <x:c r="C327" s="9" t="str">
        <x:v>Li et al. (2023)</x:v>
      </x:c>
      <x:c r="D327" s="9" t="str">
        <x:v>Ultra-Wide Range, High Sensitivity Piezoresistive Sensor Based on Triple Periodic Minimum Surface Construction</x:v>
      </x:c>
      <x:c r="E327" s="9" t="str">
        <x:v>D6</x:v>
      </x:c>
      <x:c r="F327" s="9" t="str">
        <x:v>High concern</x:v>
      </x:c>
      <x:c r="G327" s="9" t="str">
        <x:v>Initial agreement</x:v>
      </x:c>
      <x:c r="H327" s="9" t="str">
        <x:v>A quantitative comparison of at least three separately fabricated complete sensors was not identified.</x:v>
      </x:c>
      <x:c r="I327" s="9" t="str">
        <x:v>PDF pp. 3–13; Figs. 1–9</x:v>
      </x:c>
    </x:row>
    <x:row r="328">
      <x:c r="A328" s="9" t="n">
        <x:v>41</x:v>
      </x:c>
      <x:c r="B328" s="9" t="str">
        <x:v>S053</x:v>
      </x:c>
      <x:c r="C328" s="9" t="str">
        <x:v>Li et al. (2023)</x:v>
      </x:c>
      <x:c r="D328" s="9" t="str">
        <x:v>Ultra-Wide Range, High Sensitivity Piezoresistive Sensor Based on Triple Periodic Minimum Surface Construction</x:v>
      </x:c>
      <x:c r="E328" s="9" t="str">
        <x:v>D7</x:v>
      </x:c>
      <x:c r="F328" s="9" t="str">
        <x:v>Low concern</x:v>
      </x:c>
      <x:c r="G328" s="9" t="str">
        <x:v>Adjudicated to Reviewer 1</x:v>
      </x:c>
      <x:c r="H328" s="9" t="str">
        <x:v>Study-specific evidence is documented in the extraction and REB sheets.</x:v>
      </x:c>
      <x:c r="I328" s="9" t="str">
        <x:v>PDF pp. 3–13; Figs. 1–9</x:v>
      </x:c>
    </x:row>
    <x:row r="329">
      <x:c r="A329" s="9" t="n">
        <x:v>41</x:v>
      </x:c>
      <x:c r="B329" s="9" t="str">
        <x:v>S053</x:v>
      </x:c>
      <x:c r="C329" s="9" t="str">
        <x:v>Li et al. (2023)</x:v>
      </x:c>
      <x:c r="D329" s="9" t="str">
        <x:v>Ultra-Wide Range, High Sensitivity Piezoresistive Sensor Based on Triple Periodic Minimum Surface Construction</x:v>
      </x:c>
      <x:c r="E329" s="9" t="str">
        <x:v>D8</x:v>
      </x:c>
      <x:c r="F329" s="9" t="str">
        <x:v>Some concern</x:v>
      </x:c>
      <x:c r="G329" s="9" t="str">
        <x:v>Adjudicated to Reviewer 1</x:v>
      </x:c>
      <x:c r="H329" s="9" t="str">
        <x:v>The wearable configuration and extent of application testing are documented.</x:v>
      </x:c>
      <x:c r="I329" s="9" t="str">
        <x:v>PDF pp. 3–13; Figs. 1–9</x:v>
      </x:c>
    </x:row>
    <x:row r="330">
      <x:c r="A330" s="9" t="n">
        <x:v>42</x:v>
      </x:c>
      <x:c r="B330" s="9" t="str">
        <x:v>S054</x:v>
      </x:c>
      <x:c r="C330" s="9" t="str">
        <x:v>Chatzistergos et al. (2021)</x:v>
      </x:c>
      <x:c r="D330" s="9" t="str">
        <x:v>A Novel Concept for Low-Cost Non-Electronic Detection of Overloading in the Foot during Activities of Daily Living</x:v>
      </x:c>
      <x:c r="E330" s="9" t="str">
        <x:v>D1</x:v>
      </x:c>
      <x:c r="F330" s="9" t="str">
        <x:v>Low concern</x:v>
      </x:c>
      <x:c r="G330" s="9" t="str">
        <x:v>Adjudicated to Reviewer 1</x:v>
      </x:c>
      <x:c r="H330" s="9" t="str">
        <x:v>Study-specific evidence is documented in the extraction and REB sheets.</x:v>
      </x:c>
      <x:c r="I330" s="9" t="str">
        <x:v>PDF pp. 3–9; Figs. 1–7; Appendix 1</x:v>
      </x:c>
    </x:row>
    <x:row r="331">
      <x:c r="A331" s="9" t="n">
        <x:v>42</x:v>
      </x:c>
      <x:c r="B331" s="9" t="str">
        <x:v>S054</x:v>
      </x:c>
      <x:c r="C331" s="9" t="str">
        <x:v>Chatzistergos et al. (2021)</x:v>
      </x:c>
      <x:c r="D331" s="9" t="str">
        <x:v>A Novel Concept for Low-Cost Non-Electronic Detection of Overloading in the Foot during Activities of Daily Living</x:v>
      </x:c>
      <x:c r="E331" s="9" t="str">
        <x:v>D2</x:v>
      </x:c>
      <x:c r="F331" s="9" t="str">
        <x:v>Low concern</x:v>
      </x:c>
      <x:c r="G331" s="9" t="str">
        <x:v>Adjudicated to Reviewer 1</x:v>
      </x:c>
      <x:c r="H331" s="9" t="str">
        <x:v>Study-specific evidence is documented in the extraction and REB sheets.</x:v>
      </x:c>
      <x:c r="I331" s="9" t="str">
        <x:v>PDF pp. 3–9; Figs. 1–7; Appendix 1</x:v>
      </x:c>
    </x:row>
    <x:row r="332">
      <x:c r="A332" s="9" t="n">
        <x:v>42</x:v>
      </x:c>
      <x:c r="B332" s="9" t="str">
        <x:v>S054</x:v>
      </x:c>
      <x:c r="C332" s="9" t="str">
        <x:v>Chatzistergos et al. (2021)</x:v>
      </x:c>
      <x:c r="D332" s="9" t="str">
        <x:v>A Novel Concept for Low-Cost Non-Electronic Detection of Overloading in the Foot during Activities of Daily Living</x:v>
      </x:c>
      <x:c r="E332" s="9" t="str">
        <x:v>D3</x:v>
      </x:c>
      <x:c r="F332" s="9" t="str">
        <x:v>Low concern</x:v>
      </x:c>
      <x:c r="G332" s="9" t="str">
        <x:v>Adjudicated to Reviewer 1</x:v>
      </x:c>
      <x:c r="H332" s="9" t="str">
        <x:v>Study-specific evidence is documented in the extraction and REB sheets.</x:v>
      </x:c>
      <x:c r="I332" s="9" t="str">
        <x:v>PDF pp. 3–9; Figs. 1–7; Appendix 1</x:v>
      </x:c>
    </x:row>
    <x:row r="333">
      <x:c r="A333" s="9" t="n">
        <x:v>42</x:v>
      </x:c>
      <x:c r="B333" s="9" t="str">
        <x:v>S054</x:v>
      </x:c>
      <x:c r="C333" s="9" t="str">
        <x:v>Chatzistergos et al. (2021)</x:v>
      </x:c>
      <x:c r="D333" s="9" t="str">
        <x:v>A Novel Concept for Low-Cost Non-Electronic Detection of Overloading in the Foot during Activities of Daily Living</x:v>
      </x:c>
      <x:c r="E333" s="9" t="str">
        <x:v>D4</x:v>
      </x:c>
      <x:c r="F333" s="9" t="str">
        <x:v>Low concern</x:v>
      </x:c>
      <x:c r="G333" s="9" t="str">
        <x:v>Initial agreement</x:v>
      </x:c>
      <x:c r="H333" s="9" t="str">
        <x:v>Study-specific evidence is documented in the extraction and REB sheets.</x:v>
      </x:c>
      <x:c r="I333" s="9" t="str">
        <x:v>PDF pp. 3–9; Figs. 1–7; Appendix 1</x:v>
      </x:c>
    </x:row>
    <x:row r="334">
      <x:c r="A334" s="9" t="n">
        <x:v>42</x:v>
      </x:c>
      <x:c r="B334" s="9" t="str">
        <x:v>S054</x:v>
      </x:c>
      <x:c r="C334" s="9" t="str">
        <x:v>Chatzistergos et al. (2021)</x:v>
      </x:c>
      <x:c r="D334" s="9" t="str">
        <x:v>A Novel Concept for Low-Cost Non-Electronic Detection of Overloading in the Foot during Activities of Daily Living</x:v>
      </x:c>
      <x:c r="E334" s="9" t="str">
        <x:v>D5</x:v>
      </x:c>
      <x:c r="F334" s="9" t="str">
        <x:v>Low concern</x:v>
      </x:c>
      <x:c r="G334" s="9" t="str">
        <x:v>Initial agreement</x:v>
      </x:c>
      <x:c r="H334" s="9" t="str">
        <x:v>Study-specific evidence is documented in the extraction and REB sheets.</x:v>
      </x:c>
      <x:c r="I334" s="9" t="str">
        <x:v>PDF pp. 3–9; Figs. 1–7; Appendix 1</x:v>
      </x:c>
    </x:row>
    <x:row r="335">
      <x:c r="A335" s="9" t="n">
        <x:v>42</x:v>
      </x:c>
      <x:c r="B335" s="9" t="str">
        <x:v>S054</x:v>
      </x:c>
      <x:c r="C335" s="9" t="str">
        <x:v>Chatzistergos et al. (2021)</x:v>
      </x:c>
      <x:c r="D335" s="9" t="str">
        <x:v>A Novel Concept for Low-Cost Non-Electronic Detection of Overloading in the Foot during Activities of Daily Living</x:v>
      </x:c>
      <x:c r="E335" s="9" t="str">
        <x:v>D6</x:v>
      </x:c>
      <x:c r="F335" s="9" t="str">
        <x:v>Low concern</x:v>
      </x:c>
      <x:c r="G335" s="9" t="str">
        <x:v>Adjudicated to Reviewer 1</x:v>
      </x:c>
      <x:c r="H335" s="9" t="str">
        <x:v>At least three independently fabricated sensing units/specimens were quantitatively compared.</x:v>
      </x:c>
      <x:c r="I335" s="9" t="str">
        <x:v>PDF pp. 3–9; Figs. 1–7; Appendix 1</x:v>
      </x:c>
    </x:row>
    <x:row r="336">
      <x:c r="A336" s="9" t="n">
        <x:v>42</x:v>
      </x:c>
      <x:c r="B336" s="9" t="str">
        <x:v>S054</x:v>
      </x:c>
      <x:c r="C336" s="9" t="str">
        <x:v>Chatzistergos et al. (2021)</x:v>
      </x:c>
      <x:c r="D336" s="9" t="str">
        <x:v>A Novel Concept for Low-Cost Non-Electronic Detection of Overloading in the Foot during Activities of Daily Living</x:v>
      </x:c>
      <x:c r="E336" s="9" t="str">
        <x:v>D7</x:v>
      </x:c>
      <x:c r="F336" s="9" t="str">
        <x:v>Low concern</x:v>
      </x:c>
      <x:c r="G336" s="9" t="str">
        <x:v>Adjudicated to Reviewer 1</x:v>
      </x:c>
      <x:c r="H336" s="9" t="str">
        <x:v>Study-specific evidence is documented in the extraction and REB sheets.</x:v>
      </x:c>
      <x:c r="I336" s="9" t="str">
        <x:v>PDF pp. 3–9; Figs. 1–7; Appendix 1</x:v>
      </x:c>
    </x:row>
    <x:row r="337">
      <x:c r="A337" s="9" t="n">
        <x:v>42</x:v>
      </x:c>
      <x:c r="B337" s="9" t="str">
        <x:v>S054</x:v>
      </x:c>
      <x:c r="C337" s="9" t="str">
        <x:v>Chatzistergos et al. (2021)</x:v>
      </x:c>
      <x:c r="D337" s="9" t="str">
        <x:v>A Novel Concept for Low-Cost Non-Electronic Detection of Overloading in the Foot during Activities of Daily Living</x:v>
      </x:c>
      <x:c r="E337" s="9" t="str">
        <x:v>D8</x:v>
      </x:c>
      <x:c r="F337" s="9" t="str">
        <x:v>Some concern</x:v>
      </x:c>
      <x:c r="G337" s="9" t="str">
        <x:v>Initial agreement</x:v>
      </x:c>
      <x:c r="H337" s="9" t="str">
        <x:v>Wearable relevance is based on a footwear-specific bench simulation; the final in-shoe assembly was not tested.</x:v>
      </x:c>
      <x:c r="I337" s="9" t="str">
        <x:v>PDF pp. 3–9; Figs. 1–7; Appendix 1</x:v>
      </x:c>
    </x:row>
    <x:row r="338">
      <x:c r="A338" s="9" t="n">
        <x:v>43</x:v>
      </x:c>
      <x:c r="B338" s="9" t="str">
        <x:v>S055</x:v>
      </x:c>
      <x:c r="C338" s="9" t="str">
        <x:v>Ben Harrath et al. (2026)</x:v>
      </x:c>
      <x:c r="D338" s="9" t="str">
        <x:v>In-Situ Electrically Polarized Fused Deposition Modeling of PVDF for High-Performance Flexible Piezoelectric Sensors</x:v>
      </x:c>
      <x:c r="E338" s="9" t="str">
        <x:v>D1</x:v>
      </x:c>
      <x:c r="F338" s="9" t="str">
        <x:v>Some concern</x:v>
      </x:c>
      <x:c r="G338" s="9" t="str">
        <x:v>Initial agreement</x:v>
      </x:c>
      <x:c r="H338" s="9" t="str">
        <x:v>Study-specific evidence is documented in the extraction and REB sheets.</x:v>
      </x:c>
      <x:c r="I338" s="9" t="str">
        <x:v>PDF pp. 3–9; Figs. 1–10</x:v>
      </x:c>
    </x:row>
    <x:row r="339">
      <x:c r="A339" s="9" t="n">
        <x:v>43</x:v>
      </x:c>
      <x:c r="B339" s="9" t="str">
        <x:v>S055</x:v>
      </x:c>
      <x:c r="C339" s="9" t="str">
        <x:v>Ben Harrath et al. (2026)</x:v>
      </x:c>
      <x:c r="D339" s="9" t="str">
        <x:v>In-Situ Electrically Polarized Fused Deposition Modeling of PVDF for High-Performance Flexible Piezoelectric Sensors</x:v>
      </x:c>
      <x:c r="E339" s="9" t="str">
        <x:v>D2</x:v>
      </x:c>
      <x:c r="F339" s="9" t="str">
        <x:v>Some concern</x:v>
      </x:c>
      <x:c r="G339" s="9" t="str">
        <x:v>Adjudicated to Reviewer 1</x:v>
      </x:c>
      <x:c r="H339" s="9" t="str">
        <x:v>Study-specific evidence is documented in the extraction and REB sheets.</x:v>
      </x:c>
      <x:c r="I339" s="9" t="str">
        <x:v>PDF pp. 3–9; Figs. 1–10</x:v>
      </x:c>
    </x:row>
    <x:row r="340">
      <x:c r="A340" s="9" t="n">
        <x:v>43</x:v>
      </x:c>
      <x:c r="B340" s="9" t="str">
        <x:v>S055</x:v>
      </x:c>
      <x:c r="C340" s="9" t="str">
        <x:v>Ben Harrath et al. (2026)</x:v>
      </x:c>
      <x:c r="D340" s="9" t="str">
        <x:v>In-Situ Electrically Polarized Fused Deposition Modeling of PVDF for High-Performance Flexible Piezoelectric Sensors</x:v>
      </x:c>
      <x:c r="E340" s="9" t="str">
        <x:v>D3</x:v>
      </x:c>
      <x:c r="F340" s="9" t="str">
        <x:v>Low concern</x:v>
      </x:c>
      <x:c r="G340" s="9" t="str">
        <x:v>Adjudicated to Reviewer 1</x:v>
      </x:c>
      <x:c r="H340" s="9" t="str">
        <x:v>Study-specific evidence is documented in the extraction and REB sheets.</x:v>
      </x:c>
      <x:c r="I340" s="9" t="str">
        <x:v>PDF pp. 3–9; Figs. 1–10</x:v>
      </x:c>
    </x:row>
    <x:row r="341">
      <x:c r="A341" s="9" t="n">
        <x:v>43</x:v>
      </x:c>
      <x:c r="B341" s="9" t="str">
        <x:v>S055</x:v>
      </x:c>
      <x:c r="C341" s="9" t="str">
        <x:v>Ben Harrath et al. (2026)</x:v>
      </x:c>
      <x:c r="D341" s="9" t="str">
        <x:v>In-Situ Electrically Polarized Fused Deposition Modeling of PVDF for High-Performance Flexible Piezoelectric Sensors</x:v>
      </x:c>
      <x:c r="E341" s="9" t="str">
        <x:v>D4</x:v>
      </x:c>
      <x:c r="F341" s="9" t="str">
        <x:v>Low concern</x:v>
      </x:c>
      <x:c r="G341" s="9" t="str">
        <x:v>Initial agreement</x:v>
      </x:c>
      <x:c r="H341" s="9" t="str">
        <x:v>Study-specific evidence is documented in the extraction and REB sheets.</x:v>
      </x:c>
      <x:c r="I341" s="9" t="str">
        <x:v>PDF pp. 3–9; Figs. 1–10</x:v>
      </x:c>
    </x:row>
    <x:row r="342">
      <x:c r="A342" s="9" t="n">
        <x:v>43</x:v>
      </x:c>
      <x:c r="B342" s="9" t="str">
        <x:v>S055</x:v>
      </x:c>
      <x:c r="C342" s="9" t="str">
        <x:v>Ben Harrath et al. (2026)</x:v>
      </x:c>
      <x:c r="D342" s="9" t="str">
        <x:v>In-Situ Electrically Polarized Fused Deposition Modeling of PVDF for High-Performance Flexible Piezoelectric Sensors</x:v>
      </x:c>
      <x:c r="E342" s="9" t="str">
        <x:v>D5</x:v>
      </x:c>
      <x:c r="F342" s="9" t="str">
        <x:v>Low concern</x:v>
      </x:c>
      <x:c r="G342" s="9" t="str">
        <x:v>Initial agreement</x:v>
      </x:c>
      <x:c r="H342" s="9" t="str">
        <x:v>Study-specific evidence is documented in the extraction and REB sheets.</x:v>
      </x:c>
      <x:c r="I342" s="9" t="str">
        <x:v>PDF pp. 3–9; Figs. 1–10</x:v>
      </x:c>
    </x:row>
    <x:row r="343">
      <x:c r="A343" s="9" t="n">
        <x:v>43</x:v>
      </x:c>
      <x:c r="B343" s="9" t="str">
        <x:v>S055</x:v>
      </x:c>
      <x:c r="C343" s="9" t="str">
        <x:v>Ben Harrath et al. (2026)</x:v>
      </x:c>
      <x:c r="D343" s="9" t="str">
        <x:v>In-Situ Electrically Polarized Fused Deposition Modeling of PVDF for High-Performance Flexible Piezoelectric Sensors</x:v>
      </x:c>
      <x:c r="E343" s="9" t="str">
        <x:v>D6</x:v>
      </x:c>
      <x:c r="F343" s="9" t="str">
        <x:v>High concern</x:v>
      </x:c>
      <x:c r="G343" s="9" t="str">
        <x:v>Initial agreement</x:v>
      </x:c>
      <x:c r="H343" s="9" t="str">
        <x:v>A quantitative comparison of at least three separately fabricated complete sensors was not identified.</x:v>
      </x:c>
      <x:c r="I343" s="9" t="str">
        <x:v>PDF pp. 3–9; Figs. 1–10</x:v>
      </x:c>
    </x:row>
    <x:row r="344">
      <x:c r="A344" s="9" t="n">
        <x:v>43</x:v>
      </x:c>
      <x:c r="B344" s="9" t="str">
        <x:v>S055</x:v>
      </x:c>
      <x:c r="C344" s="9" t="str">
        <x:v>Ben Harrath et al. (2026)</x:v>
      </x:c>
      <x:c r="D344" s="9" t="str">
        <x:v>In-Situ Electrically Polarized Fused Deposition Modeling of PVDF for High-Performance Flexible Piezoelectric Sensors</x:v>
      </x:c>
      <x:c r="E344" s="9" t="str">
        <x:v>D7</x:v>
      </x:c>
      <x:c r="F344" s="9" t="str">
        <x:v>Low concern</x:v>
      </x:c>
      <x:c r="G344" s="9" t="str">
        <x:v>Initial agreement</x:v>
      </x:c>
      <x:c r="H344" s="9" t="str">
        <x:v>Study-specific evidence is documented in the extraction and REB sheets.</x:v>
      </x:c>
      <x:c r="I344" s="9" t="str">
        <x:v>PDF pp. 3–9; Figs. 1–10</x:v>
      </x:c>
    </x:row>
    <x:row r="345">
      <x:c r="A345" s="9" t="n">
        <x:v>43</x:v>
      </x:c>
      <x:c r="B345" s="9" t="str">
        <x:v>S055</x:v>
      </x:c>
      <x:c r="C345" s="9" t="str">
        <x:v>Ben Harrath et al. (2026)</x:v>
      </x:c>
      <x:c r="D345" s="9" t="str">
        <x:v>In-Situ Electrically Polarized Fused Deposition Modeling of PVDF for High-Performance Flexible Piezoelectric Sensors</x:v>
      </x:c>
      <x:c r="E345" s="9" t="str">
        <x:v>D8</x:v>
      </x:c>
      <x:c r="F345" s="9" t="str">
        <x:v>Some concern</x:v>
      </x:c>
      <x:c r="G345" s="9" t="str">
        <x:v>Adjudicated to Reviewer 1</x:v>
      </x:c>
      <x:c r="H345" s="9" t="str">
        <x:v>The wearable configuration and extent of application testing are documented.</x:v>
      </x:c>
      <x:c r="I345" s="9" t="str">
        <x:v>PDF pp. 3–9; Figs. 1–10</x:v>
      </x:c>
    </x:row>
    <x:row r="346">
      <x:c r="A346" s="9" t="n">
        <x:v>44</x:v>
      </x:c>
      <x:c r="B346" s="9" t="str">
        <x:v>S056</x:v>
      </x:c>
      <x:c r="C346" s="9" t="str">
        <x:v>Wei et al. (2026)</x:v>
      </x:c>
      <x:c r="D346" s="9" t="str">
        <x:v>A 3D-Printable Polymer Composite with Synergistic Electromechanical Properties for Ubiquitous Sensing</x:v>
      </x:c>
      <x:c r="E346" s="9" t="str">
        <x:v>D1</x:v>
      </x:c>
      <x:c r="F346" s="9" t="str">
        <x:v>Some concern</x:v>
      </x:c>
      <x:c r="G346" s="9" t="str">
        <x:v>Initial agreement</x:v>
      </x:c>
      <x:c r="H346" s="9" t="str">
        <x:v>Study-specific evidence is documented in the extraction and REB sheets.</x:v>
      </x:c>
      <x:c r="I346" s="9" t="str">
        <x:v>PDF pp. 3–15; Figs. 1–9; Tables 1–2</x:v>
      </x:c>
    </x:row>
    <x:row r="347">
      <x:c r="A347" s="9" t="n">
        <x:v>44</x:v>
      </x:c>
      <x:c r="B347" s="9" t="str">
        <x:v>S056</x:v>
      </x:c>
      <x:c r="C347" s="9" t="str">
        <x:v>Wei et al. (2026)</x:v>
      </x:c>
      <x:c r="D347" s="9" t="str">
        <x:v>A 3D-Printable Polymer Composite with Synergistic Electromechanical Properties for Ubiquitous Sensing</x:v>
      </x:c>
      <x:c r="E347" s="9" t="str">
        <x:v>D2</x:v>
      </x:c>
      <x:c r="F347" s="9" t="str">
        <x:v>Some concern</x:v>
      </x:c>
      <x:c r="G347" s="9" t="str">
        <x:v>Adjudicated to Reviewer 1</x:v>
      </x:c>
      <x:c r="H347" s="9" t="str">
        <x:v>Study-specific evidence is documented in the extraction and REB sheets.</x:v>
      </x:c>
      <x:c r="I347" s="9" t="str">
        <x:v>PDF pp. 3–15; Figs. 1–9; Tables 1–2</x:v>
      </x:c>
    </x:row>
    <x:row r="348">
      <x:c r="A348" s="9" t="n">
        <x:v>44</x:v>
      </x:c>
      <x:c r="B348" s="9" t="str">
        <x:v>S056</x:v>
      </x:c>
      <x:c r="C348" s="9" t="str">
        <x:v>Wei et al. (2026)</x:v>
      </x:c>
      <x:c r="D348" s="9" t="str">
        <x:v>A 3D-Printable Polymer Composite with Synergistic Electromechanical Properties for Ubiquitous Sensing</x:v>
      </x:c>
      <x:c r="E348" s="9" t="str">
        <x:v>D3</x:v>
      </x:c>
      <x:c r="F348" s="9" t="str">
        <x:v>Low concern</x:v>
      </x:c>
      <x:c r="G348" s="9" t="str">
        <x:v>Initial agreement</x:v>
      </x:c>
      <x:c r="H348" s="9" t="str">
        <x:v>Study-specific evidence is documented in the extraction and REB sheets.</x:v>
      </x:c>
      <x:c r="I348" s="9" t="str">
        <x:v>PDF pp. 3–15; Figs. 1–9; Tables 1–2</x:v>
      </x:c>
    </x:row>
    <x:row r="349">
      <x:c r="A349" s="9" t="n">
        <x:v>44</x:v>
      </x:c>
      <x:c r="B349" s="9" t="str">
        <x:v>S056</x:v>
      </x:c>
      <x:c r="C349" s="9" t="str">
        <x:v>Wei et al. (2026)</x:v>
      </x:c>
      <x:c r="D349" s="9" t="str">
        <x:v>A 3D-Printable Polymer Composite with Synergistic Electromechanical Properties for Ubiquitous Sensing</x:v>
      </x:c>
      <x:c r="E349" s="9" t="str">
        <x:v>D4</x:v>
      </x:c>
      <x:c r="F349" s="9" t="str">
        <x:v>Low concern</x:v>
      </x:c>
      <x:c r="G349" s="9" t="str">
        <x:v>Initial agreement</x:v>
      </x:c>
      <x:c r="H349" s="9" t="str">
        <x:v>Study-specific evidence is documented in the extraction and REB sheets.</x:v>
      </x:c>
      <x:c r="I349" s="9" t="str">
        <x:v>PDF pp. 3–15; Figs. 1–9; Tables 1–2</x:v>
      </x:c>
    </x:row>
    <x:row r="350">
      <x:c r="A350" s="9" t="n">
        <x:v>44</x:v>
      </x:c>
      <x:c r="B350" s="9" t="str">
        <x:v>S056</x:v>
      </x:c>
      <x:c r="C350" s="9" t="str">
        <x:v>Wei et al. (2026)</x:v>
      </x:c>
      <x:c r="D350" s="9" t="str">
        <x:v>A 3D-Printable Polymer Composite with Synergistic Electromechanical Properties for Ubiquitous Sensing</x:v>
      </x:c>
      <x:c r="E350" s="9" t="str">
        <x:v>D5</x:v>
      </x:c>
      <x:c r="F350" s="9" t="str">
        <x:v>Low concern</x:v>
      </x:c>
      <x:c r="G350" s="9" t="str">
        <x:v>Initial agreement</x:v>
      </x:c>
      <x:c r="H350" s="9" t="str">
        <x:v>Study-specific evidence is documented in the extraction and REB sheets.</x:v>
      </x:c>
      <x:c r="I350" s="9" t="str">
        <x:v>PDF pp. 3–15; Figs. 1–9; Tables 1–2</x:v>
      </x:c>
    </x:row>
    <x:row r="351">
      <x:c r="A351" s="9" t="n">
        <x:v>44</x:v>
      </x:c>
      <x:c r="B351" s="9" t="str">
        <x:v>S056</x:v>
      </x:c>
      <x:c r="C351" s="9" t="str">
        <x:v>Wei et al. (2026)</x:v>
      </x:c>
      <x:c r="D351" s="9" t="str">
        <x:v>A 3D-Printable Polymer Composite with Synergistic Electromechanical Properties for Ubiquitous Sensing</x:v>
      </x:c>
      <x:c r="E351" s="9" t="str">
        <x:v>D6</x:v>
      </x:c>
      <x:c r="F351" s="9" t="str">
        <x:v>High concern</x:v>
      </x:c>
      <x:c r="G351" s="9" t="str">
        <x:v>Initial agreement</x:v>
      </x:c>
      <x:c r="H351" s="9" t="str">
        <x:v>A quantitative comparison of at least three separately fabricated complete sensors was not identified.</x:v>
      </x:c>
      <x:c r="I351" s="9" t="str">
        <x:v>PDF pp. 3–15; Figs. 1–9; Tables 1–2</x:v>
      </x:c>
    </x:row>
    <x:row r="352">
      <x:c r="A352" s="9" t="n">
        <x:v>44</x:v>
      </x:c>
      <x:c r="B352" s="9" t="str">
        <x:v>S056</x:v>
      </x:c>
      <x:c r="C352" s="9" t="str">
        <x:v>Wei et al. (2026)</x:v>
      </x:c>
      <x:c r="D352" s="9" t="str">
        <x:v>A 3D-Printable Polymer Composite with Synergistic Electromechanical Properties for Ubiquitous Sensing</x:v>
      </x:c>
      <x:c r="E352" s="9" t="str">
        <x:v>D7</x:v>
      </x:c>
      <x:c r="F352" s="9" t="str">
        <x:v>Low concern</x:v>
      </x:c>
      <x:c r="G352" s="9" t="str">
        <x:v>Adjudicated to Reviewer 1</x:v>
      </x:c>
      <x:c r="H352" s="9" t="str">
        <x:v>Study-specific evidence is documented in the extraction and REB sheets.</x:v>
      </x:c>
      <x:c r="I352" s="9" t="str">
        <x:v>PDF pp. 3–15; Figs. 1–9; Tables 1–2</x:v>
      </x:c>
    </x:row>
    <x:row r="353">
      <x:c r="A353" s="9" t="n">
        <x:v>44</x:v>
      </x:c>
      <x:c r="B353" s="9" t="str">
        <x:v>S056</x:v>
      </x:c>
      <x:c r="C353" s="9" t="str">
        <x:v>Wei et al. (2026)</x:v>
      </x:c>
      <x:c r="D353" s="9" t="str">
        <x:v>A 3D-Printable Polymer Composite with Synergistic Electromechanical Properties for Ubiquitous Sensing</x:v>
      </x:c>
      <x:c r="E353" s="9" t="str">
        <x:v>D8</x:v>
      </x:c>
      <x:c r="F353" s="9" t="str">
        <x:v>Some concern</x:v>
      </x:c>
      <x:c r="G353" s="9" t="str">
        <x:v>Adjudicated to Reviewer 1</x:v>
      </x:c>
      <x:c r="H353" s="9" t="str">
        <x:v>The wearable configuration and extent of application testing are documented.</x:v>
      </x:c>
      <x:c r="I353" s="9" t="str">
        <x:v>PDF pp. 3–15; Figs. 1–9; Tables 1–2</x:v>
      </x:c>
    </x:row>
    <x:row r="354">
      <x:c r="A354" s="9" t="n">
        <x:v>45</x:v>
      </x:c>
      <x:c r="B354" s="9" t="str">
        <x:v>S057</x:v>
      </x:c>
      <x:c r="C354" s="9" t="str">
        <x:v>Wei et al. (2026)</x:v>
      </x:c>
      <x:c r="D354" s="9" t="str">
        <x:v>Synergistic Design of TPU/CNT Composite-Based Flexible Sensors with TPMS Porous Structures for Full-Range Human Motion Monitoring</x:v>
      </x:c>
      <x:c r="E354" s="9" t="str">
        <x:v>D1</x:v>
      </x:c>
      <x:c r="F354" s="9" t="str">
        <x:v>Some concern</x:v>
      </x:c>
      <x:c r="G354" s="9" t="str">
        <x:v>Initial agreement</x:v>
      </x:c>
      <x:c r="H354" s="9" t="str">
        <x:v>Study-specific evidence is documented in the extraction and REB sheets.</x:v>
      </x:c>
      <x:c r="I354" s="9" t="str">
        <x:v>PDF pp. 3–15; Figs. 1–10</x:v>
      </x:c>
    </x:row>
    <x:row r="355">
      <x:c r="A355" s="9" t="n">
        <x:v>45</x:v>
      </x:c>
      <x:c r="B355" s="9" t="str">
        <x:v>S057</x:v>
      </x:c>
      <x:c r="C355" s="9" t="str">
        <x:v>Wei et al. (2026)</x:v>
      </x:c>
      <x:c r="D355" s="9" t="str">
        <x:v>Synergistic Design of TPU/CNT Composite-Based Flexible Sensors with TPMS Porous Structures for Full-Range Human Motion Monitoring</x:v>
      </x:c>
      <x:c r="E355" s="9" t="str">
        <x:v>D2</x:v>
      </x:c>
      <x:c r="F355" s="9" t="str">
        <x:v>Some concern</x:v>
      </x:c>
      <x:c r="G355" s="9" t="str">
        <x:v>Adjudicated to Reviewer 1</x:v>
      </x:c>
      <x:c r="H355" s="9" t="str">
        <x:v>Study-specific evidence is documented in the extraction and REB sheets.</x:v>
      </x:c>
      <x:c r="I355" s="9" t="str">
        <x:v>PDF pp. 3–15; Figs. 1–10</x:v>
      </x:c>
    </x:row>
    <x:row r="356">
      <x:c r="A356" s="9" t="n">
        <x:v>45</x:v>
      </x:c>
      <x:c r="B356" s="9" t="str">
        <x:v>S057</x:v>
      </x:c>
      <x:c r="C356" s="9" t="str">
        <x:v>Wei et al. (2026)</x:v>
      </x:c>
      <x:c r="D356" s="9" t="str">
        <x:v>Synergistic Design of TPU/CNT Composite-Based Flexible Sensors with TPMS Porous Structures for Full-Range Human Motion Monitoring</x:v>
      </x:c>
      <x:c r="E356" s="9" t="str">
        <x:v>D3</x:v>
      </x:c>
      <x:c r="F356" s="9" t="str">
        <x:v>Low concern</x:v>
      </x:c>
      <x:c r="G356" s="9" t="str">
        <x:v>Initial agreement</x:v>
      </x:c>
      <x:c r="H356" s="9" t="str">
        <x:v>Study-specific evidence is documented in the extraction and REB sheets.</x:v>
      </x:c>
      <x:c r="I356" s="9" t="str">
        <x:v>PDF pp. 3–15; Figs. 1–10</x:v>
      </x:c>
    </x:row>
    <x:row r="357">
      <x:c r="A357" s="9" t="n">
        <x:v>45</x:v>
      </x:c>
      <x:c r="B357" s="9" t="str">
        <x:v>S057</x:v>
      </x:c>
      <x:c r="C357" s="9" t="str">
        <x:v>Wei et al. (2026)</x:v>
      </x:c>
      <x:c r="D357" s="9" t="str">
        <x:v>Synergistic Design of TPU/CNT Composite-Based Flexible Sensors with TPMS Porous Structures for Full-Range Human Motion Monitoring</x:v>
      </x:c>
      <x:c r="E357" s="9" t="str">
        <x:v>D4</x:v>
      </x:c>
      <x:c r="F357" s="9" t="str">
        <x:v>Low concern</x:v>
      </x:c>
      <x:c r="G357" s="9" t="str">
        <x:v>Initial agreement</x:v>
      </x:c>
      <x:c r="H357" s="9" t="str">
        <x:v>Study-specific evidence is documented in the extraction and REB sheets.</x:v>
      </x:c>
      <x:c r="I357" s="9" t="str">
        <x:v>PDF pp. 3–15; Figs. 1–10</x:v>
      </x:c>
    </x:row>
    <x:row r="358">
      <x:c r="A358" s="9" t="n">
        <x:v>45</x:v>
      </x:c>
      <x:c r="B358" s="9" t="str">
        <x:v>S057</x:v>
      </x:c>
      <x:c r="C358" s="9" t="str">
        <x:v>Wei et al. (2026)</x:v>
      </x:c>
      <x:c r="D358" s="9" t="str">
        <x:v>Synergistic Design of TPU/CNT Composite-Based Flexible Sensors with TPMS Porous Structures for Full-Range Human Motion Monitoring</x:v>
      </x:c>
      <x:c r="E358" s="9" t="str">
        <x:v>D5</x:v>
      </x:c>
      <x:c r="F358" s="9" t="str">
        <x:v>Low concern</x:v>
      </x:c>
      <x:c r="G358" s="9" t="str">
        <x:v>Initial agreement</x:v>
      </x:c>
      <x:c r="H358" s="9" t="str">
        <x:v>Study-specific evidence is documented in the extraction and REB sheets.</x:v>
      </x:c>
      <x:c r="I358" s="9" t="str">
        <x:v>PDF pp. 3–15; Figs. 1–10</x:v>
      </x:c>
    </x:row>
    <x:row r="359">
      <x:c r="A359" s="9" t="n">
        <x:v>45</x:v>
      </x:c>
      <x:c r="B359" s="9" t="str">
        <x:v>S057</x:v>
      </x:c>
      <x:c r="C359" s="9" t="str">
        <x:v>Wei et al. (2026)</x:v>
      </x:c>
      <x:c r="D359" s="9" t="str">
        <x:v>Synergistic Design of TPU/CNT Composite-Based Flexible Sensors with TPMS Porous Structures for Full-Range Human Motion Monitoring</x:v>
      </x:c>
      <x:c r="E359" s="9" t="str">
        <x:v>D6</x:v>
      </x:c>
      <x:c r="F359" s="9" t="str">
        <x:v>High concern</x:v>
      </x:c>
      <x:c r="G359" s="9" t="str">
        <x:v>Initial agreement</x:v>
      </x:c>
      <x:c r="H359" s="9" t="str">
        <x:v>A quantitative comparison of at least three separately fabricated complete sensors was not identified.</x:v>
      </x:c>
      <x:c r="I359" s="9" t="str">
        <x:v>PDF pp. 3–15; Figs. 1–10</x:v>
      </x:c>
    </x:row>
    <x:row r="360">
      <x:c r="A360" s="9" t="n">
        <x:v>45</x:v>
      </x:c>
      <x:c r="B360" s="9" t="str">
        <x:v>S057</x:v>
      </x:c>
      <x:c r="C360" s="9" t="str">
        <x:v>Wei et al. (2026)</x:v>
      </x:c>
      <x:c r="D360" s="9" t="str">
        <x:v>Synergistic Design of TPU/CNT Composite-Based Flexible Sensors with TPMS Porous Structures for Full-Range Human Motion Monitoring</x:v>
      </x:c>
      <x:c r="E360" s="9" t="str">
        <x:v>D7</x:v>
      </x:c>
      <x:c r="F360" s="9" t="str">
        <x:v>Low concern</x:v>
      </x:c>
      <x:c r="G360" s="9" t="str">
        <x:v>Initial agreement</x:v>
      </x:c>
      <x:c r="H360" s="9" t="str">
        <x:v>Study-specific evidence is documented in the extraction and REB sheets.</x:v>
      </x:c>
      <x:c r="I360" s="9" t="str">
        <x:v>PDF pp. 3–15; Figs. 1–10</x:v>
      </x:c>
    </x:row>
    <x:row r="361">
      <x:c r="A361" s="9" t="n">
        <x:v>45</x:v>
      </x:c>
      <x:c r="B361" s="9" t="str">
        <x:v>S057</x:v>
      </x:c>
      <x:c r="C361" s="9" t="str">
        <x:v>Wei et al. (2026)</x:v>
      </x:c>
      <x:c r="D361" s="9" t="str">
        <x:v>Synergistic Design of TPU/CNT Composite-Based Flexible Sensors with TPMS Porous Structures for Full-Range Human Motion Monitoring</x:v>
      </x:c>
      <x:c r="E361" s="9" t="str">
        <x:v>D8</x:v>
      </x:c>
      <x:c r="F361" s="9" t="str">
        <x:v>Some concern</x:v>
      </x:c>
      <x:c r="G361" s="9" t="str">
        <x:v>Adjudicated to Reviewer 1</x:v>
      </x:c>
      <x:c r="H361" s="9" t="str">
        <x:v>The wearable configuration and extent of application testing are documented.</x:v>
      </x:c>
      <x:c r="I361" s="9" t="str">
        <x:v>PDF pp. 3–15; Figs. 1–10</x:v>
      </x:c>
    </x:row>
    <x:row r="362">
      <x:c r="A362" s="9" t="n">
        <x:v>46</x:v>
      </x:c>
      <x:c r="B362" s="9" t="str">
        <x:v>S058</x:v>
      </x:c>
      <x:c r="C362" s="9" t="str">
        <x:v>Yang et al. (2026)</x:v>
      </x:c>
      <x:c r="D362" s="9" t="str">
        <x:v>Standardized Batch-Manufacturable Triboelectric Sensor Arrays for Deep Learning-Enabled Race-Walking State Recognition</x:v>
      </x:c>
      <x:c r="E362" s="9" t="str">
        <x:v>D1</x:v>
      </x:c>
      <x:c r="F362" s="9" t="str">
        <x:v>Some concern</x:v>
      </x:c>
      <x:c r="G362" s="9" t="str">
        <x:v>Adjudicated to Reviewer 1</x:v>
      </x:c>
      <x:c r="H362" s="9" t="str">
        <x:v>Study-specific evidence is documented in the extraction and REB sheets.</x:v>
      </x:c>
      <x:c r="I362" s="9" t="str">
        <x:v>PDF pp. 3–13; Figs. 1–8; cited Supplementary Table S1</x:v>
      </x:c>
    </x:row>
    <x:row r="363">
      <x:c r="A363" s="9" t="n">
        <x:v>46</x:v>
      </x:c>
      <x:c r="B363" s="9" t="str">
        <x:v>S058</x:v>
      </x:c>
      <x:c r="C363" s="9" t="str">
        <x:v>Yang et al. (2026)</x:v>
      </x:c>
      <x:c r="D363" s="9" t="str">
        <x:v>Standardized Batch-Manufacturable Triboelectric Sensor Arrays for Deep Learning-Enabled Race-Walking State Recognition</x:v>
      </x:c>
      <x:c r="E363" s="9" t="str">
        <x:v>D2</x:v>
      </x:c>
      <x:c r="F363" s="9" t="str">
        <x:v>Low concern</x:v>
      </x:c>
      <x:c r="G363" s="9" t="str">
        <x:v>Adjudicated to Reviewer 1</x:v>
      </x:c>
      <x:c r="H363" s="9" t="str">
        <x:v>Study-specific evidence is documented in the extraction and REB sheets.</x:v>
      </x:c>
      <x:c r="I363" s="9" t="str">
        <x:v>PDF pp. 3–13; Figs. 1–8; cited Supplementary Table S1</x:v>
      </x:c>
    </x:row>
    <x:row r="364">
      <x:c r="A364" s="9" t="n">
        <x:v>46</x:v>
      </x:c>
      <x:c r="B364" s="9" t="str">
        <x:v>S058</x:v>
      </x:c>
      <x:c r="C364" s="9" t="str">
        <x:v>Yang et al. (2026)</x:v>
      </x:c>
      <x:c r="D364" s="9" t="str">
        <x:v>Standardized Batch-Manufacturable Triboelectric Sensor Arrays for Deep Learning-Enabled Race-Walking State Recognition</x:v>
      </x:c>
      <x:c r="E364" s="9" t="str">
        <x:v>D3</x:v>
      </x:c>
      <x:c r="F364" s="9" t="str">
        <x:v>Low concern</x:v>
      </x:c>
      <x:c r="G364" s="9" t="str">
        <x:v>Initial agreement</x:v>
      </x:c>
      <x:c r="H364" s="9" t="str">
        <x:v>Study-specific evidence is documented in the extraction and REB sheets.</x:v>
      </x:c>
      <x:c r="I364" s="9" t="str">
        <x:v>PDF pp. 3–13; Figs. 1–8; cited Supplementary Table S1</x:v>
      </x:c>
    </x:row>
    <x:row r="365">
      <x:c r="A365" s="9" t="n">
        <x:v>46</x:v>
      </x:c>
      <x:c r="B365" s="9" t="str">
        <x:v>S058</x:v>
      </x:c>
      <x:c r="C365" s="9" t="str">
        <x:v>Yang et al. (2026)</x:v>
      </x:c>
      <x:c r="D365" s="9" t="str">
        <x:v>Standardized Batch-Manufacturable Triboelectric Sensor Arrays for Deep Learning-Enabled Race-Walking State Recognition</x:v>
      </x:c>
      <x:c r="E365" s="9" t="str">
        <x:v>D4</x:v>
      </x:c>
      <x:c r="F365" s="9" t="str">
        <x:v>Low concern</x:v>
      </x:c>
      <x:c r="G365" s="9" t="str">
        <x:v>Initial agreement</x:v>
      </x:c>
      <x:c r="H365" s="9" t="str">
        <x:v>Study-specific evidence is documented in the extraction and REB sheets.</x:v>
      </x:c>
      <x:c r="I365" s="9" t="str">
        <x:v>PDF pp. 3–13; Figs. 1–8; cited Supplementary Table S1</x:v>
      </x:c>
    </x:row>
    <x:row r="366">
      <x:c r="A366" s="9" t="n">
        <x:v>46</x:v>
      </x:c>
      <x:c r="B366" s="9" t="str">
        <x:v>S058</x:v>
      </x:c>
      <x:c r="C366" s="9" t="str">
        <x:v>Yang et al. (2026)</x:v>
      </x:c>
      <x:c r="D366" s="9" t="str">
        <x:v>Standardized Batch-Manufacturable Triboelectric Sensor Arrays for Deep Learning-Enabled Race-Walking State Recognition</x:v>
      </x:c>
      <x:c r="E366" s="9" t="str">
        <x:v>D5</x:v>
      </x:c>
      <x:c r="F366" s="9" t="str">
        <x:v>Low concern</x:v>
      </x:c>
      <x:c r="G366" s="9" t="str">
        <x:v>Initial agreement</x:v>
      </x:c>
      <x:c r="H366" s="9" t="str">
        <x:v>Study-specific evidence is documented in the extraction and REB sheets.</x:v>
      </x:c>
      <x:c r="I366" s="9" t="str">
        <x:v>PDF pp. 3–13; Figs. 1–8; cited Supplementary Table S1</x:v>
      </x:c>
    </x:row>
    <x:row r="367">
      <x:c r="A367" s="9" t="n">
        <x:v>46</x:v>
      </x:c>
      <x:c r="B367" s="9" t="str">
        <x:v>S058</x:v>
      </x:c>
      <x:c r="C367" s="9" t="str">
        <x:v>Yang et al. (2026)</x:v>
      </x:c>
      <x:c r="D367" s="9" t="str">
        <x:v>Standardized Batch-Manufacturable Triboelectric Sensor Arrays for Deep Learning-Enabled Race-Walking State Recognition</x:v>
      </x:c>
      <x:c r="E367" s="9" t="str">
        <x:v>D6</x:v>
      </x:c>
      <x:c r="F367" s="9" t="str">
        <x:v>Low concern</x:v>
      </x:c>
      <x:c r="G367" s="9" t="str">
        <x:v>Initial agreement</x:v>
      </x:c>
      <x:c r="H367" s="9" t="str">
        <x:v>At least three independently fabricated sensing units/specimens were quantitatively compared.</x:v>
      </x:c>
      <x:c r="I367" s="9" t="str">
        <x:v>PDF pp. 3–13; Figs. 1–8; cited Supplementary Table S1</x:v>
      </x:c>
    </x:row>
    <x:row r="368">
      <x:c r="A368" s="9" t="n">
        <x:v>46</x:v>
      </x:c>
      <x:c r="B368" s="9" t="str">
        <x:v>S058</x:v>
      </x:c>
      <x:c r="C368" s="9" t="str">
        <x:v>Yang et al. (2026)</x:v>
      </x:c>
      <x:c r="D368" s="9" t="str">
        <x:v>Standardized Batch-Manufacturable Triboelectric Sensor Arrays for Deep Learning-Enabled Race-Walking State Recognition</x:v>
      </x:c>
      <x:c r="E368" s="9" t="str">
        <x:v>D7</x:v>
      </x:c>
      <x:c r="F368" s="9" t="str">
        <x:v>Low concern</x:v>
      </x:c>
      <x:c r="G368" s="9" t="str">
        <x:v>Initial agreement</x:v>
      </x:c>
      <x:c r="H368" s="9" t="str">
        <x:v>Study-specific evidence is documented in the extraction and REB sheets.</x:v>
      </x:c>
      <x:c r="I368" s="9" t="str">
        <x:v>PDF pp. 3–13; Figs. 1–8; cited Supplementary Table S1</x:v>
      </x:c>
    </x:row>
    <x:row r="369">
      <x:c r="A369" s="9" t="n">
        <x:v>46</x:v>
      </x:c>
      <x:c r="B369" s="9" t="str">
        <x:v>S058</x:v>
      </x:c>
      <x:c r="C369" s="9" t="str">
        <x:v>Yang et al. (2026)</x:v>
      </x:c>
      <x:c r="D369" s="9" t="str">
        <x:v>Standardized Batch-Manufacturable Triboelectric Sensor Arrays for Deep Learning-Enabled Race-Walking State Recognition</x:v>
      </x:c>
      <x:c r="E369" s="9" t="str">
        <x:v>D8</x:v>
      </x:c>
      <x:c r="F369" s="9" t="str">
        <x:v>Low concern</x:v>
      </x:c>
      <x:c r="G369" s="9" t="str">
        <x:v>Initial agreement</x:v>
      </x:c>
      <x:c r="H369" s="9" t="str">
        <x:v>The wearable configuration and extent of application testing are documented.</x:v>
      </x:c>
      <x:c r="I369" s="9" t="str">
        <x:v>PDF pp. 3–13; Figs. 1–8; cited Supplementary Table S1</x:v>
      </x:c>
    </x:row>
    <x:row r="370">
      <x:c r="A370" s="9" t="n">
        <x:v>47</x:v>
      </x:c>
      <x:c r="B370" s="9" t="str">
        <x:v>S059</x:v>
      </x:c>
      <x:c r="C370" s="9" t="str">
        <x:v>Saroli et al. (2026)</x:v>
      </x:c>
      <x:c r="D370" s="9" t="str">
        <x:v>3D-Printed Flexible Multimaterial Wearable System Based on Auxetic Strain Sensors and Dry Electrodes for Cardiorespiratory Monitoring</x:v>
      </x:c>
      <x:c r="E370" s="9" t="str">
        <x:v>D1</x:v>
      </x:c>
      <x:c r="F370" s="9" t="str">
        <x:v>Some concern</x:v>
      </x:c>
      <x:c r="G370" s="9" t="str">
        <x:v>Initial agreement</x:v>
      </x:c>
      <x:c r="H370" s="9" t="str">
        <x:v>Study-specific evidence is documented in the extraction and REB sheets.</x:v>
      </x:c>
      <x:c r="I370" s="9" t="str">
        <x:v>PDF pp. 3–15; Figs. 1–9; cited Supplementary Table S1</x:v>
      </x:c>
    </x:row>
    <x:row r="371">
      <x:c r="A371" s="9" t="n">
        <x:v>47</x:v>
      </x:c>
      <x:c r="B371" s="9" t="str">
        <x:v>S059</x:v>
      </x:c>
      <x:c r="C371" s="9" t="str">
        <x:v>Saroli et al. (2026)</x:v>
      </x:c>
      <x:c r="D371" s="9" t="str">
        <x:v>3D-Printed Flexible Multimaterial Wearable System Based on Auxetic Strain Sensors and Dry Electrodes for Cardiorespiratory Monitoring</x:v>
      </x:c>
      <x:c r="E371" s="9" t="str">
        <x:v>D2</x:v>
      </x:c>
      <x:c r="F371" s="9" t="str">
        <x:v>Some concern</x:v>
      </x:c>
      <x:c r="G371" s="9" t="str">
        <x:v>Adjudicated to Reviewer 1</x:v>
      </x:c>
      <x:c r="H371" s="9" t="str">
        <x:v>Study-specific evidence is documented in the extraction and REB sheets.</x:v>
      </x:c>
      <x:c r="I371" s="9" t="str">
        <x:v>PDF pp. 3–15; Figs. 1–9; cited Supplementary Table S1</x:v>
      </x:c>
    </x:row>
    <x:row r="372">
      <x:c r="A372" s="9" t="n">
        <x:v>47</x:v>
      </x:c>
      <x:c r="B372" s="9" t="str">
        <x:v>S059</x:v>
      </x:c>
      <x:c r="C372" s="9" t="str">
        <x:v>Saroli et al. (2026)</x:v>
      </x:c>
      <x:c r="D372" s="9" t="str">
        <x:v>3D-Printed Flexible Multimaterial Wearable System Based on Auxetic Strain Sensors and Dry Electrodes for Cardiorespiratory Monitoring</x:v>
      </x:c>
      <x:c r="E372" s="9" t="str">
        <x:v>D3</x:v>
      </x:c>
      <x:c r="F372" s="9" t="str">
        <x:v>Low concern</x:v>
      </x:c>
      <x:c r="G372" s="9" t="str">
        <x:v>Initial agreement</x:v>
      </x:c>
      <x:c r="H372" s="9" t="str">
        <x:v>Study-specific evidence is documented in the extraction and REB sheets.</x:v>
      </x:c>
      <x:c r="I372" s="9" t="str">
        <x:v>PDF pp. 3–15; Figs. 1–9; cited Supplementary Table S1</x:v>
      </x:c>
    </x:row>
    <x:row r="373">
      <x:c r="A373" s="9" t="n">
        <x:v>47</x:v>
      </x:c>
      <x:c r="B373" s="9" t="str">
        <x:v>S059</x:v>
      </x:c>
      <x:c r="C373" s="9" t="str">
        <x:v>Saroli et al. (2026)</x:v>
      </x:c>
      <x:c r="D373" s="9" t="str">
        <x:v>3D-Printed Flexible Multimaterial Wearable System Based on Auxetic Strain Sensors and Dry Electrodes for Cardiorespiratory Monitoring</x:v>
      </x:c>
      <x:c r="E373" s="9" t="str">
        <x:v>D4</x:v>
      </x:c>
      <x:c r="F373" s="9" t="str">
        <x:v>Low concern</x:v>
      </x:c>
      <x:c r="G373" s="9" t="str">
        <x:v>Initial agreement</x:v>
      </x:c>
      <x:c r="H373" s="9" t="str">
        <x:v>Study-specific evidence is documented in the extraction and REB sheets.</x:v>
      </x:c>
      <x:c r="I373" s="9" t="str">
        <x:v>PDF pp. 3–15; Figs. 1–9; cited Supplementary Table S1</x:v>
      </x:c>
    </x:row>
    <x:row r="374">
      <x:c r="A374" s="9" t="n">
        <x:v>47</x:v>
      </x:c>
      <x:c r="B374" s="9" t="str">
        <x:v>S059</x:v>
      </x:c>
      <x:c r="C374" s="9" t="str">
        <x:v>Saroli et al. (2026)</x:v>
      </x:c>
      <x:c r="D374" s="9" t="str">
        <x:v>3D-Printed Flexible Multimaterial Wearable System Based on Auxetic Strain Sensors and Dry Electrodes for Cardiorespiratory Monitoring</x:v>
      </x:c>
      <x:c r="E374" s="9" t="str">
        <x:v>D5</x:v>
      </x:c>
      <x:c r="F374" s="9" t="str">
        <x:v>Low concern</x:v>
      </x:c>
      <x:c r="G374" s="9" t="str">
        <x:v>Initial agreement</x:v>
      </x:c>
      <x:c r="H374" s="9" t="str">
        <x:v>Study-specific evidence is documented in the extraction and REB sheets.</x:v>
      </x:c>
      <x:c r="I374" s="9" t="str">
        <x:v>PDF pp. 3–15; Figs. 1–9; cited Supplementary Table S1</x:v>
      </x:c>
    </x:row>
    <x:row r="375">
      <x:c r="A375" s="9" t="n">
        <x:v>47</x:v>
      </x:c>
      <x:c r="B375" s="9" t="str">
        <x:v>S059</x:v>
      </x:c>
      <x:c r="C375" s="9" t="str">
        <x:v>Saroli et al. (2026)</x:v>
      </x:c>
      <x:c r="D375" s="9" t="str">
        <x:v>3D-Printed Flexible Multimaterial Wearable System Based on Auxetic Strain Sensors and Dry Electrodes for Cardiorespiratory Monitoring</x:v>
      </x:c>
      <x:c r="E375" s="9" t="str">
        <x:v>D6</x:v>
      </x:c>
      <x:c r="F375" s="9" t="str">
        <x:v>High concern</x:v>
      </x:c>
      <x:c r="G375" s="9" t="str">
        <x:v>Initial agreement</x:v>
      </x:c>
      <x:c r="H375" s="9" t="str">
        <x:v>A quantitative comparison of at least three separately fabricated complete sensors was not identified.</x:v>
      </x:c>
      <x:c r="I375" s="9" t="str">
        <x:v>PDF pp. 3–15; Figs. 1–9; cited Supplementary Table S1</x:v>
      </x:c>
    </x:row>
    <x:row r="376">
      <x:c r="A376" s="9" t="n">
        <x:v>47</x:v>
      </x:c>
      <x:c r="B376" s="9" t="str">
        <x:v>S059</x:v>
      </x:c>
      <x:c r="C376" s="9" t="str">
        <x:v>Saroli et al. (2026)</x:v>
      </x:c>
      <x:c r="D376" s="9" t="str">
        <x:v>3D-Printed Flexible Multimaterial Wearable System Based on Auxetic Strain Sensors and Dry Electrodes for Cardiorespiratory Monitoring</x:v>
      </x:c>
      <x:c r="E376" s="9" t="str">
        <x:v>D7</x:v>
      </x:c>
      <x:c r="F376" s="9" t="str">
        <x:v>Low concern</x:v>
      </x:c>
      <x:c r="G376" s="9" t="str">
        <x:v>Initial agreement</x:v>
      </x:c>
      <x:c r="H376" s="9" t="str">
        <x:v>Study-specific evidence is documented in the extraction and REB sheets.</x:v>
      </x:c>
      <x:c r="I376" s="9" t="str">
        <x:v>PDF pp. 3–15; Figs. 1–9; cited Supplementary Table S1</x:v>
      </x:c>
    </x:row>
    <x:row r="377">
      <x:c r="A377" s="9" t="n">
        <x:v>47</x:v>
      </x:c>
      <x:c r="B377" s="9" t="str">
        <x:v>S059</x:v>
      </x:c>
      <x:c r="C377" s="9" t="str">
        <x:v>Saroli et al. (2026)</x:v>
      </x:c>
      <x:c r="D377" s="9" t="str">
        <x:v>3D-Printed Flexible Multimaterial Wearable System Based on Auxetic Strain Sensors and Dry Electrodes for Cardiorespiratory Monitoring</x:v>
      </x:c>
      <x:c r="E377" s="9" t="str">
        <x:v>D8</x:v>
      </x:c>
      <x:c r="F377" s="9" t="str">
        <x:v>Some concern</x:v>
      </x:c>
      <x:c r="G377" s="9" t="str">
        <x:v>Adjudicated to Reviewer 1</x:v>
      </x:c>
      <x:c r="H377" s="9" t="str">
        <x:v>The wearable configuration and extent of application testing are documented.</x:v>
      </x:c>
      <x:c r="I377" s="9" t="str">
        <x:v>PDF pp. 3–15; Figs. 1–9; cited Supplementary Table S1</x:v>
      </x:c>
    </x:row>
    <x:row r="378">
      <x:c r="A378" s="9" t="n">
        <x:v>48</x:v>
      </x:c>
      <x:c r="B378" s="9" t="str">
        <x:v>S060</x:v>
      </x:c>
      <x:c r="C378" s="9" t="str">
        <x:v>Porfyrakis et al. (2026)</x:v>
      </x:c>
      <x:c r="D378" s="9" t="str">
        <x:v>Fused filament fabrication of gyroid TPU/MWCNT nanocomposite sensors with tunable piezoresistive response: Proof-of-concept integration into a 3D-printed smart midsole</x:v>
      </x:c>
      <x:c r="E378" s="9" t="str">
        <x:v>D1</x:v>
      </x:c>
      <x:c r="F378" s="9" t="str">
        <x:v>High concern</x:v>
      </x:c>
      <x:c r="G378" s="9" t="str">
        <x:v>Adjudicated to Reviewer 1</x:v>
      </x:c>
      <x:c r="H378" s="9" t="str">
        <x:v>Study-specific basis is documented in the extraction and REB sheets.</x:v>
      </x:c>
      <x:c r="I378" s="9" t="str">
        <x:v>PDF pp. 2–15; Figs. 1–10; Tables 1–4</x:v>
      </x:c>
    </x:row>
    <x:row r="379">
      <x:c r="A379" s="9" t="n">
        <x:v>48</x:v>
      </x:c>
      <x:c r="B379" s="9" t="str">
        <x:v>S060</x:v>
      </x:c>
      <x:c r="C379" s="9" t="str">
        <x:v>Porfyrakis et al. (2026)</x:v>
      </x:c>
      <x:c r="D379" s="9" t="str">
        <x:v>Fused filament fabrication of gyroid TPU/MWCNT nanocomposite sensors with tunable piezoresistive response: Proof-of-concept integration into a 3D-printed smart midsole</x:v>
      </x:c>
      <x:c r="E379" s="9" t="str">
        <x:v>D2</x:v>
      </x:c>
      <x:c r="F379" s="9" t="str">
        <x:v>Some concern</x:v>
      </x:c>
      <x:c r="G379" s="9" t="str">
        <x:v>Adjudicated to Reviewer 1</x:v>
      </x:c>
      <x:c r="H379" s="9" t="str">
        <x:v>Study-specific basis is documented in the extraction and REB sheets.</x:v>
      </x:c>
      <x:c r="I379" s="9" t="str">
        <x:v>PDF pp. 2–15; Figs. 1–10; Tables 1–4</x:v>
      </x:c>
    </x:row>
    <x:row r="380">
      <x:c r="A380" s="9" t="n">
        <x:v>48</x:v>
      </x:c>
      <x:c r="B380" s="9" t="str">
        <x:v>S060</x:v>
      </x:c>
      <x:c r="C380" s="9" t="str">
        <x:v>Porfyrakis et al. (2026)</x:v>
      </x:c>
      <x:c r="D380" s="9" t="str">
        <x:v>Fused filament fabrication of gyroid TPU/MWCNT nanocomposite sensors with tunable piezoresistive response: Proof-of-concept integration into a 3D-printed smart midsole</x:v>
      </x:c>
      <x:c r="E380" s="9" t="str">
        <x:v>D3</x:v>
      </x:c>
      <x:c r="F380" s="9" t="str">
        <x:v>Low concern</x:v>
      </x:c>
      <x:c r="G380" s="9" t="str">
        <x:v>Initial agreement</x:v>
      </x:c>
      <x:c r="H380" s="9" t="str">
        <x:v>Study-specific basis is documented in the extraction and REB sheets.</x:v>
      </x:c>
      <x:c r="I380" s="9" t="str">
        <x:v>PDF pp. 2–15; Figs. 1–10; Tables 1–4</x:v>
      </x:c>
    </x:row>
    <x:row r="381">
      <x:c r="A381" s="9" t="n">
        <x:v>48</x:v>
      </x:c>
      <x:c r="B381" s="9" t="str">
        <x:v>S060</x:v>
      </x:c>
      <x:c r="C381" s="9" t="str">
        <x:v>Porfyrakis et al. (2026)</x:v>
      </x:c>
      <x:c r="D381" s="9" t="str">
        <x:v>Fused filament fabrication of gyroid TPU/MWCNT nanocomposite sensors with tunable piezoresistive response: Proof-of-concept integration into a 3D-printed smart midsole</x:v>
      </x:c>
      <x:c r="E381" s="9" t="str">
        <x:v>D4</x:v>
      </x:c>
      <x:c r="F381" s="9" t="str">
        <x:v>Low concern</x:v>
      </x:c>
      <x:c r="G381" s="9" t="str">
        <x:v>Initial agreement</x:v>
      </x:c>
      <x:c r="H381" s="9" t="str">
        <x:v>Study-specific basis is documented in the extraction and REB sheets.</x:v>
      </x:c>
      <x:c r="I381" s="9" t="str">
        <x:v>PDF pp. 2–15; Figs. 1–10; Tables 1–4</x:v>
      </x:c>
    </x:row>
    <x:row r="382">
      <x:c r="A382" s="9" t="n">
        <x:v>48</x:v>
      </x:c>
      <x:c r="B382" s="9" t="str">
        <x:v>S060</x:v>
      </x:c>
      <x:c r="C382" s="9" t="str">
        <x:v>Porfyrakis et al. (2026)</x:v>
      </x:c>
      <x:c r="D382" s="9" t="str">
        <x:v>Fused filament fabrication of gyroid TPU/MWCNT nanocomposite sensors with tunable piezoresistive response: Proof-of-concept integration into a 3D-printed smart midsole</x:v>
      </x:c>
      <x:c r="E382" s="9" t="str">
        <x:v>D5</x:v>
      </x:c>
      <x:c r="F382" s="9" t="str">
        <x:v>Low concern</x:v>
      </x:c>
      <x:c r="G382" s="9" t="str">
        <x:v>Initial agreement</x:v>
      </x:c>
      <x:c r="H382" s="9" t="str">
        <x:v>Study-specific basis is documented in the extraction and REB sheets.</x:v>
      </x:c>
      <x:c r="I382" s="9" t="str">
        <x:v>PDF pp. 2–15; Figs. 1–10; Tables 1–4</x:v>
      </x:c>
    </x:row>
    <x:row r="383">
      <x:c r="A383" s="9" t="n">
        <x:v>48</x:v>
      </x:c>
      <x:c r="B383" s="9" t="str">
        <x:v>S060</x:v>
      </x:c>
      <x:c r="C383" s="9" t="str">
        <x:v>Porfyrakis et al. (2026)</x:v>
      </x:c>
      <x:c r="D383" s="9" t="str">
        <x:v>Fused filament fabrication of gyroid TPU/MWCNT nanocomposite sensors with tunable piezoresistive response: Proof-of-concept integration into a 3D-printed smart midsole</x:v>
      </x:c>
      <x:c r="E383" s="9" t="str">
        <x:v>D6</x:v>
      </x:c>
      <x:c r="F383" s="9" t="str">
        <x:v>High concern</x:v>
      </x:c>
      <x:c r="G383" s="9" t="str">
        <x:v>Initial agreement</x:v>
      </x:c>
      <x:c r="H383" s="9" t="str">
        <x:v>A qualifying same-condition comparison of at least three separately fabricated complete sensors was not identified.</x:v>
      </x:c>
      <x:c r="I383" s="9" t="str">
        <x:v>PDF pp. 2–15; Figs. 1–10; Tables 1–4</x:v>
      </x:c>
    </x:row>
    <x:row r="384">
      <x:c r="A384" s="9" t="n">
        <x:v>48</x:v>
      </x:c>
      <x:c r="B384" s="9" t="str">
        <x:v>S060</x:v>
      </x:c>
      <x:c r="C384" s="9" t="str">
        <x:v>Porfyrakis et al. (2026)</x:v>
      </x:c>
      <x:c r="D384" s="9" t="str">
        <x:v>Fused filament fabrication of gyroid TPU/MWCNT nanocomposite sensors with tunable piezoresistive response: Proof-of-concept integration into a 3D-printed smart midsole</x:v>
      </x:c>
      <x:c r="E384" s="9" t="str">
        <x:v>D7</x:v>
      </x:c>
      <x:c r="F384" s="9" t="str">
        <x:v>Low concern</x:v>
      </x:c>
      <x:c r="G384" s="9" t="str">
        <x:v>Adjudicated to Reviewer 1</x:v>
      </x:c>
      <x:c r="H384" s="9" t="str">
        <x:v>Study-specific basis is documented in the extraction and REB sheets.</x:v>
      </x:c>
      <x:c r="I384" s="9" t="str">
        <x:v>PDF pp. 2–15; Figs. 1–10; Tables 1–4</x:v>
      </x:c>
    </x:row>
    <x:row r="385">
      <x:c r="A385" s="9" t="n">
        <x:v>48</x:v>
      </x:c>
      <x:c r="B385" s="9" t="str">
        <x:v>S060</x:v>
      </x:c>
      <x:c r="C385" s="9" t="str">
        <x:v>Porfyrakis et al. (2026)</x:v>
      </x:c>
      <x:c r="D385" s="9" t="str">
        <x:v>Fused filament fabrication of gyroid TPU/MWCNT nanocomposite sensors with tunable piezoresistive response: Proof-of-concept integration into a 3D-printed smart midsole</x:v>
      </x:c>
      <x:c r="E385" s="9" t="str">
        <x:v>D8</x:v>
      </x:c>
      <x:c r="F385" s="9" t="str">
        <x:v>High concern</x:v>
      </x:c>
      <x:c r="G385" s="9" t="str">
        <x:v>Adjudicated to Reviewer 1</x:v>
      </x:c>
      <x:c r="H385" s="9" t="str">
        <x:v>Wearable configuration and extent of application testing are documented in the sensor and experiment sheets.</x:v>
      </x:c>
      <x:c r="I385" s="9" t="str">
        <x:v>PDF pp. 2–15; Figs. 1–10; Tables 1–4</x:v>
      </x:c>
    </x:row>
    <x:row r="386">
      <x:c r="A386" s="9" t="n">
        <x:v>49</x:v>
      </x:c>
      <x:c r="B386" s="9" t="str">
        <x:v>S061</x:v>
      </x:c>
      <x:c r="C386" s="9" t="str">
        <x:v>Kumar et al. (2026)</x:v>
      </x:c>
      <x:c r="D386" s="9" t="str">
        <x:v>Design and 3D printing of high-frequency micro-strip patch antenna-based pressure sensor for burn rehabilitation monitoring</x:v>
      </x:c>
      <x:c r="E386" s="9" t="str">
        <x:v>D1</x:v>
      </x:c>
      <x:c r="F386" s="9" t="str">
        <x:v>Some concern</x:v>
      </x:c>
      <x:c r="G386" s="9" t="str">
        <x:v>Initial agreement</x:v>
      </x:c>
      <x:c r="H386" s="9" t="str">
        <x:v>Study-specific basis is documented in the extraction and REB sheets.</x:v>
      </x:c>
      <x:c r="I386" s="9" t="str">
        <x:v>PDF pp. 2–11; Figs. 1–13; Table 1</x:v>
      </x:c>
    </x:row>
    <x:row r="387">
      <x:c r="A387" s="9" t="n">
        <x:v>49</x:v>
      </x:c>
      <x:c r="B387" s="9" t="str">
        <x:v>S061</x:v>
      </x:c>
      <x:c r="C387" s="9" t="str">
        <x:v>Kumar et al. (2026)</x:v>
      </x:c>
      <x:c r="D387" s="9" t="str">
        <x:v>Design and 3D printing of high-frequency micro-strip patch antenna-based pressure sensor for burn rehabilitation monitoring</x:v>
      </x:c>
      <x:c r="E387" s="9" t="str">
        <x:v>D2</x:v>
      </x:c>
      <x:c r="F387" s="9" t="str">
        <x:v>Some concern</x:v>
      </x:c>
      <x:c r="G387" s="9" t="str">
        <x:v>Initial agreement</x:v>
      </x:c>
      <x:c r="H387" s="9" t="str">
        <x:v>Study-specific basis is documented in the extraction and REB sheets.</x:v>
      </x:c>
      <x:c r="I387" s="9" t="str">
        <x:v>PDF pp. 2–11; Figs. 1–13; Table 1</x:v>
      </x:c>
    </x:row>
    <x:row r="388">
      <x:c r="A388" s="9" t="n">
        <x:v>49</x:v>
      </x:c>
      <x:c r="B388" s="9" t="str">
        <x:v>S061</x:v>
      </x:c>
      <x:c r="C388" s="9" t="str">
        <x:v>Kumar et al. (2026)</x:v>
      </x:c>
      <x:c r="D388" s="9" t="str">
        <x:v>Design and 3D printing of high-frequency micro-strip patch antenna-based pressure sensor for burn rehabilitation monitoring</x:v>
      </x:c>
      <x:c r="E388" s="9" t="str">
        <x:v>D3</x:v>
      </x:c>
      <x:c r="F388" s="9" t="str">
        <x:v>Some concern</x:v>
      </x:c>
      <x:c r="G388" s="9" t="str">
        <x:v>Adjudicated to Reviewer 1</x:v>
      </x:c>
      <x:c r="H388" s="9" t="str">
        <x:v>Study-specific basis is documented in the extraction and REB sheets.</x:v>
      </x:c>
      <x:c r="I388" s="9" t="str">
        <x:v>PDF pp. 2–11; Figs. 1–13; Table 1</x:v>
      </x:c>
    </x:row>
    <x:row r="389">
      <x:c r="A389" s="9" t="n">
        <x:v>49</x:v>
      </x:c>
      <x:c r="B389" s="9" t="str">
        <x:v>S061</x:v>
      </x:c>
      <x:c r="C389" s="9" t="str">
        <x:v>Kumar et al. (2026)</x:v>
      </x:c>
      <x:c r="D389" s="9" t="str">
        <x:v>Design and 3D printing of high-frequency micro-strip patch antenna-based pressure sensor for burn rehabilitation monitoring</x:v>
      </x:c>
      <x:c r="E389" s="9" t="str">
        <x:v>D4</x:v>
      </x:c>
      <x:c r="F389" s="9" t="str">
        <x:v>Low concern</x:v>
      </x:c>
      <x:c r="G389" s="9" t="str">
        <x:v>Adjudicated to Reviewer 1</x:v>
      </x:c>
      <x:c r="H389" s="9" t="str">
        <x:v>Study-specific basis is documented in the extraction and REB sheets.</x:v>
      </x:c>
      <x:c r="I389" s="9" t="str">
        <x:v>PDF pp. 2–11; Figs. 1–13; Table 1</x:v>
      </x:c>
    </x:row>
    <x:row r="390">
      <x:c r="A390" s="9" t="n">
        <x:v>49</x:v>
      </x:c>
      <x:c r="B390" s="9" t="str">
        <x:v>S061</x:v>
      </x:c>
      <x:c r="C390" s="9" t="str">
        <x:v>Kumar et al. (2026)</x:v>
      </x:c>
      <x:c r="D390" s="9" t="str">
        <x:v>Design and 3D printing of high-frequency micro-strip patch antenna-based pressure sensor for burn rehabilitation monitoring</x:v>
      </x:c>
      <x:c r="E390" s="9" t="str">
        <x:v>D5</x:v>
      </x:c>
      <x:c r="F390" s="9" t="str">
        <x:v>High concern</x:v>
      </x:c>
      <x:c r="G390" s="9" t="str">
        <x:v>Initial agreement</x:v>
      </x:c>
      <x:c r="H390" s="9" t="str">
        <x:v>Study-specific basis is documented in the extraction and REB sheets.</x:v>
      </x:c>
      <x:c r="I390" s="9" t="str">
        <x:v>PDF pp. 2–11; Figs. 1–13; Table 1</x:v>
      </x:c>
    </x:row>
    <x:row r="391">
      <x:c r="A391" s="9" t="n">
        <x:v>49</x:v>
      </x:c>
      <x:c r="B391" s="9" t="str">
        <x:v>S061</x:v>
      </x:c>
      <x:c r="C391" s="9" t="str">
        <x:v>Kumar et al. (2026)</x:v>
      </x:c>
      <x:c r="D391" s="9" t="str">
        <x:v>Design and 3D printing of high-frequency micro-strip patch antenna-based pressure sensor for burn rehabilitation monitoring</x:v>
      </x:c>
      <x:c r="E391" s="9" t="str">
        <x:v>D6</x:v>
      </x:c>
      <x:c r="F391" s="9" t="str">
        <x:v>High concern</x:v>
      </x:c>
      <x:c r="G391" s="9" t="str">
        <x:v>Initial agreement</x:v>
      </x:c>
      <x:c r="H391" s="9" t="str">
        <x:v>A qualifying same-condition comparison of at least three separately fabricated complete sensors was not identified.</x:v>
      </x:c>
      <x:c r="I391" s="9" t="str">
        <x:v>PDF pp. 2–11; Figs. 1–13; Table 1</x:v>
      </x:c>
    </x:row>
    <x:row r="392">
      <x:c r="A392" s="9" t="n">
        <x:v>49</x:v>
      </x:c>
      <x:c r="B392" s="9" t="str">
        <x:v>S061</x:v>
      </x:c>
      <x:c r="C392" s="9" t="str">
        <x:v>Kumar et al. (2026)</x:v>
      </x:c>
      <x:c r="D392" s="9" t="str">
        <x:v>Design and 3D printing of high-frequency micro-strip patch antenna-based pressure sensor for burn rehabilitation monitoring</x:v>
      </x:c>
      <x:c r="E392" s="9" t="str">
        <x:v>D7</x:v>
      </x:c>
      <x:c r="F392" s="9" t="str">
        <x:v>Some concern</x:v>
      </x:c>
      <x:c r="G392" s="9" t="str">
        <x:v>Initial agreement</x:v>
      </x:c>
      <x:c r="H392" s="9" t="str">
        <x:v>Study-specific basis is documented in the extraction and REB sheets.</x:v>
      </x:c>
      <x:c r="I392" s="9" t="str">
        <x:v>PDF pp. 2–11; Figs. 1–13; Table 1</x:v>
      </x:c>
    </x:row>
    <x:row r="393">
      <x:c r="A393" s="9" t="n">
        <x:v>49</x:v>
      </x:c>
      <x:c r="B393" s="9" t="str">
        <x:v>S061</x:v>
      </x:c>
      <x:c r="C393" s="9" t="str">
        <x:v>Kumar et al. (2026)</x:v>
      </x:c>
      <x:c r="D393" s="9" t="str">
        <x:v>Design and 3D printing of high-frequency micro-strip patch antenna-based pressure sensor for burn rehabilitation monitoring</x:v>
      </x:c>
      <x:c r="E393" s="9" t="str">
        <x:v>D8</x:v>
      </x:c>
      <x:c r="F393" s="9" t="str">
        <x:v>Some concern</x:v>
      </x:c>
      <x:c r="G393" s="9" t="str">
        <x:v>Adjudicated to Reviewer 1</x:v>
      </x:c>
      <x:c r="H393" s="9" t="str">
        <x:v>Wearable configuration and extent of application testing are documented in the sensor and experiment sheets.</x:v>
      </x:c>
      <x:c r="I393" s="9" t="str">
        <x:v>PDF pp. 2–11; Figs. 1–13; Table 1</x:v>
      </x:c>
    </x:row>
    <x:row r="394">
      <x:c r="A394" s="9" t="n">
        <x:v>50</x:v>
      </x:c>
      <x:c r="B394" s="9" t="str">
        <x:v>S063</x:v>
      </x:c>
      <x:c r="C394" s="9" t="str">
        <x:v>Wu et al. (2026)</x:v>
      </x:c>
      <x:c r="D394" s="9" t="str">
        <x:v>Tailored carbon nanotubes (CNTs)/ thermoplastic polyurethane (TPU) composite pressure sensors via optimized 3D printing for smart wearable electronics</x:v>
      </x:c>
      <x:c r="E394" s="9" t="str">
        <x:v>D1</x:v>
      </x:c>
      <x:c r="F394" s="9" t="str">
        <x:v>Some concern</x:v>
      </x:c>
      <x:c r="G394" s="9" t="str">
        <x:v>Initial agreement</x:v>
      </x:c>
      <x:c r="H394" s="9" t="str">
        <x:v>Study-specific basis is documented in the extraction and REB sheets.</x:v>
      </x:c>
      <x:c r="I394" s="9" t="str">
        <x:v>PDF pp. 2–12; Figs. 1–9; Tables 1–2</x:v>
      </x:c>
    </x:row>
    <x:row r="395">
      <x:c r="A395" s="9" t="n">
        <x:v>50</x:v>
      </x:c>
      <x:c r="B395" s="9" t="str">
        <x:v>S063</x:v>
      </x:c>
      <x:c r="C395" s="9" t="str">
        <x:v>Wu et al. (2026)</x:v>
      </x:c>
      <x:c r="D395" s="9" t="str">
        <x:v>Tailored carbon nanotubes (CNTs)/ thermoplastic polyurethane (TPU) composite pressure sensors via optimized 3D printing for smart wearable electronics</x:v>
      </x:c>
      <x:c r="E395" s="9" t="str">
        <x:v>D2</x:v>
      </x:c>
      <x:c r="F395" s="9" t="str">
        <x:v>Low concern</x:v>
      </x:c>
      <x:c r="G395" s="9" t="str">
        <x:v>Initial agreement</x:v>
      </x:c>
      <x:c r="H395" s="9" t="str">
        <x:v>Study-specific basis is documented in the extraction and REB sheets.</x:v>
      </x:c>
      <x:c r="I395" s="9" t="str">
        <x:v>PDF pp. 2–12; Figs. 1–9; Tables 1–2</x:v>
      </x:c>
    </x:row>
    <x:row r="396">
      <x:c r="A396" s="9" t="n">
        <x:v>50</x:v>
      </x:c>
      <x:c r="B396" s="9" t="str">
        <x:v>S063</x:v>
      </x:c>
      <x:c r="C396" s="9" t="str">
        <x:v>Wu et al. (2026)</x:v>
      </x:c>
      <x:c r="D396" s="9" t="str">
        <x:v>Tailored carbon nanotubes (CNTs)/ thermoplastic polyurethane (TPU) composite pressure sensors via optimized 3D printing for smart wearable electronics</x:v>
      </x:c>
      <x:c r="E396" s="9" t="str">
        <x:v>D3</x:v>
      </x:c>
      <x:c r="F396" s="9" t="str">
        <x:v>Low concern</x:v>
      </x:c>
      <x:c r="G396" s="9" t="str">
        <x:v>Initial agreement</x:v>
      </x:c>
      <x:c r="H396" s="9" t="str">
        <x:v>Study-specific basis is documented in the extraction and REB sheets.</x:v>
      </x:c>
      <x:c r="I396" s="9" t="str">
        <x:v>PDF pp. 2–12; Figs. 1–9; Tables 1–2</x:v>
      </x:c>
    </x:row>
    <x:row r="397">
      <x:c r="A397" s="9" t="n">
        <x:v>50</x:v>
      </x:c>
      <x:c r="B397" s="9" t="str">
        <x:v>S063</x:v>
      </x:c>
      <x:c r="C397" s="9" t="str">
        <x:v>Wu et al. (2026)</x:v>
      </x:c>
      <x:c r="D397" s="9" t="str">
        <x:v>Tailored carbon nanotubes (CNTs)/ thermoplastic polyurethane (TPU) composite pressure sensors via optimized 3D printing for smart wearable electronics</x:v>
      </x:c>
      <x:c r="E397" s="9" t="str">
        <x:v>D4</x:v>
      </x:c>
      <x:c r="F397" s="9" t="str">
        <x:v>Low concern</x:v>
      </x:c>
      <x:c r="G397" s="9" t="str">
        <x:v>Initial agreement</x:v>
      </x:c>
      <x:c r="H397" s="9" t="str">
        <x:v>Study-specific basis is documented in the extraction and REB sheets.</x:v>
      </x:c>
      <x:c r="I397" s="9" t="str">
        <x:v>PDF pp. 2–12; Figs. 1–9; Tables 1–2</x:v>
      </x:c>
    </x:row>
    <x:row r="398">
      <x:c r="A398" s="9" t="n">
        <x:v>50</x:v>
      </x:c>
      <x:c r="B398" s="9" t="str">
        <x:v>S063</x:v>
      </x:c>
      <x:c r="C398" s="9" t="str">
        <x:v>Wu et al. (2026)</x:v>
      </x:c>
      <x:c r="D398" s="9" t="str">
        <x:v>Tailored carbon nanotubes (CNTs)/ thermoplastic polyurethane (TPU) composite pressure sensors via optimized 3D printing for smart wearable electronics</x:v>
      </x:c>
      <x:c r="E398" s="9" t="str">
        <x:v>D5</x:v>
      </x:c>
      <x:c r="F398" s="9" t="str">
        <x:v>Low concern</x:v>
      </x:c>
      <x:c r="G398" s="9" t="str">
        <x:v>Initial agreement</x:v>
      </x:c>
      <x:c r="H398" s="9" t="str">
        <x:v>Study-specific basis is documented in the extraction and REB sheets.</x:v>
      </x:c>
      <x:c r="I398" s="9" t="str">
        <x:v>PDF pp. 2–12; Figs. 1–9; Tables 1–2</x:v>
      </x:c>
    </x:row>
    <x:row r="399">
      <x:c r="A399" s="9" t="n">
        <x:v>50</x:v>
      </x:c>
      <x:c r="B399" s="9" t="str">
        <x:v>S063</x:v>
      </x:c>
      <x:c r="C399" s="9" t="str">
        <x:v>Wu et al. (2026)</x:v>
      </x:c>
      <x:c r="D399" s="9" t="str">
        <x:v>Tailored carbon nanotubes (CNTs)/ thermoplastic polyurethane (TPU) composite pressure sensors via optimized 3D printing for smart wearable electronics</x:v>
      </x:c>
      <x:c r="E399" s="9" t="str">
        <x:v>D6</x:v>
      </x:c>
      <x:c r="F399" s="9" t="str">
        <x:v>High concern</x:v>
      </x:c>
      <x:c r="G399" s="9" t="str">
        <x:v>Initial agreement</x:v>
      </x:c>
      <x:c r="H399" s="9" t="str">
        <x:v>A qualifying same-condition comparison of at least three separately fabricated complete sensors was not identified.</x:v>
      </x:c>
      <x:c r="I399" s="9" t="str">
        <x:v>PDF pp. 2–12; Figs. 1–9; Tables 1–2</x:v>
      </x:c>
    </x:row>
    <x:row r="400">
      <x:c r="A400" s="9" t="n">
        <x:v>50</x:v>
      </x:c>
      <x:c r="B400" s="9" t="str">
        <x:v>S063</x:v>
      </x:c>
      <x:c r="C400" s="9" t="str">
        <x:v>Wu et al. (2026)</x:v>
      </x:c>
      <x:c r="D400" s="9" t="str">
        <x:v>Tailored carbon nanotubes (CNTs)/ thermoplastic polyurethane (TPU) composite pressure sensors via optimized 3D printing for smart wearable electronics</x:v>
      </x:c>
      <x:c r="E400" s="9" t="str">
        <x:v>D7</x:v>
      </x:c>
      <x:c r="F400" s="9" t="str">
        <x:v>Low concern</x:v>
      </x:c>
      <x:c r="G400" s="9" t="str">
        <x:v>Adjudicated to Reviewer 1</x:v>
      </x:c>
      <x:c r="H400" s="9" t="str">
        <x:v>Study-specific basis is documented in the extraction and REB sheets.</x:v>
      </x:c>
      <x:c r="I400" s="9" t="str">
        <x:v>PDF pp. 2–12; Figs. 1–9; Tables 1–2</x:v>
      </x:c>
    </x:row>
    <x:row r="401">
      <x:c r="A401" s="9" t="n">
        <x:v>50</x:v>
      </x:c>
      <x:c r="B401" s="9" t="str">
        <x:v>S063</x:v>
      </x:c>
      <x:c r="C401" s="9" t="str">
        <x:v>Wu et al. (2026)</x:v>
      </x:c>
      <x:c r="D401" s="9" t="str">
        <x:v>Tailored carbon nanotubes (CNTs)/ thermoplastic polyurethane (TPU) composite pressure sensors via optimized 3D printing for smart wearable electronics</x:v>
      </x:c>
      <x:c r="E401" s="9" t="str">
        <x:v>D8</x:v>
      </x:c>
      <x:c r="F401" s="9" t="str">
        <x:v>Some concern</x:v>
      </x:c>
      <x:c r="G401" s="9" t="str">
        <x:v>Initial agreement</x:v>
      </x:c>
      <x:c r="H401" s="9" t="str">
        <x:v>Wearable configuration and extent of application testing are documented in the sensor and experiment sheets.</x:v>
      </x:c>
      <x:c r="I401" s="9" t="str">
        <x:v>PDF pp. 2–12; Figs. 1–9; Tables 1–2</x:v>
      </x:c>
    </x:row>
    <x:row r="402">
      <x:c r="A402" s="9" t="n">
        <x:v>51</x:v>
      </x:c>
      <x:c r="B402" s="9" t="str">
        <x:v>S064</x:v>
      </x:c>
      <x:c r="C402" s="9" t="str">
        <x:v>Tao et al. (2026)</x:v>
      </x:c>
      <x:c r="D402" s="9" t="str">
        <x:v>Real-time impact strain monitoring in soft structures via hybrid 3D printing</x:v>
      </x:c>
      <x:c r="E402" s="9" t="str">
        <x:v>D1</x:v>
      </x:c>
      <x:c r="F402" s="9" t="str">
        <x:v>Some concern</x:v>
      </x:c>
      <x:c r="G402" s="9" t="str">
        <x:v>Initial agreement</x:v>
      </x:c>
      <x:c r="H402" s="9" t="str">
        <x:v>Study-specific basis is documented in the extraction and REB sheets.</x:v>
      </x:c>
      <x:c r="I402" s="9" t="str">
        <x:v>PDF pp. 2–12; Figs. 1–10; Table 1</x:v>
      </x:c>
    </x:row>
    <x:row r="403">
      <x:c r="A403" s="9" t="n">
        <x:v>51</x:v>
      </x:c>
      <x:c r="B403" s="9" t="str">
        <x:v>S064</x:v>
      </x:c>
      <x:c r="C403" s="9" t="str">
        <x:v>Tao et al. (2026)</x:v>
      </x:c>
      <x:c r="D403" s="9" t="str">
        <x:v>Real-time impact strain monitoring in soft structures via hybrid 3D printing</x:v>
      </x:c>
      <x:c r="E403" s="9" t="str">
        <x:v>D2</x:v>
      </x:c>
      <x:c r="F403" s="9" t="str">
        <x:v>Some concern</x:v>
      </x:c>
      <x:c r="G403" s="9" t="str">
        <x:v>Adjudicated to Reviewer 1</x:v>
      </x:c>
      <x:c r="H403" s="9" t="str">
        <x:v>Study-specific basis is documented in the extraction and REB sheets.</x:v>
      </x:c>
      <x:c r="I403" s="9" t="str">
        <x:v>PDF pp. 2–12; Figs. 1–10; Table 1</x:v>
      </x:c>
    </x:row>
    <x:row r="404">
      <x:c r="A404" s="9" t="n">
        <x:v>51</x:v>
      </x:c>
      <x:c r="B404" s="9" t="str">
        <x:v>S064</x:v>
      </x:c>
      <x:c r="C404" s="9" t="str">
        <x:v>Tao et al. (2026)</x:v>
      </x:c>
      <x:c r="D404" s="9" t="str">
        <x:v>Real-time impact strain monitoring in soft structures via hybrid 3D printing</x:v>
      </x:c>
      <x:c r="E404" s="9" t="str">
        <x:v>D3</x:v>
      </x:c>
      <x:c r="F404" s="9" t="str">
        <x:v>Some concern</x:v>
      </x:c>
      <x:c r="G404" s="9" t="str">
        <x:v>Initial agreement</x:v>
      </x:c>
      <x:c r="H404" s="9" t="str">
        <x:v>Study-specific basis is documented in the extraction and REB sheets.</x:v>
      </x:c>
      <x:c r="I404" s="9" t="str">
        <x:v>PDF pp. 2–12; Figs. 1–10; Table 1</x:v>
      </x:c>
    </x:row>
    <x:row r="405">
      <x:c r="A405" s="9" t="n">
        <x:v>51</x:v>
      </x:c>
      <x:c r="B405" s="9" t="str">
        <x:v>S064</x:v>
      </x:c>
      <x:c r="C405" s="9" t="str">
        <x:v>Tao et al. (2026)</x:v>
      </x:c>
      <x:c r="D405" s="9" t="str">
        <x:v>Real-time impact strain monitoring in soft structures via hybrid 3D printing</x:v>
      </x:c>
      <x:c r="E405" s="9" t="str">
        <x:v>D4</x:v>
      </x:c>
      <x:c r="F405" s="9" t="str">
        <x:v>Low concern</x:v>
      </x:c>
      <x:c r="G405" s="9" t="str">
        <x:v>Initial agreement</x:v>
      </x:c>
      <x:c r="H405" s="9" t="str">
        <x:v>Study-specific basis is documented in the extraction and REB sheets.</x:v>
      </x:c>
      <x:c r="I405" s="9" t="str">
        <x:v>PDF pp. 2–12; Figs. 1–10; Table 1</x:v>
      </x:c>
    </x:row>
    <x:row r="406">
      <x:c r="A406" s="9" t="n">
        <x:v>51</x:v>
      </x:c>
      <x:c r="B406" s="9" t="str">
        <x:v>S064</x:v>
      </x:c>
      <x:c r="C406" s="9" t="str">
        <x:v>Tao et al. (2026)</x:v>
      </x:c>
      <x:c r="D406" s="9" t="str">
        <x:v>Real-time impact strain monitoring in soft structures via hybrid 3D printing</x:v>
      </x:c>
      <x:c r="E406" s="9" t="str">
        <x:v>D5</x:v>
      </x:c>
      <x:c r="F406" s="9" t="str">
        <x:v>Some concern</x:v>
      </x:c>
      <x:c r="G406" s="9" t="str">
        <x:v>Adjudicated to Reviewer 1</x:v>
      </x:c>
      <x:c r="H406" s="9" t="str">
        <x:v>Study-specific basis is documented in the extraction and REB sheets.</x:v>
      </x:c>
      <x:c r="I406" s="9" t="str">
        <x:v>PDF pp. 2–12; Figs. 1–10; Table 1</x:v>
      </x:c>
    </x:row>
    <x:row r="407">
      <x:c r="A407" s="9" t="n">
        <x:v>51</x:v>
      </x:c>
      <x:c r="B407" s="9" t="str">
        <x:v>S064</x:v>
      </x:c>
      <x:c r="C407" s="9" t="str">
        <x:v>Tao et al. (2026)</x:v>
      </x:c>
      <x:c r="D407" s="9" t="str">
        <x:v>Real-time impact strain monitoring in soft structures via hybrid 3D printing</x:v>
      </x:c>
      <x:c r="E407" s="9" t="str">
        <x:v>D6</x:v>
      </x:c>
      <x:c r="F407" s="9" t="str">
        <x:v>High concern</x:v>
      </x:c>
      <x:c r="G407" s="9" t="str">
        <x:v>Adjudicated to Reviewer 1</x:v>
      </x:c>
      <x:c r="H407" s="9" t="str">
        <x:v>A qualifying same-condition comparison of at least three separately fabricated complete sensors was not identified.</x:v>
      </x:c>
      <x:c r="I407" s="9" t="str">
        <x:v>PDF pp. 2–12; Figs. 1–10; Table 1</x:v>
      </x:c>
    </x:row>
    <x:row r="408">
      <x:c r="A408" s="9" t="n">
        <x:v>51</x:v>
      </x:c>
      <x:c r="B408" s="9" t="str">
        <x:v>S064</x:v>
      </x:c>
      <x:c r="C408" s="9" t="str">
        <x:v>Tao et al. (2026)</x:v>
      </x:c>
      <x:c r="D408" s="9" t="str">
        <x:v>Real-time impact strain monitoring in soft structures via hybrid 3D printing</x:v>
      </x:c>
      <x:c r="E408" s="9" t="str">
        <x:v>D7</x:v>
      </x:c>
      <x:c r="F408" s="9" t="str">
        <x:v>Low concern</x:v>
      </x:c>
      <x:c r="G408" s="9" t="str">
        <x:v>Initial agreement</x:v>
      </x:c>
      <x:c r="H408" s="9" t="str">
        <x:v>Study-specific basis is documented in the extraction and REB sheets.</x:v>
      </x:c>
      <x:c r="I408" s="9" t="str">
        <x:v>PDF pp. 2–12; Figs. 1–10; Table 1</x:v>
      </x:c>
    </x:row>
    <x:row r="409">
      <x:c r="A409" s="9" t="n">
        <x:v>51</x:v>
      </x:c>
      <x:c r="B409" s="9" t="str">
        <x:v>S064</x:v>
      </x:c>
      <x:c r="C409" s="9" t="str">
        <x:v>Tao et al. (2026)</x:v>
      </x:c>
      <x:c r="D409" s="9" t="str">
        <x:v>Real-time impact strain monitoring in soft structures via hybrid 3D printing</x:v>
      </x:c>
      <x:c r="E409" s="9" t="str">
        <x:v>D8</x:v>
      </x:c>
      <x:c r="F409" s="9" t="str">
        <x:v>Some concern</x:v>
      </x:c>
      <x:c r="G409" s="9" t="str">
        <x:v>Adjudicated to Reviewer 1</x:v>
      </x:c>
      <x:c r="H409" s="9" t="str">
        <x:v>Wearable configuration and extent of application testing are documented in the sensor and experiment sheets.</x:v>
      </x:c>
      <x:c r="I409" s="9" t="str">
        <x:v>PDF pp. 2–12; Figs. 1–10; Table 1</x:v>
      </x:c>
    </x:row>
    <x:row r="410">
      <x:c r="A410" s="9" t="n">
        <x:v>52</x:v>
      </x:c>
      <x:c r="B410" s="9" t="str">
        <x:v>S065</x:v>
      </x:c>
      <x:c r="C410" s="9" t="str">
        <x:v>Han et al. (2026)</x:v>
      </x:c>
      <x:c r="D410" s="9" t="str">
        <x:v>Flexible pressure sensors with microstructured surfaces fabricated via direct fused deposition modeling</x:v>
      </x:c>
      <x:c r="E410" s="9" t="str">
        <x:v>D1</x:v>
      </x:c>
      <x:c r="F410" s="9" t="str">
        <x:v>Some concern</x:v>
      </x:c>
      <x:c r="G410" s="9" t="str">
        <x:v>Initial agreement</x:v>
      </x:c>
      <x:c r="H410" s="9" t="str">
        <x:v>Study-specific basis is documented in the extraction and REB sheets.</x:v>
      </x:c>
      <x:c r="I410" s="9" t="str">
        <x:v>PDF pp. 2–9; Figs. 1–7</x:v>
      </x:c>
    </x:row>
    <x:row r="411">
      <x:c r="A411" s="9" t="n">
        <x:v>52</x:v>
      </x:c>
      <x:c r="B411" s="9" t="str">
        <x:v>S065</x:v>
      </x:c>
      <x:c r="C411" s="9" t="str">
        <x:v>Han et al. (2026)</x:v>
      </x:c>
      <x:c r="D411" s="9" t="str">
        <x:v>Flexible pressure sensors with microstructured surfaces fabricated via direct fused deposition modeling</x:v>
      </x:c>
      <x:c r="E411" s="9" t="str">
        <x:v>D2</x:v>
      </x:c>
      <x:c r="F411" s="9" t="str">
        <x:v>Some concern</x:v>
      </x:c>
      <x:c r="G411" s="9" t="str">
        <x:v>Initial agreement</x:v>
      </x:c>
      <x:c r="H411" s="9" t="str">
        <x:v>Study-specific basis is documented in the extraction and REB sheets.</x:v>
      </x:c>
      <x:c r="I411" s="9" t="str">
        <x:v>PDF pp. 2–9; Figs. 1–7</x:v>
      </x:c>
    </x:row>
    <x:row r="412">
      <x:c r="A412" s="9" t="n">
        <x:v>52</x:v>
      </x:c>
      <x:c r="B412" s="9" t="str">
        <x:v>S065</x:v>
      </x:c>
      <x:c r="C412" s="9" t="str">
        <x:v>Han et al. (2026)</x:v>
      </x:c>
      <x:c r="D412" s="9" t="str">
        <x:v>Flexible pressure sensors with microstructured surfaces fabricated via direct fused deposition modeling</x:v>
      </x:c>
      <x:c r="E412" s="9" t="str">
        <x:v>D3</x:v>
      </x:c>
      <x:c r="F412" s="9" t="str">
        <x:v>Low concern</x:v>
      </x:c>
      <x:c r="G412" s="9" t="str">
        <x:v>Initial agreement</x:v>
      </x:c>
      <x:c r="H412" s="9" t="str">
        <x:v>Study-specific basis is documented in the extraction and REB sheets.</x:v>
      </x:c>
      <x:c r="I412" s="9" t="str">
        <x:v>PDF pp. 2–9; Figs. 1–7</x:v>
      </x:c>
    </x:row>
    <x:row r="413">
      <x:c r="A413" s="9" t="n">
        <x:v>52</x:v>
      </x:c>
      <x:c r="B413" s="9" t="str">
        <x:v>S065</x:v>
      </x:c>
      <x:c r="C413" s="9" t="str">
        <x:v>Han et al. (2026)</x:v>
      </x:c>
      <x:c r="D413" s="9" t="str">
        <x:v>Flexible pressure sensors with microstructured surfaces fabricated via direct fused deposition modeling</x:v>
      </x:c>
      <x:c r="E413" s="9" t="str">
        <x:v>D4</x:v>
      </x:c>
      <x:c r="F413" s="9" t="str">
        <x:v>Low concern</x:v>
      </x:c>
      <x:c r="G413" s="9" t="str">
        <x:v>Initial agreement</x:v>
      </x:c>
      <x:c r="H413" s="9" t="str">
        <x:v>Study-specific basis is documented in the extraction and REB sheets.</x:v>
      </x:c>
      <x:c r="I413" s="9" t="str">
        <x:v>PDF pp. 2–9; Figs. 1–7</x:v>
      </x:c>
    </x:row>
    <x:row r="414">
      <x:c r="A414" s="9" t="n">
        <x:v>52</x:v>
      </x:c>
      <x:c r="B414" s="9" t="str">
        <x:v>S065</x:v>
      </x:c>
      <x:c r="C414" s="9" t="str">
        <x:v>Han et al. (2026)</x:v>
      </x:c>
      <x:c r="D414" s="9" t="str">
        <x:v>Flexible pressure sensors with microstructured surfaces fabricated via direct fused deposition modeling</x:v>
      </x:c>
      <x:c r="E414" s="9" t="str">
        <x:v>D5</x:v>
      </x:c>
      <x:c r="F414" s="9" t="str">
        <x:v>Low concern</x:v>
      </x:c>
      <x:c r="G414" s="9" t="str">
        <x:v>Initial agreement</x:v>
      </x:c>
      <x:c r="H414" s="9" t="str">
        <x:v>Study-specific basis is documented in the extraction and REB sheets.</x:v>
      </x:c>
      <x:c r="I414" s="9" t="str">
        <x:v>PDF pp. 2–9; Figs. 1–7</x:v>
      </x:c>
    </x:row>
    <x:row r="415">
      <x:c r="A415" s="9" t="n">
        <x:v>52</x:v>
      </x:c>
      <x:c r="B415" s="9" t="str">
        <x:v>S065</x:v>
      </x:c>
      <x:c r="C415" s="9" t="str">
        <x:v>Han et al. (2026)</x:v>
      </x:c>
      <x:c r="D415" s="9" t="str">
        <x:v>Flexible pressure sensors with microstructured surfaces fabricated via direct fused deposition modeling</x:v>
      </x:c>
      <x:c r="E415" s="9" t="str">
        <x:v>D6</x:v>
      </x:c>
      <x:c r="F415" s="9" t="str">
        <x:v>Low concern</x:v>
      </x:c>
      <x:c r="G415" s="9" t="str">
        <x:v>Adjudicated to Reviewer 1</x:v>
      </x:c>
      <x:c r="H415" s="9" t="str">
        <x:v>At least three separately fabricated complete devices were quantitatively compared.</x:v>
      </x:c>
      <x:c r="I415" s="9" t="str">
        <x:v>PDF pp. 2–9; Figs. 1–7</x:v>
      </x:c>
    </x:row>
    <x:row r="416">
      <x:c r="A416" s="9" t="n">
        <x:v>52</x:v>
      </x:c>
      <x:c r="B416" s="9" t="str">
        <x:v>S065</x:v>
      </x:c>
      <x:c r="C416" s="9" t="str">
        <x:v>Han et al. (2026)</x:v>
      </x:c>
      <x:c r="D416" s="9" t="str">
        <x:v>Flexible pressure sensors with microstructured surfaces fabricated via direct fused deposition modeling</x:v>
      </x:c>
      <x:c r="E416" s="9" t="str">
        <x:v>D7</x:v>
      </x:c>
      <x:c r="F416" s="9" t="str">
        <x:v>Low concern</x:v>
      </x:c>
      <x:c r="G416" s="9" t="str">
        <x:v>Adjudicated to Reviewer 1</x:v>
      </x:c>
      <x:c r="H416" s="9" t="str">
        <x:v>Study-specific basis is documented in the extraction and REB sheets.</x:v>
      </x:c>
      <x:c r="I416" s="9" t="str">
        <x:v>PDF pp. 2–9; Figs. 1–7</x:v>
      </x:c>
    </x:row>
    <x:row r="417">
      <x:c r="A417" s="9" t="n">
        <x:v>52</x:v>
      </x:c>
      <x:c r="B417" s="9" t="str">
        <x:v>S065</x:v>
      </x:c>
      <x:c r="C417" s="9" t="str">
        <x:v>Han et al. (2026)</x:v>
      </x:c>
      <x:c r="D417" s="9" t="str">
        <x:v>Flexible pressure sensors with microstructured surfaces fabricated via direct fused deposition modeling</x:v>
      </x:c>
      <x:c r="E417" s="9" t="str">
        <x:v>D8</x:v>
      </x:c>
      <x:c r="F417" s="9" t="str">
        <x:v>Some concern</x:v>
      </x:c>
      <x:c r="G417" s="9" t="str">
        <x:v>Adjudicated to Reviewer 1</x:v>
      </x:c>
      <x:c r="H417" s="9" t="str">
        <x:v>Wearable configuration and extent of application testing are documented in the sensor and experiment sheets.</x:v>
      </x:c>
      <x:c r="I417" s="9" t="str">
        <x:v>PDF pp. 2–9; Figs. 1–7</x:v>
      </x:c>
    </x:row>
    <x:row r="418">
      <x:c r="A418" s="9" t="n">
        <x:v>53</x:v>
      </x:c>
      <x:c r="B418" s="9" t="str">
        <x:v>S066</x:v>
      </x:c>
      <x:c r="C418" s="9" t="str">
        <x:v>Saroli et al. (2026)</x:v>
      </x:c>
      <x:c r="D418" s="9" t="str">
        <x:v>Development and Validation of a Wearable Respiratory Monitoring System Based on a 3D-Printed CB-TPU Strain Sensor</x:v>
      </x:c>
      <x:c r="E418" s="9" t="str">
        <x:v>D1</x:v>
      </x:c>
      <x:c r="F418" s="9" t="str">
        <x:v>Low concern</x:v>
      </x:c>
      <x:c r="G418" s="9" t="str">
        <x:v>Adjudicated to Reviewer 1</x:v>
      </x:c>
      <x:c r="H418" s="9" t="str">
        <x:v>Study-specific basis is documented in the extraction and REB sheets.</x:v>
      </x:c>
      <x:c r="I418" s="9" t="str">
        <x:v>PDF pp. 2–8; Figs. 1–8; Table I</x:v>
      </x:c>
    </x:row>
    <x:row r="419">
      <x:c r="A419" s="9" t="n">
        <x:v>53</x:v>
      </x:c>
      <x:c r="B419" s="9" t="str">
        <x:v>S066</x:v>
      </x:c>
      <x:c r="C419" s="9" t="str">
        <x:v>Saroli et al. (2026)</x:v>
      </x:c>
      <x:c r="D419" s="9" t="str">
        <x:v>Development and Validation of a Wearable Respiratory Monitoring System Based on a 3D-Printed CB-TPU Strain Sensor</x:v>
      </x:c>
      <x:c r="E419" s="9" t="str">
        <x:v>D2</x:v>
      </x:c>
      <x:c r="F419" s="9" t="str">
        <x:v>Some concern</x:v>
      </x:c>
      <x:c r="G419" s="9" t="str">
        <x:v>Adjudicated to Reviewer 1</x:v>
      </x:c>
      <x:c r="H419" s="9" t="str">
        <x:v>Study-specific basis is documented in the extraction and REB sheets.</x:v>
      </x:c>
      <x:c r="I419" s="9" t="str">
        <x:v>PDF pp. 2–8; Figs. 1–8; Table I</x:v>
      </x:c>
    </x:row>
    <x:row r="420">
      <x:c r="A420" s="9" t="n">
        <x:v>53</x:v>
      </x:c>
      <x:c r="B420" s="9" t="str">
        <x:v>S066</x:v>
      </x:c>
      <x:c r="C420" s="9" t="str">
        <x:v>Saroli et al. (2026)</x:v>
      </x:c>
      <x:c r="D420" s="9" t="str">
        <x:v>Development and Validation of a Wearable Respiratory Monitoring System Based on a 3D-Printed CB-TPU Strain Sensor</x:v>
      </x:c>
      <x:c r="E420" s="9" t="str">
        <x:v>D3</x:v>
      </x:c>
      <x:c r="F420" s="9" t="str">
        <x:v>Some concern</x:v>
      </x:c>
      <x:c r="G420" s="9" t="str">
        <x:v>Adjudicated to Reviewer 1</x:v>
      </x:c>
      <x:c r="H420" s="9" t="str">
        <x:v>Study-specific basis is documented in the extraction and REB sheets.</x:v>
      </x:c>
      <x:c r="I420" s="9" t="str">
        <x:v>PDF pp. 2–8; Figs. 1–8; Table I</x:v>
      </x:c>
    </x:row>
    <x:row r="421">
      <x:c r="A421" s="9" t="n">
        <x:v>53</x:v>
      </x:c>
      <x:c r="B421" s="9" t="str">
        <x:v>S066</x:v>
      </x:c>
      <x:c r="C421" s="9" t="str">
        <x:v>Saroli et al. (2026)</x:v>
      </x:c>
      <x:c r="D421" s="9" t="str">
        <x:v>Development and Validation of a Wearable Respiratory Monitoring System Based on a 3D-Printed CB-TPU Strain Sensor</x:v>
      </x:c>
      <x:c r="E421" s="9" t="str">
        <x:v>D4</x:v>
      </x:c>
      <x:c r="F421" s="9" t="str">
        <x:v>Low concern</x:v>
      </x:c>
      <x:c r="G421" s="9" t="str">
        <x:v>Initial agreement</x:v>
      </x:c>
      <x:c r="H421" s="9" t="str">
        <x:v>Study-specific basis is documented in the extraction and REB sheets.</x:v>
      </x:c>
      <x:c r="I421" s="9" t="str">
        <x:v>PDF pp. 2–8; Figs. 1–8; Table I</x:v>
      </x:c>
    </x:row>
    <x:row r="422">
      <x:c r="A422" s="9" t="n">
        <x:v>53</x:v>
      </x:c>
      <x:c r="B422" s="9" t="str">
        <x:v>S066</x:v>
      </x:c>
      <x:c r="C422" s="9" t="str">
        <x:v>Saroli et al. (2026)</x:v>
      </x:c>
      <x:c r="D422" s="9" t="str">
        <x:v>Development and Validation of a Wearable Respiratory Monitoring System Based on a 3D-Printed CB-TPU Strain Sensor</x:v>
      </x:c>
      <x:c r="E422" s="9" t="str">
        <x:v>D5</x:v>
      </x:c>
      <x:c r="F422" s="9" t="str">
        <x:v>Low concern</x:v>
      </x:c>
      <x:c r="G422" s="9" t="str">
        <x:v>Initial agreement</x:v>
      </x:c>
      <x:c r="H422" s="9" t="str">
        <x:v>Study-specific basis is documented in the extraction and REB sheets.</x:v>
      </x:c>
      <x:c r="I422" s="9" t="str">
        <x:v>PDF pp. 2–8; Figs. 1–8; Table I</x:v>
      </x:c>
    </x:row>
    <x:row r="423">
      <x:c r="A423" s="9" t="n">
        <x:v>53</x:v>
      </x:c>
      <x:c r="B423" s="9" t="str">
        <x:v>S066</x:v>
      </x:c>
      <x:c r="C423" s="9" t="str">
        <x:v>Saroli et al. (2026)</x:v>
      </x:c>
      <x:c r="D423" s="9" t="str">
        <x:v>Development and Validation of a Wearable Respiratory Monitoring System Based on a 3D-Printed CB-TPU Strain Sensor</x:v>
      </x:c>
      <x:c r="E423" s="9" t="str">
        <x:v>D6</x:v>
      </x:c>
      <x:c r="F423" s="9" t="str">
        <x:v>High concern</x:v>
      </x:c>
      <x:c r="G423" s="9" t="str">
        <x:v>Initial agreement</x:v>
      </x:c>
      <x:c r="H423" s="9" t="str">
        <x:v>A qualifying same-condition comparison of at least three separately fabricated complete sensors was not identified.</x:v>
      </x:c>
      <x:c r="I423" s="9" t="str">
        <x:v>PDF pp. 2–8; Figs. 1–8; Table I</x:v>
      </x:c>
    </x:row>
    <x:row r="424">
      <x:c r="A424" s="9" t="n">
        <x:v>53</x:v>
      </x:c>
      <x:c r="B424" s="9" t="str">
        <x:v>S066</x:v>
      </x:c>
      <x:c r="C424" s="9" t="str">
        <x:v>Saroli et al. (2026)</x:v>
      </x:c>
      <x:c r="D424" s="9" t="str">
        <x:v>Development and Validation of a Wearable Respiratory Monitoring System Based on a 3D-Printed CB-TPU Strain Sensor</x:v>
      </x:c>
      <x:c r="E424" s="9" t="str">
        <x:v>D7</x:v>
      </x:c>
      <x:c r="F424" s="9" t="str">
        <x:v>Low concern</x:v>
      </x:c>
      <x:c r="G424" s="9" t="str">
        <x:v>Adjudicated to Reviewer 1</x:v>
      </x:c>
      <x:c r="H424" s="9" t="str">
        <x:v>Study-specific basis is documented in the extraction and REB sheets.</x:v>
      </x:c>
      <x:c r="I424" s="9" t="str">
        <x:v>PDF pp. 2–8; Figs. 1–8; Table I</x:v>
      </x:c>
    </x:row>
    <x:row r="425">
      <x:c r="A425" s="9" t="n">
        <x:v>53</x:v>
      </x:c>
      <x:c r="B425" s="9" t="str">
        <x:v>S066</x:v>
      </x:c>
      <x:c r="C425" s="9" t="str">
        <x:v>Saroli et al. (2026)</x:v>
      </x:c>
      <x:c r="D425" s="9" t="str">
        <x:v>Development and Validation of a Wearable Respiratory Monitoring System Based on a 3D-Printed CB-TPU Strain Sensor</x:v>
      </x:c>
      <x:c r="E425" s="9" t="str">
        <x:v>D8</x:v>
      </x:c>
      <x:c r="F425" s="9" t="str">
        <x:v>Low concern</x:v>
      </x:c>
      <x:c r="G425" s="9" t="str">
        <x:v>Initial agreement</x:v>
      </x:c>
      <x:c r="H425" s="9" t="str">
        <x:v>Wearable configuration and extent of application testing are documented in the sensor and experiment sheets.</x:v>
      </x:c>
      <x:c r="I425" s="9" t="str">
        <x:v>PDF pp. 2–8; Figs. 1–8; Table I</x:v>
      </x:c>
    </x:row>
    <x:row r="426">
      <x:c r="A426" s="9" t="n">
        <x:v>54</x:v>
      </x:c>
      <x:c r="B426" s="9" t="str">
        <x:v>S067</x:v>
      </x:c>
      <x:c r="C426" s="9" t="str">
        <x:v>Yang et al. (2026)</x:v>
      </x:c>
      <x:c r="D426" s="9" t="str">
        <x:v>A comfortable, FDM 3D-printed triboelectric insole for motion recognition and energy harvesting</x:v>
      </x:c>
      <x:c r="E426" s="9" t="str">
        <x:v>D1</x:v>
      </x:c>
      <x:c r="F426" s="9" t="str">
        <x:v>High concern</x:v>
      </x:c>
      <x:c r="G426" s="9" t="str">
        <x:v>Adjudicated to Reviewer 1</x:v>
      </x:c>
      <x:c r="H426" s="9" t="str">
        <x:v>Study-specific basis is documented in the extraction and REB sheets.</x:v>
      </x:c>
      <x:c r="I426" s="9" t="str">
        <x:v>PDF pp. 2–9; Figs. 1–8</x:v>
      </x:c>
    </x:row>
    <x:row r="427">
      <x:c r="A427" s="9" t="n">
        <x:v>54</x:v>
      </x:c>
      <x:c r="B427" s="9" t="str">
        <x:v>S067</x:v>
      </x:c>
      <x:c r="C427" s="9" t="str">
        <x:v>Yang et al. (2026)</x:v>
      </x:c>
      <x:c r="D427" s="9" t="str">
        <x:v>A comfortable, FDM 3D-printed triboelectric insole for motion recognition and energy harvesting</x:v>
      </x:c>
      <x:c r="E427" s="9" t="str">
        <x:v>D2</x:v>
      </x:c>
      <x:c r="F427" s="9" t="str">
        <x:v>Some concern</x:v>
      </x:c>
      <x:c r="G427" s="9" t="str">
        <x:v>Adjudicated to Reviewer 1</x:v>
      </x:c>
      <x:c r="H427" s="9" t="str">
        <x:v>Study-specific basis is documented in the extraction and REB sheets.</x:v>
      </x:c>
      <x:c r="I427" s="9" t="str">
        <x:v>PDF pp. 2–9; Figs. 1–8</x:v>
      </x:c>
    </x:row>
    <x:row r="428">
      <x:c r="A428" s="9" t="n">
        <x:v>54</x:v>
      </x:c>
      <x:c r="B428" s="9" t="str">
        <x:v>S067</x:v>
      </x:c>
      <x:c r="C428" s="9" t="str">
        <x:v>Yang et al. (2026)</x:v>
      </x:c>
      <x:c r="D428" s="9" t="str">
        <x:v>A comfortable, FDM 3D-printed triboelectric insole for motion recognition and energy harvesting</x:v>
      </x:c>
      <x:c r="E428" s="9" t="str">
        <x:v>D3</x:v>
      </x:c>
      <x:c r="F428" s="9" t="str">
        <x:v>Low concern</x:v>
      </x:c>
      <x:c r="G428" s="9" t="str">
        <x:v>Initial agreement</x:v>
      </x:c>
      <x:c r="H428" s="9" t="str">
        <x:v>Study-specific basis is documented in the extraction and REB sheets.</x:v>
      </x:c>
      <x:c r="I428" s="9" t="str">
        <x:v>PDF pp. 2–9; Figs. 1–8</x:v>
      </x:c>
    </x:row>
    <x:row r="429">
      <x:c r="A429" s="9" t="n">
        <x:v>54</x:v>
      </x:c>
      <x:c r="B429" s="9" t="str">
        <x:v>S067</x:v>
      </x:c>
      <x:c r="C429" s="9" t="str">
        <x:v>Yang et al. (2026)</x:v>
      </x:c>
      <x:c r="D429" s="9" t="str">
        <x:v>A comfortable, FDM 3D-printed triboelectric insole for motion recognition and energy harvesting</x:v>
      </x:c>
      <x:c r="E429" s="9" t="str">
        <x:v>D4</x:v>
      </x:c>
      <x:c r="F429" s="9" t="str">
        <x:v>Low concern</x:v>
      </x:c>
      <x:c r="G429" s="9" t="str">
        <x:v>Initial agreement</x:v>
      </x:c>
      <x:c r="H429" s="9" t="str">
        <x:v>Study-specific basis is documented in the extraction and REB sheets.</x:v>
      </x:c>
      <x:c r="I429" s="9" t="str">
        <x:v>PDF pp. 2–9; Figs. 1–8</x:v>
      </x:c>
    </x:row>
    <x:row r="430">
      <x:c r="A430" s="9" t="n">
        <x:v>54</x:v>
      </x:c>
      <x:c r="B430" s="9" t="str">
        <x:v>S067</x:v>
      </x:c>
      <x:c r="C430" s="9" t="str">
        <x:v>Yang et al. (2026)</x:v>
      </x:c>
      <x:c r="D430" s="9" t="str">
        <x:v>A comfortable, FDM 3D-printed triboelectric insole for motion recognition and energy harvesting</x:v>
      </x:c>
      <x:c r="E430" s="9" t="str">
        <x:v>D5</x:v>
      </x:c>
      <x:c r="F430" s="9" t="str">
        <x:v>Low concern</x:v>
      </x:c>
      <x:c r="G430" s="9" t="str">
        <x:v>Initial agreement</x:v>
      </x:c>
      <x:c r="H430" s="9" t="str">
        <x:v>Study-specific basis is documented in the extraction and REB sheets.</x:v>
      </x:c>
      <x:c r="I430" s="9" t="str">
        <x:v>PDF pp. 2–9; Figs. 1–8</x:v>
      </x:c>
    </x:row>
    <x:row r="431">
      <x:c r="A431" s="9" t="n">
        <x:v>54</x:v>
      </x:c>
      <x:c r="B431" s="9" t="str">
        <x:v>S067</x:v>
      </x:c>
      <x:c r="C431" s="9" t="str">
        <x:v>Yang et al. (2026)</x:v>
      </x:c>
      <x:c r="D431" s="9" t="str">
        <x:v>A comfortable, FDM 3D-printed triboelectric insole for motion recognition and energy harvesting</x:v>
      </x:c>
      <x:c r="E431" s="9" t="str">
        <x:v>D6</x:v>
      </x:c>
      <x:c r="F431" s="9" t="str">
        <x:v>High concern</x:v>
      </x:c>
      <x:c r="G431" s="9" t="str">
        <x:v>Initial agreement</x:v>
      </x:c>
      <x:c r="H431" s="9" t="str">
        <x:v>A qualifying same-condition comparison of at least three separately fabricated complete sensors was not identified.</x:v>
      </x:c>
      <x:c r="I431" s="9" t="str">
        <x:v>PDF pp. 2–9; Figs. 1–8</x:v>
      </x:c>
    </x:row>
    <x:row r="432">
      <x:c r="A432" s="9" t="n">
        <x:v>54</x:v>
      </x:c>
      <x:c r="B432" s="9" t="str">
        <x:v>S067</x:v>
      </x:c>
      <x:c r="C432" s="9" t="str">
        <x:v>Yang et al. (2026)</x:v>
      </x:c>
      <x:c r="D432" s="9" t="str">
        <x:v>A comfortable, FDM 3D-printed triboelectric insole for motion recognition and energy harvesting</x:v>
      </x:c>
      <x:c r="E432" s="9" t="str">
        <x:v>D7</x:v>
      </x:c>
      <x:c r="F432" s="9" t="str">
        <x:v>Low concern</x:v>
      </x:c>
      <x:c r="G432" s="9" t="str">
        <x:v>Adjudicated to Reviewer 1</x:v>
      </x:c>
      <x:c r="H432" s="9" t="str">
        <x:v>Study-specific basis is documented in the extraction and REB sheets.</x:v>
      </x:c>
      <x:c r="I432" s="9" t="str">
        <x:v>PDF pp. 2–9; Figs. 1–8</x:v>
      </x:c>
    </x:row>
    <x:row r="433">
      <x:c r="A433" s="9" t="n">
        <x:v>54</x:v>
      </x:c>
      <x:c r="B433" s="9" t="str">
        <x:v>S067</x:v>
      </x:c>
      <x:c r="C433" s="9" t="str">
        <x:v>Yang et al. (2026)</x:v>
      </x:c>
      <x:c r="D433" s="9" t="str">
        <x:v>A comfortable, FDM 3D-printed triboelectric insole for motion recognition and energy harvesting</x:v>
      </x:c>
      <x:c r="E433" s="9" t="str">
        <x:v>D8</x:v>
      </x:c>
      <x:c r="F433" s="9" t="str">
        <x:v>Some concern</x:v>
      </x:c>
      <x:c r="G433" s="9" t="str">
        <x:v>Adjudicated to Reviewer 1</x:v>
      </x:c>
      <x:c r="H433" s="9" t="str">
        <x:v>Wearable configuration and extent of application testing are documented in the sensor and experiment sheets.</x:v>
      </x:c>
      <x:c r="I433" s="9" t="str">
        <x:v>PDF pp. 2–9; Figs. 1–8</x:v>
      </x:c>
    </x:row>
    <x:row r="434">
      <x:c r="A434" s="9" t="n">
        <x:v>55</x:v>
      </x:c>
      <x:c r="B434" s="9" t="str">
        <x:v>S068</x:v>
      </x:c>
      <x:c r="C434" s="9" t="str">
        <x:v>Sánchez et al. (2025)</x:v>
      </x:c>
      <x:c r="D434" s="9" t="str">
        <x:v>Enhancing sensing performance of 3D-printed TPU/CB piezoresistive strain sensors through integration of silver ink IDE</x:v>
      </x:c>
      <x:c r="E434" s="9" t="str">
        <x:v>D1</x:v>
      </x:c>
      <x:c r="F434" s="9" t="str">
        <x:v>High concern</x:v>
      </x:c>
      <x:c r="G434" s="9" t="str">
        <x:v>Adjudicated to Reviewer 1</x:v>
      </x:c>
      <x:c r="H434" s="9" t="str">
        <x:v>Study-specific basis is documented in the extraction and REB sheets.</x:v>
      </x:c>
      <x:c r="I434" s="9" t="str">
        <x:v>PDF pp. 2–10; Figs. 1–7; Table 1</x:v>
      </x:c>
    </x:row>
    <x:row r="435">
      <x:c r="A435" s="9" t="n">
        <x:v>55</x:v>
      </x:c>
      <x:c r="B435" s="9" t="str">
        <x:v>S068</x:v>
      </x:c>
      <x:c r="C435" s="9" t="str">
        <x:v>Sánchez et al. (2025)</x:v>
      </x:c>
      <x:c r="D435" s="9" t="str">
        <x:v>Enhancing sensing performance of 3D-printed TPU/CB piezoresistive strain sensors through integration of silver ink IDE</x:v>
      </x:c>
      <x:c r="E435" s="9" t="str">
        <x:v>D2</x:v>
      </x:c>
      <x:c r="F435" s="9" t="str">
        <x:v>Some concern</x:v>
      </x:c>
      <x:c r="G435" s="9" t="str">
        <x:v>Adjudicated to Reviewer 1</x:v>
      </x:c>
      <x:c r="H435" s="9" t="str">
        <x:v>Study-specific basis is documented in the extraction and REB sheets.</x:v>
      </x:c>
      <x:c r="I435" s="9" t="str">
        <x:v>PDF pp. 2–10; Figs. 1–7; Table 1</x:v>
      </x:c>
    </x:row>
    <x:row r="436">
      <x:c r="A436" s="9" t="n">
        <x:v>55</x:v>
      </x:c>
      <x:c r="B436" s="9" t="str">
        <x:v>S068</x:v>
      </x:c>
      <x:c r="C436" s="9" t="str">
        <x:v>Sánchez et al. (2025)</x:v>
      </x:c>
      <x:c r="D436" s="9" t="str">
        <x:v>Enhancing sensing performance of 3D-printed TPU/CB piezoresistive strain sensors through integration of silver ink IDE</x:v>
      </x:c>
      <x:c r="E436" s="9" t="str">
        <x:v>D3</x:v>
      </x:c>
      <x:c r="F436" s="9" t="str">
        <x:v>Low concern</x:v>
      </x:c>
      <x:c r="G436" s="9" t="str">
        <x:v>Initial agreement</x:v>
      </x:c>
      <x:c r="H436" s="9" t="str">
        <x:v>Study-specific basis is documented in the extraction and REB sheets.</x:v>
      </x:c>
      <x:c r="I436" s="9" t="str">
        <x:v>PDF pp. 2–10; Figs. 1–7; Table 1</x:v>
      </x:c>
    </x:row>
    <x:row r="437">
      <x:c r="A437" s="9" t="n">
        <x:v>55</x:v>
      </x:c>
      <x:c r="B437" s="9" t="str">
        <x:v>S068</x:v>
      </x:c>
      <x:c r="C437" s="9" t="str">
        <x:v>Sánchez et al. (2025)</x:v>
      </x:c>
      <x:c r="D437" s="9" t="str">
        <x:v>Enhancing sensing performance of 3D-printed TPU/CB piezoresistive strain sensors through integration of silver ink IDE</x:v>
      </x:c>
      <x:c r="E437" s="9" t="str">
        <x:v>D4</x:v>
      </x:c>
      <x:c r="F437" s="9" t="str">
        <x:v>Low concern</x:v>
      </x:c>
      <x:c r="G437" s="9" t="str">
        <x:v>Initial agreement</x:v>
      </x:c>
      <x:c r="H437" s="9" t="str">
        <x:v>Study-specific basis is documented in the extraction and REB sheets.</x:v>
      </x:c>
      <x:c r="I437" s="9" t="str">
        <x:v>PDF pp. 2–10; Figs. 1–7; Table 1</x:v>
      </x:c>
    </x:row>
    <x:row r="438">
      <x:c r="A438" s="9" t="n">
        <x:v>55</x:v>
      </x:c>
      <x:c r="B438" s="9" t="str">
        <x:v>S068</x:v>
      </x:c>
      <x:c r="C438" s="9" t="str">
        <x:v>Sánchez et al. (2025)</x:v>
      </x:c>
      <x:c r="D438" s="9" t="str">
        <x:v>Enhancing sensing performance of 3D-printed TPU/CB piezoresistive strain sensors through integration of silver ink IDE</x:v>
      </x:c>
      <x:c r="E438" s="9" t="str">
        <x:v>D5</x:v>
      </x:c>
      <x:c r="F438" s="9" t="str">
        <x:v>Low concern</x:v>
      </x:c>
      <x:c r="G438" s="9" t="str">
        <x:v>Initial agreement</x:v>
      </x:c>
      <x:c r="H438" s="9" t="str">
        <x:v>Study-specific basis is documented in the extraction and REB sheets.</x:v>
      </x:c>
      <x:c r="I438" s="9" t="str">
        <x:v>PDF pp. 2–10; Figs. 1–7; Table 1</x:v>
      </x:c>
    </x:row>
    <x:row r="439">
      <x:c r="A439" s="9" t="n">
        <x:v>55</x:v>
      </x:c>
      <x:c r="B439" s="9" t="str">
        <x:v>S068</x:v>
      </x:c>
      <x:c r="C439" s="9" t="str">
        <x:v>Sánchez et al. (2025)</x:v>
      </x:c>
      <x:c r="D439" s="9" t="str">
        <x:v>Enhancing sensing performance of 3D-printed TPU/CB piezoresistive strain sensors through integration of silver ink IDE</x:v>
      </x:c>
      <x:c r="E439" s="9" t="str">
        <x:v>D6</x:v>
      </x:c>
      <x:c r="F439" s="9" t="str">
        <x:v>High concern</x:v>
      </x:c>
      <x:c r="G439" s="9" t="str">
        <x:v>Adjudicated to Reviewer 1</x:v>
      </x:c>
      <x:c r="H439" s="9" t="str">
        <x:v>A qualifying same-condition comparison of at least three separately fabricated complete sensors was not identified.</x:v>
      </x:c>
      <x:c r="I439" s="9" t="str">
        <x:v>PDF pp. 2–10; Figs. 1–7; Table 1</x:v>
      </x:c>
    </x:row>
    <x:row r="440">
      <x:c r="A440" s="9" t="n">
        <x:v>55</x:v>
      </x:c>
      <x:c r="B440" s="9" t="str">
        <x:v>S068</x:v>
      </x:c>
      <x:c r="C440" s="9" t="str">
        <x:v>Sánchez et al. (2025)</x:v>
      </x:c>
      <x:c r="D440" s="9" t="str">
        <x:v>Enhancing sensing performance of 3D-printed TPU/CB piezoresistive strain sensors through integration of silver ink IDE</x:v>
      </x:c>
      <x:c r="E440" s="9" t="str">
        <x:v>D7</x:v>
      </x:c>
      <x:c r="F440" s="9" t="str">
        <x:v>Low concern</x:v>
      </x:c>
      <x:c r="G440" s="9" t="str">
        <x:v>Initial agreement</x:v>
      </x:c>
      <x:c r="H440" s="9" t="str">
        <x:v>Study-specific basis is documented in the extraction and REB sheets.</x:v>
      </x:c>
      <x:c r="I440" s="9" t="str">
        <x:v>PDF pp. 2–10; Figs. 1–7; Table 1</x:v>
      </x:c>
    </x:row>
    <x:row r="441">
      <x:c r="A441" s="9" t="n">
        <x:v>55</x:v>
      </x:c>
      <x:c r="B441" s="9" t="str">
        <x:v>S068</x:v>
      </x:c>
      <x:c r="C441" s="9" t="str">
        <x:v>Sánchez et al. (2025)</x:v>
      </x:c>
      <x:c r="D441" s="9" t="str">
        <x:v>Enhancing sensing performance of 3D-printed TPU/CB piezoresistive strain sensors through integration of silver ink IDE</x:v>
      </x:c>
      <x:c r="E441" s="9" t="str">
        <x:v>D8</x:v>
      </x:c>
      <x:c r="F441" s="9" t="str">
        <x:v>Some concern</x:v>
      </x:c>
      <x:c r="G441" s="9" t="str">
        <x:v>Adjudicated to Reviewer 1</x:v>
      </x:c>
      <x:c r="H441" s="9" t="str">
        <x:v>Wearable configuration and extent of application testing are documented in the sensor and experiment sheets.</x:v>
      </x:c>
      <x:c r="I441" s="9" t="str">
        <x:v>PDF pp. 2–10; Figs. 1–7; Table 1</x:v>
      </x:c>
    </x:row>
    <x:row r="442">
      <x:c r="A442" s="9" t="n">
        <x:v>56</x:v>
      </x:c>
      <x:c r="B442" s="9" t="str">
        <x:v>S069</x:v>
      </x:c>
      <x:c r="C442" s="9" t="str">
        <x:v>Babu et al. (2025)</x:v>
      </x:c>
      <x:c r="D442" s="9" t="str">
        <x:v>Direct 3D-printed triboactive polymer layers on stretchable conductive fabric for high-performance T-TENGs</x:v>
      </x:c>
      <x:c r="E442" s="9" t="str">
        <x:v>D1</x:v>
      </x:c>
      <x:c r="F442" s="9" t="str">
        <x:v>Some concern</x:v>
      </x:c>
      <x:c r="G442" s="9" t="str">
        <x:v>Initial agreement</x:v>
      </x:c>
      <x:c r="H442" s="9" t="str">
        <x:v>Study-specific basis is documented in the extraction and REB sheets.</x:v>
      </x:c>
      <x:c r="I442" s="9" t="str">
        <x:v>PDF pp. 2–12; Figs. 1–11; Table 1; cited SI</x:v>
      </x:c>
    </x:row>
    <x:row r="443">
      <x:c r="A443" s="9" t="n">
        <x:v>56</x:v>
      </x:c>
      <x:c r="B443" s="9" t="str">
        <x:v>S069</x:v>
      </x:c>
      <x:c r="C443" s="9" t="str">
        <x:v>Babu et al. (2025)</x:v>
      </x:c>
      <x:c r="D443" s="9" t="str">
        <x:v>Direct 3D-printed triboactive polymer layers on stretchable conductive fabric for high-performance T-TENGs</x:v>
      </x:c>
      <x:c r="E443" s="9" t="str">
        <x:v>D2</x:v>
      </x:c>
      <x:c r="F443" s="9" t="str">
        <x:v>Some concern</x:v>
      </x:c>
      <x:c r="G443" s="9" t="str">
        <x:v>Adjudicated to Reviewer 1</x:v>
      </x:c>
      <x:c r="H443" s="9" t="str">
        <x:v>Study-specific basis is documented in the extraction and REB sheets.</x:v>
      </x:c>
      <x:c r="I443" s="9" t="str">
        <x:v>PDF pp. 2–12; Figs. 1–11; Table 1; cited SI</x:v>
      </x:c>
    </x:row>
    <x:row r="444">
      <x:c r="A444" s="9" t="n">
        <x:v>56</x:v>
      </x:c>
      <x:c r="B444" s="9" t="str">
        <x:v>S069</x:v>
      </x:c>
      <x:c r="C444" s="9" t="str">
        <x:v>Babu et al. (2025)</x:v>
      </x:c>
      <x:c r="D444" s="9" t="str">
        <x:v>Direct 3D-printed triboactive polymer layers on stretchable conductive fabric for high-performance T-TENGs</x:v>
      </x:c>
      <x:c r="E444" s="9" t="str">
        <x:v>D3</x:v>
      </x:c>
      <x:c r="F444" s="9" t="str">
        <x:v>Low concern</x:v>
      </x:c>
      <x:c r="G444" s="9" t="str">
        <x:v>Initial agreement</x:v>
      </x:c>
      <x:c r="H444" s="9" t="str">
        <x:v>Study-specific basis is documented in the extraction and REB sheets.</x:v>
      </x:c>
      <x:c r="I444" s="9" t="str">
        <x:v>PDF pp. 2–12; Figs. 1–11; Table 1; cited SI</x:v>
      </x:c>
    </x:row>
    <x:row r="445">
      <x:c r="A445" s="9" t="n">
        <x:v>56</x:v>
      </x:c>
      <x:c r="B445" s="9" t="str">
        <x:v>S069</x:v>
      </x:c>
      <x:c r="C445" s="9" t="str">
        <x:v>Babu et al. (2025)</x:v>
      </x:c>
      <x:c r="D445" s="9" t="str">
        <x:v>Direct 3D-printed triboactive polymer layers on stretchable conductive fabric for high-performance T-TENGs</x:v>
      </x:c>
      <x:c r="E445" s="9" t="str">
        <x:v>D4</x:v>
      </x:c>
      <x:c r="F445" s="9" t="str">
        <x:v>Low concern</x:v>
      </x:c>
      <x:c r="G445" s="9" t="str">
        <x:v>Initial agreement</x:v>
      </x:c>
      <x:c r="H445" s="9" t="str">
        <x:v>Study-specific basis is documented in the extraction and REB sheets.</x:v>
      </x:c>
      <x:c r="I445" s="9" t="str">
        <x:v>PDF pp. 2–12; Figs. 1–11; Table 1; cited SI</x:v>
      </x:c>
    </x:row>
    <x:row r="446">
      <x:c r="A446" s="9" t="n">
        <x:v>56</x:v>
      </x:c>
      <x:c r="B446" s="9" t="str">
        <x:v>S069</x:v>
      </x:c>
      <x:c r="C446" s="9" t="str">
        <x:v>Babu et al. (2025)</x:v>
      </x:c>
      <x:c r="D446" s="9" t="str">
        <x:v>Direct 3D-printed triboactive polymer layers on stretchable conductive fabric for high-performance T-TENGs</x:v>
      </x:c>
      <x:c r="E446" s="9" t="str">
        <x:v>D5</x:v>
      </x:c>
      <x:c r="F446" s="9" t="str">
        <x:v>Low concern</x:v>
      </x:c>
      <x:c r="G446" s="9" t="str">
        <x:v>Initial agreement</x:v>
      </x:c>
      <x:c r="H446" s="9" t="str">
        <x:v>Study-specific basis is documented in the extraction and REB sheets.</x:v>
      </x:c>
      <x:c r="I446" s="9" t="str">
        <x:v>PDF pp. 2–12; Figs. 1–11; Table 1; cited SI</x:v>
      </x:c>
    </x:row>
    <x:row r="447">
      <x:c r="A447" s="9" t="n">
        <x:v>56</x:v>
      </x:c>
      <x:c r="B447" s="9" t="str">
        <x:v>S069</x:v>
      </x:c>
      <x:c r="C447" s="9" t="str">
        <x:v>Babu et al. (2025)</x:v>
      </x:c>
      <x:c r="D447" s="9" t="str">
        <x:v>Direct 3D-printed triboactive polymer layers on stretchable conductive fabric for high-performance T-TENGs</x:v>
      </x:c>
      <x:c r="E447" s="9" t="str">
        <x:v>D6</x:v>
      </x:c>
      <x:c r="F447" s="9" t="str">
        <x:v>High concern</x:v>
      </x:c>
      <x:c r="G447" s="9" t="str">
        <x:v>Initial agreement</x:v>
      </x:c>
      <x:c r="H447" s="9" t="str">
        <x:v>A qualifying same-condition comparison of at least three separately fabricated complete sensors was not identified.</x:v>
      </x:c>
      <x:c r="I447" s="9" t="str">
        <x:v>PDF pp. 2–12; Figs. 1–11; Table 1; cited SI</x:v>
      </x:c>
    </x:row>
    <x:row r="448">
      <x:c r="A448" s="9" t="n">
        <x:v>56</x:v>
      </x:c>
      <x:c r="B448" s="9" t="str">
        <x:v>S069</x:v>
      </x:c>
      <x:c r="C448" s="9" t="str">
        <x:v>Babu et al. (2025)</x:v>
      </x:c>
      <x:c r="D448" s="9" t="str">
        <x:v>Direct 3D-printed triboactive polymer layers on stretchable conductive fabric for high-performance T-TENGs</x:v>
      </x:c>
      <x:c r="E448" s="9" t="str">
        <x:v>D7</x:v>
      </x:c>
      <x:c r="F448" s="9" t="str">
        <x:v>Low concern</x:v>
      </x:c>
      <x:c r="G448" s="9" t="str">
        <x:v>Adjudicated to Reviewer 1</x:v>
      </x:c>
      <x:c r="H448" s="9" t="str">
        <x:v>Study-specific basis is documented in the extraction and REB sheets.</x:v>
      </x:c>
      <x:c r="I448" s="9" t="str">
        <x:v>PDF pp. 2–12; Figs. 1–11; Table 1; cited SI</x:v>
      </x:c>
    </x:row>
    <x:row r="449">
      <x:c r="A449" s="9" t="n">
        <x:v>56</x:v>
      </x:c>
      <x:c r="B449" s="9" t="str">
        <x:v>S069</x:v>
      </x:c>
      <x:c r="C449" s="9" t="str">
        <x:v>Babu et al. (2025)</x:v>
      </x:c>
      <x:c r="D449" s="9" t="str">
        <x:v>Direct 3D-printed triboactive polymer layers on stretchable conductive fabric for high-performance T-TENGs</x:v>
      </x:c>
      <x:c r="E449" s="9" t="str">
        <x:v>D8</x:v>
      </x:c>
      <x:c r="F449" s="9" t="str">
        <x:v>Some concern</x:v>
      </x:c>
      <x:c r="G449" s="9" t="str">
        <x:v>Initial agreement</x:v>
      </x:c>
      <x:c r="H449" s="9" t="str">
        <x:v>Wearable configuration and extent of application testing are documented in the sensor and experiment sheets.</x:v>
      </x:c>
      <x:c r="I449" s="9" t="str">
        <x:v>PDF pp. 2–12; Figs. 1–11; Table 1; cited SI</x:v>
      </x:c>
    </x:row>
    <x:row r="450">
      <x:c r="A450" s="9" t="n">
        <x:v>57</x:v>
      </x:c>
      <x:c r="B450" s="9" t="str">
        <x:v>S070</x:v>
      </x:c>
      <x:c r="C450" s="9" t="str">
        <x:v>Dimo et al. (2026)</x:v>
      </x:c>
      <x:c r="D450" s="9" t="str">
        <x:v>Effect of Printing Material and Speed on the Response of Flexible 3-D-Printed FBG-Based Sensors</x:v>
      </x:c>
      <x:c r="E450" s="9" t="str">
        <x:v>D1</x:v>
      </x:c>
      <x:c r="F450" s="9" t="str">
        <x:v>High concern</x:v>
      </x:c>
      <x:c r="G450" s="9" t="str">
        <x:v>Adjudicated to Reviewer 1</x:v>
      </x:c>
      <x:c r="H450" s="9" t="str">
        <x:v>Application evidence relies on one or an unspecified small convenience sample and device sampling is not justified.</x:v>
      </x:c>
      <x:c r="I450" s="9" t="str">
        <x:v>PDF pp. 3–9; Figs. 1–12; Tables I–III</x:v>
      </x:c>
    </x:row>
    <x:row r="451">
      <x:c r="A451" s="9" t="n">
        <x:v>57</x:v>
      </x:c>
      <x:c r="B451" s="9" t="str">
        <x:v>S070</x:v>
      </x:c>
      <x:c r="C451" s="9" t="str">
        <x:v>Dimo et al. (2026)</x:v>
      </x:c>
      <x:c r="D451" s="9" t="str">
        <x:v>Effect of Printing Material and Speed on the Response of Flexible 3-D-Printed FBG-Based Sensors</x:v>
      </x:c>
      <x:c r="E451" s="9" t="str">
        <x:v>D2</x:v>
      </x:c>
      <x:c r="F451" s="9" t="str">
        <x:v>Low concern</x:v>
      </x:c>
      <x:c r="G451" s="9" t="str">
        <x:v>Initial agreement</x:v>
      </x:c>
      <x:c r="H451" s="9" t="str">
        <x:v>Fabrication variables and application-relevant settings are sufficiently controlled and reported.</x:v>
      </x:c>
      <x:c r="I451" s="9" t="str">
        <x:v>PDF pp. 3–9; Figs. 1–12; Tables I–III</x:v>
      </x:c>
    </x:row>
    <x:row r="452">
      <x:c r="A452" s="9" t="n">
        <x:v>57</x:v>
      </x:c>
      <x:c r="B452" s="9" t="str">
        <x:v>S070</x:v>
      </x:c>
      <x:c r="C452" s="9" t="str">
        <x:v>Dimo et al. (2026)</x:v>
      </x:c>
      <x:c r="D452" s="9" t="str">
        <x:v>Effect of Printing Material and Speed on the Response of Flexible 3-D-Printed FBG-Based Sensors</x:v>
      </x:c>
      <x:c r="E452" s="9" t="str">
        <x:v>D3</x:v>
      </x:c>
      <x:c r="F452" s="9" t="str">
        <x:v>Low concern</x:v>
      </x:c>
      <x:c r="G452" s="9" t="str">
        <x:v>Initial agreement</x:v>
      </x:c>
      <x:c r="H452" s="9" t="str">
        <x:v>Controlled inputs and suitable reference instrumentation/procedures are reported.</x:v>
      </x:c>
      <x:c r="I452" s="9" t="str">
        <x:v>PDF pp. 3–9; Figs. 1–12; Tables I–III</x:v>
      </x:c>
    </x:row>
    <x:row r="453">
      <x:c r="A453" s="9" t="n">
        <x:v>57</x:v>
      </x:c>
      <x:c r="B453" s="9" t="str">
        <x:v>S070</x:v>
      </x:c>
      <x:c r="C453" s="9" t="str">
        <x:v>Dimo et al. (2026)</x:v>
      </x:c>
      <x:c r="D453" s="9" t="str">
        <x:v>Effect of Printing Material and Speed on the Response of Flexible 3-D-Printed FBG-Based Sensors</x:v>
      </x:c>
      <x:c r="E453" s="9" t="str">
        <x:v>D4</x:v>
      </x:c>
      <x:c r="F453" s="9" t="str">
        <x:v>Low concern</x:v>
      </x:c>
      <x:c r="G453" s="9" t="str">
        <x:v>Initial agreement</x:v>
      </x:c>
      <x:c r="H453" s="9" t="str">
        <x:v>Loading/exposure ranges, rates or conditions are stated for the principal experiments.</x:v>
      </x:c>
      <x:c r="I453" s="9" t="str">
        <x:v>PDF pp. 3–9; Figs. 1–12; Tables I–III</x:v>
      </x:c>
    </x:row>
    <x:row r="454">
      <x:c r="A454" s="9" t="n">
        <x:v>57</x:v>
      </x:c>
      <x:c r="B454" s="9" t="str">
        <x:v>S070</x:v>
      </x:c>
      <x:c r="C454" s="9" t="str">
        <x:v>Dimo et al. (2026)</x:v>
      </x:c>
      <x:c r="D454" s="9" t="str">
        <x:v>Effect of Printing Material and Speed on the Response of Flexible 3-D-Printed FBG-Based Sensors</x:v>
      </x:c>
      <x:c r="E454" s="9" t="str">
        <x:v>D5</x:v>
      </x:c>
      <x:c r="F454" s="9" t="str">
        <x:v>Low concern</x:v>
      </x:c>
      <x:c r="G454" s="9" t="str">
        <x:v>Initial agreement</x:v>
      </x:c>
      <x:c r="H454" s="9" t="str">
        <x:v>The study reports at least one defined ≥3-cycle repeated-measurement or endurance protocol.</x:v>
      </x:c>
      <x:c r="I454" s="9" t="str">
        <x:v>PDF pp. 3–9; Figs. 1–12; Tables I–III</x:v>
      </x:c>
    </x:row>
    <x:row r="455">
      <x:c r="A455" s="9" t="n">
        <x:v>57</x:v>
      </x:c>
      <x:c r="B455" s="9" t="str">
        <x:v>S070</x:v>
      </x:c>
      <x:c r="C455" s="9" t="str">
        <x:v>Dimo et al. (2026)</x:v>
      </x:c>
      <x:c r="D455" s="9" t="str">
        <x:v>Effect of Printing Material and Speed on the Response of Flexible 3-D-Printed FBG-Based Sensors</x:v>
      </x:c>
      <x:c r="E455" s="9" t="str">
        <x:v>D6</x:v>
      </x:c>
      <x:c r="F455" s="9" t="str">
        <x:v>High concern</x:v>
      </x:c>
      <x:c r="G455" s="9" t="str">
        <x:v>Initial agreement</x:v>
      </x:c>
      <x:c r="H455" s="9" t="str">
        <x:v>A qualifying same-condition comparison of at least three separately fabricated complete sensing units with device-level results or dispersion was not identified.</x:v>
      </x:c>
      <x:c r="I455" s="9" t="str">
        <x:v>PDF pp. 3–9; Figs. 1–12; Tables I–III</x:v>
      </x:c>
    </x:row>
    <x:row r="456">
      <x:c r="A456" s="9" t="n">
        <x:v>57</x:v>
      </x:c>
      <x:c r="B456" s="9" t="str">
        <x:v>S070</x:v>
      </x:c>
      <x:c r="C456" s="9" t="str">
        <x:v>Dimo et al. (2026)</x:v>
      </x:c>
      <x:c r="D456" s="9" t="str">
        <x:v>Effect of Printing Material and Speed on the Response of Flexible 3-D-Printed FBG-Based Sensors</x:v>
      </x:c>
      <x:c r="E456" s="9" t="str">
        <x:v>D7</x:v>
      </x:c>
      <x:c r="F456" s="9" t="str">
        <x:v>Low concern</x:v>
      </x:c>
      <x:c r="G456" s="9" t="str">
        <x:v>Initial agreement</x:v>
      </x:c>
      <x:c r="H456" s="9" t="str">
        <x:v>Principal response magnitudes, ranges and relevant retention/failure behavior are reported.</x:v>
      </x:c>
      <x:c r="I456" s="9" t="str">
        <x:v>PDF pp. 3–9; Figs. 1–12; Tables I–III</x:v>
      </x:c>
    </x:row>
    <x:row r="457">
      <x:c r="A457" s="9" t="n">
        <x:v>57</x:v>
      </x:c>
      <x:c r="B457" s="9" t="str">
        <x:v>S070</x:v>
      </x:c>
      <x:c r="C457" s="9" t="str">
        <x:v>Dimo et al. (2026)</x:v>
      </x:c>
      <x:c r="D457" s="9" t="str">
        <x:v>Effect of Printing Material and Speed on the Response of Flexible 3-D-Printed FBG-Based Sensors</x:v>
      </x:c>
      <x:c r="E457" s="9" t="str">
        <x:v>D8</x:v>
      </x:c>
      <x:c r="F457" s="9" t="str">
        <x:v>High concern</x:v>
      </x:c>
      <x:c r="G457" s="9" t="str">
        <x:v>Adjudicated to Reviewer 1</x:v>
      </x:c>
      <x:c r="H457" s="9" t="str">
        <x:v>Wearable evidence is limited to a single or sparsely documented demonstration.</x:v>
      </x:c>
      <x:c r="I457" s="9" t="str">
        <x:v>PDF pp. 3–9; Figs. 1–12; Tables I–III</x:v>
      </x:c>
    </x:row>
    <x:row r="458">
      <x:c r="A458" s="9" t="n">
        <x:v>58</x:v>
      </x:c>
      <x:c r="B458" s="9" t="str">
        <x:v>S071</x:v>
      </x:c>
      <x:c r="C458" s="9" t="str">
        <x:v>Luo et al. (2025)</x:v>
      </x:c>
      <x:c r="D458" s="9" t="str">
        <x:v>Research on the mechanical properties and piezoresistive characteristics of sensor based on TPMS lattice structure</x:v>
      </x:c>
      <x:c r="E458" s="9" t="str">
        <x:v>D1</x:v>
      </x:c>
      <x:c r="F458" s="9" t="str">
        <x:v>Some concern</x:v>
      </x:c>
      <x:c r="G458" s="9" t="str">
        <x:v>Initial agreement</x:v>
      </x:c>
      <x:c r="H458" s="9" t="str">
        <x:v>Participant/specimen sampling is partly described, but selection and representativeness are limited.</x:v>
      </x:c>
      <x:c r="I458" s="9" t="str">
        <x:v>PDF pp. 2–10; Figs. 1–12; Tables 1–2</x:v>
      </x:c>
    </x:row>
    <x:row r="459">
      <x:c r="A459" s="9" t="n">
        <x:v>58</x:v>
      </x:c>
      <x:c r="B459" s="9" t="str">
        <x:v>S071</x:v>
      </x:c>
      <x:c r="C459" s="9" t="str">
        <x:v>Luo et al. (2025)</x:v>
      </x:c>
      <x:c r="D459" s="9" t="str">
        <x:v>Research on the mechanical properties and piezoresistive characteristics of sensor based on TPMS lattice structure</x:v>
      </x:c>
      <x:c r="E459" s="9" t="str">
        <x:v>D2</x:v>
      </x:c>
      <x:c r="F459" s="9" t="str">
        <x:v>Some concern</x:v>
      </x:c>
      <x:c r="G459" s="9" t="str">
        <x:v>Initial agreement</x:v>
      </x:c>
      <x:c r="H459" s="9" t="str">
        <x:v>One or more fabrication settings or platform details are absent, unresolved or internally inconsistent.</x:v>
      </x:c>
      <x:c r="I459" s="9" t="str">
        <x:v>PDF pp. 2–10; Figs. 1–12; Tables 1–2</x:v>
      </x:c>
    </x:row>
    <x:row r="460">
      <x:c r="A460" s="9" t="n">
        <x:v>58</x:v>
      </x:c>
      <x:c r="B460" s="9" t="str">
        <x:v>S071</x:v>
      </x:c>
      <x:c r="C460" s="9" t="str">
        <x:v>Luo et al. (2025)</x:v>
      </x:c>
      <x:c r="D460" s="9" t="str">
        <x:v>Research on the mechanical properties and piezoresistive characteristics of sensor based on TPMS lattice structure</x:v>
      </x:c>
      <x:c r="E460" s="9" t="str">
        <x:v>D3</x:v>
      </x:c>
      <x:c r="F460" s="9" t="str">
        <x:v>Low concern</x:v>
      </x:c>
      <x:c r="G460" s="9" t="str">
        <x:v>Initial agreement</x:v>
      </x:c>
      <x:c r="H460" s="9" t="str">
        <x:v>Controlled inputs and suitable reference instrumentation/procedures are reported.</x:v>
      </x:c>
      <x:c r="I460" s="9" t="str">
        <x:v>PDF pp. 2–10; Figs. 1–12; Tables 1–2</x:v>
      </x:c>
    </x:row>
    <x:row r="461">
      <x:c r="A461" s="9" t="n">
        <x:v>58</x:v>
      </x:c>
      <x:c r="B461" s="9" t="str">
        <x:v>S071</x:v>
      </x:c>
      <x:c r="C461" s="9" t="str">
        <x:v>Luo et al. (2025)</x:v>
      </x:c>
      <x:c r="D461" s="9" t="str">
        <x:v>Research on the mechanical properties and piezoresistive characteristics of sensor based on TPMS lattice structure</x:v>
      </x:c>
      <x:c r="E461" s="9" t="str">
        <x:v>D4</x:v>
      </x:c>
      <x:c r="F461" s="9" t="str">
        <x:v>Low concern</x:v>
      </x:c>
      <x:c r="G461" s="9" t="str">
        <x:v>Initial agreement</x:v>
      </x:c>
      <x:c r="H461" s="9" t="str">
        <x:v>Loading/exposure ranges, rates or conditions are stated for the principal experiments.</x:v>
      </x:c>
      <x:c r="I461" s="9" t="str">
        <x:v>PDF pp. 2–10; Figs. 1–12; Tables 1–2</x:v>
      </x:c>
    </x:row>
    <x:row r="462">
      <x:c r="A462" s="9" t="n">
        <x:v>58</x:v>
      </x:c>
      <x:c r="B462" s="9" t="str">
        <x:v>S071</x:v>
      </x:c>
      <x:c r="C462" s="9" t="str">
        <x:v>Luo et al. (2025)</x:v>
      </x:c>
      <x:c r="D462" s="9" t="str">
        <x:v>Research on the mechanical properties and piezoresistive characteristics of sensor based on TPMS lattice structure</x:v>
      </x:c>
      <x:c r="E462" s="9" t="str">
        <x:v>D5</x:v>
      </x:c>
      <x:c r="F462" s="9" t="str">
        <x:v>Low concern</x:v>
      </x:c>
      <x:c r="G462" s="9" t="str">
        <x:v>Initial agreement</x:v>
      </x:c>
      <x:c r="H462" s="9" t="str">
        <x:v>The study reports at least one defined ≥3-cycle repeated-measurement or endurance protocol.</x:v>
      </x:c>
      <x:c r="I462" s="9" t="str">
        <x:v>PDF pp. 2–10; Figs. 1–12; Tables 1–2</x:v>
      </x:c>
    </x:row>
    <x:row r="463">
      <x:c r="A463" s="9" t="n">
        <x:v>58</x:v>
      </x:c>
      <x:c r="B463" s="9" t="str">
        <x:v>S071</x:v>
      </x:c>
      <x:c r="C463" s="9" t="str">
        <x:v>Luo et al. (2025)</x:v>
      </x:c>
      <x:c r="D463" s="9" t="str">
        <x:v>Research on the mechanical properties and piezoresistive characteristics of sensor based on TPMS lattice structure</x:v>
      </x:c>
      <x:c r="E463" s="9" t="str">
        <x:v>D6</x:v>
      </x:c>
      <x:c r="F463" s="9" t="str">
        <x:v>High concern</x:v>
      </x:c>
      <x:c r="G463" s="9" t="str">
        <x:v>Initial agreement</x:v>
      </x:c>
      <x:c r="H463" s="9" t="str">
        <x:v>A qualifying same-condition comparison of at least three separately fabricated complete sensing units with device-level results or dispersion was not identified.</x:v>
      </x:c>
      <x:c r="I463" s="9" t="str">
        <x:v>PDF pp. 2–10; Figs. 1–12; Tables 1–2</x:v>
      </x:c>
    </x:row>
    <x:row r="464">
      <x:c r="A464" s="9" t="n">
        <x:v>58</x:v>
      </x:c>
      <x:c r="B464" s="9" t="str">
        <x:v>S071</x:v>
      </x:c>
      <x:c r="C464" s="9" t="str">
        <x:v>Luo et al. (2025)</x:v>
      </x:c>
      <x:c r="D464" s="9" t="str">
        <x:v>Research on the mechanical properties and piezoresistive characteristics of sensor based on TPMS lattice structure</x:v>
      </x:c>
      <x:c r="E464" s="9" t="str">
        <x:v>D7</x:v>
      </x:c>
      <x:c r="F464" s="9" t="str">
        <x:v>Some concern</x:v>
      </x:c>
      <x:c r="G464" s="9" t="str">
        <x:v>Initial agreement</x:v>
      </x:c>
      <x:c r="H464" s="9" t="str">
        <x:v>Some principal claims rely on selected curves, inconsistent descriptions or incomplete uncertainty/device-level reporting.</x:v>
      </x:c>
      <x:c r="I464" s="9" t="str">
        <x:v>PDF pp. 2–10; Figs. 1–12; Tables 1–2</x:v>
      </x:c>
    </x:row>
    <x:row r="465">
      <x:c r="A465" s="9" t="n">
        <x:v>58</x:v>
      </x:c>
      <x:c r="B465" s="9" t="str">
        <x:v>S071</x:v>
      </x:c>
      <x:c r="C465" s="9" t="str">
        <x:v>Luo et al. (2025)</x:v>
      </x:c>
      <x:c r="D465" s="9" t="str">
        <x:v>Research on the mechanical properties and piezoresistive characteristics of sensor based on TPMS lattice structure</x:v>
      </x:c>
      <x:c r="E465" s="9" t="str">
        <x:v>D8</x:v>
      </x:c>
      <x:c r="F465" s="9" t="str">
        <x:v>Some concern</x:v>
      </x:c>
      <x:c r="G465" s="9" t="str">
        <x:v>Adjudicated to Reviewer 1</x:v>
      </x:c>
      <x:c r="H465" s="9" t="str">
        <x:v>A complete wearable configuration was demonstrated, but the participant count, comparator or protocol depth was limited.</x:v>
      </x:c>
      <x:c r="I465" s="9" t="str">
        <x:v>PDF pp. 2–10; Figs. 1–12; Tables 1–2</x:v>
      </x:c>
    </x:row>
    <x:row r="466">
      <x:c r="A466" s="9" t="n">
        <x:v>59</x:v>
      </x:c>
      <x:c r="B466" s="9" t="str">
        <x:v>S073</x:v>
      </x:c>
      <x:c r="C466" s="9" t="str">
        <x:v>Han et al. (2025)</x:v>
      </x:c>
      <x:c r="D466" s="9" t="str">
        <x:v>3D printed continuous carbon fiber reinforced TPU metamaterials for flexible multifunctional sensors</x:v>
      </x:c>
      <x:c r="E466" s="9" t="str">
        <x:v>D1</x:v>
      </x:c>
      <x:c r="F466" s="9" t="str">
        <x:v>High concern</x:v>
      </x:c>
      <x:c r="G466" s="9" t="str">
        <x:v>Adjudicated to Reviewer 1</x:v>
      </x:c>
      <x:c r="H466" s="9" t="str">
        <x:v>Application evidence relies on one or an unspecified small convenience sample and device sampling is not justified.</x:v>
      </x:c>
      <x:c r="I466" s="9" t="str">
        <x:v>PDF pp. 2–13; Figs. 1–10; Tables 1–2</x:v>
      </x:c>
    </x:row>
    <x:row r="467">
      <x:c r="A467" s="9" t="n">
        <x:v>59</x:v>
      </x:c>
      <x:c r="B467" s="9" t="str">
        <x:v>S073</x:v>
      </x:c>
      <x:c r="C467" s="9" t="str">
        <x:v>Han et al. (2025)</x:v>
      </x:c>
      <x:c r="D467" s="9" t="str">
        <x:v>3D printed continuous carbon fiber reinforced TPU metamaterials for flexible multifunctional sensors</x:v>
      </x:c>
      <x:c r="E467" s="9" t="str">
        <x:v>D2</x:v>
      </x:c>
      <x:c r="F467" s="9" t="str">
        <x:v>Some concern</x:v>
      </x:c>
      <x:c r="G467" s="9" t="str">
        <x:v>Adjudicated to Reviewer 1</x:v>
      </x:c>
      <x:c r="H467" s="9" t="str">
        <x:v>One or more fabrication settings or platform details are absent, unresolved or internally inconsistent.</x:v>
      </x:c>
      <x:c r="I467" s="9" t="str">
        <x:v>PDF pp. 2–13; Figs. 1–10; Tables 1–2</x:v>
      </x:c>
    </x:row>
    <x:row r="468">
      <x:c r="A468" s="9" t="n">
        <x:v>59</x:v>
      </x:c>
      <x:c r="B468" s="9" t="str">
        <x:v>S073</x:v>
      </x:c>
      <x:c r="C468" s="9" t="str">
        <x:v>Han et al. (2025)</x:v>
      </x:c>
      <x:c r="D468" s="9" t="str">
        <x:v>3D printed continuous carbon fiber reinforced TPU metamaterials for flexible multifunctional sensors</x:v>
      </x:c>
      <x:c r="E468" s="9" t="str">
        <x:v>D3</x:v>
      </x:c>
      <x:c r="F468" s="9" t="str">
        <x:v>Some concern</x:v>
      </x:c>
      <x:c r="G468" s="9" t="str">
        <x:v>Initial agreement</x:v>
      </x:c>
      <x:c r="H468" s="9" t="str">
        <x:v>Reference/calibration details are incomplete for at least one claimed sensing or application outcome.</x:v>
      </x:c>
      <x:c r="I468" s="9" t="str">
        <x:v>PDF pp. 2–13; Figs. 1–10; Tables 1–2</x:v>
      </x:c>
    </x:row>
    <x:row r="469">
      <x:c r="A469" s="9" t="n">
        <x:v>59</x:v>
      </x:c>
      <x:c r="B469" s="9" t="str">
        <x:v>S073</x:v>
      </x:c>
      <x:c r="C469" s="9" t="str">
        <x:v>Han et al. (2025)</x:v>
      </x:c>
      <x:c r="D469" s="9" t="str">
        <x:v>3D printed continuous carbon fiber reinforced TPU metamaterials for flexible multifunctional sensors</x:v>
      </x:c>
      <x:c r="E469" s="9" t="str">
        <x:v>D4</x:v>
      </x:c>
      <x:c r="F469" s="9" t="str">
        <x:v>Low concern</x:v>
      </x:c>
      <x:c r="G469" s="9" t="str">
        <x:v>Initial agreement</x:v>
      </x:c>
      <x:c r="H469" s="9" t="str">
        <x:v>Loading/exposure ranges, rates or conditions are stated for the principal experiments.</x:v>
      </x:c>
      <x:c r="I469" s="9" t="str">
        <x:v>PDF pp. 2–13; Figs. 1–10; Tables 1–2</x:v>
      </x:c>
    </x:row>
    <x:row r="470">
      <x:c r="A470" s="9" t="n">
        <x:v>59</x:v>
      </x:c>
      <x:c r="B470" s="9" t="str">
        <x:v>S073</x:v>
      </x:c>
      <x:c r="C470" s="9" t="str">
        <x:v>Han et al. (2025)</x:v>
      </x:c>
      <x:c r="D470" s="9" t="str">
        <x:v>3D printed continuous carbon fiber reinforced TPU metamaterials for flexible multifunctional sensors</x:v>
      </x:c>
      <x:c r="E470" s="9" t="str">
        <x:v>D5</x:v>
      </x:c>
      <x:c r="F470" s="9" t="str">
        <x:v>Low concern</x:v>
      </x:c>
      <x:c r="G470" s="9" t="str">
        <x:v>Initial agreement</x:v>
      </x:c>
      <x:c r="H470" s="9" t="str">
        <x:v>The study reports at least one defined ≥3-cycle repeated-measurement or endurance protocol.</x:v>
      </x:c>
      <x:c r="I470" s="9" t="str">
        <x:v>PDF pp. 2–13; Figs. 1–10; Tables 1–2</x:v>
      </x:c>
    </x:row>
    <x:row r="471">
      <x:c r="A471" s="9" t="n">
        <x:v>59</x:v>
      </x:c>
      <x:c r="B471" s="9" t="str">
        <x:v>S073</x:v>
      </x:c>
      <x:c r="C471" s="9" t="str">
        <x:v>Han et al. (2025)</x:v>
      </x:c>
      <x:c r="D471" s="9" t="str">
        <x:v>3D printed continuous carbon fiber reinforced TPU metamaterials for flexible multifunctional sensors</x:v>
      </x:c>
      <x:c r="E471" s="9" t="str">
        <x:v>D6</x:v>
      </x:c>
      <x:c r="F471" s="9" t="str">
        <x:v>High concern</x:v>
      </x:c>
      <x:c r="G471" s="9" t="str">
        <x:v>Initial agreement</x:v>
      </x:c>
      <x:c r="H471" s="9" t="str">
        <x:v>A qualifying same-condition comparison of at least three separately fabricated complete sensing units with device-level results or dispersion was not identified.</x:v>
      </x:c>
      <x:c r="I471" s="9" t="str">
        <x:v>PDF pp. 2–13; Figs. 1–10; Tables 1–2</x:v>
      </x:c>
    </x:row>
    <x:row r="472">
      <x:c r="A472" s="9" t="n">
        <x:v>59</x:v>
      </x:c>
      <x:c r="B472" s="9" t="str">
        <x:v>S073</x:v>
      </x:c>
      <x:c r="C472" s="9" t="str">
        <x:v>Han et al. (2025)</x:v>
      </x:c>
      <x:c r="D472" s="9" t="str">
        <x:v>3D printed continuous carbon fiber reinforced TPU metamaterials for flexible multifunctional sensors</x:v>
      </x:c>
      <x:c r="E472" s="9" t="str">
        <x:v>D7</x:v>
      </x:c>
      <x:c r="F472" s="9" t="str">
        <x:v>Some concern</x:v>
      </x:c>
      <x:c r="G472" s="9" t="str">
        <x:v>Initial agreement</x:v>
      </x:c>
      <x:c r="H472" s="9" t="str">
        <x:v>Some principal claims rely on selected curves, inconsistent descriptions or incomplete uncertainty/device-level reporting.</x:v>
      </x:c>
      <x:c r="I472" s="9" t="str">
        <x:v>PDF pp. 2–13; Figs. 1–10; Tables 1–2</x:v>
      </x:c>
    </x:row>
    <x:row r="473">
      <x:c r="A473" s="9" t="n">
        <x:v>59</x:v>
      </x:c>
      <x:c r="B473" s="9" t="str">
        <x:v>S073</x:v>
      </x:c>
      <x:c r="C473" s="9" t="str">
        <x:v>Han et al. (2025)</x:v>
      </x:c>
      <x:c r="D473" s="9" t="str">
        <x:v>3D printed continuous carbon fiber reinforced TPU metamaterials for flexible multifunctional sensors</x:v>
      </x:c>
      <x:c r="E473" s="9" t="str">
        <x:v>D8</x:v>
      </x:c>
      <x:c r="F473" s="9" t="str">
        <x:v>Some concern</x:v>
      </x:c>
      <x:c r="G473" s="9" t="str">
        <x:v>Adjudicated to Reviewer 1</x:v>
      </x:c>
      <x:c r="H473" s="9" t="str">
        <x:v>A complete wearable configuration was demonstrated, but the participant count, comparator or protocol depth was limited.</x:v>
      </x:c>
      <x:c r="I473" s="9" t="str">
        <x:v>PDF pp. 2–13; Figs. 1–10; Tables 1–2</x:v>
      </x:c>
    </x:row>
    <x:row r="474">
      <x:c r="A474" s="9" t="n">
        <x:v>60</x:v>
      </x:c>
      <x:c r="B474" s="9" t="str">
        <x:v>S074</x:v>
      </x:c>
      <x:c r="C474" s="9" t="str">
        <x:v>Lavorgna et al. (2025)</x:v>
      </x:c>
      <x:c r="D474" s="9" t="str">
        <x:v>Dual-Material 3-D-Printed Wearable Sensors Based on FBG Technology for Physiological and Biomechanical Monitoring in Back Pain Assessment</x:v>
      </x:c>
      <x:c r="E474" s="9" t="str">
        <x:v>D1</x:v>
      </x:c>
      <x:c r="F474" s="9" t="str">
        <x:v>Low concern</x:v>
      </x:c>
      <x:c r="G474" s="9" t="str">
        <x:v>Adjudicated to Reviewer 1</x:v>
      </x:c>
      <x:c r="H474" s="9" t="str">
        <x:v>A defined multi-participant sample was used for the wearable validation.</x:v>
      </x:c>
      <x:c r="I474" s="9" t="str">
        <x:v>PDF pp. 3–9; Figs. 1–13</x:v>
      </x:c>
    </x:row>
    <x:row r="475">
      <x:c r="A475" s="9" t="n">
        <x:v>60</x:v>
      </x:c>
      <x:c r="B475" s="9" t="str">
        <x:v>S074</x:v>
      </x:c>
      <x:c r="C475" s="9" t="str">
        <x:v>Lavorgna et al. (2025)</x:v>
      </x:c>
      <x:c r="D475" s="9" t="str">
        <x:v>Dual-Material 3-D-Printed Wearable Sensors Based on FBG Technology for Physiological and Biomechanical Monitoring in Back Pain Assessment</x:v>
      </x:c>
      <x:c r="E475" s="9" t="str">
        <x:v>D2</x:v>
      </x:c>
      <x:c r="F475" s="9" t="str">
        <x:v>Some concern</x:v>
      </x:c>
      <x:c r="G475" s="9" t="str">
        <x:v>Initial agreement</x:v>
      </x:c>
      <x:c r="H475" s="9" t="str">
        <x:v>One or more fabrication settings or platform details are absent, unresolved or internally inconsistent.</x:v>
      </x:c>
      <x:c r="I475" s="9" t="str">
        <x:v>PDF pp. 3–9; Figs. 1–13</x:v>
      </x:c>
    </x:row>
    <x:row r="476">
      <x:c r="A476" s="9" t="n">
        <x:v>60</x:v>
      </x:c>
      <x:c r="B476" s="9" t="str">
        <x:v>S074</x:v>
      </x:c>
      <x:c r="C476" s="9" t="str">
        <x:v>Lavorgna et al. (2025)</x:v>
      </x:c>
      <x:c r="D476" s="9" t="str">
        <x:v>Dual-Material 3-D-Printed Wearable Sensors Based on FBG Technology for Physiological and Biomechanical Monitoring in Back Pain Assessment</x:v>
      </x:c>
      <x:c r="E476" s="9" t="str">
        <x:v>D3</x:v>
      </x:c>
      <x:c r="F476" s="9" t="str">
        <x:v>Low concern</x:v>
      </x:c>
      <x:c r="G476" s="9" t="str">
        <x:v>Initial agreement</x:v>
      </x:c>
      <x:c r="H476" s="9" t="str">
        <x:v>Controlled inputs and suitable reference instrumentation/procedures are reported.</x:v>
      </x:c>
      <x:c r="I476" s="9" t="str">
        <x:v>PDF pp. 3–9; Figs. 1–13</x:v>
      </x:c>
    </x:row>
    <x:row r="477">
      <x:c r="A477" s="9" t="n">
        <x:v>60</x:v>
      </x:c>
      <x:c r="B477" s="9" t="str">
        <x:v>S074</x:v>
      </x:c>
      <x:c r="C477" s="9" t="str">
        <x:v>Lavorgna et al. (2025)</x:v>
      </x:c>
      <x:c r="D477" s="9" t="str">
        <x:v>Dual-Material 3-D-Printed Wearable Sensors Based on FBG Technology for Physiological and Biomechanical Monitoring in Back Pain Assessment</x:v>
      </x:c>
      <x:c r="E477" s="9" t="str">
        <x:v>D4</x:v>
      </x:c>
      <x:c r="F477" s="9" t="str">
        <x:v>Low concern</x:v>
      </x:c>
      <x:c r="G477" s="9" t="str">
        <x:v>Initial agreement</x:v>
      </x:c>
      <x:c r="H477" s="9" t="str">
        <x:v>Loading/exposure ranges, rates or conditions are stated for the principal experiments.</x:v>
      </x:c>
      <x:c r="I477" s="9" t="str">
        <x:v>PDF pp. 3–9; Figs. 1–13</x:v>
      </x:c>
    </x:row>
    <x:row r="478">
      <x:c r="A478" s="9" t="n">
        <x:v>60</x:v>
      </x:c>
      <x:c r="B478" s="9" t="str">
        <x:v>S074</x:v>
      </x:c>
      <x:c r="C478" s="9" t="str">
        <x:v>Lavorgna et al. (2025)</x:v>
      </x:c>
      <x:c r="D478" s="9" t="str">
        <x:v>Dual-Material 3-D-Printed Wearable Sensors Based on FBG Technology for Physiological and Biomechanical Monitoring in Back Pain Assessment</x:v>
      </x:c>
      <x:c r="E478" s="9" t="str">
        <x:v>D5</x:v>
      </x:c>
      <x:c r="F478" s="9" t="str">
        <x:v>Low concern</x:v>
      </x:c>
      <x:c r="G478" s="9" t="str">
        <x:v>Initial agreement</x:v>
      </x:c>
      <x:c r="H478" s="9" t="str">
        <x:v>The study reports at least one defined ≥3-cycle repeated-measurement or endurance protocol.</x:v>
      </x:c>
      <x:c r="I478" s="9" t="str">
        <x:v>PDF pp. 3–9; Figs. 1–13</x:v>
      </x:c>
    </x:row>
    <x:row r="479">
      <x:c r="A479" s="9" t="n">
        <x:v>60</x:v>
      </x:c>
      <x:c r="B479" s="9" t="str">
        <x:v>S074</x:v>
      </x:c>
      <x:c r="C479" s="9" t="str">
        <x:v>Lavorgna et al. (2025)</x:v>
      </x:c>
      <x:c r="D479" s="9" t="str">
        <x:v>Dual-Material 3-D-Printed Wearable Sensors Based on FBG Technology for Physiological and Biomechanical Monitoring in Back Pain Assessment</x:v>
      </x:c>
      <x:c r="E479" s="9" t="str">
        <x:v>D6</x:v>
      </x:c>
      <x:c r="F479" s="9" t="str">
        <x:v>High concern</x:v>
      </x:c>
      <x:c r="G479" s="9" t="str">
        <x:v>Initial agreement</x:v>
      </x:c>
      <x:c r="H479" s="9" t="str">
        <x:v>A qualifying same-condition comparison of at least three separately fabricated complete sensing units with device-level results or dispersion was not identified.</x:v>
      </x:c>
      <x:c r="I479" s="9" t="str">
        <x:v>PDF pp. 3–9; Figs. 1–13</x:v>
      </x:c>
    </x:row>
    <x:row r="480">
      <x:c r="A480" s="9" t="n">
        <x:v>60</x:v>
      </x:c>
      <x:c r="B480" s="9" t="str">
        <x:v>S074</x:v>
      </x:c>
      <x:c r="C480" s="9" t="str">
        <x:v>Lavorgna et al. (2025)</x:v>
      </x:c>
      <x:c r="D480" s="9" t="str">
        <x:v>Dual-Material 3-D-Printed Wearable Sensors Based on FBG Technology for Physiological and Biomechanical Monitoring in Back Pain Assessment</x:v>
      </x:c>
      <x:c r="E480" s="9" t="str">
        <x:v>D7</x:v>
      </x:c>
      <x:c r="F480" s="9" t="str">
        <x:v>Low concern</x:v>
      </x:c>
      <x:c r="G480" s="9" t="str">
        <x:v>Initial agreement</x:v>
      </x:c>
      <x:c r="H480" s="9" t="str">
        <x:v>Principal response magnitudes, ranges and relevant retention/failure behavior are reported.</x:v>
      </x:c>
      <x:c r="I480" s="9" t="str">
        <x:v>PDF pp. 3–9; Figs. 1–13</x:v>
      </x:c>
    </x:row>
    <x:row r="481">
      <x:c r="A481" s="9" t="n">
        <x:v>60</x:v>
      </x:c>
      <x:c r="B481" s="9" t="str">
        <x:v>S074</x:v>
      </x:c>
      <x:c r="C481" s="9" t="str">
        <x:v>Lavorgna et al. (2025)</x:v>
      </x:c>
      <x:c r="D481" s="9" t="str">
        <x:v>Dual-Material 3-D-Printed Wearable Sensors Based on FBG Technology for Physiological and Biomechanical Monitoring in Back Pain Assessment</x:v>
      </x:c>
      <x:c r="E481" s="9" t="str">
        <x:v>D8</x:v>
      </x:c>
      <x:c r="F481" s="9" t="str">
        <x:v>Low concern</x:v>
      </x:c>
      <x:c r="G481" s="9" t="str">
        <x:v>Initial agreement</x:v>
      </x:c>
      <x:c r="H481" s="9" t="str">
        <x:v>The complete wearable configuration was evaluated in a defined participant/application protocol.</x:v>
      </x:c>
      <x:c r="I481" s="9" t="str">
        <x:v>PDF pp. 3–9; Figs. 1–13</x:v>
      </x:c>
    </x:row>
    <x:row r="482">
      <x:c r="A482" s="9" t="n">
        <x:v>61</x:v>
      </x:c>
      <x:c r="B482" s="9" t="str">
        <x:v>S075</x:v>
      </x:c>
      <x:c r="C482" s="9" t="str">
        <x:v>Saroli et al. (2025)</x:v>
      </x:c>
      <x:c r="D482" s="9" t="str">
        <x:v>Fabrication and Metrological Characterization of Bare and Integrated 3-D-Printed Single-Layer CB-TPU Strain Sensors</x:v>
      </x:c>
      <x:c r="E482" s="9" t="str">
        <x:v>D1</x:v>
      </x:c>
      <x:c r="F482" s="9" t="str">
        <x:v>High concern</x:v>
      </x:c>
      <x:c r="G482" s="9" t="str">
        <x:v>Adjudicated to Reviewer 1</x:v>
      </x:c>
      <x:c r="H482" s="9" t="str">
        <x:v>Application evidence relies on one or an unspecified small convenience sample and device sampling is not justified.</x:v>
      </x:c>
      <x:c r="I482" s="9" t="str">
        <x:v>PDF pp. 2–8; Figs. 1–7</x:v>
      </x:c>
    </x:row>
    <x:row r="483">
      <x:c r="A483" s="9" t="n">
        <x:v>61</x:v>
      </x:c>
      <x:c r="B483" s="9" t="str">
        <x:v>S075</x:v>
      </x:c>
      <x:c r="C483" s="9" t="str">
        <x:v>Saroli et al. (2025)</x:v>
      </x:c>
      <x:c r="D483" s="9" t="str">
        <x:v>Fabrication and Metrological Characterization of Bare and Integrated 3-D-Printed Single-Layer CB-TPU Strain Sensors</x:v>
      </x:c>
      <x:c r="E483" s="9" t="str">
        <x:v>D2</x:v>
      </x:c>
      <x:c r="F483" s="9" t="str">
        <x:v>Low concern</x:v>
      </x:c>
      <x:c r="G483" s="9" t="str">
        <x:v>Adjudicated to Reviewer 1</x:v>
      </x:c>
      <x:c r="H483" s="9" t="str">
        <x:v>Fabrication variables and application-relevant settings are sufficiently controlled and reported.</x:v>
      </x:c>
      <x:c r="I483" s="9" t="str">
        <x:v>PDF pp. 2–8; Figs. 1–7</x:v>
      </x:c>
    </x:row>
    <x:row r="484">
      <x:c r="A484" s="9" t="n">
        <x:v>61</x:v>
      </x:c>
      <x:c r="B484" s="9" t="str">
        <x:v>S075</x:v>
      </x:c>
      <x:c r="C484" s="9" t="str">
        <x:v>Saroli et al. (2025)</x:v>
      </x:c>
      <x:c r="D484" s="9" t="str">
        <x:v>Fabrication and Metrological Characterization of Bare and Integrated 3-D-Printed Single-Layer CB-TPU Strain Sensors</x:v>
      </x:c>
      <x:c r="E484" s="9" t="str">
        <x:v>D3</x:v>
      </x:c>
      <x:c r="F484" s="9" t="str">
        <x:v>Low concern</x:v>
      </x:c>
      <x:c r="G484" s="9" t="str">
        <x:v>Initial agreement</x:v>
      </x:c>
      <x:c r="H484" s="9" t="str">
        <x:v>Controlled inputs and suitable reference instrumentation/procedures are reported.</x:v>
      </x:c>
      <x:c r="I484" s="9" t="str">
        <x:v>PDF pp. 2–8; Figs. 1–7</x:v>
      </x:c>
    </x:row>
    <x:row r="485">
      <x:c r="A485" s="9" t="n">
        <x:v>61</x:v>
      </x:c>
      <x:c r="B485" s="9" t="str">
        <x:v>S075</x:v>
      </x:c>
      <x:c r="C485" s="9" t="str">
        <x:v>Saroli et al. (2025)</x:v>
      </x:c>
      <x:c r="D485" s="9" t="str">
        <x:v>Fabrication and Metrological Characterization of Bare and Integrated 3-D-Printed Single-Layer CB-TPU Strain Sensors</x:v>
      </x:c>
      <x:c r="E485" s="9" t="str">
        <x:v>D4</x:v>
      </x:c>
      <x:c r="F485" s="9" t="str">
        <x:v>Low concern</x:v>
      </x:c>
      <x:c r="G485" s="9" t="str">
        <x:v>Initial agreement</x:v>
      </x:c>
      <x:c r="H485" s="9" t="str">
        <x:v>Loading/exposure ranges, rates or conditions are stated for the principal experiments.</x:v>
      </x:c>
      <x:c r="I485" s="9" t="str">
        <x:v>PDF pp. 2–8; Figs. 1–7</x:v>
      </x:c>
    </x:row>
    <x:row r="486">
      <x:c r="A486" s="9" t="n">
        <x:v>61</x:v>
      </x:c>
      <x:c r="B486" s="9" t="str">
        <x:v>S075</x:v>
      </x:c>
      <x:c r="C486" s="9" t="str">
        <x:v>Saroli et al. (2025)</x:v>
      </x:c>
      <x:c r="D486" s="9" t="str">
        <x:v>Fabrication and Metrological Characterization of Bare and Integrated 3-D-Printed Single-Layer CB-TPU Strain Sensors</x:v>
      </x:c>
      <x:c r="E486" s="9" t="str">
        <x:v>D5</x:v>
      </x:c>
      <x:c r="F486" s="9" t="str">
        <x:v>Low concern</x:v>
      </x:c>
      <x:c r="G486" s="9" t="str">
        <x:v>Initial agreement</x:v>
      </x:c>
      <x:c r="H486" s="9" t="str">
        <x:v>The study reports at least one defined ≥3-cycle repeated-measurement or endurance protocol.</x:v>
      </x:c>
      <x:c r="I486" s="9" t="str">
        <x:v>PDF pp. 2–8; Figs. 1–7</x:v>
      </x:c>
    </x:row>
    <x:row r="487">
      <x:c r="A487" s="9" t="n">
        <x:v>61</x:v>
      </x:c>
      <x:c r="B487" s="9" t="str">
        <x:v>S075</x:v>
      </x:c>
      <x:c r="C487" s="9" t="str">
        <x:v>Saroli et al. (2025)</x:v>
      </x:c>
      <x:c r="D487" s="9" t="str">
        <x:v>Fabrication and Metrological Characterization of Bare and Integrated 3-D-Printed Single-Layer CB-TPU Strain Sensors</x:v>
      </x:c>
      <x:c r="E487" s="9" t="str">
        <x:v>D6</x:v>
      </x:c>
      <x:c r="F487" s="9" t="str">
        <x:v>High concern</x:v>
      </x:c>
      <x:c r="G487" s="9" t="str">
        <x:v>Initial agreement</x:v>
      </x:c>
      <x:c r="H487" s="9" t="str">
        <x:v>A qualifying same-condition comparison of at least three separately fabricated complete sensing units with device-level results or dispersion was not identified.</x:v>
      </x:c>
      <x:c r="I487" s="9" t="str">
        <x:v>PDF pp. 2–8; Figs. 1–7</x:v>
      </x:c>
    </x:row>
    <x:row r="488">
      <x:c r="A488" s="9" t="n">
        <x:v>61</x:v>
      </x:c>
      <x:c r="B488" s="9" t="str">
        <x:v>S075</x:v>
      </x:c>
      <x:c r="C488" s="9" t="str">
        <x:v>Saroli et al. (2025)</x:v>
      </x:c>
      <x:c r="D488" s="9" t="str">
        <x:v>Fabrication and Metrological Characterization of Bare and Integrated 3-D-Printed Single-Layer CB-TPU Strain Sensors</x:v>
      </x:c>
      <x:c r="E488" s="9" t="str">
        <x:v>D7</x:v>
      </x:c>
      <x:c r="F488" s="9" t="str">
        <x:v>Low concern</x:v>
      </x:c>
      <x:c r="G488" s="9" t="str">
        <x:v>Adjudicated to Reviewer 1</x:v>
      </x:c>
      <x:c r="H488" s="9" t="str">
        <x:v>Principal response magnitudes, ranges and relevant retention/failure behavior are reported.</x:v>
      </x:c>
      <x:c r="I488" s="9" t="str">
        <x:v>PDF pp. 2–8; Figs. 1–7</x:v>
      </x:c>
    </x:row>
    <x:row r="489">
      <x:c r="A489" s="9" t="n">
        <x:v>61</x:v>
      </x:c>
      <x:c r="B489" s="9" t="str">
        <x:v>S075</x:v>
      </x:c>
      <x:c r="C489" s="9" t="str">
        <x:v>Saroli et al. (2025)</x:v>
      </x:c>
      <x:c r="D489" s="9" t="str">
        <x:v>Fabrication and Metrological Characterization of Bare and Integrated 3-D-Printed Single-Layer CB-TPU Strain Sensors</x:v>
      </x:c>
      <x:c r="E489" s="9" t="str">
        <x:v>D8</x:v>
      </x:c>
      <x:c r="F489" s="9" t="str">
        <x:v>Some concern</x:v>
      </x:c>
      <x:c r="G489" s="9" t="str">
        <x:v>Adjudicated to Reviewer 1</x:v>
      </x:c>
      <x:c r="H489" s="9" t="str">
        <x:v>A complete wearable configuration was demonstrated, but the participant count, comparator or protocol depth was limited.</x:v>
      </x:c>
      <x:c r="I489" s="9" t="str">
        <x:v>PDF pp. 2–8; Figs. 1–7</x:v>
      </x:c>
    </x:row>
    <x:row r="490">
      <x:c r="A490" s="9" t="n">
        <x:v>62</x:v>
      </x:c>
      <x:c r="B490" s="9" t="str">
        <x:v>S076</x:v>
      </x:c>
      <x:c r="C490" s="9" t="str">
        <x:v>Meena et al. (2025)</x:v>
      </x:c>
      <x:c r="D490" s="9" t="str">
        <x:v>3D-Printed PVDF-Based Hybrid Nanogenerators with Dominant Triboelectric Output for High-Sensitivity Force Sensing</x:v>
      </x:c>
      <x:c r="E490" s="9" t="str">
        <x:v>D1</x:v>
      </x:c>
      <x:c r="F490" s="9" t="str">
        <x:v>High concern</x:v>
      </x:c>
      <x:c r="G490" s="9" t="str">
        <x:v>Initial agreement</x:v>
      </x:c>
      <x:c r="H490" s="9" t="str">
        <x:v>Application evidence relies on one or an unspecified small convenience sample and device sampling is not justified.</x:v>
      </x:c>
      <x:c r="I490" s="9" t="str">
        <x:v>PDF pp. 3–8; Figs. 1–6; cited Supplementary Figs. S1–S10</x:v>
      </x:c>
    </x:row>
    <x:row r="491">
      <x:c r="A491" s="9" t="n">
        <x:v>62</x:v>
      </x:c>
      <x:c r="B491" s="9" t="str">
        <x:v>S076</x:v>
      </x:c>
      <x:c r="C491" s="9" t="str">
        <x:v>Meena et al. (2025)</x:v>
      </x:c>
      <x:c r="D491" s="9" t="str">
        <x:v>3D-Printed PVDF-Based Hybrid Nanogenerators with Dominant Triboelectric Output for High-Sensitivity Force Sensing</x:v>
      </x:c>
      <x:c r="E491" s="9" t="str">
        <x:v>D2</x:v>
      </x:c>
      <x:c r="F491" s="9" t="str">
        <x:v>Some concern</x:v>
      </x:c>
      <x:c r="G491" s="9" t="str">
        <x:v>Adjudicated to Reviewer 1</x:v>
      </x:c>
      <x:c r="H491" s="9" t="str">
        <x:v>One or more fabrication settings or platform details are absent, unresolved or internally inconsistent.</x:v>
      </x:c>
      <x:c r="I491" s="9" t="str">
        <x:v>PDF pp. 3–8; Figs. 1–6; cited Supplementary Figs. S1–S10</x:v>
      </x:c>
    </x:row>
    <x:row r="492">
      <x:c r="A492" s="9" t="n">
        <x:v>62</x:v>
      </x:c>
      <x:c r="B492" s="9" t="str">
        <x:v>S076</x:v>
      </x:c>
      <x:c r="C492" s="9" t="str">
        <x:v>Meena et al. (2025)</x:v>
      </x:c>
      <x:c r="D492" s="9" t="str">
        <x:v>3D-Printed PVDF-Based Hybrid Nanogenerators with Dominant Triboelectric Output for High-Sensitivity Force Sensing</x:v>
      </x:c>
      <x:c r="E492" s="9" t="str">
        <x:v>D3</x:v>
      </x:c>
      <x:c r="F492" s="9" t="str">
        <x:v>Low concern</x:v>
      </x:c>
      <x:c r="G492" s="9" t="str">
        <x:v>Adjudicated to Reviewer 1</x:v>
      </x:c>
      <x:c r="H492" s="9" t="str">
        <x:v>Controlled inputs and suitable reference instrumentation/procedures are reported.</x:v>
      </x:c>
      <x:c r="I492" s="9" t="str">
        <x:v>PDF pp. 3–8; Figs. 1–6; cited Supplementary Figs. S1–S10</x:v>
      </x:c>
    </x:row>
    <x:row r="493">
      <x:c r="A493" s="9" t="n">
        <x:v>62</x:v>
      </x:c>
      <x:c r="B493" s="9" t="str">
        <x:v>S076</x:v>
      </x:c>
      <x:c r="C493" s="9" t="str">
        <x:v>Meena et al. (2025)</x:v>
      </x:c>
      <x:c r="D493" s="9" t="str">
        <x:v>3D-Printed PVDF-Based Hybrid Nanogenerators with Dominant Triboelectric Output for High-Sensitivity Force Sensing</x:v>
      </x:c>
      <x:c r="E493" s="9" t="str">
        <x:v>D4</x:v>
      </x:c>
      <x:c r="F493" s="9" t="str">
        <x:v>Low concern</x:v>
      </x:c>
      <x:c r="G493" s="9" t="str">
        <x:v>Initial agreement</x:v>
      </x:c>
      <x:c r="H493" s="9" t="str">
        <x:v>Loading/exposure ranges, rates or conditions are stated for the principal experiments.</x:v>
      </x:c>
      <x:c r="I493" s="9" t="str">
        <x:v>PDF pp. 3–8; Figs. 1–6; cited Supplementary Figs. S1–S10</x:v>
      </x:c>
    </x:row>
    <x:row r="494">
      <x:c r="A494" s="9" t="n">
        <x:v>62</x:v>
      </x:c>
      <x:c r="B494" s="9" t="str">
        <x:v>S076</x:v>
      </x:c>
      <x:c r="C494" s="9" t="str">
        <x:v>Meena et al. (2025)</x:v>
      </x:c>
      <x:c r="D494" s="9" t="str">
        <x:v>3D-Printed PVDF-Based Hybrid Nanogenerators with Dominant Triboelectric Output for High-Sensitivity Force Sensing</x:v>
      </x:c>
      <x:c r="E494" s="9" t="str">
        <x:v>D5</x:v>
      </x:c>
      <x:c r="F494" s="9" t="str">
        <x:v>Low concern</x:v>
      </x:c>
      <x:c r="G494" s="9" t="str">
        <x:v>Initial agreement</x:v>
      </x:c>
      <x:c r="H494" s="9" t="str">
        <x:v>The study reports at least one defined ≥3-cycle repeated-measurement or endurance protocol.</x:v>
      </x:c>
      <x:c r="I494" s="9" t="str">
        <x:v>PDF pp. 3–8; Figs. 1–6; cited Supplementary Figs. S1–S10</x:v>
      </x:c>
    </x:row>
    <x:row r="495">
      <x:c r="A495" s="9" t="n">
        <x:v>62</x:v>
      </x:c>
      <x:c r="B495" s="9" t="str">
        <x:v>S076</x:v>
      </x:c>
      <x:c r="C495" s="9" t="str">
        <x:v>Meena et al. (2025)</x:v>
      </x:c>
      <x:c r="D495" s="9" t="str">
        <x:v>3D-Printed PVDF-Based Hybrid Nanogenerators with Dominant Triboelectric Output for High-Sensitivity Force Sensing</x:v>
      </x:c>
      <x:c r="E495" s="9" t="str">
        <x:v>D6</x:v>
      </x:c>
      <x:c r="F495" s="9" t="str">
        <x:v>High concern</x:v>
      </x:c>
      <x:c r="G495" s="9" t="str">
        <x:v>Initial agreement</x:v>
      </x:c>
      <x:c r="H495" s="9" t="str">
        <x:v>A qualifying same-condition comparison of at least three separately fabricated complete sensing units with device-level results or dispersion was not identified.</x:v>
      </x:c>
      <x:c r="I495" s="9" t="str">
        <x:v>PDF pp. 3–8; Figs. 1–6; cited Supplementary Figs. S1–S10</x:v>
      </x:c>
    </x:row>
    <x:row r="496">
      <x:c r="A496" s="9" t="n">
        <x:v>62</x:v>
      </x:c>
      <x:c r="B496" s="9" t="str">
        <x:v>S076</x:v>
      </x:c>
      <x:c r="C496" s="9" t="str">
        <x:v>Meena et al. (2025)</x:v>
      </x:c>
      <x:c r="D496" s="9" t="str">
        <x:v>3D-Printed PVDF-Based Hybrid Nanogenerators with Dominant Triboelectric Output for High-Sensitivity Force Sensing</x:v>
      </x:c>
      <x:c r="E496" s="9" t="str">
        <x:v>D7</x:v>
      </x:c>
      <x:c r="F496" s="9" t="str">
        <x:v>Low concern</x:v>
      </x:c>
      <x:c r="G496" s="9" t="str">
        <x:v>Adjudicated to Reviewer 1</x:v>
      </x:c>
      <x:c r="H496" s="9" t="str">
        <x:v>Principal response magnitudes, ranges and relevant retention/failure behavior are reported.</x:v>
      </x:c>
      <x:c r="I496" s="9" t="str">
        <x:v>PDF pp. 3–8; Figs. 1–6; cited Supplementary Figs. S1–S10</x:v>
      </x:c>
    </x:row>
    <x:row r="497">
      <x:c r="A497" s="9" t="n">
        <x:v>62</x:v>
      </x:c>
      <x:c r="B497" s="9" t="str">
        <x:v>S076</x:v>
      </x:c>
      <x:c r="C497" s="9" t="str">
        <x:v>Meena et al. (2025)</x:v>
      </x:c>
      <x:c r="D497" s="9" t="str">
        <x:v>3D-Printed PVDF-Based Hybrid Nanogenerators with Dominant Triboelectric Output for High-Sensitivity Force Sensing</x:v>
      </x:c>
      <x:c r="E497" s="9" t="str">
        <x:v>D8</x:v>
      </x:c>
      <x:c r="F497" s="9" t="str">
        <x:v>Some concern</x:v>
      </x:c>
      <x:c r="G497" s="9" t="str">
        <x:v>Adjudicated to Reviewer 1</x:v>
      </x:c>
      <x:c r="H497" s="9" t="str">
        <x:v>A complete wearable configuration was demonstrated, but the participant count, comparator or protocol depth was limited.</x:v>
      </x:c>
      <x:c r="I497" s="9" t="str">
        <x:v>PDF pp. 3–8; Figs. 1–6; cited Supplementary Figs. S1–S10</x:v>
      </x:c>
    </x:row>
    <x:row r="498">
      <x:c r="A498" s="9" t="n">
        <x:v>63</x:v>
      </x:c>
      <x:c r="B498" s="9" t="str">
        <x:v>S077</x:v>
      </x:c>
      <x:c r="C498" s="9" t="str">
        <x:v>Farid et al. (2025)</x:v>
      </x:c>
      <x:c r="D498" s="9" t="str">
        <x:v>Bio-inspired hybrid composite fabrication 3D-printing approach for multifunctional flexible wearable sensors applications</x:v>
      </x:c>
      <x:c r="E498" s="9" t="str">
        <x:v>D1</x:v>
      </x:c>
      <x:c r="F498" s="9" t="str">
        <x:v>High concern</x:v>
      </x:c>
      <x:c r="G498" s="9" t="str">
        <x:v>Adjudicated to Reviewer 1</x:v>
      </x:c>
      <x:c r="H498" s="9" t="str">
        <x:v>Application evidence relies on one or an unspecified small convenience sample and device sampling is not justified.</x:v>
      </x:c>
      <x:c r="I498" s="9" t="str">
        <x:v>PDF pp. 3–15; Figs. 1–7; Table 1</x:v>
      </x:c>
    </x:row>
    <x:row r="499">
      <x:c r="A499" s="9" t="n">
        <x:v>63</x:v>
      </x:c>
      <x:c r="B499" s="9" t="str">
        <x:v>S077</x:v>
      </x:c>
      <x:c r="C499" s="9" t="str">
        <x:v>Farid et al. (2025)</x:v>
      </x:c>
      <x:c r="D499" s="9" t="str">
        <x:v>Bio-inspired hybrid composite fabrication 3D-printing approach for multifunctional flexible wearable sensors applications</x:v>
      </x:c>
      <x:c r="E499" s="9" t="str">
        <x:v>D2</x:v>
      </x:c>
      <x:c r="F499" s="9" t="str">
        <x:v>Low concern</x:v>
      </x:c>
      <x:c r="G499" s="9" t="str">
        <x:v>Initial agreement</x:v>
      </x:c>
      <x:c r="H499" s="9" t="str">
        <x:v>Fabrication variables and application-relevant settings are sufficiently controlled and reported.</x:v>
      </x:c>
      <x:c r="I499" s="9" t="str">
        <x:v>PDF pp. 3–15; Figs. 1–7; Table 1</x:v>
      </x:c>
    </x:row>
    <x:row r="500">
      <x:c r="A500" s="9" t="n">
        <x:v>63</x:v>
      </x:c>
      <x:c r="B500" s="9" t="str">
        <x:v>S077</x:v>
      </x:c>
      <x:c r="C500" s="9" t="str">
        <x:v>Farid et al. (2025)</x:v>
      </x:c>
      <x:c r="D500" s="9" t="str">
        <x:v>Bio-inspired hybrid composite fabrication 3D-printing approach for multifunctional flexible wearable sensors applications</x:v>
      </x:c>
      <x:c r="E500" s="9" t="str">
        <x:v>D3</x:v>
      </x:c>
      <x:c r="F500" s="9" t="str">
        <x:v>Some concern</x:v>
      </x:c>
      <x:c r="G500" s="9" t="str">
        <x:v>Adjudicated to Reviewer 1</x:v>
      </x:c>
      <x:c r="H500" s="9" t="str">
        <x:v>Reference/calibration details are incomplete for at least one claimed sensing or application outcome.</x:v>
      </x:c>
      <x:c r="I500" s="9" t="str">
        <x:v>PDF pp. 3–15; Figs. 1–7; Table 1</x:v>
      </x:c>
    </x:row>
    <x:row r="501">
      <x:c r="A501" s="9" t="n">
        <x:v>63</x:v>
      </x:c>
      <x:c r="B501" s="9" t="str">
        <x:v>S077</x:v>
      </x:c>
      <x:c r="C501" s="9" t="str">
        <x:v>Farid et al. (2025)</x:v>
      </x:c>
      <x:c r="D501" s="9" t="str">
        <x:v>Bio-inspired hybrid composite fabrication 3D-printing approach for multifunctional flexible wearable sensors applications</x:v>
      </x:c>
      <x:c r="E501" s="9" t="str">
        <x:v>D4</x:v>
      </x:c>
      <x:c r="F501" s="9" t="str">
        <x:v>Some concern</x:v>
      </x:c>
      <x:c r="G501" s="9" t="str">
        <x:v>Adjudicated to Reviewer 1</x:v>
      </x:c>
      <x:c r="H501" s="9" t="str">
        <x:v>Conditions are incompletely specified across the multifunctional/application tests.</x:v>
      </x:c>
      <x:c r="I501" s="9" t="str">
        <x:v>PDF pp. 3–15; Figs. 1–7; Table 1</x:v>
      </x:c>
    </x:row>
    <x:row r="502">
      <x:c r="A502" s="9" t="n">
        <x:v>63</x:v>
      </x:c>
      <x:c r="B502" s="9" t="str">
        <x:v>S077</x:v>
      </x:c>
      <x:c r="C502" s="9" t="str">
        <x:v>Farid et al. (2025)</x:v>
      </x:c>
      <x:c r="D502" s="9" t="str">
        <x:v>Bio-inspired hybrid composite fabrication 3D-printing approach for multifunctional flexible wearable sensors applications</x:v>
      </x:c>
      <x:c r="E502" s="9" t="str">
        <x:v>D5</x:v>
      </x:c>
      <x:c r="F502" s="9" t="str">
        <x:v>Low concern</x:v>
      </x:c>
      <x:c r="G502" s="9" t="str">
        <x:v>Initial agreement</x:v>
      </x:c>
      <x:c r="H502" s="9" t="str">
        <x:v>The study reports at least one defined ≥3-cycle repeated-measurement or endurance protocol.</x:v>
      </x:c>
      <x:c r="I502" s="9" t="str">
        <x:v>PDF pp. 3–15; Figs. 1–7; Table 1</x:v>
      </x:c>
    </x:row>
    <x:row r="503">
      <x:c r="A503" s="9" t="n">
        <x:v>63</x:v>
      </x:c>
      <x:c r="B503" s="9" t="str">
        <x:v>S077</x:v>
      </x:c>
      <x:c r="C503" s="9" t="str">
        <x:v>Farid et al. (2025)</x:v>
      </x:c>
      <x:c r="D503" s="9" t="str">
        <x:v>Bio-inspired hybrid composite fabrication 3D-printing approach for multifunctional flexible wearable sensors applications</x:v>
      </x:c>
      <x:c r="E503" s="9" t="str">
        <x:v>D6</x:v>
      </x:c>
      <x:c r="F503" s="9" t="str">
        <x:v>High concern</x:v>
      </x:c>
      <x:c r="G503" s="9" t="str">
        <x:v>Initial agreement</x:v>
      </x:c>
      <x:c r="H503" s="9" t="str">
        <x:v>A qualifying same-condition comparison of at least three separately fabricated complete sensing units with device-level results or dispersion was not identified.</x:v>
      </x:c>
      <x:c r="I503" s="9" t="str">
        <x:v>PDF pp. 3–15; Figs. 1–7; Table 1</x:v>
      </x:c>
    </x:row>
    <x:row r="504">
      <x:c r="A504" s="9" t="n">
        <x:v>63</x:v>
      </x:c>
      <x:c r="B504" s="9" t="str">
        <x:v>S077</x:v>
      </x:c>
      <x:c r="C504" s="9" t="str">
        <x:v>Farid et al. (2025)</x:v>
      </x:c>
      <x:c r="D504" s="9" t="str">
        <x:v>Bio-inspired hybrid composite fabrication 3D-printing approach for multifunctional flexible wearable sensors applications</x:v>
      </x:c>
      <x:c r="E504" s="9" t="str">
        <x:v>D7</x:v>
      </x:c>
      <x:c r="F504" s="9" t="str">
        <x:v>Some concern</x:v>
      </x:c>
      <x:c r="G504" s="9" t="str">
        <x:v>Adjudicated to Reviewer 1</x:v>
      </x:c>
      <x:c r="H504" s="9" t="str">
        <x:v>Some principal claims rely on selected curves, inconsistent descriptions or incomplete uncertainty/device-level reporting.</x:v>
      </x:c>
      <x:c r="I504" s="9" t="str">
        <x:v>PDF pp. 3–15; Figs. 1–7; Table 1</x:v>
      </x:c>
    </x:row>
    <x:row r="505">
      <x:c r="A505" s="9" t="n">
        <x:v>63</x:v>
      </x:c>
      <x:c r="B505" s="9" t="str">
        <x:v>S077</x:v>
      </x:c>
      <x:c r="C505" s="9" t="str">
        <x:v>Farid et al. (2025)</x:v>
      </x:c>
      <x:c r="D505" s="9" t="str">
        <x:v>Bio-inspired hybrid composite fabrication 3D-printing approach for multifunctional flexible wearable sensors applications</x:v>
      </x:c>
      <x:c r="E505" s="9" t="str">
        <x:v>D8</x:v>
      </x:c>
      <x:c r="F505" s="9" t="str">
        <x:v>Some concern</x:v>
      </x:c>
      <x:c r="G505" s="9" t="str">
        <x:v>Adjudicated to Reviewer 1</x:v>
      </x:c>
      <x:c r="H505" s="9" t="str">
        <x:v>A complete wearable configuration was demonstrated, but the participant count, comparator or protocol depth was limited.</x:v>
      </x:c>
      <x:c r="I505" s="9" t="str">
        <x:v>PDF pp. 3–15; Figs. 1–7; Table 1</x:v>
      </x:c>
    </x:row>
    <x:row r="506">
      <x:c r="A506" s="9" t="n">
        <x:v>64</x:v>
      </x:c>
      <x:c r="B506" s="9" t="str">
        <x:v>S078</x:v>
      </x:c>
      <x:c r="C506" s="9" t="str">
        <x:v>Hu et al. (2024)</x:v>
      </x:c>
      <x:c r="D506" s="9" t="str">
        <x:v>Microwave Radiation Assisted Construction of Fused Deposition Modeling 3D Printing Flexible Sensors</x:v>
      </x:c>
      <x:c r="E506" s="9" t="str">
        <x:v>D1</x:v>
      </x:c>
      <x:c r="F506" s="9" t="str">
        <x:v>High concern</x:v>
      </x:c>
      <x:c r="G506" s="9" t="str">
        <x:v>Adjudicated to Reviewer 1</x:v>
      </x:c>
      <x:c r="H506" s="9" t="str">
        <x:v>Application evidence relies on one or an unspecified small convenience sample and device sampling is not justified.</x:v>
      </x:c>
      <x:c r="I506" s="9" t="str">
        <x:v>PDF pp. 3–8; Figs. 1–6; Supporting Table S1 cited</x:v>
      </x:c>
    </x:row>
    <x:row r="507">
      <x:c r="A507" s="9" t="n">
        <x:v>64</x:v>
      </x:c>
      <x:c r="B507" s="9" t="str">
        <x:v>S078</x:v>
      </x:c>
      <x:c r="C507" s="9" t="str">
        <x:v>Hu et al. (2024)</x:v>
      </x:c>
      <x:c r="D507" s="9" t="str">
        <x:v>Microwave Radiation Assisted Construction of Fused Deposition Modeling 3D Printing Flexible Sensors</x:v>
      </x:c>
      <x:c r="E507" s="9" t="str">
        <x:v>D2</x:v>
      </x:c>
      <x:c r="F507" s="9" t="str">
        <x:v>Some concern</x:v>
      </x:c>
      <x:c r="G507" s="9" t="str">
        <x:v>Initial agreement</x:v>
      </x:c>
      <x:c r="H507" s="9" t="str">
        <x:v>One or more fabrication settings or platform details are absent, unresolved or internally inconsistent.</x:v>
      </x:c>
      <x:c r="I507" s="9" t="str">
        <x:v>PDF pp. 3–8; Figs. 1–6; Supporting Table S1 cited</x:v>
      </x:c>
    </x:row>
    <x:row r="508">
      <x:c r="A508" s="9" t="n">
        <x:v>64</x:v>
      </x:c>
      <x:c r="B508" s="9" t="str">
        <x:v>S078</x:v>
      </x:c>
      <x:c r="C508" s="9" t="str">
        <x:v>Hu et al. (2024)</x:v>
      </x:c>
      <x:c r="D508" s="9" t="str">
        <x:v>Microwave Radiation Assisted Construction of Fused Deposition Modeling 3D Printing Flexible Sensors</x:v>
      </x:c>
      <x:c r="E508" s="9" t="str">
        <x:v>D3</x:v>
      </x:c>
      <x:c r="F508" s="9" t="str">
        <x:v>Low concern</x:v>
      </x:c>
      <x:c r="G508" s="9" t="str">
        <x:v>Initial agreement</x:v>
      </x:c>
      <x:c r="H508" s="9" t="str">
        <x:v>Controlled inputs and suitable reference instrumentation/procedures are reported.</x:v>
      </x:c>
      <x:c r="I508" s="9" t="str">
        <x:v>PDF pp. 3–8; Figs. 1–6; Supporting Table S1 cited</x:v>
      </x:c>
    </x:row>
    <x:row r="509">
      <x:c r="A509" s="9" t="n">
        <x:v>64</x:v>
      </x:c>
      <x:c r="B509" s="9" t="str">
        <x:v>S078</x:v>
      </x:c>
      <x:c r="C509" s="9" t="str">
        <x:v>Hu et al. (2024)</x:v>
      </x:c>
      <x:c r="D509" s="9" t="str">
        <x:v>Microwave Radiation Assisted Construction of Fused Deposition Modeling 3D Printing Flexible Sensors</x:v>
      </x:c>
      <x:c r="E509" s="9" t="str">
        <x:v>D4</x:v>
      </x:c>
      <x:c r="F509" s="9" t="str">
        <x:v>Low concern</x:v>
      </x:c>
      <x:c r="G509" s="9" t="str">
        <x:v>Initial agreement</x:v>
      </x:c>
      <x:c r="H509" s="9" t="str">
        <x:v>Loading/exposure ranges, rates or conditions are stated for the principal experiments.</x:v>
      </x:c>
      <x:c r="I509" s="9" t="str">
        <x:v>PDF pp. 3–8; Figs. 1–6; Supporting Table S1 cited</x:v>
      </x:c>
    </x:row>
    <x:row r="510">
      <x:c r="A510" s="9" t="n">
        <x:v>64</x:v>
      </x:c>
      <x:c r="B510" s="9" t="str">
        <x:v>S078</x:v>
      </x:c>
      <x:c r="C510" s="9" t="str">
        <x:v>Hu et al. (2024)</x:v>
      </x:c>
      <x:c r="D510" s="9" t="str">
        <x:v>Microwave Radiation Assisted Construction of Fused Deposition Modeling 3D Printing Flexible Sensors</x:v>
      </x:c>
      <x:c r="E510" s="9" t="str">
        <x:v>D5</x:v>
      </x:c>
      <x:c r="F510" s="9" t="str">
        <x:v>Low concern</x:v>
      </x:c>
      <x:c r="G510" s="9" t="str">
        <x:v>Initial agreement</x:v>
      </x:c>
      <x:c r="H510" s="9" t="str">
        <x:v>The study reports at least one defined ≥3-cycle repeated-measurement or endurance protocol.</x:v>
      </x:c>
      <x:c r="I510" s="9" t="str">
        <x:v>PDF pp. 3–8; Figs. 1–6; Supporting Table S1 cited</x:v>
      </x:c>
    </x:row>
    <x:row r="511">
      <x:c r="A511" s="9" t="n">
        <x:v>64</x:v>
      </x:c>
      <x:c r="B511" s="9" t="str">
        <x:v>S078</x:v>
      </x:c>
      <x:c r="C511" s="9" t="str">
        <x:v>Hu et al. (2024)</x:v>
      </x:c>
      <x:c r="D511" s="9" t="str">
        <x:v>Microwave Radiation Assisted Construction of Fused Deposition Modeling 3D Printing Flexible Sensors</x:v>
      </x:c>
      <x:c r="E511" s="9" t="str">
        <x:v>D6</x:v>
      </x:c>
      <x:c r="F511" s="9" t="str">
        <x:v>High concern</x:v>
      </x:c>
      <x:c r="G511" s="9" t="str">
        <x:v>Initial agreement</x:v>
      </x:c>
      <x:c r="H511" s="9" t="str">
        <x:v>A qualifying same-condition comparison of at least three separately fabricated complete sensing units with device-level results or dispersion was not identified.</x:v>
      </x:c>
      <x:c r="I511" s="9" t="str">
        <x:v>PDF pp. 3–8; Figs. 1–6; Supporting Table S1 cited</x:v>
      </x:c>
    </x:row>
    <x:row r="512">
      <x:c r="A512" s="9" t="n">
        <x:v>64</x:v>
      </x:c>
      <x:c r="B512" s="9" t="str">
        <x:v>S078</x:v>
      </x:c>
      <x:c r="C512" s="9" t="str">
        <x:v>Hu et al. (2024)</x:v>
      </x:c>
      <x:c r="D512" s="9" t="str">
        <x:v>Microwave Radiation Assisted Construction of Fused Deposition Modeling 3D Printing Flexible Sensors</x:v>
      </x:c>
      <x:c r="E512" s="9" t="str">
        <x:v>D7</x:v>
      </x:c>
      <x:c r="F512" s="9" t="str">
        <x:v>Low concern</x:v>
      </x:c>
      <x:c r="G512" s="9" t="str">
        <x:v>Adjudicated to Reviewer 1</x:v>
      </x:c>
      <x:c r="H512" s="9" t="str">
        <x:v>Principal response magnitudes, ranges and relevant retention/failure behavior are reported.</x:v>
      </x:c>
      <x:c r="I512" s="9" t="str">
        <x:v>PDF pp. 3–8; Figs. 1–6; Supporting Table S1 cited</x:v>
      </x:c>
    </x:row>
    <x:row r="513">
      <x:c r="A513" s="9" t="n">
        <x:v>64</x:v>
      </x:c>
      <x:c r="B513" s="9" t="str">
        <x:v>S078</x:v>
      </x:c>
      <x:c r="C513" s="9" t="str">
        <x:v>Hu et al. (2024)</x:v>
      </x:c>
      <x:c r="D513" s="9" t="str">
        <x:v>Microwave Radiation Assisted Construction of Fused Deposition Modeling 3D Printing Flexible Sensors</x:v>
      </x:c>
      <x:c r="E513" s="9" t="str">
        <x:v>D8</x:v>
      </x:c>
      <x:c r="F513" s="9" t="str">
        <x:v>Some concern</x:v>
      </x:c>
      <x:c r="G513" s="9" t="str">
        <x:v>Adjudicated to Reviewer 1</x:v>
      </x:c>
      <x:c r="H513" s="9" t="str">
        <x:v>A complete wearable configuration was demonstrated, but the participant count, comparator or protocol depth was limited.</x:v>
      </x:c>
      <x:c r="I513" s="9" t="str">
        <x:v>PDF pp. 3–8; Figs. 1–6; Supporting Table S1 cited</x:v>
      </x:c>
    </x:row>
    <x:row r="514">
      <x:c r="A514" s="9" t="n">
        <x:v>65</x:v>
      </x:c>
      <x:c r="B514" s="9" t="str">
        <x:v>S079</x:v>
      </x:c>
      <x:c r="C514" s="9" t="str">
        <x:v>Han et al. (2024)</x:v>
      </x:c>
      <x:c r="D514" s="9" t="str">
        <x:v>Wide-response-range and high-sensitivity piezoresistive sensors with triple periodic minimal surface (TPMS) structures for wearable human-computer interaction systems</x:v>
      </x:c>
      <x:c r="E514" s="9" t="str">
        <x:v>D1</x:v>
      </x:c>
      <x:c r="F514" s="9" t="str">
        <x:v>Some concern</x:v>
      </x:c>
      <x:c r="G514" s="9" t="str">
        <x:v>Initial agreement</x:v>
      </x:c>
      <x:c r="H514" s="9" t="str">
        <x:v>Participant/specimen sampling is partly described, but selection and representativeness are limited.</x:v>
      </x:c>
      <x:c r="I514" s="9" t="str">
        <x:v>PDF pp. 2–12; Figs. 1–8; Supplementary Figs. S1–S15 cited</x:v>
      </x:c>
    </x:row>
    <x:row r="515">
      <x:c r="A515" s="9" t="n">
        <x:v>65</x:v>
      </x:c>
      <x:c r="B515" s="9" t="str">
        <x:v>S079</x:v>
      </x:c>
      <x:c r="C515" s="9" t="str">
        <x:v>Han et al. (2024)</x:v>
      </x:c>
      <x:c r="D515" s="9" t="str">
        <x:v>Wide-response-range and high-sensitivity piezoresistive sensors with triple periodic minimal surface (TPMS) structures for wearable human-computer interaction systems</x:v>
      </x:c>
      <x:c r="E515" s="9" t="str">
        <x:v>D2</x:v>
      </x:c>
      <x:c r="F515" s="9" t="str">
        <x:v>Some concern</x:v>
      </x:c>
      <x:c r="G515" s="9" t="str">
        <x:v>Initial agreement</x:v>
      </x:c>
      <x:c r="H515" s="9" t="str">
        <x:v>One or more fabrication settings or platform details are absent, unresolved or internally inconsistent.</x:v>
      </x:c>
      <x:c r="I515" s="9" t="str">
        <x:v>PDF pp. 2–12; Figs. 1–8; Supplementary Figs. S1–S15 cited</x:v>
      </x:c>
    </x:row>
    <x:row r="516">
      <x:c r="A516" s="9" t="n">
        <x:v>65</x:v>
      </x:c>
      <x:c r="B516" s="9" t="str">
        <x:v>S079</x:v>
      </x:c>
      <x:c r="C516" s="9" t="str">
        <x:v>Han et al. (2024)</x:v>
      </x:c>
      <x:c r="D516" s="9" t="str">
        <x:v>Wide-response-range and high-sensitivity piezoresistive sensors with triple periodic minimal surface (TPMS) structures for wearable human-computer interaction systems</x:v>
      </x:c>
      <x:c r="E516" s="9" t="str">
        <x:v>D3</x:v>
      </x:c>
      <x:c r="F516" s="9" t="str">
        <x:v>Low concern</x:v>
      </x:c>
      <x:c r="G516" s="9" t="str">
        <x:v>Initial agreement</x:v>
      </x:c>
      <x:c r="H516" s="9" t="str">
        <x:v>Controlled inputs and suitable reference instrumentation/procedures are reported.</x:v>
      </x:c>
      <x:c r="I516" s="9" t="str">
        <x:v>PDF pp. 2–12; Figs. 1–8; Supplementary Figs. S1–S15 cited</x:v>
      </x:c>
    </x:row>
    <x:row r="517">
      <x:c r="A517" s="9" t="n">
        <x:v>65</x:v>
      </x:c>
      <x:c r="B517" s="9" t="str">
        <x:v>S079</x:v>
      </x:c>
      <x:c r="C517" s="9" t="str">
        <x:v>Han et al. (2024)</x:v>
      </x:c>
      <x:c r="D517" s="9" t="str">
        <x:v>Wide-response-range and high-sensitivity piezoresistive sensors with triple periodic minimal surface (TPMS) structures for wearable human-computer interaction systems</x:v>
      </x:c>
      <x:c r="E517" s="9" t="str">
        <x:v>D4</x:v>
      </x:c>
      <x:c r="F517" s="9" t="str">
        <x:v>Low concern</x:v>
      </x:c>
      <x:c r="G517" s="9" t="str">
        <x:v>Initial agreement</x:v>
      </x:c>
      <x:c r="H517" s="9" t="str">
        <x:v>Loading/exposure ranges, rates or conditions are stated for the principal experiments.</x:v>
      </x:c>
      <x:c r="I517" s="9" t="str">
        <x:v>PDF pp. 2–12; Figs. 1–8; Supplementary Figs. S1–S15 cited</x:v>
      </x:c>
    </x:row>
    <x:row r="518">
      <x:c r="A518" s="9" t="n">
        <x:v>65</x:v>
      </x:c>
      <x:c r="B518" s="9" t="str">
        <x:v>S079</x:v>
      </x:c>
      <x:c r="C518" s="9" t="str">
        <x:v>Han et al. (2024)</x:v>
      </x:c>
      <x:c r="D518" s="9" t="str">
        <x:v>Wide-response-range and high-sensitivity piezoresistive sensors with triple periodic minimal surface (TPMS) structures for wearable human-computer interaction systems</x:v>
      </x:c>
      <x:c r="E518" s="9" t="str">
        <x:v>D5</x:v>
      </x:c>
      <x:c r="F518" s="9" t="str">
        <x:v>Low concern</x:v>
      </x:c>
      <x:c r="G518" s="9" t="str">
        <x:v>Initial agreement</x:v>
      </x:c>
      <x:c r="H518" s="9" t="str">
        <x:v>The study reports at least one defined ≥3-cycle repeated-measurement or endurance protocol.</x:v>
      </x:c>
      <x:c r="I518" s="9" t="str">
        <x:v>PDF pp. 2–12; Figs. 1–8; Supplementary Figs. S1–S15 cited</x:v>
      </x:c>
    </x:row>
    <x:row r="519">
      <x:c r="A519" s="9" t="n">
        <x:v>65</x:v>
      </x:c>
      <x:c r="B519" s="9" t="str">
        <x:v>S079</x:v>
      </x:c>
      <x:c r="C519" s="9" t="str">
        <x:v>Han et al. (2024)</x:v>
      </x:c>
      <x:c r="D519" s="9" t="str">
        <x:v>Wide-response-range and high-sensitivity piezoresistive sensors with triple periodic minimal surface (TPMS) structures for wearable human-computer interaction systems</x:v>
      </x:c>
      <x:c r="E519" s="9" t="str">
        <x:v>D6</x:v>
      </x:c>
      <x:c r="F519" s="9" t="str">
        <x:v>High concern</x:v>
      </x:c>
      <x:c r="G519" s="9" t="str">
        <x:v>Initial agreement</x:v>
      </x:c>
      <x:c r="H519" s="9" t="str">
        <x:v>A qualifying same-condition comparison of at least three separately fabricated complete sensing units with device-level results or dispersion was not identified.</x:v>
      </x:c>
      <x:c r="I519" s="9" t="str">
        <x:v>PDF pp. 2–12; Figs. 1–8; Supplementary Figs. S1–S15 cited</x:v>
      </x:c>
    </x:row>
    <x:row r="520">
      <x:c r="A520" s="9" t="n">
        <x:v>65</x:v>
      </x:c>
      <x:c r="B520" s="9" t="str">
        <x:v>S079</x:v>
      </x:c>
      <x:c r="C520" s="9" t="str">
        <x:v>Han et al. (2024)</x:v>
      </x:c>
      <x:c r="D520" s="9" t="str">
        <x:v>Wide-response-range and high-sensitivity piezoresistive sensors with triple periodic minimal surface (TPMS) structures for wearable human-computer interaction systems</x:v>
      </x:c>
      <x:c r="E520" s="9" t="str">
        <x:v>D7</x:v>
      </x:c>
      <x:c r="F520" s="9" t="str">
        <x:v>Some concern</x:v>
      </x:c>
      <x:c r="G520" s="9" t="str">
        <x:v>Initial agreement</x:v>
      </x:c>
      <x:c r="H520" s="9" t="str">
        <x:v>Some principal claims rely on selected curves, inconsistent descriptions or incomplete uncertainty/device-level reporting.</x:v>
      </x:c>
      <x:c r="I520" s="9" t="str">
        <x:v>PDF pp. 2–12; Figs. 1–8; Supplementary Figs. S1–S15 cited</x:v>
      </x:c>
    </x:row>
    <x:row r="521">
      <x:c r="A521" s="9" t="n">
        <x:v>65</x:v>
      </x:c>
      <x:c r="B521" s="9" t="str">
        <x:v>S079</x:v>
      </x:c>
      <x:c r="C521" s="9" t="str">
        <x:v>Han et al. (2024)</x:v>
      </x:c>
      <x:c r="D521" s="9" t="str">
        <x:v>Wide-response-range and high-sensitivity piezoresistive sensors with triple periodic minimal surface (TPMS) structures for wearable human-computer interaction systems</x:v>
      </x:c>
      <x:c r="E521" s="9" t="str">
        <x:v>D8</x:v>
      </x:c>
      <x:c r="F521" s="9" t="str">
        <x:v>Low concern</x:v>
      </x:c>
      <x:c r="G521" s="9" t="str">
        <x:v>Initial agreement</x:v>
      </x:c>
      <x:c r="H521" s="9" t="str">
        <x:v>The complete wearable configuration was evaluated in a defined participant/application protocol.</x:v>
      </x:c>
      <x:c r="I521" s="9" t="str">
        <x:v>PDF pp. 2–12; Figs. 1–8; Supplementary Figs. S1–S15 cited</x:v>
      </x:c>
    </x:row>
    <x:row r="522">
      <x:c r="A522" s="9" t="n">
        <x:v>66</x:v>
      </x:c>
      <x:c r="B522" s="9" t="str">
        <x:v>S080</x:v>
      </x:c>
      <x:c r="C522" s="9" t="str">
        <x:v>Imanian et al. (2023)</x:v>
      </x:c>
      <x:c r="D522" s="9" t="str">
        <x:v>3D printed flexible wearable sensors based on triply periodic minimal surface structures for biomonitoring applications</x:v>
      </x:c>
      <x:c r="E522" s="9" t="str">
        <x:v>D1</x:v>
      </x:c>
      <x:c r="F522" s="9" t="str">
        <x:v>High concern</x:v>
      </x:c>
      <x:c r="G522" s="9" t="str">
        <x:v>Adjudicated to Reviewer 1</x:v>
      </x:c>
      <x:c r="H522" s="9" t="str">
        <x:v>Device sampling was not justified and wearable testing used one, two or an unspecified small number of participants.</x:v>
      </x:c>
      <x:c r="I522" s="9" t="str">
        <x:v>PDF pp. 2, 4–12; Figs. 1–8</x:v>
      </x:c>
    </x:row>
    <x:row r="523">
      <x:c r="A523" s="9" t="n">
        <x:v>66</x:v>
      </x:c>
      <x:c r="B523" s="9" t="str">
        <x:v>S080</x:v>
      </x:c>
      <x:c r="C523" s="9" t="str">
        <x:v>Imanian et al. (2023)</x:v>
      </x:c>
      <x:c r="D523" s="9" t="str">
        <x:v>3D printed flexible wearable sensors based on triply periodic minimal surface structures for biomonitoring applications</x:v>
      </x:c>
      <x:c r="E523" s="9" t="str">
        <x:v>D2</x:v>
      </x:c>
      <x:c r="F523" s="9" t="str">
        <x:v>Some concern</x:v>
      </x:c>
      <x:c r="G523" s="9" t="str">
        <x:v>Initial agreement</x:v>
      </x:c>
      <x:c r="H523" s="9" t="str">
        <x:v>One or more platform, nozzle, layer-height, infill or toolpath details are absent.</x:v>
      </x:c>
      <x:c r="I523" s="9" t="str">
        <x:v>PDF pp. 2, 4–12; Figs. 1–8</x:v>
      </x:c>
    </x:row>
    <x:row r="524">
      <x:c r="A524" s="9" t="n">
        <x:v>66</x:v>
      </x:c>
      <x:c r="B524" s="9" t="str">
        <x:v>S080</x:v>
      </x:c>
      <x:c r="C524" s="9" t="str">
        <x:v>Imanian et al. (2023)</x:v>
      </x:c>
      <x:c r="D524" s="9" t="str">
        <x:v>3D printed flexible wearable sensors based on triply periodic minimal surface structures for biomonitoring applications</x:v>
      </x:c>
      <x:c r="E524" s="9" t="str">
        <x:v>D3</x:v>
      </x:c>
      <x:c r="F524" s="9" t="str">
        <x:v>Some concern</x:v>
      </x:c>
      <x:c r="G524" s="9" t="str">
        <x:v>Adjudicated to Reviewer 1</x:v>
      </x:c>
      <x:c r="H524" s="9" t="str">
        <x:v>The application demonstration lacks an independent physiological comparator or independently measured joint angle.</x:v>
      </x:c>
      <x:c r="I524" s="9" t="str">
        <x:v>PDF pp. 2, 4–12; Figs. 1–8</x:v>
      </x:c>
    </x:row>
    <x:row r="525">
      <x:c r="A525" s="9" t="n">
        <x:v>66</x:v>
      </x:c>
      <x:c r="B525" s="9" t="str">
        <x:v>S080</x:v>
      </x:c>
      <x:c r="C525" s="9" t="str">
        <x:v>Imanian et al. (2023)</x:v>
      </x:c>
      <x:c r="D525" s="9" t="str">
        <x:v>3D printed flexible wearable sensors based on triply periodic minimal surface structures for biomonitoring applications</x:v>
      </x:c>
      <x:c r="E525" s="9" t="str">
        <x:v>D4</x:v>
      </x:c>
      <x:c r="F525" s="9" t="str">
        <x:v>Low concern</x:v>
      </x:c>
      <x:c r="G525" s="9" t="str">
        <x:v>Initial agreement</x:v>
      </x:c>
      <x:c r="H525" s="9" t="str">
        <x:v>Principal loading ranges, rates, holds or cycle conditions are stated.</x:v>
      </x:c>
      <x:c r="I525" s="9" t="str">
        <x:v>PDF pp. 2, 4–12; Figs. 1–8</x:v>
      </x:c>
    </x:row>
    <x:row r="526">
      <x:c r="A526" s="9" t="n">
        <x:v>66</x:v>
      </x:c>
      <x:c r="B526" s="9" t="str">
        <x:v>S080</x:v>
      </x:c>
      <x:c r="C526" s="9" t="str">
        <x:v>Imanian et al. (2023)</x:v>
      </x:c>
      <x:c r="D526" s="9" t="str">
        <x:v>3D printed flexible wearable sensors based on triply periodic minimal surface structures for biomonitoring applications</x:v>
      </x:c>
      <x:c r="E526" s="9" t="str">
        <x:v>D5</x:v>
      </x:c>
      <x:c r="F526" s="9" t="str">
        <x:v>Low concern</x:v>
      </x:c>
      <x:c r="G526" s="9" t="str">
        <x:v>Initial agreement</x:v>
      </x:c>
      <x:c r="H526" s="9" t="str">
        <x:v>At least one defined repeated-measurement or endurance protocol is reported.</x:v>
      </x:c>
      <x:c r="I526" s="9" t="str">
        <x:v>PDF pp. 2, 4–12; Figs. 1–8</x:v>
      </x:c>
    </x:row>
    <x:row r="527">
      <x:c r="A527" s="9" t="n">
        <x:v>66</x:v>
      </x:c>
      <x:c r="B527" s="9" t="str">
        <x:v>S080</x:v>
      </x:c>
      <x:c r="C527" s="9" t="str">
        <x:v>Imanian et al. (2023)</x:v>
      </x:c>
      <x:c r="D527" s="9" t="str">
        <x:v>3D printed flexible wearable sensors based on triply periodic minimal surface structures for biomonitoring applications</x:v>
      </x:c>
      <x:c r="E527" s="9" t="str">
        <x:v>D6</x:v>
      </x:c>
      <x:c r="F527" s="9" t="str">
        <x:v>High concern</x:v>
      </x:c>
      <x:c r="G527" s="9" t="str">
        <x:v>Initial agreement</x:v>
      </x:c>
      <x:c r="H527" s="9" t="str">
        <x:v>A same-condition comparison of at least three separately fabricated complete sensing units with device-level results or dispersion was not identified.</x:v>
      </x:c>
      <x:c r="I527" s="9" t="str">
        <x:v>PDF pp. 2, 4–12; Figs. 1–8</x:v>
      </x:c>
    </x:row>
    <x:row r="528">
      <x:c r="A528" s="9" t="n">
        <x:v>66</x:v>
      </x:c>
      <x:c r="B528" s="9" t="str">
        <x:v>S080</x:v>
      </x:c>
      <x:c r="C528" s="9" t="str">
        <x:v>Imanian et al. (2023)</x:v>
      </x:c>
      <x:c r="D528" s="9" t="str">
        <x:v>3D printed flexible wearable sensors based on triply periodic minimal surface structures for biomonitoring applications</x:v>
      </x:c>
      <x:c r="E528" s="9" t="str">
        <x:v>D7</x:v>
      </x:c>
      <x:c r="F528" s="9" t="str">
        <x:v>Some concern</x:v>
      </x:c>
      <x:c r="G528" s="9" t="str">
        <x:v>Initial agreement</x:v>
      </x:c>
      <x:c r="H528" s="9" t="str">
        <x:v>Principal outcomes are quantitative, but device-level uncertainty/dispersion or retention magnitude is incomplete.</x:v>
      </x:c>
      <x:c r="I528" s="9" t="str">
        <x:v>PDF pp. 2, 4–12; Figs. 1–8</x:v>
      </x:c>
    </x:row>
    <x:row r="529">
      <x:c r="A529" s="9" t="n">
        <x:v>66</x:v>
      </x:c>
      <x:c r="B529" s="9" t="str">
        <x:v>S080</x:v>
      </x:c>
      <x:c r="C529" s="9" t="str">
        <x:v>Imanian et al. (2023)</x:v>
      </x:c>
      <x:c r="D529" s="9" t="str">
        <x:v>3D printed flexible wearable sensors based on triply periodic minimal surface structures for biomonitoring applications</x:v>
      </x:c>
      <x:c r="E529" s="9" t="str">
        <x:v>D8</x:v>
      </x:c>
      <x:c r="F529" s="9" t="str">
        <x:v>Some concern</x:v>
      </x:c>
      <x:c r="G529" s="9" t="str">
        <x:v>Adjudicated to Reviewer 1</x:v>
      </x:c>
      <x:c r="H529" s="9" t="str">
        <x:v>A complete wearable configuration was demonstrated, but participant count, comparator or protocol depth is limited.</x:v>
      </x:c>
      <x:c r="I529" s="9" t="str">
        <x:v>PDF pp. 2, 4–12; Figs. 1–8</x:v>
      </x:c>
    </x:row>
    <x:row r="530">
      <x:c r="A530" s="9" t="n">
        <x:v>67</x:v>
      </x:c>
      <x:c r="B530" s="9" t="str">
        <x:v>S081</x:v>
      </x:c>
      <x:c r="C530" s="9" t="str">
        <x:v>De Tommasi et al. (2023)</x:v>
      </x:c>
      <x:c r="D530" s="9" t="str">
        <x:v>Wearable 3D-Printed Thumb-Shaped Device Based on Fiber Bragg Grating Sensor for Epidural Space Detection</x:v>
      </x:c>
      <x:c r="E530" s="9" t="str">
        <x:v>D1</x:v>
      </x:c>
      <x:c r="F530" s="9" t="str">
        <x:v>High concern</x:v>
      </x:c>
      <x:c r="G530" s="9" t="str">
        <x:v>Adjudicated to Reviewer 1</x:v>
      </x:c>
      <x:c r="H530" s="9" t="str">
        <x:v>Device sampling was not justified and wearable testing used one, two or an unspecified small number of participants.</x:v>
      </x:c>
      <x:c r="I530" s="9" t="str">
        <x:v>PDF pp. 3–7; Figs. 1–8; Table I</x:v>
      </x:c>
    </x:row>
    <x:row r="531">
      <x:c r="A531" s="9" t="n">
        <x:v>67</x:v>
      </x:c>
      <x:c r="B531" s="9" t="str">
        <x:v>S081</x:v>
      </x:c>
      <x:c r="C531" s="9" t="str">
        <x:v>De Tommasi et al. (2023)</x:v>
      </x:c>
      <x:c r="D531" s="9" t="str">
        <x:v>Wearable 3D-Printed Thumb-Shaped Device Based on Fiber Bragg Grating Sensor for Epidural Space Detection</x:v>
      </x:c>
      <x:c r="E531" s="9" t="str">
        <x:v>D2</x:v>
      </x:c>
      <x:c r="F531" s="9" t="str">
        <x:v>Some concern</x:v>
      </x:c>
      <x:c r="G531" s="9" t="str">
        <x:v>Initial agreement</x:v>
      </x:c>
      <x:c r="H531" s="9" t="str">
        <x:v>One or more platform, nozzle, layer-height, infill or toolpath details are absent.</x:v>
      </x:c>
      <x:c r="I531" s="9" t="str">
        <x:v>PDF pp. 3–7; Figs. 1–8; Table I</x:v>
      </x:c>
    </x:row>
    <x:row r="532">
      <x:c r="A532" s="9" t="n">
        <x:v>67</x:v>
      </x:c>
      <x:c r="B532" s="9" t="str">
        <x:v>S081</x:v>
      </x:c>
      <x:c r="C532" s="9" t="str">
        <x:v>De Tommasi et al. (2023)</x:v>
      </x:c>
      <x:c r="D532" s="9" t="str">
        <x:v>Wearable 3D-Printed Thumb-Shaped Device Based on Fiber Bragg Grating Sensor for Epidural Space Detection</x:v>
      </x:c>
      <x:c r="E532" s="9" t="str">
        <x:v>D3</x:v>
      </x:c>
      <x:c r="F532" s="9" t="str">
        <x:v>Low concern</x:v>
      </x:c>
      <x:c r="G532" s="9" t="str">
        <x:v>Initial agreement</x:v>
      </x:c>
      <x:c r="H532" s="9" t="str">
        <x:v>Controlled inputs and suitable reference instruments/procedures are reported.</x:v>
      </x:c>
      <x:c r="I532" s="9" t="str">
        <x:v>PDF pp. 3–7; Figs. 1–8; Table I</x:v>
      </x:c>
    </x:row>
    <x:row r="533">
      <x:c r="A533" s="9" t="n">
        <x:v>67</x:v>
      </x:c>
      <x:c r="B533" s="9" t="str">
        <x:v>S081</x:v>
      </x:c>
      <x:c r="C533" s="9" t="str">
        <x:v>De Tommasi et al. (2023)</x:v>
      </x:c>
      <x:c r="D533" s="9" t="str">
        <x:v>Wearable 3D-Printed Thumb-Shaped Device Based on Fiber Bragg Grating Sensor for Epidural Space Detection</x:v>
      </x:c>
      <x:c r="E533" s="9" t="str">
        <x:v>D4</x:v>
      </x:c>
      <x:c r="F533" s="9" t="str">
        <x:v>Low concern</x:v>
      </x:c>
      <x:c r="G533" s="9" t="str">
        <x:v>Initial agreement</x:v>
      </x:c>
      <x:c r="H533" s="9" t="str">
        <x:v>Principal loading ranges, rates, holds or cycle conditions are stated.</x:v>
      </x:c>
      <x:c r="I533" s="9" t="str">
        <x:v>PDF pp. 3–7; Figs. 1–8; Table I</x:v>
      </x:c>
    </x:row>
    <x:row r="534">
      <x:c r="A534" s="9" t="n">
        <x:v>67</x:v>
      </x:c>
      <x:c r="B534" s="9" t="str">
        <x:v>S081</x:v>
      </x:c>
      <x:c r="C534" s="9" t="str">
        <x:v>De Tommasi et al. (2023)</x:v>
      </x:c>
      <x:c r="D534" s="9" t="str">
        <x:v>Wearable 3D-Printed Thumb-Shaped Device Based on Fiber Bragg Grating Sensor for Epidural Space Detection</x:v>
      </x:c>
      <x:c r="E534" s="9" t="str">
        <x:v>D5</x:v>
      </x:c>
      <x:c r="F534" s="9" t="str">
        <x:v>Low concern</x:v>
      </x:c>
      <x:c r="G534" s="9" t="str">
        <x:v>Adjudicated to Reviewer 1</x:v>
      </x:c>
      <x:c r="H534" s="9" t="str">
        <x:v>At least one defined repeated-measurement or endurance protocol is reported.</x:v>
      </x:c>
      <x:c r="I534" s="9" t="str">
        <x:v>PDF pp. 3–7; Figs. 1–8; Table I</x:v>
      </x:c>
    </x:row>
    <x:row r="535">
      <x:c r="A535" s="9" t="n">
        <x:v>67</x:v>
      </x:c>
      <x:c r="B535" s="9" t="str">
        <x:v>S081</x:v>
      </x:c>
      <x:c r="C535" s="9" t="str">
        <x:v>De Tommasi et al. (2023)</x:v>
      </x:c>
      <x:c r="D535" s="9" t="str">
        <x:v>Wearable 3D-Printed Thumb-Shaped Device Based on Fiber Bragg Grating Sensor for Epidural Space Detection</x:v>
      </x:c>
      <x:c r="E535" s="9" t="str">
        <x:v>D6</x:v>
      </x:c>
      <x:c r="F535" s="9" t="str">
        <x:v>High concern</x:v>
      </x:c>
      <x:c r="G535" s="9" t="str">
        <x:v>Initial agreement</x:v>
      </x:c>
      <x:c r="H535" s="9" t="str">
        <x:v>A same-condition comparison of at least three separately fabricated complete sensing units with device-level results or dispersion was not identified.</x:v>
      </x:c>
      <x:c r="I535" s="9" t="str">
        <x:v>PDF pp. 3–7; Figs. 1–8; Table I</x:v>
      </x:c>
    </x:row>
    <x:row r="536">
      <x:c r="A536" s="9" t="n">
        <x:v>67</x:v>
      </x:c>
      <x:c r="B536" s="9" t="str">
        <x:v>S081</x:v>
      </x:c>
      <x:c r="C536" s="9" t="str">
        <x:v>De Tommasi et al. (2023)</x:v>
      </x:c>
      <x:c r="D536" s="9" t="str">
        <x:v>Wearable 3D-Printed Thumb-Shaped Device Based on Fiber Bragg Grating Sensor for Epidural Space Detection</x:v>
      </x:c>
      <x:c r="E536" s="9" t="str">
        <x:v>D7</x:v>
      </x:c>
      <x:c r="F536" s="9" t="str">
        <x:v>Low concern</x:v>
      </x:c>
      <x:c r="G536" s="9" t="str">
        <x:v>Adjudicated to Reviewer 1</x:v>
      </x:c>
      <x:c r="H536" s="9" t="str">
        <x:v>Principal response magnitudes, ranges and stability/failure behavior are quantitatively reported.</x:v>
      </x:c>
      <x:c r="I536" s="9" t="str">
        <x:v>PDF pp. 3–7; Figs. 1–8; Table I</x:v>
      </x:c>
    </x:row>
    <x:row r="537">
      <x:c r="A537" s="9" t="n">
        <x:v>67</x:v>
      </x:c>
      <x:c r="B537" s="9" t="str">
        <x:v>S081</x:v>
      </x:c>
      <x:c r="C537" s="9" t="str">
        <x:v>De Tommasi et al. (2023)</x:v>
      </x:c>
      <x:c r="D537" s="9" t="str">
        <x:v>Wearable 3D-Printed Thumb-Shaped Device Based on Fiber Bragg Grating Sensor for Epidural Space Detection</x:v>
      </x:c>
      <x:c r="E537" s="9" t="str">
        <x:v>D8</x:v>
      </x:c>
      <x:c r="F537" s="9" t="str">
        <x:v>Some concern</x:v>
      </x:c>
      <x:c r="G537" s="9" t="str">
        <x:v>Adjudicated to Reviewer 1</x:v>
      </x:c>
      <x:c r="H537" s="9" t="str">
        <x:v>A complete wearable configuration was demonstrated, but participant count, comparator or protocol depth is limited.</x:v>
      </x:c>
      <x:c r="I537" s="9" t="str">
        <x:v>PDF pp. 3–7; Figs. 1–8; Table I</x:v>
      </x:c>
    </x:row>
    <x:row r="538">
      <x:c r="A538" s="9" t="n">
        <x:v>68</x:v>
      </x:c>
      <x:c r="B538" s="9" t="str">
        <x:v>S082</x:v>
      </x:c>
      <x:c r="C538" s="9" t="str">
        <x:v>Xiang et al. (2023)</x:v>
      </x:c>
      <x:c r="D538" s="9" t="str">
        <x:v>Highly Sensitive Flexible Strain Sensor Based on a Double-percolation Structured Elastic Fiber of Carbon Nanotube (CNT)/Styrene Butadiene Styrene (SBS) @ Thermoplastic Polyurethane (TPU) for Human Motion and Tactile Recognition</x:v>
      </x:c>
      <x:c r="E538" s="9" t="str">
        <x:v>D1</x:v>
      </x:c>
      <x:c r="F538" s="9" t="str">
        <x:v>High concern</x:v>
      </x:c>
      <x:c r="G538" s="9" t="str">
        <x:v>Adjudicated to Reviewer 1</x:v>
      </x:c>
      <x:c r="H538" s="9" t="str">
        <x:v>Device sampling was not justified and wearable testing used one, two or an unspecified small number of participants.</x:v>
      </x:c>
      <x:c r="I538" s="9" t="str">
        <x:v>PDF pp. 4–12; Figs. 1–7; Supplementary Figs. S1–S5 cited</x:v>
      </x:c>
    </x:row>
    <x:row r="539">
      <x:c r="A539" s="9" t="n">
        <x:v>68</x:v>
      </x:c>
      <x:c r="B539" s="9" t="str">
        <x:v>S082</x:v>
      </x:c>
      <x:c r="C539" s="9" t="str">
        <x:v>Xiang et al. (2023)</x:v>
      </x:c>
      <x:c r="D539" s="9" t="str">
        <x:v>Highly Sensitive Flexible Strain Sensor Based on a Double-percolation Structured Elastic Fiber of Carbon Nanotube (CNT)/Styrene Butadiene Styrene (SBS) @ Thermoplastic Polyurethane (TPU) for Human Motion and Tactile Recognition</x:v>
      </x:c>
      <x:c r="E539" s="9" t="str">
        <x:v>D2</x:v>
      </x:c>
      <x:c r="F539" s="9" t="str">
        <x:v>Some concern</x:v>
      </x:c>
      <x:c r="G539" s="9" t="str">
        <x:v>Adjudicated to Reviewer 1</x:v>
      </x:c>
      <x:c r="H539" s="9" t="str">
        <x:v>One or more platform, nozzle, layer-height, infill or toolpath details are absent.</x:v>
      </x:c>
      <x:c r="I539" s="9" t="str">
        <x:v>PDF pp. 4–12; Figs. 1–7; Supplementary Figs. S1–S5 cited</x:v>
      </x:c>
    </x:row>
    <x:row r="540">
      <x:c r="A540" s="9" t="n">
        <x:v>68</x:v>
      </x:c>
      <x:c r="B540" s="9" t="str">
        <x:v>S082</x:v>
      </x:c>
      <x:c r="C540" s="9" t="str">
        <x:v>Xiang et al. (2023)</x:v>
      </x:c>
      <x:c r="D540" s="9" t="str">
        <x:v>Highly Sensitive Flexible Strain Sensor Based on a Double-percolation Structured Elastic Fiber of Carbon Nanotube (CNT)/Styrene Butadiene Styrene (SBS) @ Thermoplastic Polyurethane (TPU) for Human Motion and Tactile Recognition</x:v>
      </x:c>
      <x:c r="E540" s="9" t="str">
        <x:v>D3</x:v>
      </x:c>
      <x:c r="F540" s="9" t="str">
        <x:v>Low concern</x:v>
      </x:c>
      <x:c r="G540" s="9" t="str">
        <x:v>Adjudicated to Reviewer 1</x:v>
      </x:c>
      <x:c r="H540" s="9" t="str">
        <x:v>Controlled inputs and suitable reference instruments/procedures are reported.</x:v>
      </x:c>
      <x:c r="I540" s="9" t="str">
        <x:v>PDF pp. 4–12; Figs. 1–7; Supplementary Figs. S1–S5 cited</x:v>
      </x:c>
    </x:row>
    <x:row r="541">
      <x:c r="A541" s="9" t="n">
        <x:v>68</x:v>
      </x:c>
      <x:c r="B541" s="9" t="str">
        <x:v>S082</x:v>
      </x:c>
      <x:c r="C541" s="9" t="str">
        <x:v>Xiang et al. (2023)</x:v>
      </x:c>
      <x:c r="D541" s="9" t="str">
        <x:v>Highly Sensitive Flexible Strain Sensor Based on a Double-percolation Structured Elastic Fiber of Carbon Nanotube (CNT)/Styrene Butadiene Styrene (SBS) @ Thermoplastic Polyurethane (TPU) for Human Motion and Tactile Recognition</x:v>
      </x:c>
      <x:c r="E541" s="9" t="str">
        <x:v>D4</x:v>
      </x:c>
      <x:c r="F541" s="9" t="str">
        <x:v>Low concern</x:v>
      </x:c>
      <x:c r="G541" s="9" t="str">
        <x:v>Initial agreement</x:v>
      </x:c>
      <x:c r="H541" s="9" t="str">
        <x:v>Principal loading ranges, rates, holds or cycle conditions are stated.</x:v>
      </x:c>
      <x:c r="I541" s="9" t="str">
        <x:v>PDF pp. 4–12; Figs. 1–7; Supplementary Figs. S1–S5 cited</x:v>
      </x:c>
    </x:row>
    <x:row r="542">
      <x:c r="A542" s="9" t="n">
        <x:v>68</x:v>
      </x:c>
      <x:c r="B542" s="9" t="str">
        <x:v>S082</x:v>
      </x:c>
      <x:c r="C542" s="9" t="str">
        <x:v>Xiang et al. (2023)</x:v>
      </x:c>
      <x:c r="D542" s="9" t="str">
        <x:v>Highly Sensitive Flexible Strain Sensor Based on a Double-percolation Structured Elastic Fiber of Carbon Nanotube (CNT)/Styrene Butadiene Styrene (SBS) @ Thermoplastic Polyurethane (TPU) for Human Motion and Tactile Recognition</x:v>
      </x:c>
      <x:c r="E542" s="9" t="str">
        <x:v>D5</x:v>
      </x:c>
      <x:c r="F542" s="9" t="str">
        <x:v>Low concern</x:v>
      </x:c>
      <x:c r="G542" s="9" t="str">
        <x:v>Initial agreement</x:v>
      </x:c>
      <x:c r="H542" s="9" t="str">
        <x:v>At least one defined repeated-measurement or endurance protocol is reported.</x:v>
      </x:c>
      <x:c r="I542" s="9" t="str">
        <x:v>PDF pp. 4–12; Figs. 1–7; Supplementary Figs. S1–S5 cited</x:v>
      </x:c>
    </x:row>
    <x:row r="543">
      <x:c r="A543" s="9" t="n">
        <x:v>68</x:v>
      </x:c>
      <x:c r="B543" s="9" t="str">
        <x:v>S082</x:v>
      </x:c>
      <x:c r="C543" s="9" t="str">
        <x:v>Xiang et al. (2023)</x:v>
      </x:c>
      <x:c r="D543" s="9" t="str">
        <x:v>Highly Sensitive Flexible Strain Sensor Based on a Double-percolation Structured Elastic Fiber of Carbon Nanotube (CNT)/Styrene Butadiene Styrene (SBS) @ Thermoplastic Polyurethane (TPU) for Human Motion and Tactile Recognition</x:v>
      </x:c>
      <x:c r="E543" s="9" t="str">
        <x:v>D6</x:v>
      </x:c>
      <x:c r="F543" s="9" t="str">
        <x:v>High concern</x:v>
      </x:c>
      <x:c r="G543" s="9" t="str">
        <x:v>Initial agreement</x:v>
      </x:c>
      <x:c r="H543" s="9" t="str">
        <x:v>A same-condition comparison of at least three separately fabricated complete sensing units with device-level results or dispersion was not identified.</x:v>
      </x:c>
      <x:c r="I543" s="9" t="str">
        <x:v>PDF pp. 4–12; Figs. 1–7; Supplementary Figs. S1–S5 cited</x:v>
      </x:c>
    </x:row>
    <x:row r="544">
      <x:c r="A544" s="9" t="n">
        <x:v>68</x:v>
      </x:c>
      <x:c r="B544" s="9" t="str">
        <x:v>S082</x:v>
      </x:c>
      <x:c r="C544" s="9" t="str">
        <x:v>Xiang et al. (2023)</x:v>
      </x:c>
      <x:c r="D544" s="9" t="str">
        <x:v>Highly Sensitive Flexible Strain Sensor Based on a Double-percolation Structured Elastic Fiber of Carbon Nanotube (CNT)/Styrene Butadiene Styrene (SBS) @ Thermoplastic Polyurethane (TPU) for Human Motion and Tactile Recognition</x:v>
      </x:c>
      <x:c r="E544" s="9" t="str">
        <x:v>D7</x:v>
      </x:c>
      <x:c r="F544" s="9" t="str">
        <x:v>Some concern</x:v>
      </x:c>
      <x:c r="G544" s="9" t="str">
        <x:v>Initial agreement</x:v>
      </x:c>
      <x:c r="H544" s="9" t="str">
        <x:v>Principal outcomes are quantitative, but device-level uncertainty/dispersion or retention magnitude is incomplete.</x:v>
      </x:c>
      <x:c r="I544" s="9" t="str">
        <x:v>PDF pp. 4–12; Figs. 1–7; Supplementary Figs. S1–S5 cited</x:v>
      </x:c>
    </x:row>
    <x:row r="545">
      <x:c r="A545" s="9" t="n">
        <x:v>68</x:v>
      </x:c>
      <x:c r="B545" s="9" t="str">
        <x:v>S082</x:v>
      </x:c>
      <x:c r="C545" s="9" t="str">
        <x:v>Xiang et al. (2023)</x:v>
      </x:c>
      <x:c r="D545" s="9" t="str">
        <x:v>Highly Sensitive Flexible Strain Sensor Based on a Double-percolation Structured Elastic Fiber of Carbon Nanotube (CNT)/Styrene Butadiene Styrene (SBS) @ Thermoplastic Polyurethane (TPU) for Human Motion and Tactile Recognition</x:v>
      </x:c>
      <x:c r="E545" s="9" t="str">
        <x:v>D8</x:v>
      </x:c>
      <x:c r="F545" s="9" t="str">
        <x:v>Some concern</x:v>
      </x:c>
      <x:c r="G545" s="9" t="str">
        <x:v>Adjudicated to Reviewer 1</x:v>
      </x:c>
      <x:c r="H545" s="9" t="str">
        <x:v>A complete wearable configuration was demonstrated, but participant count, comparator or protocol depth is limited.</x:v>
      </x:c>
      <x:c r="I545" s="9" t="str">
        <x:v>PDF pp. 4–12; Figs. 1–7; Supplementary Figs. S1–S5 cited</x:v>
      </x:c>
    </x:row>
    <x:row r="546">
      <x:c r="A546" s="9" t="n">
        <x:v>69</x:v>
      </x:c>
      <x:c r="B546" s="9" t="str">
        <x:v>S084</x:v>
      </x:c>
      <x:c r="C546" s="9" t="str">
        <x:v>Liu et al. (2023)</x:v>
      </x:c>
      <x:c r="D546" s="9" t="str">
        <x:v>Highly sensitive flexible strain sensor based on carbon nanotube/styrene butadiene styrene@ thermoplastic polyurethane fiber with a double percolated structure</x:v>
      </x:c>
      <x:c r="E546" s="9" t="str">
        <x:v>D1</x:v>
      </x:c>
      <x:c r="F546" s="9" t="str">
        <x:v>High concern</x:v>
      </x:c>
      <x:c r="G546" s="9" t="str">
        <x:v>Adjudicated to Reviewer 1</x:v>
      </x:c>
      <x:c r="H546" s="9" t="str">
        <x:v>Device sampling was not justified and wearable testing used one, two or an unspecified small number of participants.</x:v>
      </x:c>
      <x:c r="I546" s="9" t="str">
        <x:v>PDF pp. 4–11; Figs. 1–8; Supplementary Figs. S1–S5 cited</x:v>
      </x:c>
    </x:row>
    <x:row r="547">
      <x:c r="A547" s="9" t="n">
        <x:v>69</x:v>
      </x:c>
      <x:c r="B547" s="9" t="str">
        <x:v>S084</x:v>
      </x:c>
      <x:c r="C547" s="9" t="str">
        <x:v>Liu et al. (2023)</x:v>
      </x:c>
      <x:c r="D547" s="9" t="str">
        <x:v>Highly sensitive flexible strain sensor based on carbon nanotube/styrene butadiene styrene@ thermoplastic polyurethane fiber with a double percolated structure</x:v>
      </x:c>
      <x:c r="E547" s="9" t="str">
        <x:v>D2</x:v>
      </x:c>
      <x:c r="F547" s="9" t="str">
        <x:v>Some concern</x:v>
      </x:c>
      <x:c r="G547" s="9" t="str">
        <x:v>Adjudicated to Reviewer 1</x:v>
      </x:c>
      <x:c r="H547" s="9" t="str">
        <x:v>One or more platform, nozzle, layer-height, infill or toolpath details are absent.</x:v>
      </x:c>
      <x:c r="I547" s="9" t="str">
        <x:v>PDF pp. 4–11; Figs. 1–8; Supplementary Figs. S1–S5 cited</x:v>
      </x:c>
    </x:row>
    <x:row r="548">
      <x:c r="A548" s="9" t="n">
        <x:v>69</x:v>
      </x:c>
      <x:c r="B548" s="9" t="str">
        <x:v>S084</x:v>
      </x:c>
      <x:c r="C548" s="9" t="str">
        <x:v>Liu et al. (2023)</x:v>
      </x:c>
      <x:c r="D548" s="9" t="str">
        <x:v>Highly sensitive flexible strain sensor based on carbon nanotube/styrene butadiene styrene@ thermoplastic polyurethane fiber with a double percolated structure</x:v>
      </x:c>
      <x:c r="E548" s="9" t="str">
        <x:v>D3</x:v>
      </x:c>
      <x:c r="F548" s="9" t="str">
        <x:v>Low concern</x:v>
      </x:c>
      <x:c r="G548" s="9" t="str">
        <x:v>Adjudicated to Reviewer 1</x:v>
      </x:c>
      <x:c r="H548" s="9" t="str">
        <x:v>Controlled inputs and suitable reference instruments/procedures are reported.</x:v>
      </x:c>
      <x:c r="I548" s="9" t="str">
        <x:v>PDF pp. 4–11; Figs. 1–8; Supplementary Figs. S1–S5 cited</x:v>
      </x:c>
    </x:row>
    <x:row r="549">
      <x:c r="A549" s="9" t="n">
        <x:v>69</x:v>
      </x:c>
      <x:c r="B549" s="9" t="str">
        <x:v>S084</x:v>
      </x:c>
      <x:c r="C549" s="9" t="str">
        <x:v>Liu et al. (2023)</x:v>
      </x:c>
      <x:c r="D549" s="9" t="str">
        <x:v>Highly sensitive flexible strain sensor based on carbon nanotube/styrene butadiene styrene@ thermoplastic polyurethane fiber with a double percolated structure</x:v>
      </x:c>
      <x:c r="E549" s="9" t="str">
        <x:v>D4</x:v>
      </x:c>
      <x:c r="F549" s="9" t="str">
        <x:v>Low concern</x:v>
      </x:c>
      <x:c r="G549" s="9" t="str">
        <x:v>Initial agreement</x:v>
      </x:c>
      <x:c r="H549" s="9" t="str">
        <x:v>Principal loading ranges, rates, holds or cycle conditions are stated.</x:v>
      </x:c>
      <x:c r="I549" s="9" t="str">
        <x:v>PDF pp. 4–11; Figs. 1–8; Supplementary Figs. S1–S5 cited</x:v>
      </x:c>
    </x:row>
    <x:row r="550">
      <x:c r="A550" s="9" t="n">
        <x:v>69</x:v>
      </x:c>
      <x:c r="B550" s="9" t="str">
        <x:v>S084</x:v>
      </x:c>
      <x:c r="C550" s="9" t="str">
        <x:v>Liu et al. (2023)</x:v>
      </x:c>
      <x:c r="D550" s="9" t="str">
        <x:v>Highly sensitive flexible strain sensor based on carbon nanotube/styrene butadiene styrene@ thermoplastic polyurethane fiber with a double percolated structure</x:v>
      </x:c>
      <x:c r="E550" s="9" t="str">
        <x:v>D5</x:v>
      </x:c>
      <x:c r="F550" s="9" t="str">
        <x:v>Low concern</x:v>
      </x:c>
      <x:c r="G550" s="9" t="str">
        <x:v>Initial agreement</x:v>
      </x:c>
      <x:c r="H550" s="9" t="str">
        <x:v>At least one defined repeated-measurement or endurance protocol is reported.</x:v>
      </x:c>
      <x:c r="I550" s="9" t="str">
        <x:v>PDF pp. 4–11; Figs. 1–8; Supplementary Figs. S1–S5 cited</x:v>
      </x:c>
    </x:row>
    <x:row r="551">
      <x:c r="A551" s="9" t="n">
        <x:v>69</x:v>
      </x:c>
      <x:c r="B551" s="9" t="str">
        <x:v>S084</x:v>
      </x:c>
      <x:c r="C551" s="9" t="str">
        <x:v>Liu et al. (2023)</x:v>
      </x:c>
      <x:c r="D551" s="9" t="str">
        <x:v>Highly sensitive flexible strain sensor based on carbon nanotube/styrene butadiene styrene@ thermoplastic polyurethane fiber with a double percolated structure</x:v>
      </x:c>
      <x:c r="E551" s="9" t="str">
        <x:v>D6</x:v>
      </x:c>
      <x:c r="F551" s="9" t="str">
        <x:v>High concern</x:v>
      </x:c>
      <x:c r="G551" s="9" t="str">
        <x:v>Initial agreement</x:v>
      </x:c>
      <x:c r="H551" s="9" t="str">
        <x:v>A same-condition comparison of at least three separately fabricated complete sensing units with device-level results or dispersion was not identified.</x:v>
      </x:c>
      <x:c r="I551" s="9" t="str">
        <x:v>PDF pp. 4–11; Figs. 1–8; Supplementary Figs. S1–S5 cited</x:v>
      </x:c>
    </x:row>
    <x:row r="552">
      <x:c r="A552" s="9" t="n">
        <x:v>69</x:v>
      </x:c>
      <x:c r="B552" s="9" t="str">
        <x:v>S084</x:v>
      </x:c>
      <x:c r="C552" s="9" t="str">
        <x:v>Liu et al. (2023)</x:v>
      </x:c>
      <x:c r="D552" s="9" t="str">
        <x:v>Highly sensitive flexible strain sensor based on carbon nanotube/styrene butadiene styrene@ thermoplastic polyurethane fiber with a double percolated structure</x:v>
      </x:c>
      <x:c r="E552" s="9" t="str">
        <x:v>D7</x:v>
      </x:c>
      <x:c r="F552" s="9" t="str">
        <x:v>Some concern</x:v>
      </x:c>
      <x:c r="G552" s="9" t="str">
        <x:v>Initial agreement</x:v>
      </x:c>
      <x:c r="H552" s="9" t="str">
        <x:v>Principal outcomes are quantitative, but device-level uncertainty/dispersion or retention magnitude is incomplete.</x:v>
      </x:c>
      <x:c r="I552" s="9" t="str">
        <x:v>PDF pp. 4–11; Figs. 1–8; Supplementary Figs. S1–S5 cited</x:v>
      </x:c>
    </x:row>
    <x:row r="553">
      <x:c r="A553" s="9" t="n">
        <x:v>69</x:v>
      </x:c>
      <x:c r="B553" s="9" t="str">
        <x:v>S084</x:v>
      </x:c>
      <x:c r="C553" s="9" t="str">
        <x:v>Liu et al. (2023)</x:v>
      </x:c>
      <x:c r="D553" s="9" t="str">
        <x:v>Highly sensitive flexible strain sensor based on carbon nanotube/styrene butadiene styrene@ thermoplastic polyurethane fiber with a double percolated structure</x:v>
      </x:c>
      <x:c r="E553" s="9" t="str">
        <x:v>D8</x:v>
      </x:c>
      <x:c r="F553" s="9" t="str">
        <x:v>Some concern</x:v>
      </x:c>
      <x:c r="G553" s="9" t="str">
        <x:v>Adjudicated to Reviewer 1</x:v>
      </x:c>
      <x:c r="H553" s="9" t="str">
        <x:v>A complete wearable configuration was demonstrated, but participant count, comparator or protocol depth is limited.</x:v>
      </x:c>
      <x:c r="I553" s="9" t="str">
        <x:v>PDF pp. 4–11; Figs. 1–8; Supplementary Figs. S1–S5 cited</x:v>
      </x:c>
    </x:row>
    <x:row r="554">
      <x:c r="A554" s="9" t="n">
        <x:v>70</x:v>
      </x:c>
      <x:c r="B554" s="9" t="str">
        <x:v>S085</x:v>
      </x:c>
      <x:c r="C554" s="9" t="str">
        <x:v>Li et al. (2022)</x:v>
      </x:c>
      <x:c r="D554" s="9" t="str">
        <x:v>Strain sensing behavior of FDM 3D printed carbon black filled TPU with periodic configurations and flexible substrates</x:v>
      </x:c>
      <x:c r="E554" s="9" t="str">
        <x:v>D1</x:v>
      </x:c>
      <x:c r="F554" s="9" t="str">
        <x:v>High concern</x:v>
      </x:c>
      <x:c r="G554" s="9" t="str">
        <x:v>Adjudicated to Reviewer 1</x:v>
      </x:c>
      <x:c r="H554" s="9" t="str">
        <x:v>Device sampling was not justified and wearable testing used one, two or an unspecified small number of participants.</x:v>
      </x:c>
      <x:c r="I554" s="9" t="str">
        <x:v>PDF pp. 2–4, 8–12; Figs. 1–18; Tables 1–2</x:v>
      </x:c>
    </x:row>
    <x:row r="555">
      <x:c r="A555" s="9" t="n">
        <x:v>70</x:v>
      </x:c>
      <x:c r="B555" s="9" t="str">
        <x:v>S085</x:v>
      </x:c>
      <x:c r="C555" s="9" t="str">
        <x:v>Li et al. (2022)</x:v>
      </x:c>
      <x:c r="D555" s="9" t="str">
        <x:v>Strain sensing behavior of FDM 3D printed carbon black filled TPU with periodic configurations and flexible substrates</x:v>
      </x:c>
      <x:c r="E555" s="9" t="str">
        <x:v>D2</x:v>
      </x:c>
      <x:c r="F555" s="9" t="str">
        <x:v>Low concern</x:v>
      </x:c>
      <x:c r="G555" s="9" t="str">
        <x:v>Adjudicated to Reviewer 1</x:v>
      </x:c>
      <x:c r="H555" s="9" t="str">
        <x:v>Application-relevant fabrication variables and settings are sufficiently controlled and reported.</x:v>
      </x:c>
      <x:c r="I555" s="9" t="str">
        <x:v>PDF pp. 2–4, 8–12; Figs. 1–18; Tables 1–2</x:v>
      </x:c>
    </x:row>
    <x:row r="556">
      <x:c r="A556" s="9" t="n">
        <x:v>70</x:v>
      </x:c>
      <x:c r="B556" s="9" t="str">
        <x:v>S085</x:v>
      </x:c>
      <x:c r="C556" s="9" t="str">
        <x:v>Li et al. (2022)</x:v>
      </x:c>
      <x:c r="D556" s="9" t="str">
        <x:v>Strain sensing behavior of FDM 3D printed carbon black filled TPU with periodic configurations and flexible substrates</x:v>
      </x:c>
      <x:c r="E556" s="9" t="str">
        <x:v>D3</x:v>
      </x:c>
      <x:c r="F556" s="9" t="str">
        <x:v>Low concern</x:v>
      </x:c>
      <x:c r="G556" s="9" t="str">
        <x:v>Initial agreement</x:v>
      </x:c>
      <x:c r="H556" s="9" t="str">
        <x:v>Controlled inputs and suitable reference instruments/procedures are reported.</x:v>
      </x:c>
      <x:c r="I556" s="9" t="str">
        <x:v>PDF pp. 2–4, 8–12; Figs. 1–18; Tables 1–2</x:v>
      </x:c>
    </x:row>
    <x:row r="557">
      <x:c r="A557" s="9" t="n">
        <x:v>70</x:v>
      </x:c>
      <x:c r="B557" s="9" t="str">
        <x:v>S085</x:v>
      </x:c>
      <x:c r="C557" s="9" t="str">
        <x:v>Li et al. (2022)</x:v>
      </x:c>
      <x:c r="D557" s="9" t="str">
        <x:v>Strain sensing behavior of FDM 3D printed carbon black filled TPU with periodic configurations and flexible substrates</x:v>
      </x:c>
      <x:c r="E557" s="9" t="str">
        <x:v>D4</x:v>
      </x:c>
      <x:c r="F557" s="9" t="str">
        <x:v>Low concern</x:v>
      </x:c>
      <x:c r="G557" s="9" t="str">
        <x:v>Initial agreement</x:v>
      </x:c>
      <x:c r="H557" s="9" t="str">
        <x:v>Principal loading ranges, rates, holds or cycle conditions are stated.</x:v>
      </x:c>
      <x:c r="I557" s="9" t="str">
        <x:v>PDF pp. 2–4, 8–12; Figs. 1–18; Tables 1–2</x:v>
      </x:c>
    </x:row>
    <x:row r="558">
      <x:c r="A558" s="9" t="n">
        <x:v>70</x:v>
      </x:c>
      <x:c r="B558" s="9" t="str">
        <x:v>S085</x:v>
      </x:c>
      <x:c r="C558" s="9" t="str">
        <x:v>Li et al. (2022)</x:v>
      </x:c>
      <x:c r="D558" s="9" t="str">
        <x:v>Strain sensing behavior of FDM 3D printed carbon black filled TPU with periodic configurations and flexible substrates</x:v>
      </x:c>
      <x:c r="E558" s="9" t="str">
        <x:v>D5</x:v>
      </x:c>
      <x:c r="F558" s="9" t="str">
        <x:v>Low concern</x:v>
      </x:c>
      <x:c r="G558" s="9" t="str">
        <x:v>Initial agreement</x:v>
      </x:c>
      <x:c r="H558" s="9" t="str">
        <x:v>At least one defined repeated-measurement or endurance protocol is reported.</x:v>
      </x:c>
      <x:c r="I558" s="9" t="str">
        <x:v>PDF pp. 2–4, 8–12; Figs. 1–18; Tables 1–2</x:v>
      </x:c>
    </x:row>
    <x:row r="559">
      <x:c r="A559" s="9" t="n">
        <x:v>70</x:v>
      </x:c>
      <x:c r="B559" s="9" t="str">
        <x:v>S085</x:v>
      </x:c>
      <x:c r="C559" s="9" t="str">
        <x:v>Li et al. (2022)</x:v>
      </x:c>
      <x:c r="D559" s="9" t="str">
        <x:v>Strain sensing behavior of FDM 3D printed carbon black filled TPU with periodic configurations and flexible substrates</x:v>
      </x:c>
      <x:c r="E559" s="9" t="str">
        <x:v>D6</x:v>
      </x:c>
      <x:c r="F559" s="9" t="str">
        <x:v>High concern</x:v>
      </x:c>
      <x:c r="G559" s="9" t="str">
        <x:v>Initial agreement</x:v>
      </x:c>
      <x:c r="H559" s="9" t="str">
        <x:v>A same-condition comparison of at least three separately fabricated complete sensing units with device-level results or dispersion was not identified.</x:v>
      </x:c>
      <x:c r="I559" s="9" t="str">
        <x:v>PDF pp. 2–4, 8–12; Figs. 1–18; Tables 1–2</x:v>
      </x:c>
    </x:row>
    <x:row r="560">
      <x:c r="A560" s="9" t="n">
        <x:v>70</x:v>
      </x:c>
      <x:c r="B560" s="9" t="str">
        <x:v>S085</x:v>
      </x:c>
      <x:c r="C560" s="9" t="str">
        <x:v>Li et al. (2022)</x:v>
      </x:c>
      <x:c r="D560" s="9" t="str">
        <x:v>Strain sensing behavior of FDM 3D printed carbon black filled TPU with periodic configurations and flexible substrates</x:v>
      </x:c>
      <x:c r="E560" s="9" t="str">
        <x:v>D7</x:v>
      </x:c>
      <x:c r="F560" s="9" t="str">
        <x:v>Low concern</x:v>
      </x:c>
      <x:c r="G560" s="9" t="str">
        <x:v>Adjudicated to Reviewer 1</x:v>
      </x:c>
      <x:c r="H560" s="9" t="str">
        <x:v>Principal response magnitudes, ranges and stability/failure behavior are quantitatively reported.</x:v>
      </x:c>
      <x:c r="I560" s="9" t="str">
        <x:v>PDF pp. 2–4, 8–12; Figs. 1–18; Tables 1–2</x:v>
      </x:c>
    </x:row>
    <x:row r="561">
      <x:c r="A561" s="9" t="n">
        <x:v>70</x:v>
      </x:c>
      <x:c r="B561" s="9" t="str">
        <x:v>S085</x:v>
      </x:c>
      <x:c r="C561" s="9" t="str">
        <x:v>Li et al. (2022)</x:v>
      </x:c>
      <x:c r="D561" s="9" t="str">
        <x:v>Strain sensing behavior of FDM 3D printed carbon black filled TPU with periodic configurations and flexible substrates</x:v>
      </x:c>
      <x:c r="E561" s="9" t="str">
        <x:v>D8</x:v>
      </x:c>
      <x:c r="F561" s="9" t="str">
        <x:v>Some concern</x:v>
      </x:c>
      <x:c r="G561" s="9" t="str">
        <x:v>Adjudicated to Reviewer 1</x:v>
      </x:c>
      <x:c r="H561" s="9" t="str">
        <x:v>A complete wearable configuration was demonstrated, but participant count, comparator or protocol depth is limited.</x:v>
      </x:c>
      <x:c r="I561" s="9" t="str">
        <x:v>PDF pp. 2–4, 8–12; Figs. 1–18; Tables 1–2</x:v>
      </x:c>
    </x:row>
    <x:row r="562">
      <x:c r="A562" s="9" t="n">
        <x:v>71</x:v>
      </x:c>
      <x:c r="B562" s="9" t="str">
        <x:v>S086</x:v>
      </x:c>
      <x:c r="C562" s="9" t="str">
        <x:v>Li et al. (2022)</x:v>
      </x:c>
      <x:c r="D562" s="9" t="str">
        <x:v>Fabrication and Properties of Thermoplastic Polyurethane/Silver Parts via Fused Deposition Modeling for Electromagnetic Interference Shielding and Wearable Sensors</x:v>
      </x:c>
      <x:c r="E562" s="9" t="str">
        <x:v>D1</x:v>
      </x:c>
      <x:c r="F562" s="9" t="str">
        <x:v>High concern</x:v>
      </x:c>
      <x:c r="G562" s="9" t="str">
        <x:v>Adjudicated to Reviewer 1</x:v>
      </x:c>
      <x:c r="H562" s="9" t="str">
        <x:v>Device sampling was not justified and wearable testing used one, two or an unspecified small number of participants.</x:v>
      </x:c>
      <x:c r="I562" s="9" t="str">
        <x:v>PDF pp. 2–9; Figs. 1–6; Supporting Figs. S1–S3 and Table S1 cited</x:v>
      </x:c>
    </x:row>
    <x:row r="563">
      <x:c r="A563" s="9" t="n">
        <x:v>71</x:v>
      </x:c>
      <x:c r="B563" s="9" t="str">
        <x:v>S086</x:v>
      </x:c>
      <x:c r="C563" s="9" t="str">
        <x:v>Li et al. (2022)</x:v>
      </x:c>
      <x:c r="D563" s="9" t="str">
        <x:v>Fabrication and Properties of Thermoplastic Polyurethane/Silver Parts via Fused Deposition Modeling for Electromagnetic Interference Shielding and Wearable Sensors</x:v>
      </x:c>
      <x:c r="E563" s="9" t="str">
        <x:v>D2</x:v>
      </x:c>
      <x:c r="F563" s="9" t="str">
        <x:v>Some concern</x:v>
      </x:c>
      <x:c r="G563" s="9" t="str">
        <x:v>Initial agreement</x:v>
      </x:c>
      <x:c r="H563" s="9" t="str">
        <x:v>One or more platform, nozzle, layer-height, infill or toolpath details are absent.</x:v>
      </x:c>
      <x:c r="I563" s="9" t="str">
        <x:v>PDF pp. 2–9; Figs. 1–6; Supporting Figs. S1–S3 and Table S1 cited</x:v>
      </x:c>
    </x:row>
    <x:row r="564">
      <x:c r="A564" s="9" t="n">
        <x:v>71</x:v>
      </x:c>
      <x:c r="B564" s="9" t="str">
        <x:v>S086</x:v>
      </x:c>
      <x:c r="C564" s="9" t="str">
        <x:v>Li et al. (2022)</x:v>
      </x:c>
      <x:c r="D564" s="9" t="str">
        <x:v>Fabrication and Properties of Thermoplastic Polyurethane/Silver Parts via Fused Deposition Modeling for Electromagnetic Interference Shielding and Wearable Sensors</x:v>
      </x:c>
      <x:c r="E564" s="9" t="str">
        <x:v>D3</x:v>
      </x:c>
      <x:c r="F564" s="9" t="str">
        <x:v>Low concern</x:v>
      </x:c>
      <x:c r="G564" s="9" t="str">
        <x:v>Initial agreement</x:v>
      </x:c>
      <x:c r="H564" s="9" t="str">
        <x:v>Controlled inputs and suitable reference instruments/procedures are reported.</x:v>
      </x:c>
      <x:c r="I564" s="9" t="str">
        <x:v>PDF pp. 2–9; Figs. 1–6; Supporting Figs. S1–S3 and Table S1 cited</x:v>
      </x:c>
    </x:row>
    <x:row r="565">
      <x:c r="A565" s="9" t="n">
        <x:v>71</x:v>
      </x:c>
      <x:c r="B565" s="9" t="str">
        <x:v>S086</x:v>
      </x:c>
      <x:c r="C565" s="9" t="str">
        <x:v>Li et al. (2022)</x:v>
      </x:c>
      <x:c r="D565" s="9" t="str">
        <x:v>Fabrication and Properties of Thermoplastic Polyurethane/Silver Parts via Fused Deposition Modeling for Electromagnetic Interference Shielding and Wearable Sensors</x:v>
      </x:c>
      <x:c r="E565" s="9" t="str">
        <x:v>D4</x:v>
      </x:c>
      <x:c r="F565" s="9" t="str">
        <x:v>Low concern</x:v>
      </x:c>
      <x:c r="G565" s="9" t="str">
        <x:v>Initial agreement</x:v>
      </x:c>
      <x:c r="H565" s="9" t="str">
        <x:v>Principal loading ranges, rates, holds or cycle conditions are stated.</x:v>
      </x:c>
      <x:c r="I565" s="9" t="str">
        <x:v>PDF pp. 2–9; Figs. 1–6; Supporting Figs. S1–S3 and Table S1 cited</x:v>
      </x:c>
    </x:row>
    <x:row r="566">
      <x:c r="A566" s="9" t="n">
        <x:v>71</x:v>
      </x:c>
      <x:c r="B566" s="9" t="str">
        <x:v>S086</x:v>
      </x:c>
      <x:c r="C566" s="9" t="str">
        <x:v>Li et al. (2022)</x:v>
      </x:c>
      <x:c r="D566" s="9" t="str">
        <x:v>Fabrication and Properties of Thermoplastic Polyurethane/Silver Parts via Fused Deposition Modeling for Electromagnetic Interference Shielding and Wearable Sensors</x:v>
      </x:c>
      <x:c r="E566" s="9" t="str">
        <x:v>D5</x:v>
      </x:c>
      <x:c r="F566" s="9" t="str">
        <x:v>Low concern</x:v>
      </x:c>
      <x:c r="G566" s="9" t="str">
        <x:v>Initial agreement</x:v>
      </x:c>
      <x:c r="H566" s="9" t="str">
        <x:v>At least one defined repeated-measurement or endurance protocol is reported.</x:v>
      </x:c>
      <x:c r="I566" s="9" t="str">
        <x:v>PDF pp. 2–9; Figs. 1–6; Supporting Figs. S1–S3 and Table S1 cited</x:v>
      </x:c>
    </x:row>
    <x:row r="567">
      <x:c r="A567" s="9" t="n">
        <x:v>71</x:v>
      </x:c>
      <x:c r="B567" s="9" t="str">
        <x:v>S086</x:v>
      </x:c>
      <x:c r="C567" s="9" t="str">
        <x:v>Li et al. (2022)</x:v>
      </x:c>
      <x:c r="D567" s="9" t="str">
        <x:v>Fabrication and Properties of Thermoplastic Polyurethane/Silver Parts via Fused Deposition Modeling for Electromagnetic Interference Shielding and Wearable Sensors</x:v>
      </x:c>
      <x:c r="E567" s="9" t="str">
        <x:v>D6</x:v>
      </x:c>
      <x:c r="F567" s="9" t="str">
        <x:v>High concern</x:v>
      </x:c>
      <x:c r="G567" s="9" t="str">
        <x:v>Initial agreement</x:v>
      </x:c>
      <x:c r="H567" s="9" t="str">
        <x:v>A same-condition comparison of at least three separately fabricated complete sensing units with device-level results or dispersion was not identified.</x:v>
      </x:c>
      <x:c r="I567" s="9" t="str">
        <x:v>PDF pp. 2–9; Figs. 1–6; Supporting Figs. S1–S3 and Table S1 cited</x:v>
      </x:c>
    </x:row>
    <x:row r="568">
      <x:c r="A568" s="9" t="n">
        <x:v>71</x:v>
      </x:c>
      <x:c r="B568" s="9" t="str">
        <x:v>S086</x:v>
      </x:c>
      <x:c r="C568" s="9" t="str">
        <x:v>Li et al. (2022)</x:v>
      </x:c>
      <x:c r="D568" s="9" t="str">
        <x:v>Fabrication and Properties of Thermoplastic Polyurethane/Silver Parts via Fused Deposition Modeling for Electromagnetic Interference Shielding and Wearable Sensors</x:v>
      </x:c>
      <x:c r="E568" s="9" t="str">
        <x:v>D7</x:v>
      </x:c>
      <x:c r="F568" s="9" t="str">
        <x:v>Some concern</x:v>
      </x:c>
      <x:c r="G568" s="9" t="str">
        <x:v>Initial agreement</x:v>
      </x:c>
      <x:c r="H568" s="9" t="str">
        <x:v>Principal outcomes are quantitative, but device-level uncertainty/dispersion or retention magnitude is incomplete.</x:v>
      </x:c>
      <x:c r="I568" s="9" t="str">
        <x:v>PDF pp. 2–9; Figs. 1–6; Supporting Figs. S1–S3 and Table S1 cited</x:v>
      </x:c>
    </x:row>
    <x:row r="569">
      <x:c r="A569" s="9" t="n">
        <x:v>71</x:v>
      </x:c>
      <x:c r="B569" s="9" t="str">
        <x:v>S086</x:v>
      </x:c>
      <x:c r="C569" s="9" t="str">
        <x:v>Li et al. (2022)</x:v>
      </x:c>
      <x:c r="D569" s="9" t="str">
        <x:v>Fabrication and Properties of Thermoplastic Polyurethane/Silver Parts via Fused Deposition Modeling for Electromagnetic Interference Shielding and Wearable Sensors</x:v>
      </x:c>
      <x:c r="E569" s="9" t="str">
        <x:v>D8</x:v>
      </x:c>
      <x:c r="F569" s="9" t="str">
        <x:v>Some concern</x:v>
      </x:c>
      <x:c r="G569" s="9" t="str">
        <x:v>Adjudicated to Reviewer 1</x:v>
      </x:c>
      <x:c r="H569" s="9" t="str">
        <x:v>A complete wearable configuration was demonstrated, but participant count, comparator or protocol depth is limited.</x:v>
      </x:c>
      <x:c r="I569" s="9" t="str">
        <x:v>PDF pp. 2–9; Figs. 1–6; Supporting Figs. S1–S3 and Table S1 cited</x:v>
      </x:c>
    </x:row>
    <x:row r="570">
      <x:c r="A570" s="9" t="n">
        <x:v>72</x:v>
      </x:c>
      <x:c r="B570" s="9" t="str">
        <x:v>S087</x:v>
      </x:c>
      <x:c r="C570" s="9" t="str">
        <x:v>Ma et al. (2021)</x:v>
      </x:c>
      <x:c r="D570" s="9" t="str">
        <x:v>A 3D flexible piezoresistive sensor based on surface-filled graphene nanosheets conductive layer</x:v>
      </x:c>
      <x:c r="E570" s="9" t="str">
        <x:v>D1</x:v>
      </x:c>
      <x:c r="F570" s="9" t="str">
        <x:v>High concern</x:v>
      </x:c>
      <x:c r="G570" s="9" t="str">
        <x:v>Adjudicated to Reviewer 1</x:v>
      </x:c>
      <x:c r="H570" s="9" t="str">
        <x:v>Device sampling was not justified and wearable testing used one, two or an unspecified small number of participants.</x:v>
      </x:c>
      <x:c r="I570" s="9" t="str">
        <x:v>PDF pp. 2–7; Figs. 1–5; Supplementary Figs. S1–S7 cited</x:v>
      </x:c>
    </x:row>
    <x:row r="571">
      <x:c r="A571" s="9" t="n">
        <x:v>72</x:v>
      </x:c>
      <x:c r="B571" s="9" t="str">
        <x:v>S087</x:v>
      </x:c>
      <x:c r="C571" s="9" t="str">
        <x:v>Ma et al. (2021)</x:v>
      </x:c>
      <x:c r="D571" s="9" t="str">
        <x:v>A 3D flexible piezoresistive sensor based on surface-filled graphene nanosheets conductive layer</x:v>
      </x:c>
      <x:c r="E571" s="9" t="str">
        <x:v>D2</x:v>
      </x:c>
      <x:c r="F571" s="9" t="str">
        <x:v>Some concern</x:v>
      </x:c>
      <x:c r="G571" s="9" t="str">
        <x:v>Adjudicated to Reviewer 1</x:v>
      </x:c>
      <x:c r="H571" s="9" t="str">
        <x:v>One or more platform, nozzle, layer-height, infill or toolpath details are absent.</x:v>
      </x:c>
      <x:c r="I571" s="9" t="str">
        <x:v>PDF pp. 2–7; Figs. 1–5; Supplementary Figs. S1–S7 cited</x:v>
      </x:c>
    </x:row>
    <x:row r="572">
      <x:c r="A572" s="9" t="n">
        <x:v>72</x:v>
      </x:c>
      <x:c r="B572" s="9" t="str">
        <x:v>S087</x:v>
      </x:c>
      <x:c r="C572" s="9" t="str">
        <x:v>Ma et al. (2021)</x:v>
      </x:c>
      <x:c r="D572" s="9" t="str">
        <x:v>A 3D flexible piezoresistive sensor based on surface-filled graphene nanosheets conductive layer</x:v>
      </x:c>
      <x:c r="E572" s="9" t="str">
        <x:v>D3</x:v>
      </x:c>
      <x:c r="F572" s="9" t="str">
        <x:v>Low concern</x:v>
      </x:c>
      <x:c r="G572" s="9" t="str">
        <x:v>Initial agreement</x:v>
      </x:c>
      <x:c r="H572" s="9" t="str">
        <x:v>Controlled inputs and suitable reference instruments/procedures are reported.</x:v>
      </x:c>
      <x:c r="I572" s="9" t="str">
        <x:v>PDF pp. 2–7; Figs. 1–5; Supplementary Figs. S1–S7 cited</x:v>
      </x:c>
    </x:row>
    <x:row r="573">
      <x:c r="A573" s="9" t="n">
        <x:v>72</x:v>
      </x:c>
      <x:c r="B573" s="9" t="str">
        <x:v>S087</x:v>
      </x:c>
      <x:c r="C573" s="9" t="str">
        <x:v>Ma et al. (2021)</x:v>
      </x:c>
      <x:c r="D573" s="9" t="str">
        <x:v>A 3D flexible piezoresistive sensor based on surface-filled graphene nanosheets conductive layer</x:v>
      </x:c>
      <x:c r="E573" s="9" t="str">
        <x:v>D4</x:v>
      </x:c>
      <x:c r="F573" s="9" t="str">
        <x:v>Low concern</x:v>
      </x:c>
      <x:c r="G573" s="9" t="str">
        <x:v>Initial agreement</x:v>
      </x:c>
      <x:c r="H573" s="9" t="str">
        <x:v>Principal loading ranges, rates, holds or cycle conditions are stated.</x:v>
      </x:c>
      <x:c r="I573" s="9" t="str">
        <x:v>PDF pp. 2–7; Figs. 1–5; Supplementary Figs. S1–S7 cited</x:v>
      </x:c>
    </x:row>
    <x:row r="574">
      <x:c r="A574" s="9" t="n">
        <x:v>72</x:v>
      </x:c>
      <x:c r="B574" s="9" t="str">
        <x:v>S087</x:v>
      </x:c>
      <x:c r="C574" s="9" t="str">
        <x:v>Ma et al. (2021)</x:v>
      </x:c>
      <x:c r="D574" s="9" t="str">
        <x:v>A 3D flexible piezoresistive sensor based on surface-filled graphene nanosheets conductive layer</x:v>
      </x:c>
      <x:c r="E574" s="9" t="str">
        <x:v>D5</x:v>
      </x:c>
      <x:c r="F574" s="9" t="str">
        <x:v>Low concern</x:v>
      </x:c>
      <x:c r="G574" s="9" t="str">
        <x:v>Initial agreement</x:v>
      </x:c>
      <x:c r="H574" s="9" t="str">
        <x:v>At least one defined repeated-measurement or endurance protocol is reported.</x:v>
      </x:c>
      <x:c r="I574" s="9" t="str">
        <x:v>PDF pp. 2–7; Figs. 1–5; Supplementary Figs. S1–S7 cited</x:v>
      </x:c>
    </x:row>
    <x:row r="575">
      <x:c r="A575" s="9" t="n">
        <x:v>72</x:v>
      </x:c>
      <x:c r="B575" s="9" t="str">
        <x:v>S087</x:v>
      </x:c>
      <x:c r="C575" s="9" t="str">
        <x:v>Ma et al. (2021)</x:v>
      </x:c>
      <x:c r="D575" s="9" t="str">
        <x:v>A 3D flexible piezoresistive sensor based on surface-filled graphene nanosheets conductive layer</x:v>
      </x:c>
      <x:c r="E575" s="9" t="str">
        <x:v>D6</x:v>
      </x:c>
      <x:c r="F575" s="9" t="str">
        <x:v>High concern</x:v>
      </x:c>
      <x:c r="G575" s="9" t="str">
        <x:v>Initial agreement</x:v>
      </x:c>
      <x:c r="H575" s="9" t="str">
        <x:v>A same-condition comparison of at least three separately fabricated complete sensing units with device-level results or dispersion was not identified.</x:v>
      </x:c>
      <x:c r="I575" s="9" t="str">
        <x:v>PDF pp. 2–7; Figs. 1–5; Supplementary Figs. S1–S7 cited</x:v>
      </x:c>
    </x:row>
    <x:row r="576">
      <x:c r="A576" s="9" t="n">
        <x:v>72</x:v>
      </x:c>
      <x:c r="B576" s="9" t="str">
        <x:v>S087</x:v>
      </x:c>
      <x:c r="C576" s="9" t="str">
        <x:v>Ma et al. (2021)</x:v>
      </x:c>
      <x:c r="D576" s="9" t="str">
        <x:v>A 3D flexible piezoresistive sensor based on surface-filled graphene nanosheets conductive layer</x:v>
      </x:c>
      <x:c r="E576" s="9" t="str">
        <x:v>D7</x:v>
      </x:c>
      <x:c r="F576" s="9" t="str">
        <x:v>Some concern</x:v>
      </x:c>
      <x:c r="G576" s="9" t="str">
        <x:v>Initial agreement</x:v>
      </x:c>
      <x:c r="H576" s="9" t="str">
        <x:v>Principal outcomes are quantitative, but device-level uncertainty/dispersion or retention magnitude is incomplete.</x:v>
      </x:c>
      <x:c r="I576" s="9" t="str">
        <x:v>PDF pp. 2–7; Figs. 1–5; Supplementary Figs. S1–S7 cited</x:v>
      </x:c>
    </x:row>
    <x:row r="577">
      <x:c r="A577" s="9" t="n">
        <x:v>72</x:v>
      </x:c>
      <x:c r="B577" s="9" t="str">
        <x:v>S087</x:v>
      </x:c>
      <x:c r="C577" s="9" t="str">
        <x:v>Ma et al. (2021)</x:v>
      </x:c>
      <x:c r="D577" s="9" t="str">
        <x:v>A 3D flexible piezoresistive sensor based on surface-filled graphene nanosheets conductive layer</x:v>
      </x:c>
      <x:c r="E577" s="9" t="str">
        <x:v>D8</x:v>
      </x:c>
      <x:c r="F577" s="9" t="str">
        <x:v>Some concern</x:v>
      </x:c>
      <x:c r="G577" s="9" t="str">
        <x:v>Adjudicated to Reviewer 1</x:v>
      </x:c>
      <x:c r="H577" s="9" t="str">
        <x:v>A complete wearable configuration was demonstrated, but participant count, comparator or protocol depth is limited.</x:v>
      </x:c>
      <x:c r="I577" s="9" t="str">
        <x:v>PDF pp. 2–7; Figs. 1–5; Supplementary Figs. S1–S7 cited</x:v>
      </x:c>
    </x:row>
    <x:row r="578">
      <x:c r="A578" s="9" t="n">
        <x:v>73</x:v>
      </x:c>
      <x:c r="B578" s="9" t="str">
        <x:v>S088</x:v>
      </x:c>
      <x:c r="C578" s="9" t="str">
        <x:v>Cheng-Yu et al. (2021)</x:v>
      </x:c>
      <x:c r="D578" s="9" t="str">
        <x:v>An FBG-based smart wearable ring fabricated using FDM for monitoring body joint motion</x:v>
      </x:c>
      <x:c r="E578" s="9" t="str">
        <x:v>D1</x:v>
      </x:c>
      <x:c r="F578" s="9" t="str">
        <x:v>High concern</x:v>
      </x:c>
      <x:c r="G578" s="9" t="str">
        <x:v>Adjudicated to Reviewer 1</x:v>
      </x:c>
      <x:c r="H578" s="9" t="str">
        <x:v>Device sampling was not justified and wearable testing used one, two or an unspecified small number of participants.</x:v>
      </x:c>
      <x:c r="I578" s="9" t="str">
        <x:v>PDF pp. 4–12; Figs. 1–10; Table 1</x:v>
      </x:c>
    </x:row>
    <x:row r="579">
      <x:c r="A579" s="9" t="n">
        <x:v>73</x:v>
      </x:c>
      <x:c r="B579" s="9" t="str">
        <x:v>S088</x:v>
      </x:c>
      <x:c r="C579" s="9" t="str">
        <x:v>Cheng-Yu et al. (2021)</x:v>
      </x:c>
      <x:c r="D579" s="9" t="str">
        <x:v>An FBG-based smart wearable ring fabricated using FDM for monitoring body joint motion</x:v>
      </x:c>
      <x:c r="E579" s="9" t="str">
        <x:v>D2</x:v>
      </x:c>
      <x:c r="F579" s="9" t="str">
        <x:v>Some concern</x:v>
      </x:c>
      <x:c r="G579" s="9" t="str">
        <x:v>Initial agreement</x:v>
      </x:c>
      <x:c r="H579" s="9" t="str">
        <x:v>One or more platform, nozzle, layer-height, infill or toolpath details are absent.</x:v>
      </x:c>
      <x:c r="I579" s="9" t="str">
        <x:v>PDF pp. 4–12; Figs. 1–10; Table 1</x:v>
      </x:c>
    </x:row>
    <x:row r="580">
      <x:c r="A580" s="9" t="n">
        <x:v>73</x:v>
      </x:c>
      <x:c r="B580" s="9" t="str">
        <x:v>S088</x:v>
      </x:c>
      <x:c r="C580" s="9" t="str">
        <x:v>Cheng-Yu et al. (2021)</x:v>
      </x:c>
      <x:c r="D580" s="9" t="str">
        <x:v>An FBG-based smart wearable ring fabricated using FDM for monitoring body joint motion</x:v>
      </x:c>
      <x:c r="E580" s="9" t="str">
        <x:v>D3</x:v>
      </x:c>
      <x:c r="F580" s="9" t="str">
        <x:v>Some concern</x:v>
      </x:c>
      <x:c r="G580" s="9" t="str">
        <x:v>Initial agreement</x:v>
      </x:c>
      <x:c r="H580" s="9" t="str">
        <x:v>The application demonstration lacks an independent physiological comparator or independently measured joint angle.</x:v>
      </x:c>
      <x:c r="I580" s="9" t="str">
        <x:v>PDF pp. 4–12; Figs. 1–10; Table 1</x:v>
      </x:c>
    </x:row>
    <x:row r="581">
      <x:c r="A581" s="9" t="n">
        <x:v>73</x:v>
      </x:c>
      <x:c r="B581" s="9" t="str">
        <x:v>S088</x:v>
      </x:c>
      <x:c r="C581" s="9" t="str">
        <x:v>Cheng-Yu et al. (2021)</x:v>
      </x:c>
      <x:c r="D581" s="9" t="str">
        <x:v>An FBG-based smart wearable ring fabricated using FDM for monitoring body joint motion</x:v>
      </x:c>
      <x:c r="E581" s="9" t="str">
        <x:v>D4</x:v>
      </x:c>
      <x:c r="F581" s="9" t="str">
        <x:v>Low concern</x:v>
      </x:c>
      <x:c r="G581" s="9" t="str">
        <x:v>Adjudicated to Reviewer 1</x:v>
      </x:c>
      <x:c r="H581" s="9" t="str">
        <x:v>Principal loading ranges, rates, holds or cycle conditions are stated.</x:v>
      </x:c>
      <x:c r="I581" s="9" t="str">
        <x:v>PDF pp. 4–12; Figs. 1–10; Table 1</x:v>
      </x:c>
    </x:row>
    <x:row r="582">
      <x:c r="A582" s="9" t="n">
        <x:v>73</x:v>
      </x:c>
      <x:c r="B582" s="9" t="str">
        <x:v>S088</x:v>
      </x:c>
      <x:c r="C582" s="9" t="str">
        <x:v>Cheng-Yu et al. (2021)</x:v>
      </x:c>
      <x:c r="D582" s="9" t="str">
        <x:v>An FBG-based smart wearable ring fabricated using FDM for monitoring body joint motion</x:v>
      </x:c>
      <x:c r="E582" s="9" t="str">
        <x:v>D5</x:v>
      </x:c>
      <x:c r="F582" s="9" t="str">
        <x:v>Low concern</x:v>
      </x:c>
      <x:c r="G582" s="9" t="str">
        <x:v>Adjudicated to Reviewer 1</x:v>
      </x:c>
      <x:c r="H582" s="9" t="str">
        <x:v>At least one defined repeated-measurement or endurance protocol is reported.</x:v>
      </x:c>
      <x:c r="I582" s="9" t="str">
        <x:v>PDF pp. 4–12; Figs. 1–10; Table 1</x:v>
      </x:c>
    </x:row>
    <x:row r="583">
      <x:c r="A583" s="9" t="n">
        <x:v>73</x:v>
      </x:c>
      <x:c r="B583" s="9" t="str">
        <x:v>S088</x:v>
      </x:c>
      <x:c r="C583" s="9" t="str">
        <x:v>Cheng-Yu et al. (2021)</x:v>
      </x:c>
      <x:c r="D583" s="9" t="str">
        <x:v>An FBG-based smart wearable ring fabricated using FDM for monitoring body joint motion</x:v>
      </x:c>
      <x:c r="E583" s="9" t="str">
        <x:v>D6</x:v>
      </x:c>
      <x:c r="F583" s="9" t="str">
        <x:v>High concern</x:v>
      </x:c>
      <x:c r="G583" s="9" t="str">
        <x:v>Initial agreement</x:v>
      </x:c>
      <x:c r="H583" s="9" t="str">
        <x:v>A same-condition comparison of at least three separately fabricated complete sensing units with device-level results or dispersion was not identified.</x:v>
      </x:c>
      <x:c r="I583" s="9" t="str">
        <x:v>PDF pp. 4–12; Figs. 1–10; Table 1</x:v>
      </x:c>
    </x:row>
    <x:row r="584">
      <x:c r="A584" s="9" t="n">
        <x:v>73</x:v>
      </x:c>
      <x:c r="B584" s="9" t="str">
        <x:v>S088</x:v>
      </x:c>
      <x:c r="C584" s="9" t="str">
        <x:v>Cheng-Yu et al. (2021)</x:v>
      </x:c>
      <x:c r="D584" s="9" t="str">
        <x:v>An FBG-based smart wearable ring fabricated using FDM for monitoring body joint motion</x:v>
      </x:c>
      <x:c r="E584" s="9" t="str">
        <x:v>D7</x:v>
      </x:c>
      <x:c r="F584" s="9" t="str">
        <x:v>Low concern</x:v>
      </x:c>
      <x:c r="G584" s="9" t="str">
        <x:v>Adjudicated to Reviewer 1</x:v>
      </x:c>
      <x:c r="H584" s="9" t="str">
        <x:v>Principal response magnitudes, ranges and stability/failure behavior are quantitatively reported.</x:v>
      </x:c>
      <x:c r="I584" s="9" t="str">
        <x:v>PDF pp. 4–12; Figs. 1–10; Table 1</x:v>
      </x:c>
    </x:row>
    <x:row r="585">
      <x:c r="A585" s="9" t="n">
        <x:v>73</x:v>
      </x:c>
      <x:c r="B585" s="9" t="str">
        <x:v>S088</x:v>
      </x:c>
      <x:c r="C585" s="9" t="str">
        <x:v>Cheng-Yu et al. (2021)</x:v>
      </x:c>
      <x:c r="D585" s="9" t="str">
        <x:v>An FBG-based smart wearable ring fabricated using FDM for monitoring body joint motion</x:v>
      </x:c>
      <x:c r="E585" s="9" t="str">
        <x:v>D8</x:v>
      </x:c>
      <x:c r="F585" s="9" t="str">
        <x:v>High concern</x:v>
      </x:c>
      <x:c r="G585" s="9" t="str">
        <x:v>Adjudicated to Reviewer 1</x:v>
      </x:c>
      <x:c r="H585" s="9" t="str">
        <x:v>Wearable evidence is restricted to one participant and lacks broader validation.</x:v>
      </x:c>
      <x:c r="I585" s="9" t="str">
        <x:v>PDF pp. 4–12; Figs. 1–10; Table 1</x:v>
      </x:c>
    </x:row>
    <x:row r="586">
      <x:c r="A586" s="9" t="n">
        <x:v>74</x:v>
      </x:c>
      <x:c r="B586" s="9" t="str">
        <x:v>S089</x:v>
      </x:c>
      <x:c r="C586" s="9" t="str">
        <x:v>Xiang et al. (2020)</x:v>
      </x:c>
      <x:c r="D586" s="9" t="str">
        <x:v>3D printed high-performance flexible strain sensors based on carbon nanotube and graphene nanoplatelet filled polymer composites</x:v>
      </x:c>
      <x:c r="E586" s="9" t="str">
        <x:v>D1</x:v>
      </x:c>
      <x:c r="F586" s="9" t="str">
        <x:v>High concern</x:v>
      </x:c>
      <x:c r="G586" s="9" t="str">
        <x:v>Adjudicated to Reviewer 1</x:v>
      </x:c>
      <x:c r="H586" s="9" t="str">
        <x:v>Device sampling was not justified and wearable testing used one, two or an unspecified small number of participants.</x:v>
      </x:c>
      <x:c r="I586" s="9" t="str">
        <x:v>PDF pp. 10–35 of available accepted manuscript; Figs. 1–10; Tables 1–2; Supplementary Tables S1–S2 cited</x:v>
      </x:c>
    </x:row>
    <x:row r="587">
      <x:c r="A587" s="9" t="n">
        <x:v>74</x:v>
      </x:c>
      <x:c r="B587" s="9" t="str">
        <x:v>S089</x:v>
      </x:c>
      <x:c r="C587" s="9" t="str">
        <x:v>Xiang et al. (2020)</x:v>
      </x:c>
      <x:c r="D587" s="9" t="str">
        <x:v>3D printed high-performance flexible strain sensors based on carbon nanotube and graphene nanoplatelet filled polymer composites</x:v>
      </x:c>
      <x:c r="E587" s="9" t="str">
        <x:v>D2</x:v>
      </x:c>
      <x:c r="F587" s="9" t="str">
        <x:v>Low concern</x:v>
      </x:c>
      <x:c r="G587" s="9" t="str">
        <x:v>Initial agreement</x:v>
      </x:c>
      <x:c r="H587" s="9" t="str">
        <x:v>Application-relevant fabrication variables and settings are sufficiently controlled and reported.</x:v>
      </x:c>
      <x:c r="I587" s="9" t="str">
        <x:v>PDF pp. 10–35 of available accepted manuscript; Figs. 1–10; Tables 1–2; Supplementary Tables S1–S2 cited</x:v>
      </x:c>
    </x:row>
    <x:row r="588">
      <x:c r="A588" s="9" t="n">
        <x:v>74</x:v>
      </x:c>
      <x:c r="B588" s="9" t="str">
        <x:v>S089</x:v>
      </x:c>
      <x:c r="C588" s="9" t="str">
        <x:v>Xiang et al. (2020)</x:v>
      </x:c>
      <x:c r="D588" s="9" t="str">
        <x:v>3D printed high-performance flexible strain sensors based on carbon nanotube and graphene nanoplatelet filled polymer composites</x:v>
      </x:c>
      <x:c r="E588" s="9" t="str">
        <x:v>D3</x:v>
      </x:c>
      <x:c r="F588" s="9" t="str">
        <x:v>Low concern</x:v>
      </x:c>
      <x:c r="G588" s="9" t="str">
        <x:v>Initial agreement</x:v>
      </x:c>
      <x:c r="H588" s="9" t="str">
        <x:v>Controlled inputs and suitable reference instruments/procedures are reported.</x:v>
      </x:c>
      <x:c r="I588" s="9" t="str">
        <x:v>PDF pp. 10–35 of available accepted manuscript; Figs. 1–10; Tables 1–2; Supplementary Tables S1–S2 cited</x:v>
      </x:c>
    </x:row>
    <x:row r="589">
      <x:c r="A589" s="9" t="n">
        <x:v>74</x:v>
      </x:c>
      <x:c r="B589" s="9" t="str">
        <x:v>S089</x:v>
      </x:c>
      <x:c r="C589" s="9" t="str">
        <x:v>Xiang et al. (2020)</x:v>
      </x:c>
      <x:c r="D589" s="9" t="str">
        <x:v>3D printed high-performance flexible strain sensors based on carbon nanotube and graphene nanoplatelet filled polymer composites</x:v>
      </x:c>
      <x:c r="E589" s="9" t="str">
        <x:v>D4</x:v>
      </x:c>
      <x:c r="F589" s="9" t="str">
        <x:v>Low concern</x:v>
      </x:c>
      <x:c r="G589" s="9" t="str">
        <x:v>Initial agreement</x:v>
      </x:c>
      <x:c r="H589" s="9" t="str">
        <x:v>Principal loading ranges, rates, holds or cycle conditions are stated.</x:v>
      </x:c>
      <x:c r="I589" s="9" t="str">
        <x:v>PDF pp. 10–35 of available accepted manuscript; Figs. 1–10; Tables 1–2; Supplementary Tables S1–S2 cited</x:v>
      </x:c>
    </x:row>
    <x:row r="590">
      <x:c r="A590" s="9" t="n">
        <x:v>74</x:v>
      </x:c>
      <x:c r="B590" s="9" t="str">
        <x:v>S089</x:v>
      </x:c>
      <x:c r="C590" s="9" t="str">
        <x:v>Xiang et al. (2020)</x:v>
      </x:c>
      <x:c r="D590" s="9" t="str">
        <x:v>3D printed high-performance flexible strain sensors based on carbon nanotube and graphene nanoplatelet filled polymer composites</x:v>
      </x:c>
      <x:c r="E590" s="9" t="str">
        <x:v>D5</x:v>
      </x:c>
      <x:c r="F590" s="9" t="str">
        <x:v>Low concern</x:v>
      </x:c>
      <x:c r="G590" s="9" t="str">
        <x:v>Initial agreement</x:v>
      </x:c>
      <x:c r="H590" s="9" t="str">
        <x:v>At least one defined repeated-measurement or endurance protocol is reported.</x:v>
      </x:c>
      <x:c r="I590" s="9" t="str">
        <x:v>PDF pp. 10–35 of available accepted manuscript; Figs. 1–10; Tables 1–2; Supplementary Tables S1–S2 cited</x:v>
      </x:c>
    </x:row>
    <x:row r="591">
      <x:c r="A591" s="9" t="n">
        <x:v>74</x:v>
      </x:c>
      <x:c r="B591" s="9" t="str">
        <x:v>S089</x:v>
      </x:c>
      <x:c r="C591" s="9" t="str">
        <x:v>Xiang et al. (2020)</x:v>
      </x:c>
      <x:c r="D591" s="9" t="str">
        <x:v>3D printed high-performance flexible strain sensors based on carbon nanotube and graphene nanoplatelet filled polymer composites</x:v>
      </x:c>
      <x:c r="E591" s="9" t="str">
        <x:v>D6</x:v>
      </x:c>
      <x:c r="F591" s="9" t="str">
        <x:v>High concern</x:v>
      </x:c>
      <x:c r="G591" s="9" t="str">
        <x:v>Initial agreement</x:v>
      </x:c>
      <x:c r="H591" s="9" t="str">
        <x:v>A same-condition comparison of at least three separately fabricated complete sensing units with device-level results or dispersion was not identified.</x:v>
      </x:c>
      <x:c r="I591" s="9" t="str">
        <x:v>PDF pp. 10–35 of available accepted manuscript; Figs. 1–10; Tables 1–2; Supplementary Tables S1–S2 cited</x:v>
      </x:c>
    </x:row>
    <x:row r="592">
      <x:c r="A592" s="9" t="n">
        <x:v>74</x:v>
      </x:c>
      <x:c r="B592" s="9" t="str">
        <x:v>S089</x:v>
      </x:c>
      <x:c r="C592" s="9" t="str">
        <x:v>Xiang et al. (2020)</x:v>
      </x:c>
      <x:c r="D592" s="9" t="str">
        <x:v>3D printed high-performance flexible strain sensors based on carbon nanotube and graphene nanoplatelet filled polymer composites</x:v>
      </x:c>
      <x:c r="E592" s="9" t="str">
        <x:v>D7</x:v>
      </x:c>
      <x:c r="F592" s="9" t="str">
        <x:v>Some concern</x:v>
      </x:c>
      <x:c r="G592" s="9" t="str">
        <x:v>Initial agreement</x:v>
      </x:c>
      <x:c r="H592" s="9" t="str">
        <x:v>Principal outcomes are quantitative, but device-level uncertainty/dispersion or retention magnitude is incomplete.</x:v>
      </x:c>
      <x:c r="I592" s="9" t="str">
        <x:v>PDF pp. 10–35 of available accepted manuscript; Figs. 1–10; Tables 1–2; Supplementary Tables S1–S2 cited</x:v>
      </x:c>
    </x:row>
    <x:row r="593">
      <x:c r="A593" s="9" t="n">
        <x:v>74</x:v>
      </x:c>
      <x:c r="B593" s="9" t="str">
        <x:v>S089</x:v>
      </x:c>
      <x:c r="C593" s="9" t="str">
        <x:v>Xiang et al. (2020)</x:v>
      </x:c>
      <x:c r="D593" s="9" t="str">
        <x:v>3D printed high-performance flexible strain sensors based on carbon nanotube and graphene nanoplatelet filled polymer composites</x:v>
      </x:c>
      <x:c r="E593" s="9" t="str">
        <x:v>D8</x:v>
      </x:c>
      <x:c r="F593" s="9" t="str">
        <x:v>Some concern</x:v>
      </x:c>
      <x:c r="G593" s="9" t="str">
        <x:v>Adjudicated to Reviewer 1</x:v>
      </x:c>
      <x:c r="H593" s="9" t="str">
        <x:v>A complete wearable configuration was demonstrated, but participant count, comparator or protocol depth is limited.</x:v>
      </x:c>
      <x:c r="I593" s="9" t="str">
        <x:v>PDF pp. 10–35 of available accepted manuscript; Figs. 1–10; Tables 1–2; Supplementary Tables S1–S2 cited</x:v>
      </x:c>
    </x:row>
    <x:row r="594">
      <x:c r="A594" s="9" t="n">
        <x:v>75</x:v>
      </x:c>
      <x:c r="B594" s="9" t="str">
        <x:v>S090</x:v>
      </x:c>
      <x:c r="C594" s="9" t="str">
        <x:v>Fan et al. (2019)</x:v>
      </x:c>
      <x:c r="D594" s="9" t="str">
        <x:v>3D printed high transconductance organic electrochemical transistors on flexible substrates</x:v>
      </x:c>
      <x:c r="E594" s="9" t="str">
        <x:v>D1</x:v>
      </x:c>
      <x:c r="F594" s="9" t="str">
        <x:v>High concern</x:v>
      </x:c>
      <x:c r="G594" s="9" t="str">
        <x:v>Adjudicated to Reviewer 1</x:v>
      </x:c>
      <x:c r="H594" s="9" t="str">
        <x:v>Device counts are reported for several electrical parameters, but sampling and device selection were not justified.</x:v>
      </x:c>
      <x:c r="I594" s="9" t="str">
        <x:v>PDF pp. 2–7; Figs. 1, 3–4; Tables 1–2</x:v>
      </x:c>
    </x:row>
    <x:row r="595">
      <x:c r="A595" s="9" t="n">
        <x:v>75</x:v>
      </x:c>
      <x:c r="B595" s="9" t="str">
        <x:v>S090</x:v>
      </x:c>
      <x:c r="C595" s="9" t="str">
        <x:v>Fan et al. (2019)</x:v>
      </x:c>
      <x:c r="D595" s="9" t="str">
        <x:v>3D printed high transconductance organic electrochemical transistors on flexible substrates</x:v>
      </x:c>
      <x:c r="E595" s="9" t="str">
        <x:v>D2</x:v>
      </x:c>
      <x:c r="F595" s="9" t="str">
        <x:v>Some concern</x:v>
      </x:c>
      <x:c r="G595" s="9" t="str">
        <x:v>Adjudicated to Reviewer 1</x:v>
      </x:c>
      <x:c r="H595" s="9" t="str">
        <x:v>The FDM platform and material are identified, but several FDM settings required to reproduce the soft-PLA structure are absent.</x:v>
      </x:c>
      <x:c r="I595" s="9" t="str">
        <x:v>PDF pp. 2–7; Figs. 1, 3–4; Tables 1–2</x:v>
      </x:c>
    </x:row>
    <x:row r="596">
      <x:c r="A596" s="9" t="n">
        <x:v>75</x:v>
      </x:c>
      <x:c r="B596" s="9" t="str">
        <x:v>S090</x:v>
      </x:c>
      <x:c r="C596" s="9" t="str">
        <x:v>Fan et al. (2019)</x:v>
      </x:c>
      <x:c r="D596" s="9" t="str">
        <x:v>3D printed high transconductance organic electrochemical transistors on flexible substrates</x:v>
      </x:c>
      <x:c r="E596" s="9" t="str">
        <x:v>D3</x:v>
      </x:c>
      <x:c r="F596" s="9" t="str">
        <x:v>Low concern</x:v>
      </x:c>
      <x:c r="G596" s="9" t="str">
        <x:v>Adjudicated to Reviewer 1</x:v>
      </x:c>
      <x:c r="H596" s="9" t="str">
        <x:v>Controlled electrical inputs and independent pH measurement are reported with appropriate instrumentation.</x:v>
      </x:c>
      <x:c r="I596" s="9" t="str">
        <x:v>PDF pp. 2–7; Figs. 1, 3–4; Tables 1–2</x:v>
      </x:c>
    </x:row>
    <x:row r="597">
      <x:c r="A597" s="9" t="n">
        <x:v>75</x:v>
      </x:c>
      <x:c r="B597" s="9" t="str">
        <x:v>S090</x:v>
      </x:c>
      <x:c r="C597" s="9" t="str">
        <x:v>Fan et al. (2019)</x:v>
      </x:c>
      <x:c r="D597" s="9" t="str">
        <x:v>3D printed high transconductance organic electrochemical transistors on flexible substrates</x:v>
      </x:c>
      <x:c r="E597" s="9" t="str">
        <x:v>D4</x:v>
      </x:c>
      <x:c r="F597" s="9" t="str">
        <x:v>Low concern</x:v>
      </x:c>
      <x:c r="G597" s="9" t="str">
        <x:v>Initial agreement</x:v>
      </x:c>
      <x:c r="H597" s="9" t="str">
        <x:v>Electrical bias, electrolyte concentrations and pH values are stated.</x:v>
      </x:c>
      <x:c r="I597" s="9" t="str">
        <x:v>PDF pp. 2–7; Figs. 1, 3–4; Tables 1–2</x:v>
      </x:c>
    </x:row>
    <x:row r="598">
      <x:c r="A598" s="9" t="n">
        <x:v>75</x:v>
      </x:c>
      <x:c r="B598" s="9" t="str">
        <x:v>S090</x:v>
      </x:c>
      <x:c r="C598" s="9" t="str">
        <x:v>Fan et al. (2019)</x:v>
      </x:c>
      <x:c r="D598" s="9" t="str">
        <x:v>3D printed high transconductance organic electrochemical transistors on flexible substrates</x:v>
      </x:c>
      <x:c r="E598" s="9" t="str">
        <x:v>D5</x:v>
      </x:c>
      <x:c r="F598" s="9" t="str">
        <x:v>High concern</x:v>
      </x:c>
      <x:c r="G598" s="9" t="str">
        <x:v>Initial agreement</x:v>
      </x:c>
      <x:c r="H598" s="9" t="str">
        <x:v>No defined same-device repeat or endurance protocol meeting the locked rule is reported.</x:v>
      </x:c>
      <x:c r="I598" s="9" t="str">
        <x:v>PDF pp. 2–7; Figs. 1, 3–4; Tables 1–2</x:v>
      </x:c>
    </x:row>
    <x:row r="599">
      <x:c r="A599" s="9" t="n">
        <x:v>75</x:v>
      </x:c>
      <x:c r="B599" s="9" t="str">
        <x:v>S090</x:v>
      </x:c>
      <x:c r="C599" s="9" t="str">
        <x:v>Fan et al. (2019)</x:v>
      </x:c>
      <x:c r="D599" s="9" t="str">
        <x:v>3D printed high transconductance organic electrochemical transistors on flexible substrates</x:v>
      </x:c>
      <x:c r="E599" s="9" t="str">
        <x:v>D6</x:v>
      </x:c>
      <x:c r="F599" s="9" t="str">
        <x:v>Low concern</x:v>
      </x:c>
      <x:c r="G599" s="9" t="str">
        <x:v>Initial agreement</x:v>
      </x:c>
      <x:c r="H599" s="9" t="str">
        <x:v>Parameters for multiple devices are summarized with n values and dispersion.</x:v>
      </x:c>
      <x:c r="I599" s="9" t="str">
        <x:v>PDF pp. 2–7; Figs. 1, 3–4; Tables 1–2</x:v>
      </x:c>
    </x:row>
    <x:row r="600">
      <x:c r="A600" s="9" t="n">
        <x:v>75</x:v>
      </x:c>
      <x:c r="B600" s="9" t="str">
        <x:v>S090</x:v>
      </x:c>
      <x:c r="C600" s="9" t="str">
        <x:v>Fan et al. (2019)</x:v>
      </x:c>
      <x:c r="D600" s="9" t="str">
        <x:v>3D printed high transconductance organic electrochemical transistors on flexible substrates</x:v>
      </x:c>
      <x:c r="E600" s="9" t="str">
        <x:v>D7</x:v>
      </x:c>
      <x:c r="F600" s="9" t="str">
        <x:v>Some concern</x:v>
      </x:c>
      <x:c r="G600" s="9" t="str">
        <x:v>Initial agreement</x:v>
      </x:c>
      <x:c r="H600" s="9" t="str">
        <x:v>Principal device and sensing metrics are quantitative, but sensing is described as preliminary and repeat/device counts are incomplete.</x:v>
      </x:c>
      <x:c r="I600" s="9" t="str">
        <x:v>PDF pp. 2–7; Figs. 1, 3–4; Tables 1–2</x:v>
      </x:c>
    </x:row>
    <x:row r="601">
      <x:c r="A601" s="9" t="n">
        <x:v>75</x:v>
      </x:c>
      <x:c r="B601" s="9" t="str">
        <x:v>S090</x:v>
      </x:c>
      <x:c r="C601" s="9" t="str">
        <x:v>Fan et al. (2019)</x:v>
      </x:c>
      <x:c r="D601" s="9" t="str">
        <x:v>3D printed high transconductance organic electrochemical transistors on flexible substrates</x:v>
      </x:c>
      <x:c r="E601" s="9" t="str">
        <x:v>D8</x:v>
      </x:c>
      <x:c r="F601" s="9" t="str">
        <x:v>High concern</x:v>
      </x:c>
      <x:c r="G601" s="9" t="str">
        <x:v>Initial agreement</x:v>
      </x:c>
      <x:c r="H601" s="9" t="str">
        <x:v>Wearable use is proposed and flexibility is shown, but no on-body or application-level validation is reported.</x:v>
      </x:c>
      <x:c r="I601" s="9" t="str">
        <x:v>PDF pp. 2–7; Figs. 1, 3–4; Tables 1–2</x:v>
      </x:c>
    </x:row>
    <x:row r="602">
      <x:c r="A602" s="9" t="n">
        <x:v>76</x:v>
      </x:c>
      <x:c r="B602" s="9" t="str">
        <x:v>S091</x:v>
      </x:c>
      <x:c r="C602" s="9" t="str">
        <x:v>Kennedy et al. (2017)</x:v>
      </x:c>
      <x:c r="D602" s="9" t="str">
        <x:v>3D-printed poly(vinylidene fluoride)/carbon nanotube composites as a tunable, low-cost chemical vapour sensing platform</x:v>
      </x:c>
      <x:c r="E602" s="9" t="str">
        <x:v>D1</x:v>
      </x:c>
      <x:c r="F602" s="9" t="str">
        <x:v>Some concern</x:v>
      </x:c>
      <x:c r="G602" s="9" t="str">
        <x:v>Initial agreement</x:v>
      </x:c>
      <x:c r="H602" s="9" t="str">
        <x:v>Three specimens per loading were used for baseline resistance, but VOC-test specimen selection and count are not reported.</x:v>
      </x:c>
      <x:c r="I602" s="9" t="str">
        <x:v>PDF pp. 1–8; Figs. 2, 6–11; Table 1; ESI Table S1 and Fig. S5 cited</x:v>
      </x:c>
    </x:row>
    <x:row r="603">
      <x:c r="A603" s="9" t="n">
        <x:v>76</x:v>
      </x:c>
      <x:c r="B603" s="9" t="str">
        <x:v>S091</x:v>
      </x:c>
      <x:c r="C603" s="9" t="str">
        <x:v>Kennedy et al. (2017)</x:v>
      </x:c>
      <x:c r="D603" s="9" t="str">
        <x:v>3D-printed poly(vinylidene fluoride)/carbon nanotube composites as a tunable, low-cost chemical vapour sensing platform</x:v>
      </x:c>
      <x:c r="E603" s="9" t="str">
        <x:v>D2</x:v>
      </x:c>
      <x:c r="F603" s="9" t="str">
        <x:v>Low concern</x:v>
      </x:c>
      <x:c r="G603" s="9" t="str">
        <x:v>Adjudicated to Reviewer 1</x:v>
      </x:c>
      <x:c r="H603" s="9" t="str">
        <x:v>Material formulation and application-relevant FDM settings are sufficiently controlled and reported.</x:v>
      </x:c>
      <x:c r="I603" s="9" t="str">
        <x:v>PDF pp. 1–8; Figs. 2, 6–11; Table 1; ESI Table S1 and Fig. S5 cited</x:v>
      </x:c>
    </x:row>
    <x:row r="604">
      <x:c r="A604" s="9" t="n">
        <x:v>76</x:v>
      </x:c>
      <x:c r="B604" s="9" t="str">
        <x:v>S091</x:v>
      </x:c>
      <x:c r="C604" s="9" t="str">
        <x:v>Kennedy et al. (2017)</x:v>
      </x:c>
      <x:c r="D604" s="9" t="str">
        <x:v>3D-printed poly(vinylidene fluoride)/carbon nanotube composites as a tunable, low-cost chemical vapour sensing platform</x:v>
      </x:c>
      <x:c r="E604" s="9" t="str">
        <x:v>D3</x:v>
      </x:c>
      <x:c r="F604" s="9" t="str">
        <x:v>Low concern</x:v>
      </x:c>
      <x:c r="G604" s="9" t="str">
        <x:v>Adjudicated to Reviewer 1</x:v>
      </x:c>
      <x:c r="H604" s="9" t="str">
        <x:v>A stated vapour chamber and voltage-divider acquisition circuit link exposure to resistance response.</x:v>
      </x:c>
      <x:c r="I604" s="9" t="str">
        <x:v>PDF pp. 1–8; Figs. 2, 6–11; Table 1; ESI Table S1 and Fig. S5 cited</x:v>
      </x:c>
    </x:row>
    <x:row r="605">
      <x:c r="A605" s="9" t="n">
        <x:v>76</x:v>
      </x:c>
      <x:c r="B605" s="9" t="str">
        <x:v>S091</x:v>
      </x:c>
      <x:c r="C605" s="9" t="str">
        <x:v>Kennedy et al. (2017)</x:v>
      </x:c>
      <x:c r="D605" s="9" t="str">
        <x:v>3D-printed poly(vinylidene fluoride)/carbon nanotube composites as a tunable, low-cost chemical vapour sensing platform</x:v>
      </x:c>
      <x:c r="E605" s="9" t="str">
        <x:v>D4</x:v>
      </x:c>
      <x:c r="F605" s="9" t="str">
        <x:v>Low concern</x:v>
      </x:c>
      <x:c r="G605" s="9" t="str">
        <x:v>Initial agreement</x:v>
      </x:c>
      <x:c r="H605" s="9" t="str">
        <x:v>VOC exposure, vacuum recovery and cycle timing are reported.</x:v>
      </x:c>
      <x:c r="I605" s="9" t="str">
        <x:v>PDF pp. 1–8; Figs. 2, 6–11; Table 1; ESI Table S1 and Fig. S5 cited</x:v>
      </x:c>
    </x:row>
    <x:row r="606">
      <x:c r="A606" s="9" t="n">
        <x:v>76</x:v>
      </x:c>
      <x:c r="B606" s="9" t="str">
        <x:v>S091</x:v>
      </x:c>
      <x:c r="C606" s="9" t="str">
        <x:v>Kennedy et al. (2017)</x:v>
      </x:c>
      <x:c r="D606" s="9" t="str">
        <x:v>3D-printed poly(vinylidene fluoride)/carbon nanotube composites as a tunable, low-cost chemical vapour sensing platform</x:v>
      </x:c>
      <x:c r="E606" s="9" t="str">
        <x:v>D5</x:v>
      </x:c>
      <x:c r="F606" s="9" t="str">
        <x:v>Low concern</x:v>
      </x:c>
      <x:c r="G606" s="9" t="str">
        <x:v>Initial agreement</x:v>
      </x:c>
      <x:c r="H606" s="9" t="str">
        <x:v>Four-cycle tests and a 25-cycle endurance sequence are reported.</x:v>
      </x:c>
      <x:c r="I606" s="9" t="str">
        <x:v>PDF pp. 1–8; Figs. 2, 6–11; Table 1; ESI Table S1 and Fig. S5 cited</x:v>
      </x:c>
    </x:row>
    <x:row r="607">
      <x:c r="A607" s="9" t="n">
        <x:v>76</x:v>
      </x:c>
      <x:c r="B607" s="9" t="str">
        <x:v>S091</x:v>
      </x:c>
      <x:c r="C607" s="9" t="str">
        <x:v>Kennedy et al. (2017)</x:v>
      </x:c>
      <x:c r="D607" s="9" t="str">
        <x:v>3D-printed poly(vinylidene fluoride)/carbon nanotube composites as a tunable, low-cost chemical vapour sensing platform</x:v>
      </x:c>
      <x:c r="E607" s="9" t="str">
        <x:v>D6</x:v>
      </x:c>
      <x:c r="F607" s="9" t="str">
        <x:v>Some concern</x:v>
      </x:c>
      <x:c r="G607" s="9" t="str">
        <x:v>Adjudicated to Reviewer 1</x:v>
      </x:c>
      <x:c r="H607" s="9" t="str">
        <x:v>Between-device dispersion is available for baseline resistance, but not for VOC response or retention.</x:v>
      </x:c>
      <x:c r="I607" s="9" t="str">
        <x:v>PDF pp. 1–8; Figs. 2, 6–11; Table 1; ESI Table S1 and Fig. S5 cited</x:v>
      </x:c>
    </x:row>
    <x:row r="608">
      <x:c r="A608" s="9" t="n">
        <x:v>76</x:v>
      </x:c>
      <x:c r="B608" s="9" t="str">
        <x:v>S091</x:v>
      </x:c>
      <x:c r="C608" s="9" t="str">
        <x:v>Kennedy et al. (2017)</x:v>
      </x:c>
      <x:c r="D608" s="9" t="str">
        <x:v>3D-printed poly(vinylidene fluoride)/carbon nanotube composites as a tunable, low-cost chemical vapour sensing platform</x:v>
      </x:c>
      <x:c r="E608" s="9" t="str">
        <x:v>D7</x:v>
      </x:c>
      <x:c r="F608" s="9" t="str">
        <x:v>Some concern</x:v>
      </x:c>
      <x:c r="G608" s="9" t="str">
        <x:v>Initial agreement</x:v>
      </x:c>
      <x:c r="H608" s="9" t="str">
        <x:v>Principal response magnitudes are quantitative; the 25-cycle retention result is qualitative in the main article and relies on cited ESI for the trace.</x:v>
      </x:c>
      <x:c r="I608" s="9" t="str">
        <x:v>PDF pp. 1–8; Figs. 2, 6–11; Table 1; ESI Table S1 and Fig. S5 cited</x:v>
      </x:c>
    </x:row>
    <x:row r="609">
      <x:c r="A609" s="10" t="n">
        <x:v>76</x:v>
      </x:c>
      <x:c r="B609" s="10" t="str">
        <x:v>S091</x:v>
      </x:c>
      <x:c r="C609" s="10" t="str">
        <x:v>Kennedy et al. (2017)</x:v>
      </x:c>
      <x:c r="D609" s="10" t="str">
        <x:v>3D-printed poly(vinylidene fluoride)/carbon nanotube composites as a tunable, low-cost chemical vapour sensing platform</x:v>
      </x:c>
      <x:c r="E609" s="10" t="str">
        <x:v>D8</x:v>
      </x:c>
      <x:c r="F609" s="10" t="str">
        <x:v>High concern</x:v>
      </x:c>
      <x:c r="G609" s="10" t="str">
        <x:v>Initial agreement</x:v>
      </x:c>
      <x:c r="H609" s="10" t="str">
        <x:v>Wearable form factors are proposed, but no on-body or integrated wearable experiment is reported.</x:v>
      </x:c>
      <x:c r="I609" s="10" t="str">
        <x:v>PDF pp. 1–8; Figs. 2, 6–11; Table 1; ESI Table S1 and Fig. S5 cited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" hidden="0" customWidth="1"/>
    <x:col min="2" max="2" width="12" hidden="0" customWidth="1"/>
    <x:col min="3" max="3" width="14" hidden="0" customWidth="1"/>
    <x:col min="4" max="4" width="12" hidden="0" customWidth="1"/>
    <x:col min="5" max="5" width="16" hidden="0" customWidth="1"/>
    <x:col min="6" max="6" width="12" hidden="0" customWidth="1"/>
    <x:col min="7" max="7" width="14" hidden="0" customWidth="1"/>
    <x:col min="8" max="8" width="14" hidden="0" customWidth="1"/>
    <x:col min="9" max="9" width="17" hidden="0" customWidth="1"/>
  </x:cols>
  <x:sheetData>
    <x:row r="1" ht="34" customHeight="1">
      <x:c r="A1" s="7" t="str">
        <x:v>Domain</x:v>
      </x:c>
      <x:c r="B1" s="7" t="str">
        <x:v>Low count</x:v>
      </x:c>
      <x:c r="C1" s="7" t="str">
        <x:v>Low proportion</x:v>
      </x:c>
      <x:c r="D1" s="7" t="str">
        <x:v>Some count</x:v>
      </x:c>
      <x:c r="E1" s="7" t="str">
        <x:v>Some proportion</x:v>
      </x:c>
      <x:c r="F1" s="7" t="str">
        <x:v>High count</x:v>
      </x:c>
      <x:c r="G1" s="7" t="str">
        <x:v>High proportion</x:v>
      </x:c>
      <x:c r="H1" s="7" t="str">
        <x:v>Unclear count</x:v>
      </x:c>
      <x:c r="I1" s="7" t="str">
        <x:v>Unclear proportion</x:v>
      </x:c>
    </x:row>
    <x:row r="2">
      <x:c r="A2" s="8" t="str">
        <x:v>D1</x:v>
      </x:c>
      <x:c r="B2" s="8" t="n">
        <x:v>3</x:v>
      </x:c>
      <x:c r="C2" s="11" t="n">
        <x:v>0.039473684210526314</x:v>
      </x:c>
      <x:c r="D2" s="8" t="n">
        <x:v>41</x:v>
      </x:c>
      <x:c r="E2" s="11" t="n">
        <x:v>0.5394736842105263</x:v>
      </x:c>
      <x:c r="F2" s="8" t="n">
        <x:v>32</x:v>
      </x:c>
      <x:c r="G2" s="11" t="n">
        <x:v>0.42105263157894735</x:v>
      </x:c>
      <x:c r="H2" s="8" t="n">
        <x:v>0</x:v>
      </x:c>
      <x:c r="I2" s="11" t="n">
        <x:v>0</x:v>
      </x:c>
    </x:row>
    <x:row r="3">
      <x:c r="A3" s="9" t="str">
        <x:v>D2</x:v>
      </x:c>
      <x:c r="B3" s="9" t="n">
        <x:v>14</x:v>
      </x:c>
      <x:c r="C3" s="12" t="n">
        <x:v>0.18421052631578946</x:v>
      </x:c>
      <x:c r="D3" s="9" t="n">
        <x:v>57</x:v>
      </x:c>
      <x:c r="E3" s="12" t="n">
        <x:v>0.75</x:v>
      </x:c>
      <x:c r="F3" s="9" t="n">
        <x:v>5</x:v>
      </x:c>
      <x:c r="G3" s="12" t="n">
        <x:v>0.06578947368421052</x:v>
      </x:c>
      <x:c r="H3" s="9" t="n">
        <x:v>0</x:v>
      </x:c>
      <x:c r="I3" s="12" t="n">
        <x:v>0</x:v>
      </x:c>
    </x:row>
    <x:row r="4">
      <x:c r="A4" s="9" t="str">
        <x:v>D3</x:v>
      </x:c>
      <x:c r="B4" s="9" t="n">
        <x:v>68</x:v>
      </x:c>
      <x:c r="C4" s="12" t="n">
        <x:v>0.8947368421052632</x:v>
      </x:c>
      <x:c r="D4" s="9" t="n">
        <x:v>8</x:v>
      </x:c>
      <x:c r="E4" s="12" t="n">
        <x:v>0.10526315789473684</x:v>
      </x:c>
      <x:c r="F4" s="9" t="n">
        <x:v>0</x:v>
      </x:c>
      <x:c r="G4" s="12" t="n">
        <x:v>0</x:v>
      </x:c>
      <x:c r="H4" s="9" t="n">
        <x:v>0</x:v>
      </x:c>
      <x:c r="I4" s="12" t="n">
        <x:v>0</x:v>
      </x:c>
    </x:row>
    <x:row r="5">
      <x:c r="A5" s="9" t="str">
        <x:v>D4</x:v>
      </x:c>
      <x:c r="B5" s="9" t="n">
        <x:v>70</x:v>
      </x:c>
      <x:c r="C5" s="12" t="n">
        <x:v>0.9210526315789473</x:v>
      </x:c>
      <x:c r="D5" s="9" t="n">
        <x:v>6</x:v>
      </x:c>
      <x:c r="E5" s="12" t="n">
        <x:v>0.07894736842105263</x:v>
      </x:c>
      <x:c r="F5" s="9" t="n">
        <x:v>0</x:v>
      </x:c>
      <x:c r="G5" s="12" t="n">
        <x:v>0</x:v>
      </x:c>
      <x:c r="H5" s="9" t="n">
        <x:v>0</x:v>
      </x:c>
      <x:c r="I5" s="12" t="n">
        <x:v>0</x:v>
      </x:c>
    </x:row>
    <x:row r="6">
      <x:c r="A6" s="9" t="str">
        <x:v>D5</x:v>
      </x:c>
      <x:c r="B6" s="9" t="n">
        <x:v>40</x:v>
      </x:c>
      <x:c r="C6" s="12" t="n">
        <x:v>0.5263157894736842</x:v>
      </x:c>
      <x:c r="D6" s="9" t="n">
        <x:v>32</x:v>
      </x:c>
      <x:c r="E6" s="12" t="n">
        <x:v>0.42105263157894735</x:v>
      </x:c>
      <x:c r="F6" s="9" t="n">
        <x:v>4</x:v>
      </x:c>
      <x:c r="G6" s="12" t="n">
        <x:v>0.05263157894736842</x:v>
      </x:c>
      <x:c r="H6" s="9" t="n">
        <x:v>0</x:v>
      </x:c>
      <x:c r="I6" s="12" t="n">
        <x:v>0</x:v>
      </x:c>
    </x:row>
    <x:row r="7">
      <x:c r="A7" s="9" t="str">
        <x:v>D6</x:v>
      </x:c>
      <x:c r="B7" s="9" t="n">
        <x:v>16</x:v>
      </x:c>
      <x:c r="C7" s="12" t="n">
        <x:v>0.21052631578947367</x:v>
      </x:c>
      <x:c r="D7" s="9" t="n">
        <x:v>1</x:v>
      </x:c>
      <x:c r="E7" s="12" t="n">
        <x:v>0.013157894736842105</x:v>
      </x:c>
      <x:c r="F7" s="9" t="n">
        <x:v>59</x:v>
      </x:c>
      <x:c r="G7" s="12" t="n">
        <x:v>0.7763157894736842</x:v>
      </x:c>
      <x:c r="H7" s="9" t="n">
        <x:v>0</x:v>
      </x:c>
      <x:c r="I7" s="12" t="n">
        <x:v>0</x:v>
      </x:c>
    </x:row>
    <x:row r="8">
      <x:c r="A8" s="9" t="str">
        <x:v>D7</x:v>
      </x:c>
      <x:c r="B8" s="9" t="n">
        <x:v>57</x:v>
      </x:c>
      <x:c r="C8" s="12" t="n">
        <x:v>0.75</x:v>
      </x:c>
      <x:c r="D8" s="9" t="n">
        <x:v>19</x:v>
      </x:c>
      <x:c r="E8" s="12" t="n">
        <x:v>0.25</x:v>
      </x:c>
      <x:c r="F8" s="9" t="n">
        <x:v>0</x:v>
      </x:c>
      <x:c r="G8" s="12" t="n">
        <x:v>0</x:v>
      </x:c>
      <x:c r="H8" s="9" t="n">
        <x:v>0</x:v>
      </x:c>
      <x:c r="I8" s="12" t="n">
        <x:v>0</x:v>
      </x:c>
    </x:row>
    <x:row r="9">
      <x:c r="A9" s="10" t="str">
        <x:v>D8</x:v>
      </x:c>
      <x:c r="B9" s="10" t="n">
        <x:v>14</x:v>
      </x:c>
      <x:c r="C9" s="13" t="n">
        <x:v>0.18421052631578946</x:v>
      </x:c>
      <x:c r="D9" s="10" t="n">
        <x:v>57</x:v>
      </x:c>
      <x:c r="E9" s="13" t="n">
        <x:v>0.75</x:v>
      </x:c>
      <x:c r="F9" s="10" t="n">
        <x:v>5</x:v>
      </x:c>
      <x:c r="G9" s="13" t="n">
        <x:v>0.06578947368421052</x:v>
      </x:c>
      <x:c r="H9" s="10" t="n">
        <x:v>0</x:v>
      </x:c>
      <x:c r="I9" s="13" t="n">
        <x:v>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1" hidden="0" customWidth="1"/>
    <x:col min="4" max="4" width="22" hidden="0" customWidth="1"/>
    <x:col min="5" max="5" width="12" hidden="0" customWidth="1"/>
    <x:col min="6" max="6" width="18" hidden="0" customWidth="1"/>
    <x:col min="7" max="7" width="18" hidden="0" customWidth="1"/>
    <x:col min="8" max="8" width="18" hidden="0" customWidth="1"/>
    <x:col min="9" max="9" width="25" hidden="0" customWidth="1"/>
    <x:col min="10" max="10" width="72" hidden="0" customWidth="1"/>
    <x:col min="11" max="11" width="40" hidden="0" customWidth="1"/>
  </x:cols>
  <x:sheetData>
    <x:row r="1" ht="34" customHeight="1">
      <x:c r="A1" s="7" t="str">
        <x:v>Assessment</x:v>
      </x:c>
      <x:c r="B1" s="7" t="str">
        <x:v>Synthesis ID</x:v>
      </x:c>
      <x:c r="C1" s="7" t="str">
        <x:v>Study ID</x:v>
      </x:c>
      <x:c r="D1" s="7" t="str">
        <x:v>Citation</x:v>
      </x:c>
      <x:c r="E1" s="7" t="str">
        <x:v>Item/domain</x:v>
      </x:c>
      <x:c r="F1" s="7" t="str">
        <x:v>Reviewer 1</x:v>
      </x:c>
      <x:c r="G1" s="7" t="str">
        <x:v>Reviewer 2</x:v>
      </x:c>
      <x:c r="H1" s="7" t="str">
        <x:v>Final consensus</x:v>
      </x:c>
      <x:c r="I1" s="7" t="str">
        <x:v>Resolution</x:v>
      </x:c>
      <x:c r="J1" s="7" t="str">
        <x:v>Final rationale</x:v>
      </x:c>
      <x:c r="K1" s="7" t="str">
        <x:v>Evidence locator</x:v>
      </x:c>
    </x:row>
    <x:row r="2">
      <x:c r="A2" s="8" t="str">
        <x:v>REB</x:v>
      </x:c>
      <x:c r="B2" s="8" t="n">
        <x:v>10</x:v>
      </x:c>
      <x:c r="C2" s="8" t="str">
        <x:v>S013</x:v>
      </x:c>
      <x:c r="D2" s="8" t="str">
        <x:v>Poulladofonou et al. (2022)</x:v>
      </x:c>
      <x:c r="E2" s="8" t="str">
        <x:v>L7</x:v>
      </x:c>
      <x:c r="F2" s="8" t="str">
        <x:v>1</x:v>
      </x:c>
      <x:c r="G2" s="8" t="str">
        <x:v>U</x:v>
      </x:c>
      <x:c r="H2" s="8" t="str">
        <x:v>0</x:v>
      </x:c>
      <x:c r="I2" s="8" t="str">
        <x:v>Reviewer comparison excluded; final consensus recorded</x:v>
      </x:c>
      <x:c r="J2" s="8" t="str">
        <x:v>No qualifying interface-integrity test or repeated final monolithic wearable-assembly test with a retention/failure endpoint was located.</x:v>
      </x:c>
      <x:c r="K2" s="8" t="str">
        <x:v>PDF pp. 3–7; Figs. 1–6; Table 1; cited SI</x:v>
      </x:c>
    </x:row>
    <x:row r="3">
      <x:c r="A3" s="9" t="str">
        <x:v>REB</x:v>
      </x:c>
      <x:c r="B3" s="9" t="n">
        <x:v>40</x:v>
      </x:c>
      <x:c r="C3" s="9" t="str">
        <x:v>S052</x:v>
      </x:c>
      <x:c r="D3" s="9" t="str">
        <x:v>Li et al. (2026)</x:v>
      </x:c>
      <x:c r="E3" s="9" t="str">
        <x:v>L7</x:v>
      </x:c>
      <x:c r="F3" s="9" t="str">
        <x:v>1</x:v>
      </x:c>
      <x:c r="G3" s="9" t="str">
        <x:v>0</x:v>
      </x:c>
      <x:c r="H3" s="9" t="str">
        <x:v>0</x:v>
      </x:c>
      <x:c r="I3" s="9" t="str">
        <x:v>Superseded by complete two-route L7 audit</x:v>
      </x:c>
      <x:c r="J3" s="9" t="str">
        <x:v>Does not qualify after the complete L7 audit: the report shows qualitative waveform repetition or a wearable demonstration, but no Route A direct-interface endpoint and no Route B defined retention or failure endpoint for the final assembly.</x:v>
      </x:c>
      <x:c r="K3" s="9" t="str">
        <x:v>PDF pp. 10-12; Fig. 6</x:v>
      </x:c>
    </x:row>
    <x:row r="4">
      <x:c r="A4" s="9" t="str">
        <x:v>REB</x:v>
      </x:c>
      <x:c r="B4" s="9" t="n">
        <x:v>60</x:v>
      </x:c>
      <x:c r="C4" s="9" t="str">
        <x:v>S074</x:v>
      </x:c>
      <x:c r="D4" s="9" t="str">
        <x:v>Lavorgna et al. (2025)</x:v>
      </x:c>
      <x:c r="E4" s="9" t="str">
        <x:v>L7</x:v>
      </x:c>
      <x:c r="F4" s="9" t="str">
        <x:v>0</x:v>
      </x:c>
      <x:c r="G4" s="9" t="str">
        <x:v>U</x:v>
      </x:c>
      <x:c r="H4" s="9" t="str">
        <x:v>0</x:v>
      </x:c>
      <x:c r="I4" s="9" t="str">
        <x:v>Reviewer comparison excluded; final consensus recorded</x:v>
      </x:c>
      <x:c r="J4" s="9" t="str">
        <x:v>No qualifying interface-integrity test or repeated final monolithic wearable-assembly test with a retention/failure endpoint was located.</x:v>
      </x:c>
      <x:c r="K4" s="9" t="str">
        <x:v>PDF pp. 3–9; Figs. 1–13</x:v>
      </x:c>
    </x:row>
    <x:row r="5">
      <x:c r="A5" s="9" t="str">
        <x:v>Risk</x:v>
      </x:c>
      <x:c r="B5" s="9" t="n">
        <x:v>1</x:v>
      </x:c>
      <x:c r="C5" s="9" t="str">
        <x:v>S001</x:v>
      </x:c>
      <x:c r="D5" s="9" t="str">
        <x:v>Leal-Junior et al. (2025)</x:v>
      </x:c>
      <x:c r="E5" s="9" t="str">
        <x:v>D4</x:v>
      </x:c>
      <x:c r="F5" s="9" t="str">
        <x:v>Some concern</x:v>
      </x:c>
      <x:c r="G5" s="9" t="str">
        <x:v>Low concern</x:v>
      </x:c>
      <x:c r="H5" s="9" t="str">
        <x:v>Some concern</x:v>
      </x:c>
      <x:c r="I5" s="9" t="str">
        <x:v>Adjudicated to Reviewer 1</x:v>
      </x:c>
      <x:c r="J5" s="9" t="str">
        <x:v>Bench ranges are stated; gait conditions are limited</x:v>
      </x:c>
      <x:c r="K5" s="9" t="str">
        <x:v>PDF pp. 6-7</x:v>
      </x:c>
    </x:row>
    <x:row r="6">
      <x:c r="A6" s="9" t="str">
        <x:v>Risk</x:v>
      </x:c>
      <x:c r="B6" s="9" t="n">
        <x:v>1</x:v>
      </x:c>
      <x:c r="C6" s="9" t="str">
        <x:v>S001</x:v>
      </x:c>
      <x:c r="D6" s="9" t="str">
        <x:v>Leal-Junior et al. (2025)</x:v>
      </x:c>
      <x:c r="E6" s="9" t="str">
        <x:v>D5</x:v>
      </x:c>
      <x:c r="F6" s="9" t="str">
        <x:v>Low concern</x:v>
      </x:c>
      <x:c r="G6" s="9" t="str">
        <x:v>Some concern</x:v>
      </x:c>
      <x:c r="H6" s="9" t="str">
        <x:v>Low concern</x:v>
      </x:c>
      <x:c r="I6" s="9" t="str">
        <x:v>Adjudicated to Reviewer 1</x:v>
      </x:c>
      <x:c r="J6" s="9" t="str">
        <x:v>Three cycles and hysteresis are reported</x:v>
      </x:c>
      <x:c r="K6" s="9" t="str">
        <x:v>PDF pp. 6, 8</x:v>
      </x:c>
    </x:row>
    <x:row r="7">
      <x:c r="A7" s="9" t="str">
        <x:v>Risk</x:v>
      </x:c>
      <x:c r="B7" s="9" t="n">
        <x:v>2</x:v>
      </x:c>
      <x:c r="C7" s="9" t="str">
        <x:v>S002</x:v>
      </x:c>
      <x:c r="D7" s="9" t="str">
        <x:v>Koukouviti et al. (2022)</x:v>
      </x:c>
      <x:c r="E7" s="9" t="str">
        <x:v>D5</x:v>
      </x:c>
      <x:c r="F7" s="9" t="str">
        <x:v>Low concern</x:v>
      </x:c>
      <x:c r="G7" s="9" t="str">
        <x:v>Some concern</x:v>
      </x:c>
      <x:c r="H7" s="9" t="str">
        <x:v>Low concern</x:v>
      </x:c>
      <x:c r="I7" s="9" t="str">
        <x:v>Adjudicated to Reviewer 1</x:v>
      </x:c>
      <x:c r="J7" s="9" t="str">
        <x:v>Ten repeated measurements reported with RSD</x:v>
      </x:c>
      <x:c r="K7" s="9" t="str">
        <x:v>PDF pp. 7-8</x:v>
      </x:c>
    </x:row>
    <x:row r="8">
      <x:c r="A8" s="9" t="str">
        <x:v>Risk</x:v>
      </x:c>
      <x:c r="B8" s="9" t="n">
        <x:v>2</x:v>
      </x:c>
      <x:c r="C8" s="9" t="str">
        <x:v>S002</x:v>
      </x:c>
      <x:c r="D8" s="9" t="str">
        <x:v>Koukouviti et al. (2022)</x:v>
      </x:c>
      <x:c r="E8" s="9" t="str">
        <x:v>D8</x:v>
      </x:c>
      <x:c r="F8" s="9" t="str">
        <x:v>Some concern</x:v>
      </x:c>
      <x:c r="G8" s="9" t="str">
        <x:v>High concern</x:v>
      </x:c>
      <x:c r="H8" s="9" t="str">
        <x:v>Some concern</x:v>
      </x:c>
      <x:c r="I8" s="9" t="str">
        <x:v>Adjudicated to Reviewer 1</x:v>
      </x:c>
      <x:c r="J8" s="9" t="str">
        <x:v>Sweat matrix is relevant, but no final wearable assembly is tested</x:v>
      </x:c>
      <x:c r="K8" s="9" t="str">
        <x:v>PDF pp. 8-10</x:v>
      </x:c>
    </x:row>
    <x:row r="9">
      <x:c r="A9" s="9" t="str">
        <x:v>Risk</x:v>
      </x:c>
      <x:c r="B9" s="9" t="n">
        <x:v>3</x:v>
      </x:c>
      <x:c r="C9" s="9" t="str">
        <x:v>S004</x:v>
      </x:c>
      <x:c r="D9" s="9" t="str">
        <x:v>Farid et al. (2025)</x:v>
      </x:c>
      <x:c r="E9" s="9" t="str">
        <x:v>D8</x:v>
      </x:c>
      <x:c r="F9" s="9" t="str">
        <x:v>Some concern</x:v>
      </x:c>
      <x:c r="G9" s="9" t="str">
        <x:v>Low concern</x:v>
      </x:c>
      <x:c r="H9" s="9" t="str">
        <x:v>Some concern</x:v>
      </x:c>
      <x:c r="I9" s="9" t="str">
        <x:v>Adjudicated to Reviewer 1</x:v>
      </x:c>
      <x:c r="J9" s="9" t="str">
        <x:v>Several on-body demonstrations but protocol/participants are sparse</x:v>
      </x:c>
      <x:c r="K9" s="9" t="str">
        <x:v>PDF pp. 2–13; Figs. 1–8</x:v>
      </x:c>
    </x:row>
    <x:row r="10">
      <x:c r="A10" s="9" t="str">
        <x:v>Risk</x:v>
      </x:c>
      <x:c r="B10" s="9" t="n">
        <x:v>4</x:v>
      </x:c>
      <x:c r="C10" s="9" t="str">
        <x:v>S005</x:v>
      </x:c>
      <x:c r="D10" s="9" t="str">
        <x:v>Tavares et al. (2022)</x:v>
      </x:c>
      <x:c r="E10" s="9" t="str">
        <x:v>D4</x:v>
      </x:c>
      <x:c r="F10" s="9" t="str">
        <x:v>Low concern</x:v>
      </x:c>
      <x:c r="G10" s="9" t="str">
        <x:v>Some concern</x:v>
      </x:c>
      <x:c r="H10" s="9" t="str">
        <x:v>Low concern</x:v>
      </x:c>
      <x:c r="I10" s="9" t="str">
        <x:v>Adjudicated to Reviewer 1</x:v>
      </x:c>
      <x:c r="J10" s="9" t="str">
        <x:v>Dynamic ranges and user protocol are stated</x:v>
      </x:c>
      <x:c r="K10" s="9" t="str">
        <x:v>PDF pp. 3–11; Figs. 1–9; Tables 1–3</x:v>
      </x:c>
    </x:row>
    <x:row r="11">
      <x:c r="A11" s="9" t="str">
        <x:v>Risk</x:v>
      </x:c>
      <x:c r="B11" s="9" t="n">
        <x:v>4</x:v>
      </x:c>
      <x:c r="C11" s="9" t="str">
        <x:v>S005</x:v>
      </x:c>
      <x:c r="D11" s="9" t="str">
        <x:v>Tavares et al. (2022)</x:v>
      </x:c>
      <x:c r="E11" s="9" t="str">
        <x:v>D5</x:v>
      </x:c>
      <x:c r="F11" s="9" t="str">
        <x:v>Some concern</x:v>
      </x:c>
      <x:c r="G11" s="9" t="str">
        <x:v>High concern</x:v>
      </x:c>
      <x:c r="H11" s="9" t="str">
        <x:v>Some concern</x:v>
      </x:c>
      <x:c r="I11" s="9" t="str">
        <x:v>Adjudicated to Reviewer 1</x:v>
      </x:c>
      <x:c r="J11" s="9" t="str">
        <x:v>Repeated user tests do not isolate device stability</x:v>
      </x:c>
      <x:c r="K11" s="9" t="str">
        <x:v>PDF pp. 3–11; Figs. 1–9; Tables 1–3</x:v>
      </x:c>
    </x:row>
    <x:row r="12">
      <x:c r="A12" s="9" t="str">
        <x:v>Risk</x:v>
      </x:c>
      <x:c r="B12" s="9" t="n">
        <x:v>4</x:v>
      </x:c>
      <x:c r="C12" s="9" t="str">
        <x:v>S005</x:v>
      </x:c>
      <x:c r="D12" s="9" t="str">
        <x:v>Tavares et al. (2022)</x:v>
      </x:c>
      <x:c r="E12" s="9" t="str">
        <x:v>D7</x:v>
      </x:c>
      <x:c r="F12" s="9" t="str">
        <x:v>Low concern</x:v>
      </x:c>
      <x:c r="G12" s="9" t="str">
        <x:v>Some concern</x:v>
      </x:c>
      <x:c r="H12" s="9" t="str">
        <x:v>Low concern</x:v>
      </x:c>
      <x:c r="I12" s="9" t="str">
        <x:v>Adjudicated to Reviewer 1</x:v>
      </x:c>
      <x:c r="J12" s="9" t="str">
        <x:v>Key sensitivity and agreement outcomes reported</x:v>
      </x:c>
      <x:c r="K12" s="9" t="str">
        <x:v>PDF pp. 3–11; Figs. 1–9; Tables 1–3</x:v>
      </x:c>
    </x:row>
    <x:row r="13">
      <x:c r="A13" s="9" t="str">
        <x:v>Risk</x:v>
      </x:c>
      <x:c r="B13" s="9" t="n">
        <x:v>4</x:v>
      </x:c>
      <x:c r="C13" s="9" t="str">
        <x:v>S005</x:v>
      </x:c>
      <x:c r="D13" s="9" t="str">
        <x:v>Tavares et al. (2022)</x:v>
      </x:c>
      <x:c r="E13" s="9" t="str">
        <x:v>D8</x:v>
      </x:c>
      <x:c r="F13" s="9" t="str">
        <x:v>Some concern</x:v>
      </x:c>
      <x:c r="G13" s="9" t="str">
        <x:v>Low concern</x:v>
      </x:c>
      <x:c r="H13" s="9" t="str">
        <x:v>Some concern</x:v>
      </x:c>
      <x:c r="I13" s="9" t="str">
        <x:v>Adjudicated to Reviewer 1</x:v>
      </x:c>
      <x:c r="J13" s="9" t="str">
        <x:v>Preliminary study with three users</x:v>
      </x:c>
      <x:c r="K13" s="9" t="str">
        <x:v>PDF pp. 3–11; Figs. 1–9; Tables 1–3</x:v>
      </x:c>
    </x:row>
    <x:row r="14">
      <x:c r="A14" s="9" t="str">
        <x:v>Risk</x:v>
      </x:c>
      <x:c r="B14" s="9" t="n">
        <x:v>5</x:v>
      </x:c>
      <x:c r="C14" s="9" t="str">
        <x:v>S007</x:v>
      </x:c>
      <x:c r="D14" s="9" t="str">
        <x:v>Velcescu et al. (2019)</x:v>
      </x:c>
      <x:c r="E14" s="9" t="str">
        <x:v>D2</x:v>
      </x:c>
      <x:c r="F14" s="9" t="str">
        <x:v>Low concern</x:v>
      </x:c>
      <x:c r="G14" s="9" t="str">
        <x:v>Some concern</x:v>
      </x:c>
      <x:c r="H14" s="9" t="str">
        <x:v>Low concern</x:v>
      </x:c>
      <x:c r="I14" s="9" t="str">
        <x:v>Adjudicated to Reviewer 1</x:v>
      </x:c>
      <x:c r="J14" s="9" t="str">
        <x:v>Printer, material and core settings are described</x:v>
      </x:c>
      <x:c r="K14" s="9" t="str">
        <x:v>PDF pp. 3-5</x:v>
      </x:c>
    </x:row>
    <x:row r="15">
      <x:c r="A15" s="9" t="str">
        <x:v>Risk</x:v>
      </x:c>
      <x:c r="B15" s="9" t="n">
        <x:v>5</x:v>
      </x:c>
      <x:c r="C15" s="9" t="str">
        <x:v>S007</x:v>
      </x:c>
      <x:c r="D15" s="9" t="str">
        <x:v>Velcescu et al. (2019)</x:v>
      </x:c>
      <x:c r="E15" s="9" t="str">
        <x:v>D5</x:v>
      </x:c>
      <x:c r="F15" s="9" t="str">
        <x:v>Some concern</x:v>
      </x:c>
      <x:c r="G15" s="9" t="str">
        <x:v>High concern</x:v>
      </x:c>
      <x:c r="H15" s="9" t="str">
        <x:v>Some concern</x:v>
      </x:c>
      <x:c r="I15" s="9" t="str">
        <x:v>Adjudicated to Reviewer 1</x:v>
      </x:c>
      <x:c r="J15" s="9" t="str">
        <x:v>One loading-unloading loop and one EEG demonstration; no repeated-use series</x:v>
      </x:c>
      <x:c r="K15" s="9" t="str">
        <x:v>PDF pp. 5-12</x:v>
      </x:c>
    </x:row>
    <x:row r="16">
      <x:c r="A16" s="9" t="str">
        <x:v>Risk</x:v>
      </x:c>
      <x:c r="B16" s="9" t="n">
        <x:v>6</x:v>
      </x:c>
      <x:c r="C16" s="9" t="str">
        <x:v>S008</x:v>
      </x:c>
      <x:c r="D16" s="9" t="str">
        <x:v>Kim et al. (2022)</x:v>
      </x:c>
      <x:c r="E16" s="9" t="str">
        <x:v>D4</x:v>
      </x:c>
      <x:c r="F16" s="9" t="str">
        <x:v>Some concern</x:v>
      </x:c>
      <x:c r="G16" s="9" t="str">
        <x:v>Low concern</x:v>
      </x:c>
      <x:c r="H16" s="9" t="str">
        <x:v>Some concern</x:v>
      </x:c>
      <x:c r="I16" s="9" t="str">
        <x:v>Adjudicated to Reviewer 1</x:v>
      </x:c>
      <x:c r="J16" s="9" t="str">
        <x:v>Repetition count for SD is not stated</x:v>
      </x:c>
      <x:c r="K16" s="9" t="str">
        <x:v>PDF pp. 5–10; Figs. 3–5</x:v>
      </x:c>
    </x:row>
    <x:row r="17">
      <x:c r="A17" s="9" t="str">
        <x:v>Risk</x:v>
      </x:c>
      <x:c r="B17" s="9" t="n">
        <x:v>6</x:v>
      </x:c>
      <x:c r="C17" s="9" t="str">
        <x:v>S008</x:v>
      </x:c>
      <x:c r="D17" s="9" t="str">
        <x:v>Kim et al. (2022)</x:v>
      </x:c>
      <x:c r="E17" s="9" t="str">
        <x:v>D5</x:v>
      </x:c>
      <x:c r="F17" s="9" t="str">
        <x:v>Some concern</x:v>
      </x:c>
      <x:c r="G17" s="9" t="str">
        <x:v>High concern</x:v>
      </x:c>
      <x:c r="H17" s="9" t="str">
        <x:v>Some concern</x:v>
      </x:c>
      <x:c r="I17" s="9" t="str">
        <x:v>Adjudicated to Reviewer 1</x:v>
      </x:c>
      <x:c r="J17" s="9" t="str">
        <x:v>Repeated-results claim lacks full design detail</x:v>
      </x:c>
      <x:c r="K17" s="9" t="str">
        <x:v>PDF pp. 5–10; Figs. 3–5</x:v>
      </x:c>
    </x:row>
    <x:row r="18">
      <x:c r="A18" s="9" t="str">
        <x:v>Risk</x:v>
      </x:c>
      <x:c r="B18" s="9" t="n">
        <x:v>6</x:v>
      </x:c>
      <x:c r="C18" s="9" t="str">
        <x:v>S008</x:v>
      </x:c>
      <x:c r="D18" s="9" t="str">
        <x:v>Kim et al. (2022)</x:v>
      </x:c>
      <x:c r="E18" s="9" t="str">
        <x:v>D8</x:v>
      </x:c>
      <x:c r="F18" s="9" t="str">
        <x:v>Some concern</x:v>
      </x:c>
      <x:c r="G18" s="9" t="str">
        <x:v>Low concern</x:v>
      </x:c>
      <x:c r="H18" s="9" t="str">
        <x:v>Some concern</x:v>
      </x:c>
      <x:c r="I18" s="9" t="str">
        <x:v>Adjudicated to Reviewer 1</x:v>
      </x:c>
      <x:c r="J18" s="9" t="str">
        <x:v>Complete insole demonstrated on one volunteer</x:v>
      </x:c>
      <x:c r="K18" s="9" t="str">
        <x:v>PDF pp. 5–10; Figs. 3–5</x:v>
      </x:c>
    </x:row>
    <x:row r="19">
      <x:c r="A19" s="9" t="str">
        <x:v>Risk</x:v>
      </x:c>
      <x:c r="B19" s="9" t="n">
        <x:v>7</x:v>
      </x:c>
      <x:c r="C19" s="9" t="str">
        <x:v>S010</x:v>
      </x:c>
      <x:c r="D19" s="9" t="str">
        <x:v>Mutlu et al. (2023)</x:v>
      </x:c>
      <x:c r="E19" s="9" t="str">
        <x:v>D7</x:v>
      </x:c>
      <x:c r="F19" s="9" t="str">
        <x:v>Low concern</x:v>
      </x:c>
      <x:c r="G19" s="9" t="str">
        <x:v>Some concern</x:v>
      </x:c>
      <x:c r="H19" s="9" t="str">
        <x:v>Low concern</x:v>
      </x:c>
      <x:c r="I19" s="9" t="str">
        <x:v>Adjudicated to Reviewer 1</x:v>
      </x:c>
      <x:c r="J19" s="9" t="str">
        <x:v>Static, dynamic and task outcomes reported</x:v>
      </x:c>
      <x:c r="K19" s="9" t="str">
        <x:v>PDF pp. 3–16; Figs. 1–13; Appendix A</x:v>
      </x:c>
    </x:row>
    <x:row r="20">
      <x:c r="A20" s="9" t="str">
        <x:v>Risk</x:v>
      </x:c>
      <x:c r="B20" s="9" t="n">
        <x:v>7</x:v>
      </x:c>
      <x:c r="C20" s="9" t="str">
        <x:v>S010</x:v>
      </x:c>
      <x:c r="D20" s="9" t="str">
        <x:v>Mutlu et al. (2023)</x:v>
      </x:c>
      <x:c r="E20" s="9" t="str">
        <x:v>D8</x:v>
      </x:c>
      <x:c r="F20" s="9" t="str">
        <x:v>Some concern</x:v>
      </x:c>
      <x:c r="G20" s="9" t="str">
        <x:v>Low concern</x:v>
      </x:c>
      <x:c r="H20" s="9" t="str">
        <x:v>Some concern</x:v>
      </x:c>
      <x:c r="I20" s="9" t="str">
        <x:v>Adjudicated to Reviewer 1</x:v>
      </x:c>
      <x:c r="J20" s="9" t="str">
        <x:v>Worn application is demonstrated but small and exploratory</x:v>
      </x:c>
      <x:c r="K20" s="9" t="str">
        <x:v>PDF pp. 3–16; Figs. 1–13; Appendix A</x:v>
      </x:c>
    </x:row>
    <x:row r="21">
      <x:c r="A21" s="9" t="str">
        <x:v>Risk</x:v>
      </x:c>
      <x:c r="B21" s="9" t="n">
        <x:v>8</x:v>
      </x:c>
      <x:c r="C21" s="9" t="str">
        <x:v>S011</x:v>
      </x:c>
      <x:c r="D21" s="9" t="str">
        <x:v>Samarentsis et al. (2022)</x:v>
      </x:c>
      <x:c r="E21" s="9" t="str">
        <x:v>D1</x:v>
      </x:c>
      <x:c r="F21" s="9" t="str">
        <x:v>Some concern</x:v>
      </x:c>
      <x:c r="G21" s="9" t="str">
        <x:v>High concern</x:v>
      </x:c>
      <x:c r="H21" s="9" t="str">
        <x:v>Some concern</x:v>
      </x:c>
      <x:c r="I21" s="9" t="str">
        <x:v>Adjudicated to Reviewer 1</x:v>
      </x:c>
      <x:c r="J21" s="9" t="str">
        <x:v>Sixteen sensors support bench results; on-body evaluation uses one participant</x:v>
      </x:c>
      <x:c r="K21" s="9" t="str">
        <x:v>PDF pp. 8-14</x:v>
      </x:c>
    </x:row>
    <x:row r="22">
      <x:c r="A22" s="9" t="str">
        <x:v>Risk</x:v>
      </x:c>
      <x:c r="B22" s="9" t="n">
        <x:v>8</x:v>
      </x:c>
      <x:c r="C22" s="9" t="str">
        <x:v>S011</x:v>
      </x:c>
      <x:c r="D22" s="9" t="str">
        <x:v>Samarentsis et al. (2022)</x:v>
      </x:c>
      <x:c r="E22" s="9" t="str">
        <x:v>D3</x:v>
      </x:c>
      <x:c r="F22" s="9" t="str">
        <x:v>Low concern</x:v>
      </x:c>
      <x:c r="G22" s="9" t="str">
        <x:v>Some concern</x:v>
      </x:c>
      <x:c r="H22" s="9" t="str">
        <x:v>Low concern</x:v>
      </x:c>
      <x:c r="I22" s="9" t="str">
        <x:v>Adjudicated to Reviewer 1</x:v>
      </x:c>
      <x:c r="J22" s="9" t="str">
        <x:v>Pressure calibration range and analysis are described</x:v>
      </x:c>
      <x:c r="K22" s="9" t="str">
        <x:v>PDF pp. 5-9</x:v>
      </x:c>
    </x:row>
    <x:row r="23">
      <x:c r="A23" s="9" t="str">
        <x:v>Risk</x:v>
      </x:c>
      <x:c r="B23" s="9" t="n">
        <x:v>8</x:v>
      </x:c>
      <x:c r="C23" s="9" t="str">
        <x:v>S011</x:v>
      </x:c>
      <x:c r="D23" s="9" t="str">
        <x:v>Samarentsis et al. (2022)</x:v>
      </x:c>
      <x:c r="E23" s="9" t="str">
        <x:v>D6</x:v>
      </x:c>
      <x:c r="F23" s="9" t="str">
        <x:v>Low concern</x:v>
      </x:c>
      <x:c r="G23" s="9" t="str">
        <x:v>High concern</x:v>
      </x:c>
      <x:c r="H23" s="9" t="str">
        <x:v>Low concern</x:v>
      </x:c>
      <x:c r="I23" s="9" t="str">
        <x:v>Adjudicated to Reviewer 1</x:v>
      </x:c>
      <x:c r="J23" s="9" t="str">
        <x:v>Sixteen separate sensors summarized with mean and SD</x:v>
      </x:c>
      <x:c r="K23" s="9" t="str">
        <x:v>PDF pp. 8-9</x:v>
      </x:c>
    </x:row>
    <x:row r="24">
      <x:c r="A24" s="9" t="str">
        <x:v>Risk</x:v>
      </x:c>
      <x:c r="B24" s="9" t="n">
        <x:v>8</x:v>
      </x:c>
      <x:c r="C24" s="9" t="str">
        <x:v>S011</x:v>
      </x:c>
      <x:c r="D24" s="9" t="str">
        <x:v>Samarentsis et al. (2022)</x:v>
      </x:c>
      <x:c r="E24" s="9" t="str">
        <x:v>D7</x:v>
      </x:c>
      <x:c r="F24" s="9" t="str">
        <x:v>Low concern</x:v>
      </x:c>
      <x:c r="G24" s="9" t="str">
        <x:v>Some concern</x:v>
      </x:c>
      <x:c r="H24" s="9" t="str">
        <x:v>Low concern</x:v>
      </x:c>
      <x:c r="I24" s="9" t="str">
        <x:v>Adjudicated to Reviewer 1</x:v>
      </x:c>
      <x:c r="J24" s="9" t="str">
        <x:v>Major response, durability and integration outcomes are reported</x:v>
      </x:c>
      <x:c r="K24" s="9" t="str">
        <x:v>PDF pp. 8-14</x:v>
      </x:c>
    </x:row>
    <x:row r="25">
      <x:c r="A25" s="9" t="str">
        <x:v>Risk</x:v>
      </x:c>
      <x:c r="B25" s="9" t="n">
        <x:v>9</x:v>
      </x:c>
      <x:c r="C25" s="9" t="str">
        <x:v>S012</x:v>
      </x:c>
      <x:c r="D25" s="9" t="str">
        <x:v>Wolterink et al. (2020)</x:v>
      </x:c>
      <x:c r="E25" s="9" t="str">
        <x:v>D5</x:v>
      </x:c>
      <x:c r="F25" s="9" t="str">
        <x:v>Low concern</x:v>
      </x:c>
      <x:c r="G25" s="9" t="str">
        <x:v>Some concern</x:v>
      </x:c>
      <x:c r="H25" s="9" t="str">
        <x:v>Low concern</x:v>
      </x:c>
      <x:c r="I25" s="9" t="str">
        <x:v>Adjudicated to Reviewer 1</x:v>
      </x:c>
      <x:c r="J25" s="9" t="str">
        <x:v>Repeated contractions and variability outputs reported</x:v>
      </x:c>
      <x:c r="K25" s="9" t="str">
        <x:v>PDF pp. 4–14; Figs. 1–17; Tables 2–3</x:v>
      </x:c>
    </x:row>
    <x:row r="26">
      <x:c r="A26" s="9" t="str">
        <x:v>Risk</x:v>
      </x:c>
      <x:c r="B26" s="9" t="n">
        <x:v>9</x:v>
      </x:c>
      <x:c r="C26" s="9" t="str">
        <x:v>S012</x:v>
      </x:c>
      <x:c r="D26" s="9" t="str">
        <x:v>Wolterink et al. (2020)</x:v>
      </x:c>
      <x:c r="E26" s="9" t="str">
        <x:v>D7</x:v>
      </x:c>
      <x:c r="F26" s="9" t="str">
        <x:v>Low concern</x:v>
      </x:c>
      <x:c r="G26" s="9" t="str">
        <x:v>Some concern</x:v>
      </x:c>
      <x:c r="H26" s="9" t="str">
        <x:v>Low concern</x:v>
      </x:c>
      <x:c r="I26" s="9" t="str">
        <x:v>Adjudicated to Reviewer 1</x:v>
      </x:c>
      <x:c r="J26" s="9" t="str">
        <x:v>Impedance, statistics and accuracy reported</x:v>
      </x:c>
      <x:c r="K26" s="9" t="str">
        <x:v>PDF pp. 4–14; Figs. 1–17; Tables 2–3</x:v>
      </x:c>
    </x:row>
    <x:row r="27">
      <x:c r="A27" s="9" t="str">
        <x:v>Risk</x:v>
      </x:c>
      <x:c r="B27" s="9" t="n">
        <x:v>10</x:v>
      </x:c>
      <x:c r="C27" s="9" t="str">
        <x:v>S013</x:v>
      </x:c>
      <x:c r="D27" s="9" t="str">
        <x:v>Poulladofonou et al. (2022)</x:v>
      </x:c>
      <x:c r="E27" s="9" t="str">
        <x:v>D3</x:v>
      </x:c>
      <x:c r="F27" s="9" t="str">
        <x:v>Low concern</x:v>
      </x:c>
      <x:c r="G27" s="9" t="str">
        <x:v>Some concern</x:v>
      </x:c>
      <x:c r="H27" s="9" t="str">
        <x:v>Low concern</x:v>
      </x:c>
      <x:c r="I27" s="9" t="str">
        <x:v>Adjudicated to Reviewer 1</x:v>
      </x:c>
      <x:c r="J27" s="9" t="str">
        <x:v>Matrix-specific DPV calibration described</x:v>
      </x:c>
      <x:c r="K27" s="9" t="str">
        <x:v>PDF pp. 3–7; Figs. 1–6; Table 1; cited SI</x:v>
      </x:c>
    </x:row>
    <x:row r="28">
      <x:c r="A28" s="9" t="str">
        <x:v>Risk</x:v>
      </x:c>
      <x:c r="B28" s="9" t="n">
        <x:v>11</x:v>
      </x:c>
      <x:c r="C28" s="9" t="str">
        <x:v>S014</x:v>
      </x:c>
      <x:c r="D28" s="9" t="str">
        <x:v>Dimo et al. (2025)</x:v>
      </x:c>
      <x:c r="E28" s="9" t="str">
        <x:v>D2</x:v>
      </x:c>
      <x:c r="F28" s="9" t="str">
        <x:v>High concern</x:v>
      </x:c>
      <x:c r="G28" s="9" t="str">
        <x:v>Some concern</x:v>
      </x:c>
      <x:c r="H28" s="9" t="str">
        <x:v>High concern</x:v>
      </x:c>
      <x:c r="I28" s="9" t="str">
        <x:v>Adjudicated to Reviewer 1</x:v>
      </x:c>
      <x:c r="J28" s="9" t="str">
        <x:v>Many print settings are omitted</x:v>
      </x:c>
      <x:c r="K28" s="9" t="str">
        <x:v>PDF pp. 4–15; Figs. 1–10; Tables 1–2</x:v>
      </x:c>
    </x:row>
    <x:row r="29">
      <x:c r="A29" s="9" t="str">
        <x:v>Risk</x:v>
      </x:c>
      <x:c r="B29" s="9" t="n">
        <x:v>11</x:v>
      </x:c>
      <x:c r="C29" s="9" t="str">
        <x:v>S014</x:v>
      </x:c>
      <x:c r="D29" s="9" t="str">
        <x:v>Dimo et al. (2025)</x:v>
      </x:c>
      <x:c r="E29" s="9" t="str">
        <x:v>D8</x:v>
      </x:c>
      <x:c r="F29" s="9" t="str">
        <x:v>Some concern</x:v>
      </x:c>
      <x:c r="G29" s="9" t="str">
        <x:v>Low concern</x:v>
      </x:c>
      <x:c r="H29" s="9" t="str">
        <x:v>Some concern</x:v>
      </x:c>
      <x:c r="I29" s="9" t="str">
        <x:v>Adjudicated to Reviewer 1</x:v>
      </x:c>
      <x:c r="J29" s="9" t="str">
        <x:v>Eight-person exploratory test without external motion reference</x:v>
      </x:c>
      <x:c r="K29" s="9" t="str">
        <x:v>PDF pp. 4–15; Figs. 1–10; Tables 1–2</x:v>
      </x:c>
    </x:row>
    <x:row r="30">
      <x:c r="A30" s="9" t="str">
        <x:v>Risk</x:v>
      </x:c>
      <x:c r="B30" s="9" t="n">
        <x:v>12</x:v>
      </x:c>
      <x:c r="C30" s="9" t="str">
        <x:v>S015</x:v>
      </x:c>
      <x:c r="D30" s="9" t="str">
        <x:v>Farook et al. (2023)</x:v>
      </x:c>
      <x:c r="E30" s="9" t="str">
        <x:v>D3</x:v>
      </x:c>
      <x:c r="F30" s="9" t="str">
        <x:v>Low concern</x:v>
      </x:c>
      <x:c r="G30" s="9" t="str">
        <x:v>Some concern</x:v>
      </x:c>
      <x:c r="H30" s="9" t="str">
        <x:v>Low concern</x:v>
      </x:c>
      <x:c r="I30" s="9" t="str">
        <x:v>Adjudicated to Reviewer 1</x:v>
      </x:c>
      <x:c r="J30" s="9" t="str">
        <x:v>Caliper comparison and analysis equations reported</x:v>
      </x:c>
      <x:c r="K30" s="9" t="str">
        <x:v>PDF pp. 3–11; Figs. 1–6; Table 1</x:v>
      </x:c>
    </x:row>
    <x:row r="31">
      <x:c r="A31" s="9" t="str">
        <x:v>Risk</x:v>
      </x:c>
      <x:c r="B31" s="9" t="n">
        <x:v>12</x:v>
      </x:c>
      <x:c r="C31" s="9" t="str">
        <x:v>S015</x:v>
      </x:c>
      <x:c r="D31" s="9" t="str">
        <x:v>Farook et al. (2023)</x:v>
      </x:c>
      <x:c r="E31" s="9" t="str">
        <x:v>D4</x:v>
      </x:c>
      <x:c r="F31" s="9" t="str">
        <x:v>Some concern</x:v>
      </x:c>
      <x:c r="G31" s="9" t="str">
        <x:v>High concern</x:v>
      </x:c>
      <x:c r="H31" s="9" t="str">
        <x:v>Some concern</x:v>
      </x:c>
      <x:c r="I31" s="9" t="str">
        <x:v>Adjudicated to Reviewer 1</x:v>
      </x:c>
      <x:c r="J31" s="9" t="str">
        <x:v>On-body procedure is described but calibration is limited</x:v>
      </x:c>
      <x:c r="K31" s="9" t="str">
        <x:v>PDF pp. 3–11; Figs. 1–6; Table 1</x:v>
      </x:c>
    </x:row>
    <x:row r="32">
      <x:c r="A32" s="9" t="str">
        <x:v>Risk</x:v>
      </x:c>
      <x:c r="B32" s="9" t="n">
        <x:v>13</x:v>
      </x:c>
      <x:c r="C32" s="9" t="str">
        <x:v>S017</x:v>
      </x:c>
      <x:c r="D32" s="9" t="str">
        <x:v>Zhang and Ma (2025)</x:v>
      </x:c>
      <x:c r="E32" s="9" t="str">
        <x:v>D4</x:v>
      </x:c>
      <x:c r="F32" s="9" t="str">
        <x:v>Some concern</x:v>
      </x:c>
      <x:c r="G32" s="9" t="str">
        <x:v>Low concern</x:v>
      </x:c>
      <x:c r="H32" s="9" t="str">
        <x:v>Some concern</x:v>
      </x:c>
      <x:c r="I32" s="9" t="str">
        <x:v>Adjudicated to Reviewer 1</x:v>
      </x:c>
      <x:c r="J32" s="9" t="str">
        <x:v>Core test settings stated; humidity levels are mainly figure-based</x:v>
      </x:c>
      <x:c r="K32" s="9" t="str">
        <x:v>PDF pp. 3-5</x:v>
      </x:c>
    </x:row>
    <x:row r="33">
      <x:c r="A33" s="9" t="str">
        <x:v>Risk</x:v>
      </x:c>
      <x:c r="B33" s="9" t="n">
        <x:v>13</x:v>
      </x:c>
      <x:c r="C33" s="9" t="str">
        <x:v>S017</x:v>
      </x:c>
      <x:c r="D33" s="9" t="str">
        <x:v>Zhang and Ma (2025)</x:v>
      </x:c>
      <x:c r="E33" s="9" t="str">
        <x:v>D5</x:v>
      </x:c>
      <x:c r="F33" s="9" t="str">
        <x:v>Some concern</x:v>
      </x:c>
      <x:c r="G33" s="9" t="str">
        <x:v>Low concern</x:v>
      </x:c>
      <x:c r="H33" s="9" t="str">
        <x:v>Some concern</x:v>
      </x:c>
      <x:c r="I33" s="9" t="str">
        <x:v>Adjudicated to Reviewer 1</x:v>
      </x:c>
      <x:c r="J33" s="9" t="str">
        <x:v>1600-cycle trace reported without full specimen/repeat structure</x:v>
      </x:c>
      <x:c r="K33" s="9" t="str">
        <x:v>PDF pp. 4-5</x:v>
      </x:c>
    </x:row>
    <x:row r="34">
      <x:c r="A34" s="9" t="str">
        <x:v>Risk</x:v>
      </x:c>
      <x:c r="B34" s="9" t="n">
        <x:v>13</x:v>
      </x:c>
      <x:c r="C34" s="9" t="str">
        <x:v>S017</x:v>
      </x:c>
      <x:c r="D34" s="9" t="str">
        <x:v>Zhang and Ma (2025)</x:v>
      </x:c>
      <x:c r="E34" s="9" t="str">
        <x:v>D8</x:v>
      </x:c>
      <x:c r="F34" s="9" t="str">
        <x:v>Some concern</x:v>
      </x:c>
      <x:c r="G34" s="9" t="str">
        <x:v>Low concern</x:v>
      </x:c>
      <x:c r="H34" s="9" t="str">
        <x:v>Some concern</x:v>
      </x:c>
      <x:c r="I34" s="9" t="str">
        <x:v>Adjudicated to Reviewer 1</x:v>
      </x:c>
      <x:c r="J34" s="9" t="str">
        <x:v>Body-motion demonstrations reported, but attachment and participant details are NR</x:v>
      </x:c>
      <x:c r="K34" s="9" t="str">
        <x:v>PDF pp. 3, 5</x:v>
      </x:c>
    </x:row>
    <x:row r="35">
      <x:c r="A35" s="9" t="str">
        <x:v>Risk</x:v>
      </x:c>
      <x:c r="B35" s="9" t="n">
        <x:v>14</x:v>
      </x:c>
      <x:c r="C35" s="9" t="str">
        <x:v>S018</x:v>
      </x:c>
      <x:c r="D35" s="9" t="str">
        <x:v>Vu et al. (2025)</x:v>
      </x:c>
      <x:c r="E35" s="9" t="str">
        <x:v>D1</x:v>
      </x:c>
      <x:c r="F35" s="9" t="str">
        <x:v>High concern</x:v>
      </x:c>
      <x:c r="G35" s="9" t="str">
        <x:v>Some concern</x:v>
      </x:c>
      <x:c r="H35" s="9" t="str">
        <x:v>High concern</x:v>
      </x:c>
      <x:c r="I35" s="9" t="str">
        <x:v>Adjudicated to Reviewer 1</x:v>
      </x:c>
      <x:c r="J35" s="9" t="str">
        <x:v>Human evaluation used one participant.</x:v>
      </x:c>
      <x:c r="K35" s="9" t="str">
        <x:v>PDF pp. 3–11; Figs. 1–6; Table 1</x:v>
      </x:c>
    </x:row>
    <x:row r="36">
      <x:c r="A36" s="9" t="str">
        <x:v>Risk</x:v>
      </x:c>
      <x:c r="B36" s="9" t="n">
        <x:v>14</x:v>
      </x:c>
      <x:c r="C36" s="9" t="str">
        <x:v>S018</x:v>
      </x:c>
      <x:c r="D36" s="9" t="str">
        <x:v>Vu et al. (2025)</x:v>
      </x:c>
      <x:c r="E36" s="9" t="str">
        <x:v>D2</x:v>
      </x:c>
      <x:c r="F36" s="9" t="str">
        <x:v>Some concern</x:v>
      </x:c>
      <x:c r="G36" s="9" t="str">
        <x:v>Unclear</x:v>
      </x:c>
      <x:c r="H36" s="9" t="str">
        <x:v>Some concern</x:v>
      </x:c>
      <x:c r="I36" s="9" t="str">
        <x:v>Unclear resolved</x:v>
      </x:c>
      <x:c r="J36" s="9" t="str">
        <x:v>Study-specific limitations are recorded in the extraction and REB sheets.</x:v>
      </x:c>
      <x:c r="K36" s="9" t="str">
        <x:v>PDF pp. 3–11; Figs. 1–6; Table 1</x:v>
      </x:c>
    </x:row>
    <x:row r="37">
      <x:c r="A37" s="9" t="str">
        <x:v>Risk</x:v>
      </x:c>
      <x:c r="B37" s="9" t="n">
        <x:v>14</x:v>
      </x:c>
      <x:c r="C37" s="9" t="str">
        <x:v>S018</x:v>
      </x:c>
      <x:c r="D37" s="9" t="str">
        <x:v>Vu et al. (2025)</x:v>
      </x:c>
      <x:c r="E37" s="9" t="str">
        <x:v>D5</x:v>
      </x:c>
      <x:c r="F37" s="9" t="str">
        <x:v>Some concern</x:v>
      </x:c>
      <x:c r="G37" s="9" t="str">
        <x:v>Low concern</x:v>
      </x:c>
      <x:c r="H37" s="9" t="str">
        <x:v>Some concern</x:v>
      </x:c>
      <x:c r="I37" s="9" t="str">
        <x:v>Adjudicated to Reviewer 1</x:v>
      </x:c>
      <x:c r="J37" s="9" t="str">
        <x:v>Study-specific limitations are recorded in the extraction and REB sheets.</x:v>
      </x:c>
      <x:c r="K37" s="9" t="str">
        <x:v>PDF pp. 3–11; Figs. 1–6; Table 1</x:v>
      </x:c>
    </x:row>
    <x:row r="38">
      <x:c r="A38" s="9" t="str">
        <x:v>Risk</x:v>
      </x:c>
      <x:c r="B38" s="9" t="n">
        <x:v>14</x:v>
      </x:c>
      <x:c r="C38" s="9" t="str">
        <x:v>S018</x:v>
      </x:c>
      <x:c r="D38" s="9" t="str">
        <x:v>Vu et al. (2025)</x:v>
      </x:c>
      <x:c r="E38" s="9" t="str">
        <x:v>D8</x:v>
      </x:c>
      <x:c r="F38" s="9" t="str">
        <x:v>Some concern</x:v>
      </x:c>
      <x:c r="G38" s="9" t="str">
        <x:v>Low concern</x:v>
      </x:c>
      <x:c r="H38" s="9" t="str">
        <x:v>Some concern</x:v>
      </x:c>
      <x:c r="I38" s="9" t="str">
        <x:v>Adjudicated to Reviewer 1</x:v>
      </x:c>
      <x:c r="J38" s="9" t="str">
        <x:v>Study-specific limitations are recorded in the extraction and REB sheets.</x:v>
      </x:c>
      <x:c r="K38" s="9" t="str">
        <x:v>PDF pp. 3–11; Figs. 1–6; Table 1</x:v>
      </x:c>
    </x:row>
    <x:row r="39">
      <x:c r="A39" s="9" t="str">
        <x:v>Risk</x:v>
      </x:c>
      <x:c r="B39" s="9" t="n">
        <x:v>15</x:v>
      </x:c>
      <x:c r="C39" s="9" t="str">
        <x:v>S019</x:v>
      </x:c>
      <x:c r="D39" s="9" t="str">
        <x:v>Vu et al. (2021)</x:v>
      </x:c>
      <x:c r="E39" s="9" t="str">
        <x:v>D5</x:v>
      </x:c>
      <x:c r="F39" s="9" t="str">
        <x:v>Some concern</x:v>
      </x:c>
      <x:c r="G39" s="9" t="str">
        <x:v>Low concern</x:v>
      </x:c>
      <x:c r="H39" s="9" t="str">
        <x:v>Some concern</x:v>
      </x:c>
      <x:c r="I39" s="9" t="str">
        <x:v>Adjudicated to Reviewer 1</x:v>
      </x:c>
      <x:c r="J39" s="9" t="str">
        <x:v>Study-specific limitations are recorded in the extraction and REB sheets.</x:v>
      </x:c>
      <x:c r="K39" s="9" t="str">
        <x:v>PDF pp. 2–8; Figs. 1–7</x:v>
      </x:c>
    </x:row>
    <x:row r="40">
      <x:c r="A40" s="9" t="str">
        <x:v>Risk</x:v>
      </x:c>
      <x:c r="B40" s="9" t="n">
        <x:v>15</x:v>
      </x:c>
      <x:c r="C40" s="9" t="str">
        <x:v>S019</x:v>
      </x:c>
      <x:c r="D40" s="9" t="str">
        <x:v>Vu et al. (2021)</x:v>
      </x:c>
      <x:c r="E40" s="9" t="str">
        <x:v>D6</x:v>
      </x:c>
      <x:c r="F40" s="9" t="str">
        <x:v>Low concern</x:v>
      </x:c>
      <x:c r="G40" s="9" t="str">
        <x:v>High concern</x:v>
      </x:c>
      <x:c r="H40" s="9" t="str">
        <x:v>Low concern</x:v>
      </x:c>
      <x:c r="I40" s="9" t="str">
        <x:v>Adjudicated to Reviewer 1</x:v>
      </x:c>
      <x:c r="J40" s="9" t="str">
        <x:v>At least three separately fabricated sensing units are compared quantitatively.</x:v>
      </x:c>
      <x:c r="K40" s="9" t="str">
        <x:v>PDF pp. 2–8; Figs. 1–7</x:v>
      </x:c>
    </x:row>
    <x:row r="41">
      <x:c r="A41" s="9" t="str">
        <x:v>Risk</x:v>
      </x:c>
      <x:c r="B41" s="9" t="n">
        <x:v>15</x:v>
      </x:c>
      <x:c r="C41" s="9" t="str">
        <x:v>S019</x:v>
      </x:c>
      <x:c r="D41" s="9" t="str">
        <x:v>Vu et al. (2021)</x:v>
      </x:c>
      <x:c r="E41" s="9" t="str">
        <x:v>D7</x:v>
      </x:c>
      <x:c r="F41" s="9" t="str">
        <x:v>Low concern</x:v>
      </x:c>
      <x:c r="G41" s="9" t="str">
        <x:v>Some concern</x:v>
      </x:c>
      <x:c r="H41" s="9" t="str">
        <x:v>Low concern</x:v>
      </x:c>
      <x:c r="I41" s="9" t="str">
        <x:v>Adjudicated to Reviewer 1</x:v>
      </x:c>
      <x:c r="J41" s="9" t="str">
        <x:v>Reference/protocol and principal quantitative outcomes are reported.</x:v>
      </x:c>
      <x:c r="K41" s="9" t="str">
        <x:v>PDF pp. 2–8; Figs. 1–7</x:v>
      </x:c>
    </x:row>
    <x:row r="42">
      <x:c r="A42" s="9" t="str">
        <x:v>Risk</x:v>
      </x:c>
      <x:c r="B42" s="9" t="n">
        <x:v>15</x:v>
      </x:c>
      <x:c r="C42" s="9" t="str">
        <x:v>S019</x:v>
      </x:c>
      <x:c r="D42" s="9" t="str">
        <x:v>Vu et al. (2021)</x:v>
      </x:c>
      <x:c r="E42" s="9" t="str">
        <x:v>D8</x:v>
      </x:c>
      <x:c r="F42" s="9" t="str">
        <x:v>Some concern</x:v>
      </x:c>
      <x:c r="G42" s="9" t="str">
        <x:v>Low concern</x:v>
      </x:c>
      <x:c r="H42" s="9" t="str">
        <x:v>Some concern</x:v>
      </x:c>
      <x:c r="I42" s="9" t="str">
        <x:v>Adjudicated to Reviewer 1</x:v>
      </x:c>
      <x:c r="J42" s="9" t="str">
        <x:v>Study-specific limitations are recorded in the extraction and REB sheets.</x:v>
      </x:c>
      <x:c r="K42" s="9" t="str">
        <x:v>PDF pp. 2–8; Figs. 1–7</x:v>
      </x:c>
    </x:row>
    <x:row r="43">
      <x:c r="A43" s="9" t="str">
        <x:v>Risk</x:v>
      </x:c>
      <x:c r="B43" s="9" t="n">
        <x:v>16</x:v>
      </x:c>
      <x:c r="C43" s="9" t="str">
        <x:v>S020</x:v>
      </x:c>
      <x:c r="D43" s="9" t="str">
        <x:v>Langlois et al. (2021)</x:v>
      </x:c>
      <x:c r="E43" s="9" t="str">
        <x:v>D2</x:v>
      </x:c>
      <x:c r="F43" s="9" t="str">
        <x:v>Some concern</x:v>
      </x:c>
      <x:c r="G43" s="9" t="str">
        <x:v>High concern</x:v>
      </x:c>
      <x:c r="H43" s="9" t="str">
        <x:v>Some concern</x:v>
      </x:c>
      <x:c r="I43" s="9" t="str">
        <x:v>Adjudicated to Reviewer 1</x:v>
      </x:c>
      <x:c r="J43" s="9" t="str">
        <x:v>Study-specific limitations are recorded in the extraction and REB sheets.</x:v>
      </x:c>
      <x:c r="K43" s="9" t="str">
        <x:v>PDF pp. 5–14; Figs. 5–12</x:v>
      </x:c>
    </x:row>
    <x:row r="44">
      <x:c r="A44" s="9" t="str">
        <x:v>Risk</x:v>
      </x:c>
      <x:c r="B44" s="9" t="n">
        <x:v>16</x:v>
      </x:c>
      <x:c r="C44" s="9" t="str">
        <x:v>S020</x:v>
      </x:c>
      <x:c r="D44" s="9" t="str">
        <x:v>Langlois et al. (2021)</x:v>
      </x:c>
      <x:c r="E44" s="9" t="str">
        <x:v>D5</x:v>
      </x:c>
      <x:c r="F44" s="9" t="str">
        <x:v>Some concern</x:v>
      </x:c>
      <x:c r="G44" s="9" t="str">
        <x:v>Low concern</x:v>
      </x:c>
      <x:c r="H44" s="9" t="str">
        <x:v>Some concern</x:v>
      </x:c>
      <x:c r="I44" s="9" t="str">
        <x:v>Adjudicated to Reviewer 1</x:v>
      </x:c>
      <x:c r="J44" s="9" t="str">
        <x:v>Study-specific limitations are recorded in the extraction and REB sheets.</x:v>
      </x:c>
      <x:c r="K44" s="9" t="str">
        <x:v>PDF pp. 5–14; Figs. 5–12</x:v>
      </x:c>
    </x:row>
    <x:row r="45">
      <x:c r="A45" s="9" t="str">
        <x:v>Risk</x:v>
      </x:c>
      <x:c r="B45" s="9" t="n">
        <x:v>16</x:v>
      </x:c>
      <x:c r="C45" s="9" t="str">
        <x:v>S020</x:v>
      </x:c>
      <x:c r="D45" s="9" t="str">
        <x:v>Langlois et al. (2021)</x:v>
      </x:c>
      <x:c r="E45" s="9" t="str">
        <x:v>D6</x:v>
      </x:c>
      <x:c r="F45" s="9" t="str">
        <x:v>Low concern</x:v>
      </x:c>
      <x:c r="G45" s="9" t="str">
        <x:v>High concern</x:v>
      </x:c>
      <x:c r="H45" s="9" t="str">
        <x:v>Low concern</x:v>
      </x:c>
      <x:c r="I45" s="9" t="str">
        <x:v>Adjudicated to Reviewer 1</x:v>
      </x:c>
      <x:c r="J45" s="9" t="str">
        <x:v>At least three separately fabricated sensing units are compared quantitatively.</x:v>
      </x:c>
      <x:c r="K45" s="9" t="str">
        <x:v>PDF pp. 5–14; Figs. 5–12</x:v>
      </x:c>
    </x:row>
    <x:row r="46">
      <x:c r="A46" s="9" t="str">
        <x:v>Risk</x:v>
      </x:c>
      <x:c r="B46" s="9" t="n">
        <x:v>16</x:v>
      </x:c>
      <x:c r="C46" s="9" t="str">
        <x:v>S020</x:v>
      </x:c>
      <x:c r="D46" s="9" t="str">
        <x:v>Langlois et al. (2021)</x:v>
      </x:c>
      <x:c r="E46" s="9" t="str">
        <x:v>D7</x:v>
      </x:c>
      <x:c r="F46" s="9" t="str">
        <x:v>Low concern</x:v>
      </x:c>
      <x:c r="G46" s="9" t="str">
        <x:v>Some concern</x:v>
      </x:c>
      <x:c r="H46" s="9" t="str">
        <x:v>Low concern</x:v>
      </x:c>
      <x:c r="I46" s="9" t="str">
        <x:v>Adjudicated to Reviewer 1</x:v>
      </x:c>
      <x:c r="J46" s="9" t="str">
        <x:v>Reference/protocol and principal quantitative outcomes are reported.</x:v>
      </x:c>
      <x:c r="K46" s="9" t="str">
        <x:v>PDF pp. 5–14; Figs. 5–12</x:v>
      </x:c>
    </x:row>
    <x:row r="47">
      <x:c r="A47" s="9" t="str">
        <x:v>Risk</x:v>
      </x:c>
      <x:c r="B47" s="9" t="n">
        <x:v>16</x:v>
      </x:c>
      <x:c r="C47" s="9" t="str">
        <x:v>S020</x:v>
      </x:c>
      <x:c r="D47" s="9" t="str">
        <x:v>Langlois et al. (2021)</x:v>
      </x:c>
      <x:c r="E47" s="9" t="str">
        <x:v>D8</x:v>
      </x:c>
      <x:c r="F47" s="9" t="str">
        <x:v>Some concern</x:v>
      </x:c>
      <x:c r="G47" s="9" t="str">
        <x:v>Low concern</x:v>
      </x:c>
      <x:c r="H47" s="9" t="str">
        <x:v>Some concern</x:v>
      </x:c>
      <x:c r="I47" s="9" t="str">
        <x:v>Adjudicated to Reviewer 1</x:v>
      </x:c>
      <x:c r="J47" s="9" t="str">
        <x:v>Study-specific limitations are recorded in the extraction and REB sheets.</x:v>
      </x:c>
      <x:c r="K47" s="9" t="str">
        <x:v>PDF pp. 5–14; Figs. 5–12</x:v>
      </x:c>
    </x:row>
    <x:row r="48">
      <x:c r="A48" s="9" t="str">
        <x:v>Risk</x:v>
      </x:c>
      <x:c r="B48" s="9" t="n">
        <x:v>17</x:v>
      </x:c>
      <x:c r="C48" s="9" t="str">
        <x:v>S021</x:v>
      </x:c>
      <x:c r="D48" s="9" t="str">
        <x:v>Li et al. (2026)</x:v>
      </x:c>
      <x:c r="E48" s="9" t="str">
        <x:v>D1</x:v>
      </x:c>
      <x:c r="F48" s="9" t="str">
        <x:v>High concern</x:v>
      </x:c>
      <x:c r="G48" s="9" t="str">
        <x:v>Some concern</x:v>
      </x:c>
      <x:c r="H48" s="9" t="str">
        <x:v>High concern</x:v>
      </x:c>
      <x:c r="I48" s="9" t="str">
        <x:v>Adjudicated to Reviewer 1</x:v>
      </x:c>
      <x:c r="J48" s="9" t="str">
        <x:v>Human evaluation used one participant.</x:v>
      </x:c>
      <x:c r="K48" s="9" t="str">
        <x:v>PDF pp. 3–12; Figs. 1–8; Table 1</x:v>
      </x:c>
    </x:row>
    <x:row r="49">
      <x:c r="A49" s="9" t="str">
        <x:v>Risk</x:v>
      </x:c>
      <x:c r="B49" s="9" t="n">
        <x:v>17</x:v>
      </x:c>
      <x:c r="C49" s="9" t="str">
        <x:v>S021</x:v>
      </x:c>
      <x:c r="D49" s="9" t="str">
        <x:v>Li et al. (2026)</x:v>
      </x:c>
      <x:c r="E49" s="9" t="str">
        <x:v>D2</x:v>
      </x:c>
      <x:c r="F49" s="9" t="str">
        <x:v>Some concern</x:v>
      </x:c>
      <x:c r="G49" s="9" t="str">
        <x:v>High concern</x:v>
      </x:c>
      <x:c r="H49" s="9" t="str">
        <x:v>Some concern</x:v>
      </x:c>
      <x:c r="I49" s="9" t="str">
        <x:v>Adjudicated to Reviewer 1</x:v>
      </x:c>
      <x:c r="J49" s="9" t="str">
        <x:v>Study-specific limitations are recorded in the extraction and REB sheets.</x:v>
      </x:c>
      <x:c r="K49" s="9" t="str">
        <x:v>PDF pp. 3–12; Figs. 1–8; Table 1</x:v>
      </x:c>
    </x:row>
    <x:row r="50">
      <x:c r="A50" s="9" t="str">
        <x:v>Risk</x:v>
      </x:c>
      <x:c r="B50" s="9" t="n">
        <x:v>17</x:v>
      </x:c>
      <x:c r="C50" s="9" t="str">
        <x:v>S021</x:v>
      </x:c>
      <x:c r="D50" s="9" t="str">
        <x:v>Li et al. (2026)</x:v>
      </x:c>
      <x:c r="E50" s="9" t="str">
        <x:v>D5</x:v>
      </x:c>
      <x:c r="F50" s="9" t="str">
        <x:v>Some concern</x:v>
      </x:c>
      <x:c r="G50" s="9" t="str">
        <x:v>High concern</x:v>
      </x:c>
      <x:c r="H50" s="9" t="str">
        <x:v>Some concern</x:v>
      </x:c>
      <x:c r="I50" s="9" t="str">
        <x:v>Adjudicated to Reviewer 1</x:v>
      </x:c>
      <x:c r="J50" s="9" t="str">
        <x:v>Study-specific limitations are recorded in the extraction and REB sheets.</x:v>
      </x:c>
      <x:c r="K50" s="9" t="str">
        <x:v>PDF pp. 3–12; Figs. 1–8; Table 1</x:v>
      </x:c>
    </x:row>
    <x:row r="51">
      <x:c r="A51" s="9" t="str">
        <x:v>Risk</x:v>
      </x:c>
      <x:c r="B51" s="9" t="n">
        <x:v>17</x:v>
      </x:c>
      <x:c r="C51" s="9" t="str">
        <x:v>S021</x:v>
      </x:c>
      <x:c r="D51" s="9" t="str">
        <x:v>Li et al. (2026)</x:v>
      </x:c>
      <x:c r="E51" s="9" t="str">
        <x:v>D7</x:v>
      </x:c>
      <x:c r="F51" s="9" t="str">
        <x:v>Low concern</x:v>
      </x:c>
      <x:c r="G51" s="9" t="str">
        <x:v>Some concern</x:v>
      </x:c>
      <x:c r="H51" s="9" t="str">
        <x:v>Low concern</x:v>
      </x:c>
      <x:c r="I51" s="9" t="str">
        <x:v>Adjudicated to Reviewer 1</x:v>
      </x:c>
      <x:c r="J51" s="9" t="str">
        <x:v>Reference/protocol and principal quantitative outcomes are reported.</x:v>
      </x:c>
      <x:c r="K51" s="9" t="str">
        <x:v>PDF pp. 3–12; Figs. 1–8; Table 1</x:v>
      </x:c>
    </x:row>
    <x:row r="52">
      <x:c r="A52" s="9" t="str">
        <x:v>Risk</x:v>
      </x:c>
      <x:c r="B52" s="9" t="n">
        <x:v>17</x:v>
      </x:c>
      <x:c r="C52" s="9" t="str">
        <x:v>S021</x:v>
      </x:c>
      <x:c r="D52" s="9" t="str">
        <x:v>Li et al. (2026)</x:v>
      </x:c>
      <x:c r="E52" s="9" t="str">
        <x:v>D8</x:v>
      </x:c>
      <x:c r="F52" s="9" t="str">
        <x:v>Some concern</x:v>
      </x:c>
      <x:c r="G52" s="9" t="str">
        <x:v>Low concern</x:v>
      </x:c>
      <x:c r="H52" s="9" t="str">
        <x:v>Some concern</x:v>
      </x:c>
      <x:c r="I52" s="9" t="str">
        <x:v>Adjudicated to Reviewer 1</x:v>
      </x:c>
      <x:c r="J52" s="9" t="str">
        <x:v>Study-specific limitations are recorded in the extraction and REB sheets.</x:v>
      </x:c>
      <x:c r="K52" s="9" t="str">
        <x:v>PDF pp. 3–12; Figs. 1–8; Table 1</x:v>
      </x:c>
    </x:row>
    <x:row r="53">
      <x:c r="A53" s="9" t="str">
        <x:v>Risk</x:v>
      </x:c>
      <x:c r="B53" s="9" t="n">
        <x:v>18</x:v>
      </x:c>
      <x:c r="C53" s="9" t="str">
        <x:v>S022</x:v>
      </x:c>
      <x:c r="D53" s="9" t="str">
        <x:v>Yan et al. (2025)</x:v>
      </x:c>
      <x:c r="E53" s="9" t="str">
        <x:v>D2</x:v>
      </x:c>
      <x:c r="F53" s="9" t="str">
        <x:v>Some concern</x:v>
      </x:c>
      <x:c r="G53" s="9" t="str">
        <x:v>Low concern</x:v>
      </x:c>
      <x:c r="H53" s="9" t="str">
        <x:v>Some concern</x:v>
      </x:c>
      <x:c r="I53" s="9" t="str">
        <x:v>Adjudicated to Reviewer 1</x:v>
      </x:c>
      <x:c r="J53" s="9" t="str">
        <x:v>Study-specific limitations are recorded in the extraction and REB sheets.</x:v>
      </x:c>
      <x:c r="K53" s="9" t="str">
        <x:v>PDF pp. 1–9; Figs. 1–6; cited SI</x:v>
      </x:c>
    </x:row>
    <x:row r="54">
      <x:c r="A54" s="9" t="str">
        <x:v>Risk</x:v>
      </x:c>
      <x:c r="B54" s="9" t="n">
        <x:v>18</x:v>
      </x:c>
      <x:c r="C54" s="9" t="str">
        <x:v>S022</x:v>
      </x:c>
      <x:c r="D54" s="9" t="str">
        <x:v>Yan et al. (2025)</x:v>
      </x:c>
      <x:c r="E54" s="9" t="str">
        <x:v>D5</x:v>
      </x:c>
      <x:c r="F54" s="9" t="str">
        <x:v>Some concern</x:v>
      </x:c>
      <x:c r="G54" s="9" t="str">
        <x:v>Low concern</x:v>
      </x:c>
      <x:c r="H54" s="9" t="str">
        <x:v>Some concern</x:v>
      </x:c>
      <x:c r="I54" s="9" t="str">
        <x:v>Adjudicated to Reviewer 1</x:v>
      </x:c>
      <x:c r="J54" s="9" t="str">
        <x:v>Study-specific limitations are recorded in the extraction and REB sheets.</x:v>
      </x:c>
      <x:c r="K54" s="9" t="str">
        <x:v>PDF pp. 1–9; Figs. 1–6; cited SI</x:v>
      </x:c>
    </x:row>
    <x:row r="55">
      <x:c r="A55" s="9" t="str">
        <x:v>Risk</x:v>
      </x:c>
      <x:c r="B55" s="9" t="n">
        <x:v>18</x:v>
      </x:c>
      <x:c r="C55" s="9" t="str">
        <x:v>S022</x:v>
      </x:c>
      <x:c r="D55" s="9" t="str">
        <x:v>Yan et al. (2025)</x:v>
      </x:c>
      <x:c r="E55" s="9" t="str">
        <x:v>D7</x:v>
      </x:c>
      <x:c r="F55" s="9" t="str">
        <x:v>Low concern</x:v>
      </x:c>
      <x:c r="G55" s="9" t="str">
        <x:v>Some concern</x:v>
      </x:c>
      <x:c r="H55" s="9" t="str">
        <x:v>Low concern</x:v>
      </x:c>
      <x:c r="I55" s="9" t="str">
        <x:v>Adjudicated to Reviewer 1</x:v>
      </x:c>
      <x:c r="J55" s="9" t="str">
        <x:v>Reference/protocol and principal quantitative outcomes are reported.</x:v>
      </x:c>
      <x:c r="K55" s="9" t="str">
        <x:v>PDF pp. 1–9; Figs. 1–6; cited SI</x:v>
      </x:c>
    </x:row>
    <x:row r="56">
      <x:c r="A56" s="9" t="str">
        <x:v>Risk</x:v>
      </x:c>
      <x:c r="B56" s="9" t="n">
        <x:v>18</x:v>
      </x:c>
      <x:c r="C56" s="9" t="str">
        <x:v>S022</x:v>
      </x:c>
      <x:c r="D56" s="9" t="str">
        <x:v>Yan et al. (2025)</x:v>
      </x:c>
      <x:c r="E56" s="9" t="str">
        <x:v>D8</x:v>
      </x:c>
      <x:c r="F56" s="9" t="str">
        <x:v>Some concern</x:v>
      </x:c>
      <x:c r="G56" s="9" t="str">
        <x:v>Low concern</x:v>
      </x:c>
      <x:c r="H56" s="9" t="str">
        <x:v>Some concern</x:v>
      </x:c>
      <x:c r="I56" s="9" t="str">
        <x:v>Adjudicated to Reviewer 1</x:v>
      </x:c>
      <x:c r="J56" s="9" t="str">
        <x:v>Study-specific limitations are recorded in the extraction and REB sheets.</x:v>
      </x:c>
      <x:c r="K56" s="9" t="str">
        <x:v>PDF pp. 1–9; Figs. 1–6; cited SI</x:v>
      </x:c>
    </x:row>
    <x:row r="57">
      <x:c r="A57" s="9" t="str">
        <x:v>Risk</x:v>
      </x:c>
      <x:c r="B57" s="9" t="n">
        <x:v>19</x:v>
      </x:c>
      <x:c r="C57" s="9" t="str">
        <x:v>S023</x:v>
      </x:c>
      <x:c r="D57" s="9" t="str">
        <x:v>Salo et al. (2022)</x:v>
      </x:c>
      <x:c r="E57" s="9" t="str">
        <x:v>D1</x:v>
      </x:c>
      <x:c r="F57" s="9" t="str">
        <x:v>Some concern</x:v>
      </x:c>
      <x:c r="G57" s="9" t="str">
        <x:v>Low concern</x:v>
      </x:c>
      <x:c r="H57" s="9" t="str">
        <x:v>Some concern</x:v>
      </x:c>
      <x:c r="I57" s="9" t="str">
        <x:v>Adjudicated to Reviewer 1</x:v>
      </x:c>
      <x:c r="J57" s="9" t="str">
        <x:v>Study-specific limitations are recorded in the extraction and REB sheets.</x:v>
      </x:c>
      <x:c r="K57" s="9" t="str">
        <x:v>PDF pp. 3–16; Figs. 2–10; Tables 1–2</x:v>
      </x:c>
    </x:row>
    <x:row r="58">
      <x:c r="A58" s="9" t="str">
        <x:v>Risk</x:v>
      </x:c>
      <x:c r="B58" s="9" t="n">
        <x:v>19</x:v>
      </x:c>
      <x:c r="C58" s="9" t="str">
        <x:v>S023</x:v>
      </x:c>
      <x:c r="D58" s="9" t="str">
        <x:v>Salo et al. (2022)</x:v>
      </x:c>
      <x:c r="E58" s="9" t="str">
        <x:v>D2</x:v>
      </x:c>
      <x:c r="F58" s="9" t="str">
        <x:v>Some concern</x:v>
      </x:c>
      <x:c r="G58" s="9" t="str">
        <x:v>Low concern</x:v>
      </x:c>
      <x:c r="H58" s="9" t="str">
        <x:v>Some concern</x:v>
      </x:c>
      <x:c r="I58" s="9" t="str">
        <x:v>Adjudicated to Reviewer 1</x:v>
      </x:c>
      <x:c r="J58" s="9" t="str">
        <x:v>Study-specific limitations are recorded in the extraction and REB sheets.</x:v>
      </x:c>
      <x:c r="K58" s="9" t="str">
        <x:v>PDF pp. 3–16; Figs. 2–10; Tables 1–2</x:v>
      </x:c>
    </x:row>
    <x:row r="59">
      <x:c r="A59" s="9" t="str">
        <x:v>Risk</x:v>
      </x:c>
      <x:c r="B59" s="9" t="n">
        <x:v>19</x:v>
      </x:c>
      <x:c r="C59" s="9" t="str">
        <x:v>S023</x:v>
      </x:c>
      <x:c r="D59" s="9" t="str">
        <x:v>Salo et al. (2022)</x:v>
      </x:c>
      <x:c r="E59" s="9" t="str">
        <x:v>D5</x:v>
      </x:c>
      <x:c r="F59" s="9" t="str">
        <x:v>Some concern</x:v>
      </x:c>
      <x:c r="G59" s="9" t="str">
        <x:v>Low concern</x:v>
      </x:c>
      <x:c r="H59" s="9" t="str">
        <x:v>Some concern</x:v>
      </x:c>
      <x:c r="I59" s="9" t="str">
        <x:v>Adjudicated to Reviewer 1</x:v>
      </x:c>
      <x:c r="J59" s="9" t="str">
        <x:v>Study-specific limitations are recorded in the extraction and REB sheets.</x:v>
      </x:c>
      <x:c r="K59" s="9" t="str">
        <x:v>PDF pp. 3–16; Figs. 2–10; Tables 1–2</x:v>
      </x:c>
    </x:row>
    <x:row r="60">
      <x:c r="A60" s="9" t="str">
        <x:v>Risk</x:v>
      </x:c>
      <x:c r="B60" s="9" t="n">
        <x:v>20</x:v>
      </x:c>
      <x:c r="C60" s="9" t="str">
        <x:v>S024</x:v>
      </x:c>
      <x:c r="D60" s="9" t="str">
        <x:v>Han et al. (2026)</x:v>
      </x:c>
      <x:c r="E60" s="9" t="str">
        <x:v>D5</x:v>
      </x:c>
      <x:c r="F60" s="9" t="str">
        <x:v>Some concern</x:v>
      </x:c>
      <x:c r="G60" s="9" t="str">
        <x:v>Low concern</x:v>
      </x:c>
      <x:c r="H60" s="9" t="str">
        <x:v>Some concern</x:v>
      </x:c>
      <x:c r="I60" s="9" t="str">
        <x:v>Adjudicated to Reviewer 1</x:v>
      </x:c>
      <x:c r="J60" s="9" t="str">
        <x:v>Study-specific limitations are recorded in the extraction and REB sheets.</x:v>
      </x:c>
      <x:c r="K60" s="9" t="str">
        <x:v>PDF pp. 2–11; Figs. 1–6; cited SI</x:v>
      </x:c>
    </x:row>
    <x:row r="61">
      <x:c r="A61" s="9" t="str">
        <x:v>Risk</x:v>
      </x:c>
      <x:c r="B61" s="9" t="n">
        <x:v>20</x:v>
      </x:c>
      <x:c r="C61" s="9" t="str">
        <x:v>S024</x:v>
      </x:c>
      <x:c r="D61" s="9" t="str">
        <x:v>Han et al. (2026)</x:v>
      </x:c>
      <x:c r="E61" s="9" t="str">
        <x:v>D7</x:v>
      </x:c>
      <x:c r="F61" s="9" t="str">
        <x:v>Low concern</x:v>
      </x:c>
      <x:c r="G61" s="9" t="str">
        <x:v>Some concern</x:v>
      </x:c>
      <x:c r="H61" s="9" t="str">
        <x:v>Low concern</x:v>
      </x:c>
      <x:c r="I61" s="9" t="str">
        <x:v>Adjudicated to Reviewer 1</x:v>
      </x:c>
      <x:c r="J61" s="9" t="str">
        <x:v>Reference/protocol and principal quantitative outcomes are reported.</x:v>
      </x:c>
      <x:c r="K61" s="9" t="str">
        <x:v>PDF pp. 2–11; Figs. 1–6; cited SI</x:v>
      </x:c>
    </x:row>
    <x:row r="62">
      <x:c r="A62" s="9" t="str">
        <x:v>Risk</x:v>
      </x:c>
      <x:c r="B62" s="9" t="n">
        <x:v>20</x:v>
      </x:c>
      <x:c r="C62" s="9" t="str">
        <x:v>S024</x:v>
      </x:c>
      <x:c r="D62" s="9" t="str">
        <x:v>Han et al. (2026)</x:v>
      </x:c>
      <x:c r="E62" s="9" t="str">
        <x:v>D8</x:v>
      </x:c>
      <x:c r="F62" s="9" t="str">
        <x:v>Some concern</x:v>
      </x:c>
      <x:c r="G62" s="9" t="str">
        <x:v>Low concern</x:v>
      </x:c>
      <x:c r="H62" s="9" t="str">
        <x:v>Some concern</x:v>
      </x:c>
      <x:c r="I62" s="9" t="str">
        <x:v>Adjudicated to Reviewer 1</x:v>
      </x:c>
      <x:c r="J62" s="9" t="str">
        <x:v>Study-specific limitations are recorded in the extraction and REB sheets.</x:v>
      </x:c>
      <x:c r="K62" s="9" t="str">
        <x:v>PDF pp. 2–11; Figs. 1–6; cited SI</x:v>
      </x:c>
    </x:row>
    <x:row r="63">
      <x:c r="A63" s="9" t="str">
        <x:v>Risk</x:v>
      </x:c>
      <x:c r="B63" s="9" t="n">
        <x:v>21</x:v>
      </x:c>
      <x:c r="C63" s="9" t="str">
        <x:v>S025</x:v>
      </x:c>
      <x:c r="D63" s="9" t="str">
        <x:v>Wei et al. (2026)</x:v>
      </x:c>
      <x:c r="E63" s="9" t="str">
        <x:v>D5</x:v>
      </x:c>
      <x:c r="F63" s="9" t="str">
        <x:v>Some concern</x:v>
      </x:c>
      <x:c r="G63" s="9" t="str">
        <x:v>Low concern</x:v>
      </x:c>
      <x:c r="H63" s="9" t="str">
        <x:v>Some concern</x:v>
      </x:c>
      <x:c r="I63" s="9" t="str">
        <x:v>Adjudicated to Reviewer 1</x:v>
      </x:c>
      <x:c r="J63" s="9" t="str">
        <x:v>Study-specific limitations are recorded in the extraction and REB sheets.</x:v>
      </x:c>
      <x:c r="K63" s="9" t="str">
        <x:v>PDF pp. 2–10; Figs. 1–6; Table 1; cited SI</x:v>
      </x:c>
    </x:row>
    <x:row r="64">
      <x:c r="A64" s="9" t="str">
        <x:v>Risk</x:v>
      </x:c>
      <x:c r="B64" s="9" t="n">
        <x:v>22</x:v>
      </x:c>
      <x:c r="C64" s="9" t="str">
        <x:v>S028</x:v>
      </x:c>
      <x:c r="D64" s="9" t="str">
        <x:v>Gothard et al. (2023)</x:v>
      </x:c>
      <x:c r="E64" s="9" t="str">
        <x:v>D1</x:v>
      </x:c>
      <x:c r="F64" s="9" t="str">
        <x:v>Some concern</x:v>
      </x:c>
      <x:c r="G64" s="9" t="str">
        <x:v>Low concern</x:v>
      </x:c>
      <x:c r="H64" s="9" t="str">
        <x:v>Some concern</x:v>
      </x:c>
      <x:c r="I64" s="9" t="str">
        <x:v>Adjudicated to Reviewer 1</x:v>
      </x:c>
      <x:c r="J64" s="9" t="str">
        <x:v>Study-specific limitations are recorded in the extraction and REB sheets.</x:v>
      </x:c>
      <x:c r="K64" s="9" t="str">
        <x:v>PDF pp. 4–17; Figs. 1–10; Tables 1–4</x:v>
      </x:c>
    </x:row>
    <x:row r="65">
      <x:c r="A65" s="9" t="str">
        <x:v>Risk</x:v>
      </x:c>
      <x:c r="B65" s="9" t="n">
        <x:v>22</x:v>
      </x:c>
      <x:c r="C65" s="9" t="str">
        <x:v>S028</x:v>
      </x:c>
      <x:c r="D65" s="9" t="str">
        <x:v>Gothard et al. (2023)</x:v>
      </x:c>
      <x:c r="E65" s="9" t="str">
        <x:v>D2</x:v>
      </x:c>
      <x:c r="F65" s="9" t="str">
        <x:v>Some concern</x:v>
      </x:c>
      <x:c r="G65" s="9" t="str">
        <x:v>Low concern</x:v>
      </x:c>
      <x:c r="H65" s="9" t="str">
        <x:v>Some concern</x:v>
      </x:c>
      <x:c r="I65" s="9" t="str">
        <x:v>Adjudicated to Reviewer 1</x:v>
      </x:c>
      <x:c r="J65" s="9" t="str">
        <x:v>Study-specific limitations are recorded in the extraction and REB sheets.</x:v>
      </x:c>
      <x:c r="K65" s="9" t="str">
        <x:v>PDF pp. 4–17; Figs. 1–10; Tables 1–4</x:v>
      </x:c>
    </x:row>
    <x:row r="66">
      <x:c r="A66" s="9" t="str">
        <x:v>Risk</x:v>
      </x:c>
      <x:c r="B66" s="9" t="n">
        <x:v>22</x:v>
      </x:c>
      <x:c r="C66" s="9" t="str">
        <x:v>S028</x:v>
      </x:c>
      <x:c r="D66" s="9" t="str">
        <x:v>Gothard et al. (2023)</x:v>
      </x:c>
      <x:c r="E66" s="9" t="str">
        <x:v>D5</x:v>
      </x:c>
      <x:c r="F66" s="9" t="str">
        <x:v>Some concern</x:v>
      </x:c>
      <x:c r="G66" s="9" t="str">
        <x:v>Low concern</x:v>
      </x:c>
      <x:c r="H66" s="9" t="str">
        <x:v>Some concern</x:v>
      </x:c>
      <x:c r="I66" s="9" t="str">
        <x:v>Adjudicated to Reviewer 1</x:v>
      </x:c>
      <x:c r="J66" s="9" t="str">
        <x:v>Study-specific limitations are recorded in the extraction and REB sheets.</x:v>
      </x:c>
      <x:c r="K66" s="9" t="str">
        <x:v>PDF pp. 4–17; Figs. 1–10; Tables 1–4</x:v>
      </x:c>
    </x:row>
    <x:row r="67">
      <x:c r="A67" s="9" t="str">
        <x:v>Risk</x:v>
      </x:c>
      <x:c r="B67" s="9" t="n">
        <x:v>23</x:v>
      </x:c>
      <x:c r="C67" s="9" t="str">
        <x:v>S029</x:v>
      </x:c>
      <x:c r="D67" s="9" t="str">
        <x:v>Özkurt et al. (2026)</x:v>
      </x:c>
      <x:c r="E67" s="9" t="str">
        <x:v>D2</x:v>
      </x:c>
      <x:c r="F67" s="9" t="str">
        <x:v>Some concern</x:v>
      </x:c>
      <x:c r="G67" s="9" t="str">
        <x:v>Low concern</x:v>
      </x:c>
      <x:c r="H67" s="9" t="str">
        <x:v>Some concern</x:v>
      </x:c>
      <x:c r="I67" s="9" t="str">
        <x:v>Adjudicated to Reviewer 1</x:v>
      </x:c>
      <x:c r="J67" s="9" t="str">
        <x:v>Study-specific limitations are recorded in the extraction and REB sheets.</x:v>
      </x:c>
      <x:c r="K67" s="9" t="str">
        <x:v>PDF pp. 4–23; Figs. 3–17; Tables 2–7</x:v>
      </x:c>
    </x:row>
    <x:row r="68">
      <x:c r="A68" s="9" t="str">
        <x:v>Risk</x:v>
      </x:c>
      <x:c r="B68" s="9" t="n">
        <x:v>23</x:v>
      </x:c>
      <x:c r="C68" s="9" t="str">
        <x:v>S029</x:v>
      </x:c>
      <x:c r="D68" s="9" t="str">
        <x:v>Özkurt et al. (2026)</x:v>
      </x:c>
      <x:c r="E68" s="9" t="str">
        <x:v>D5</x:v>
      </x:c>
      <x:c r="F68" s="9" t="str">
        <x:v>Some concern</x:v>
      </x:c>
      <x:c r="G68" s="9" t="str">
        <x:v>Low concern</x:v>
      </x:c>
      <x:c r="H68" s="9" t="str">
        <x:v>Some concern</x:v>
      </x:c>
      <x:c r="I68" s="9" t="str">
        <x:v>Adjudicated to Reviewer 1</x:v>
      </x:c>
      <x:c r="J68" s="9" t="str">
        <x:v>Study-specific limitations are recorded in the extraction and REB sheets.</x:v>
      </x:c>
      <x:c r="K68" s="9" t="str">
        <x:v>PDF pp. 4–23; Figs. 3–17; Tables 2–7</x:v>
      </x:c>
    </x:row>
    <x:row r="69">
      <x:c r="A69" s="9" t="str">
        <x:v>Risk</x:v>
      </x:c>
      <x:c r="B69" s="9" t="n">
        <x:v>23</x:v>
      </x:c>
      <x:c r="C69" s="9" t="str">
        <x:v>S029</x:v>
      </x:c>
      <x:c r="D69" s="9" t="str">
        <x:v>Özkurt et al. (2026)</x:v>
      </x:c>
      <x:c r="E69" s="9" t="str">
        <x:v>D6</x:v>
      </x:c>
      <x:c r="F69" s="9" t="str">
        <x:v>Low concern</x:v>
      </x:c>
      <x:c r="G69" s="9" t="str">
        <x:v>High concern</x:v>
      </x:c>
      <x:c r="H69" s="9" t="str">
        <x:v>Low concern</x:v>
      </x:c>
      <x:c r="I69" s="9" t="str">
        <x:v>Adjudicated to Reviewer 1</x:v>
      </x:c>
      <x:c r="J69" s="9" t="str">
        <x:v>At least three separately fabricated sensing units were compared quantitatively.</x:v>
      </x:c>
      <x:c r="K69" s="9" t="str">
        <x:v>PDF pp. 4–23; Figs. 3–17; Tables 2–7</x:v>
      </x:c>
    </x:row>
    <x:row r="70">
      <x:c r="A70" s="9" t="str">
        <x:v>Risk</x:v>
      </x:c>
      <x:c r="B70" s="9" t="n">
        <x:v>23</x:v>
      </x:c>
      <x:c r="C70" s="9" t="str">
        <x:v>S029</x:v>
      </x:c>
      <x:c r="D70" s="9" t="str">
        <x:v>Özkurt et al. (2026)</x:v>
      </x:c>
      <x:c r="E70" s="9" t="str">
        <x:v>D8</x:v>
      </x:c>
      <x:c r="F70" s="9" t="str">
        <x:v>Some concern</x:v>
      </x:c>
      <x:c r="G70" s="9" t="str">
        <x:v>Low concern</x:v>
      </x:c>
      <x:c r="H70" s="9" t="str">
        <x:v>Some concern</x:v>
      </x:c>
      <x:c r="I70" s="9" t="str">
        <x:v>Adjudicated to Reviewer 1</x:v>
      </x:c>
      <x:c r="J70" s="9" t="str">
        <x:v>Study-specific limitations are recorded in the extraction and REB sheets.</x:v>
      </x:c>
      <x:c r="K70" s="9" t="str">
        <x:v>PDF pp. 4–23; Figs. 3–17; Tables 2–7</x:v>
      </x:c>
    </x:row>
    <x:row r="71">
      <x:c r="A71" s="9" t="str">
        <x:v>Risk</x:v>
      </x:c>
      <x:c r="B71" s="9" t="n">
        <x:v>24</x:v>
      </x:c>
      <x:c r="C71" s="9" t="str">
        <x:v>S031</x:v>
      </x:c>
      <x:c r="D71" s="9" t="str">
        <x:v>Rivera et al. (2022)</x:v>
      </x:c>
      <x:c r="E71" s="9" t="str">
        <x:v>D1</x:v>
      </x:c>
      <x:c r="F71" s="9" t="str">
        <x:v>High concern</x:v>
      </x:c>
      <x:c r="G71" s="9" t="str">
        <x:v>Some concern</x:v>
      </x:c>
      <x:c r="H71" s="9" t="str">
        <x:v>High concern</x:v>
      </x:c>
      <x:c r="I71" s="9" t="str">
        <x:v>Adjudicated to Reviewer 1</x:v>
      </x:c>
      <x:c r="J71" s="9" t="str">
        <x:v>Human sample was small and not described as prospectively powered.</x:v>
      </x:c>
      <x:c r="K71" s="9" t="str">
        <x:v>PDF pp. 3–12; Figs. 1–9; Tables 1–3; Appendix A</x:v>
      </x:c>
    </x:row>
    <x:row r="72">
      <x:c r="A72" s="9" t="str">
        <x:v>Risk</x:v>
      </x:c>
      <x:c r="B72" s="9" t="n">
        <x:v>24</x:v>
      </x:c>
      <x:c r="C72" s="9" t="str">
        <x:v>S031</x:v>
      </x:c>
      <x:c r="D72" s="9" t="str">
        <x:v>Rivera et al. (2022)</x:v>
      </x:c>
      <x:c r="E72" s="9" t="str">
        <x:v>D2</x:v>
      </x:c>
      <x:c r="F72" s="9" t="str">
        <x:v>Some concern</x:v>
      </x:c>
      <x:c r="G72" s="9" t="str">
        <x:v>High concern</x:v>
      </x:c>
      <x:c r="H72" s="9" t="str">
        <x:v>Some concern</x:v>
      </x:c>
      <x:c r="I72" s="9" t="str">
        <x:v>Adjudicated to Reviewer 1</x:v>
      </x:c>
      <x:c r="J72" s="9" t="str">
        <x:v>Study-specific limitations are recorded in the extraction and REB sheets.</x:v>
      </x:c>
      <x:c r="K72" s="9" t="str">
        <x:v>PDF pp. 3–12; Figs. 1–9; Tables 1–3; Appendix A</x:v>
      </x:c>
    </x:row>
    <x:row r="73">
      <x:c r="A73" s="9" t="str">
        <x:v>Risk</x:v>
      </x:c>
      <x:c r="B73" s="9" t="n">
        <x:v>24</x:v>
      </x:c>
      <x:c r="C73" s="9" t="str">
        <x:v>S031</x:v>
      </x:c>
      <x:c r="D73" s="9" t="str">
        <x:v>Rivera et al. (2022)</x:v>
      </x:c>
      <x:c r="E73" s="9" t="str">
        <x:v>D5</x:v>
      </x:c>
      <x:c r="F73" s="9" t="str">
        <x:v>Some concern</x:v>
      </x:c>
      <x:c r="G73" s="9" t="str">
        <x:v>High concern</x:v>
      </x:c>
      <x:c r="H73" s="9" t="str">
        <x:v>Some concern</x:v>
      </x:c>
      <x:c r="I73" s="9" t="str">
        <x:v>Adjudicated to Reviewer 1</x:v>
      </x:c>
      <x:c r="J73" s="9" t="str">
        <x:v>Study-specific limitations are recorded in the extraction and REB sheets.</x:v>
      </x:c>
      <x:c r="K73" s="9" t="str">
        <x:v>PDF pp. 3–12; Figs. 1–9; Tables 1–3; Appendix A</x:v>
      </x:c>
    </x:row>
    <x:row r="74">
      <x:c r="A74" s="9" t="str">
        <x:v>Risk</x:v>
      </x:c>
      <x:c r="B74" s="9" t="n">
        <x:v>24</x:v>
      </x:c>
      <x:c r="C74" s="9" t="str">
        <x:v>S031</x:v>
      </x:c>
      <x:c r="D74" s="9" t="str">
        <x:v>Rivera et al. (2022)</x:v>
      </x:c>
      <x:c r="E74" s="9" t="str">
        <x:v>D7</x:v>
      </x:c>
      <x:c r="F74" s="9" t="str">
        <x:v>Low concern</x:v>
      </x:c>
      <x:c r="G74" s="9" t="str">
        <x:v>Some concern</x:v>
      </x:c>
      <x:c r="H74" s="9" t="str">
        <x:v>Low concern</x:v>
      </x:c>
      <x:c r="I74" s="9" t="str">
        <x:v>Adjudicated to Reviewer 1</x:v>
      </x:c>
      <x:c r="J74" s="9" t="str">
        <x:v>Reference/protocol and principal quantitative outcomes are reported.</x:v>
      </x:c>
      <x:c r="K74" s="9" t="str">
        <x:v>PDF pp. 3–12; Figs. 1–9; Tables 1–3; Appendix A</x:v>
      </x:c>
    </x:row>
    <x:row r="75">
      <x:c r="A75" s="9" t="str">
        <x:v>Risk</x:v>
      </x:c>
      <x:c r="B75" s="9" t="n">
        <x:v>24</x:v>
      </x:c>
      <x:c r="C75" s="9" t="str">
        <x:v>S031</x:v>
      </x:c>
      <x:c r="D75" s="9" t="str">
        <x:v>Rivera et al. (2022)</x:v>
      </x:c>
      <x:c r="E75" s="9" t="str">
        <x:v>D8</x:v>
      </x:c>
      <x:c r="F75" s="9" t="str">
        <x:v>Some concern</x:v>
      </x:c>
      <x:c r="G75" s="9" t="str">
        <x:v>Low concern</x:v>
      </x:c>
      <x:c r="H75" s="9" t="str">
        <x:v>Some concern</x:v>
      </x:c>
      <x:c r="I75" s="9" t="str">
        <x:v>Adjudicated to Reviewer 1</x:v>
      </x:c>
      <x:c r="J75" s="9" t="str">
        <x:v>Study-specific limitations are recorded in the extraction and REB sheets.</x:v>
      </x:c>
      <x:c r="K75" s="9" t="str">
        <x:v>PDF pp. 3–12; Figs. 1–9; Tables 1–3; Appendix A</x:v>
      </x:c>
    </x:row>
    <x:row r="76">
      <x:c r="A76" s="9" t="str">
        <x:v>Risk</x:v>
      </x:c>
      <x:c r="B76" s="9" t="n">
        <x:v>25</x:v>
      </x:c>
      <x:c r="C76" s="9" t="str">
        <x:v>S032</x:v>
      </x:c>
      <x:c r="D76" s="9" t="str">
        <x:v>Liu et al. (2021)</x:v>
      </x:c>
      <x:c r="E76" s="9" t="str">
        <x:v>D1</x:v>
      </x:c>
      <x:c r="F76" s="9" t="str">
        <x:v>High concern</x:v>
      </x:c>
      <x:c r="G76" s="9" t="str">
        <x:v>Some concern</x:v>
      </x:c>
      <x:c r="H76" s="9" t="str">
        <x:v>High concern</x:v>
      </x:c>
      <x:c r="I76" s="9" t="str">
        <x:v>Adjudicated to Reviewer 1</x:v>
      </x:c>
      <x:c r="J76" s="9" t="str">
        <x:v>Human sample was small and not described as prospectively powered.</x:v>
      </x:c>
      <x:c r="K76" s="9" t="str">
        <x:v>PDF pp. 3–10; Figs. 1–8</x:v>
      </x:c>
    </x:row>
    <x:row r="77">
      <x:c r="A77" s="9" t="str">
        <x:v>Risk</x:v>
      </x:c>
      <x:c r="B77" s="9" t="n">
        <x:v>25</x:v>
      </x:c>
      <x:c r="C77" s="9" t="str">
        <x:v>S032</x:v>
      </x:c>
      <x:c r="D77" s="9" t="str">
        <x:v>Liu et al. (2021)</x:v>
      </x:c>
      <x:c r="E77" s="9" t="str">
        <x:v>D2</x:v>
      </x:c>
      <x:c r="F77" s="9" t="str">
        <x:v>Some concern</x:v>
      </x:c>
      <x:c r="G77" s="9" t="str">
        <x:v>High concern</x:v>
      </x:c>
      <x:c r="H77" s="9" t="str">
        <x:v>Some concern</x:v>
      </x:c>
      <x:c r="I77" s="9" t="str">
        <x:v>Adjudicated to Reviewer 1</x:v>
      </x:c>
      <x:c r="J77" s="9" t="str">
        <x:v>Study-specific limitations are recorded in the extraction and REB sheets.</x:v>
      </x:c>
      <x:c r="K77" s="9" t="str">
        <x:v>PDF pp. 3–10; Figs. 1–8</x:v>
      </x:c>
    </x:row>
    <x:row r="78">
      <x:c r="A78" s="9" t="str">
        <x:v>Risk</x:v>
      </x:c>
      <x:c r="B78" s="9" t="n">
        <x:v>25</x:v>
      </x:c>
      <x:c r="C78" s="9" t="str">
        <x:v>S032</x:v>
      </x:c>
      <x:c r="D78" s="9" t="str">
        <x:v>Liu et al. (2021)</x:v>
      </x:c>
      <x:c r="E78" s="9" t="str">
        <x:v>D5</x:v>
      </x:c>
      <x:c r="F78" s="9" t="str">
        <x:v>Some concern</x:v>
      </x:c>
      <x:c r="G78" s="9" t="str">
        <x:v>High concern</x:v>
      </x:c>
      <x:c r="H78" s="9" t="str">
        <x:v>Some concern</x:v>
      </x:c>
      <x:c r="I78" s="9" t="str">
        <x:v>Adjudicated to Reviewer 1</x:v>
      </x:c>
      <x:c r="J78" s="9" t="str">
        <x:v>Study-specific limitations are recorded in the extraction and REB sheets.</x:v>
      </x:c>
      <x:c r="K78" s="9" t="str">
        <x:v>PDF pp. 3–10; Figs. 1–8</x:v>
      </x:c>
    </x:row>
    <x:row r="79">
      <x:c r="A79" s="9" t="str">
        <x:v>Risk</x:v>
      </x:c>
      <x:c r="B79" s="9" t="n">
        <x:v>25</x:v>
      </x:c>
      <x:c r="C79" s="9" t="str">
        <x:v>S032</x:v>
      </x:c>
      <x:c r="D79" s="9" t="str">
        <x:v>Liu et al. (2021)</x:v>
      </x:c>
      <x:c r="E79" s="9" t="str">
        <x:v>D7</x:v>
      </x:c>
      <x:c r="F79" s="9" t="str">
        <x:v>Low concern</x:v>
      </x:c>
      <x:c r="G79" s="9" t="str">
        <x:v>Some concern</x:v>
      </x:c>
      <x:c r="H79" s="9" t="str">
        <x:v>Low concern</x:v>
      </x:c>
      <x:c r="I79" s="9" t="str">
        <x:v>Adjudicated to Reviewer 1</x:v>
      </x:c>
      <x:c r="J79" s="9" t="str">
        <x:v>Reference/protocol and principal quantitative outcomes are reported.</x:v>
      </x:c>
      <x:c r="K79" s="9" t="str">
        <x:v>PDF pp. 3–10; Figs. 1–8</x:v>
      </x:c>
    </x:row>
    <x:row r="80">
      <x:c r="A80" s="9" t="str">
        <x:v>Risk</x:v>
      </x:c>
      <x:c r="B80" s="9" t="n">
        <x:v>25</x:v>
      </x:c>
      <x:c r="C80" s="9" t="str">
        <x:v>S032</x:v>
      </x:c>
      <x:c r="D80" s="9" t="str">
        <x:v>Liu et al. (2021)</x:v>
      </x:c>
      <x:c r="E80" s="9" t="str">
        <x:v>D8</x:v>
      </x:c>
      <x:c r="F80" s="9" t="str">
        <x:v>Some concern</x:v>
      </x:c>
      <x:c r="G80" s="9" t="str">
        <x:v>Low concern</x:v>
      </x:c>
      <x:c r="H80" s="9" t="str">
        <x:v>Some concern</x:v>
      </x:c>
      <x:c r="I80" s="9" t="str">
        <x:v>Adjudicated to Reviewer 1</x:v>
      </x:c>
      <x:c r="J80" s="9" t="str">
        <x:v>Study-specific limitations are recorded in the extraction and REB sheets.</x:v>
      </x:c>
      <x:c r="K80" s="9" t="str">
        <x:v>PDF pp. 3–10; Figs. 1–8</x:v>
      </x:c>
    </x:row>
    <x:row r="81">
      <x:c r="A81" s="9" t="str">
        <x:v>Risk</x:v>
      </x:c>
      <x:c r="B81" s="9" t="n">
        <x:v>26</x:v>
      </x:c>
      <x:c r="C81" s="9" t="str">
        <x:v>S033</x:v>
      </x:c>
      <x:c r="D81" s="9" t="str">
        <x:v>Yu et al. (2020)</x:v>
      </x:c>
      <x:c r="E81" s="9" t="str">
        <x:v>D2</x:v>
      </x:c>
      <x:c r="F81" s="9" t="str">
        <x:v>Some concern</x:v>
      </x:c>
      <x:c r="G81" s="9" t="str">
        <x:v>High concern</x:v>
      </x:c>
      <x:c r="H81" s="9" t="str">
        <x:v>Some concern</x:v>
      </x:c>
      <x:c r="I81" s="9" t="str">
        <x:v>Adjudicated to Reviewer 1</x:v>
      </x:c>
      <x:c r="J81" s="9" t="str">
        <x:v>Study-specific limitations are recorded in the extraction and REB sheets.</x:v>
      </x:c>
      <x:c r="K81" s="9" t="str">
        <x:v>PDF pp. 2–7; Figs. 1–5; cited SI</x:v>
      </x:c>
    </x:row>
    <x:row r="82">
      <x:c r="A82" s="9" t="str">
        <x:v>Risk</x:v>
      </x:c>
      <x:c r="B82" s="9" t="n">
        <x:v>26</x:v>
      </x:c>
      <x:c r="C82" s="9" t="str">
        <x:v>S033</x:v>
      </x:c>
      <x:c r="D82" s="9" t="str">
        <x:v>Yu et al. (2020)</x:v>
      </x:c>
      <x:c r="E82" s="9" t="str">
        <x:v>D5</x:v>
      </x:c>
      <x:c r="F82" s="9" t="str">
        <x:v>Some concern</x:v>
      </x:c>
      <x:c r="G82" s="9" t="str">
        <x:v>Low concern</x:v>
      </x:c>
      <x:c r="H82" s="9" t="str">
        <x:v>Some concern</x:v>
      </x:c>
      <x:c r="I82" s="9" t="str">
        <x:v>Adjudicated to Reviewer 1</x:v>
      </x:c>
      <x:c r="J82" s="9" t="str">
        <x:v>Study-specific limitations are recorded in the extraction and REB sheets.</x:v>
      </x:c>
      <x:c r="K82" s="9" t="str">
        <x:v>PDF pp. 2–7; Figs. 1–5; cited SI</x:v>
      </x:c>
    </x:row>
    <x:row r="83">
      <x:c r="A83" s="9" t="str">
        <x:v>Risk</x:v>
      </x:c>
      <x:c r="B83" s="9" t="n">
        <x:v>26</x:v>
      </x:c>
      <x:c r="C83" s="9" t="str">
        <x:v>S033</x:v>
      </x:c>
      <x:c r="D83" s="9" t="str">
        <x:v>Yu et al. (2020)</x:v>
      </x:c>
      <x:c r="E83" s="9" t="str">
        <x:v>D7</x:v>
      </x:c>
      <x:c r="F83" s="9" t="str">
        <x:v>Low concern</x:v>
      </x:c>
      <x:c r="G83" s="9" t="str">
        <x:v>Some concern</x:v>
      </x:c>
      <x:c r="H83" s="9" t="str">
        <x:v>Low concern</x:v>
      </x:c>
      <x:c r="I83" s="9" t="str">
        <x:v>Adjudicated to Reviewer 1</x:v>
      </x:c>
      <x:c r="J83" s="9" t="str">
        <x:v>Reference/protocol and principal quantitative outcomes are reported.</x:v>
      </x:c>
      <x:c r="K83" s="9" t="str">
        <x:v>PDF pp. 2–7; Figs. 1–5; cited SI</x:v>
      </x:c>
    </x:row>
    <x:row r="84">
      <x:c r="A84" s="9" t="str">
        <x:v>Risk</x:v>
      </x:c>
      <x:c r="B84" s="9" t="n">
        <x:v>26</x:v>
      </x:c>
      <x:c r="C84" s="9" t="str">
        <x:v>S033</x:v>
      </x:c>
      <x:c r="D84" s="9" t="str">
        <x:v>Yu et al. (2020)</x:v>
      </x:c>
      <x:c r="E84" s="9" t="str">
        <x:v>D8</x:v>
      </x:c>
      <x:c r="F84" s="9" t="str">
        <x:v>Some concern</x:v>
      </x:c>
      <x:c r="G84" s="9" t="str">
        <x:v>Low concern</x:v>
      </x:c>
      <x:c r="H84" s="9" t="str">
        <x:v>Some concern</x:v>
      </x:c>
      <x:c r="I84" s="9" t="str">
        <x:v>Adjudicated to Reviewer 1</x:v>
      </x:c>
      <x:c r="J84" s="9" t="str">
        <x:v>Study-specific limitations are recorded in the extraction and REB sheets.</x:v>
      </x:c>
      <x:c r="K84" s="9" t="str">
        <x:v>PDF pp. 2–7; Figs. 1–5; cited SI</x:v>
      </x:c>
    </x:row>
    <x:row r="85">
      <x:c r="A85" s="9" t="str">
        <x:v>Risk</x:v>
      </x:c>
      <x:c r="B85" s="9" t="n">
        <x:v>27</x:v>
      </x:c>
      <x:c r="C85" s="9" t="str">
        <x:v>S034</x:v>
      </x:c>
      <x:c r="D85" s="9" t="str">
        <x:v>Zhang et al. (2026)</x:v>
      </x:c>
      <x:c r="E85" s="9" t="str">
        <x:v>D5</x:v>
      </x:c>
      <x:c r="F85" s="9" t="str">
        <x:v>Some concern</x:v>
      </x:c>
      <x:c r="G85" s="9" t="str">
        <x:v>Low concern</x:v>
      </x:c>
      <x:c r="H85" s="9" t="str">
        <x:v>Some concern</x:v>
      </x:c>
      <x:c r="I85" s="9" t="str">
        <x:v>Adjudicated to Reviewer 1</x:v>
      </x:c>
      <x:c r="J85" s="9" t="str">
        <x:v>Study-specific limitations are recorded in the extraction and REB sheets.</x:v>
      </x:c>
      <x:c r="K85" s="9" t="str">
        <x:v>PDF pp. 2–9; Figs. 1–5; cited SI</x:v>
      </x:c>
    </x:row>
    <x:row r="86">
      <x:c r="A86" s="9" t="str">
        <x:v>Risk</x:v>
      </x:c>
      <x:c r="B86" s="9" t="n">
        <x:v>27</x:v>
      </x:c>
      <x:c r="C86" s="9" t="str">
        <x:v>S034</x:v>
      </x:c>
      <x:c r="D86" s="9" t="str">
        <x:v>Zhang et al. (2026)</x:v>
      </x:c>
      <x:c r="E86" s="9" t="str">
        <x:v>D6</x:v>
      </x:c>
      <x:c r="F86" s="9" t="str">
        <x:v>Low concern</x:v>
      </x:c>
      <x:c r="G86" s="9" t="str">
        <x:v>High concern</x:v>
      </x:c>
      <x:c r="H86" s="9" t="str">
        <x:v>Low concern</x:v>
      </x:c>
      <x:c r="I86" s="9" t="str">
        <x:v>Adjudicated to Reviewer 1</x:v>
      </x:c>
      <x:c r="J86" s="9" t="str">
        <x:v>At least three separately fabricated sensing units were compared quantitatively.</x:v>
      </x:c>
      <x:c r="K86" s="9" t="str">
        <x:v>PDF pp. 2–9; Figs. 1–5; cited SI</x:v>
      </x:c>
    </x:row>
    <x:row r="87">
      <x:c r="A87" s="9" t="str">
        <x:v>Risk</x:v>
      </x:c>
      <x:c r="B87" s="9" t="n">
        <x:v>28</x:v>
      </x:c>
      <x:c r="C87" s="9" t="str">
        <x:v>S035</x:v>
      </x:c>
      <x:c r="D87" s="9" t="str">
        <x:v>Katseli et al. (2021)</x:v>
      </x:c>
      <x:c r="E87" s="9" t="str">
        <x:v>D1</x:v>
      </x:c>
      <x:c r="F87" s="9" t="str">
        <x:v>High concern</x:v>
      </x:c>
      <x:c r="G87" s="9" t="str">
        <x:v>Some concern</x:v>
      </x:c>
      <x:c r="H87" s="9" t="str">
        <x:v>High concern</x:v>
      </x:c>
      <x:c r="I87" s="9" t="str">
        <x:v>Adjudicated to Reviewer 1</x:v>
      </x:c>
      <x:c r="J87" s="9" t="str">
        <x:v>On-body proof-of-concept used one or two participants.</x:v>
      </x:c>
      <x:c r="K87" s="9" t="str">
        <x:v>PDF pp. 1–5; Figs. 1–4; cited SI</x:v>
      </x:c>
    </x:row>
    <x:row r="88">
      <x:c r="A88" s="9" t="str">
        <x:v>Risk</x:v>
      </x:c>
      <x:c r="B88" s="9" t="n">
        <x:v>28</x:v>
      </x:c>
      <x:c r="C88" s="9" t="str">
        <x:v>S035</x:v>
      </x:c>
      <x:c r="D88" s="9" t="str">
        <x:v>Katseli et al. (2021)</x:v>
      </x:c>
      <x:c r="E88" s="9" t="str">
        <x:v>D2</x:v>
      </x:c>
      <x:c r="F88" s="9" t="str">
        <x:v>Some concern</x:v>
      </x:c>
      <x:c r="G88" s="9" t="str">
        <x:v>High concern</x:v>
      </x:c>
      <x:c r="H88" s="9" t="str">
        <x:v>Some concern</x:v>
      </x:c>
      <x:c r="I88" s="9" t="str">
        <x:v>Adjudicated to Reviewer 1</x:v>
      </x:c>
      <x:c r="J88" s="9" t="str">
        <x:v>Study-specific limitations are recorded in the extraction and REB sheets.</x:v>
      </x:c>
      <x:c r="K88" s="9" t="str">
        <x:v>PDF pp. 1–5; Figs. 1–4; cited SI</x:v>
      </x:c>
    </x:row>
    <x:row r="89">
      <x:c r="A89" s="9" t="str">
        <x:v>Risk</x:v>
      </x:c>
      <x:c r="B89" s="9" t="n">
        <x:v>28</x:v>
      </x:c>
      <x:c r="C89" s="9" t="str">
        <x:v>S035</x:v>
      </x:c>
      <x:c r="D89" s="9" t="str">
        <x:v>Katseli et al. (2021)</x:v>
      </x:c>
      <x:c r="E89" s="9" t="str">
        <x:v>D5</x:v>
      </x:c>
      <x:c r="F89" s="9" t="str">
        <x:v>Some concern</x:v>
      </x:c>
      <x:c r="G89" s="9" t="str">
        <x:v>Low concern</x:v>
      </x:c>
      <x:c r="H89" s="9" t="str">
        <x:v>Some concern</x:v>
      </x:c>
      <x:c r="I89" s="9" t="str">
        <x:v>Adjudicated to Reviewer 1</x:v>
      </x:c>
      <x:c r="J89" s="9" t="str">
        <x:v>Study-specific limitations are recorded in the extraction and REB sheets.</x:v>
      </x:c>
      <x:c r="K89" s="9" t="str">
        <x:v>PDF pp. 1–5; Figs. 1–4; cited SI</x:v>
      </x:c>
    </x:row>
    <x:row r="90">
      <x:c r="A90" s="9" t="str">
        <x:v>Risk</x:v>
      </x:c>
      <x:c r="B90" s="9" t="n">
        <x:v>28</x:v>
      </x:c>
      <x:c r="C90" s="9" t="str">
        <x:v>S035</x:v>
      </x:c>
      <x:c r="D90" s="9" t="str">
        <x:v>Katseli et al. (2021)</x:v>
      </x:c>
      <x:c r="E90" s="9" t="str">
        <x:v>D8</x:v>
      </x:c>
      <x:c r="F90" s="9" t="str">
        <x:v>Some concern</x:v>
      </x:c>
      <x:c r="G90" s="9" t="str">
        <x:v>Low concern</x:v>
      </x:c>
      <x:c r="H90" s="9" t="str">
        <x:v>Some concern</x:v>
      </x:c>
      <x:c r="I90" s="9" t="str">
        <x:v>Adjudicated to Reviewer 1</x:v>
      </x:c>
      <x:c r="J90" s="9" t="str">
        <x:v>Study-specific limitations are recorded in the extraction and REB sheets.</x:v>
      </x:c>
      <x:c r="K90" s="9" t="str">
        <x:v>PDF pp. 1–5; Figs. 1–4; cited SI</x:v>
      </x:c>
    </x:row>
    <x:row r="91">
      <x:c r="A91" s="9" t="str">
        <x:v>Risk</x:v>
      </x:c>
      <x:c r="B91" s="9" t="n">
        <x:v>29</x:v>
      </x:c>
      <x:c r="C91" s="9" t="str">
        <x:v>S036</x:v>
      </x:c>
      <x:c r="D91" s="9" t="str">
        <x:v>Xuan et al. (2026)</x:v>
      </x:c>
      <x:c r="E91" s="9" t="str">
        <x:v>D1</x:v>
      </x:c>
      <x:c r="F91" s="9" t="str">
        <x:v>High concern</x:v>
      </x:c>
      <x:c r="G91" s="9" t="str">
        <x:v>Some concern</x:v>
      </x:c>
      <x:c r="H91" s="9" t="str">
        <x:v>High concern</x:v>
      </x:c>
      <x:c r="I91" s="9" t="str">
        <x:v>Adjudicated to Reviewer 1</x:v>
      </x:c>
      <x:c r="J91" s="9" t="str">
        <x:v>On-body proof-of-concept used one or two participants.</x:v>
      </x:c>
      <x:c r="K91" s="9" t="str">
        <x:v>PDF pp. 2–11; Figs. 1–6; cited SI</x:v>
      </x:c>
    </x:row>
    <x:row r="92">
      <x:c r="A92" s="9" t="str">
        <x:v>Risk</x:v>
      </x:c>
      <x:c r="B92" s="9" t="n">
        <x:v>29</x:v>
      </x:c>
      <x:c r="C92" s="9" t="str">
        <x:v>S036</x:v>
      </x:c>
      <x:c r="D92" s="9" t="str">
        <x:v>Xuan et al. (2026)</x:v>
      </x:c>
      <x:c r="E92" s="9" t="str">
        <x:v>D3</x:v>
      </x:c>
      <x:c r="F92" s="9" t="str">
        <x:v>Low concern</x:v>
      </x:c>
      <x:c r="G92" s="9" t="str">
        <x:v>Some concern</x:v>
      </x:c>
      <x:c r="H92" s="9" t="str">
        <x:v>Low concern</x:v>
      </x:c>
      <x:c r="I92" s="9" t="str">
        <x:v>Adjudicated to Reviewer 1</x:v>
      </x:c>
      <x:c r="J92" s="9" t="str">
        <x:v>Reference/protocol and principal quantitative outcomes are reported.</x:v>
      </x:c>
      <x:c r="K92" s="9" t="str">
        <x:v>PDF pp. 2–11; Figs. 1–6; cited SI</x:v>
      </x:c>
    </x:row>
    <x:row r="93">
      <x:c r="A93" s="9" t="str">
        <x:v>Risk</x:v>
      </x:c>
      <x:c r="B93" s="9" t="n">
        <x:v>29</x:v>
      </x:c>
      <x:c r="C93" s="9" t="str">
        <x:v>S036</x:v>
      </x:c>
      <x:c r="D93" s="9" t="str">
        <x:v>Xuan et al. (2026)</x:v>
      </x:c>
      <x:c r="E93" s="9" t="str">
        <x:v>D5</x:v>
      </x:c>
      <x:c r="F93" s="9" t="str">
        <x:v>Some concern</x:v>
      </x:c>
      <x:c r="G93" s="9" t="str">
        <x:v>High concern</x:v>
      </x:c>
      <x:c r="H93" s="9" t="str">
        <x:v>Some concern</x:v>
      </x:c>
      <x:c r="I93" s="9" t="str">
        <x:v>Adjudicated to Reviewer 1</x:v>
      </x:c>
      <x:c r="J93" s="9" t="str">
        <x:v>Study-specific limitations are recorded in the extraction and REB sheets.</x:v>
      </x:c>
      <x:c r="K93" s="9" t="str">
        <x:v>PDF pp. 2–11; Figs. 1–6; cited SI</x:v>
      </x:c>
    </x:row>
    <x:row r="94">
      <x:c r="A94" s="9" t="str">
        <x:v>Risk</x:v>
      </x:c>
      <x:c r="B94" s="9" t="n">
        <x:v>29</x:v>
      </x:c>
      <x:c r="C94" s="9" t="str">
        <x:v>S036</x:v>
      </x:c>
      <x:c r="D94" s="9" t="str">
        <x:v>Xuan et al. (2026)</x:v>
      </x:c>
      <x:c r="E94" s="9" t="str">
        <x:v>D6</x:v>
      </x:c>
      <x:c r="F94" s="9" t="str">
        <x:v>High concern</x:v>
      </x:c>
      <x:c r="G94" s="9" t="str">
        <x:v>Low concern</x:v>
      </x:c>
      <x:c r="H94" s="9" t="str">
        <x:v>High concern</x:v>
      </x:c>
      <x:c r="I94" s="9" t="str">
        <x:v>Adjudicated to Reviewer 1</x:v>
      </x:c>
      <x:c r="J94" s="9" t="str">
        <x:v>A quantitative comparison of at least three separately fabricated complete sensing units was not identified.</x:v>
      </x:c>
      <x:c r="K94" s="9" t="str">
        <x:v>PDF pp. 2–11; Figs. 1–6; cited SI</x:v>
      </x:c>
    </x:row>
    <x:row r="95">
      <x:c r="A95" s="9" t="str">
        <x:v>Risk</x:v>
      </x:c>
      <x:c r="B95" s="9" t="n">
        <x:v>29</x:v>
      </x:c>
      <x:c r="C95" s="9" t="str">
        <x:v>S036</x:v>
      </x:c>
      <x:c r="D95" s="9" t="str">
        <x:v>Xuan et al. (2026)</x:v>
      </x:c>
      <x:c r="E95" s="9" t="str">
        <x:v>D7</x:v>
      </x:c>
      <x:c r="F95" s="9" t="str">
        <x:v>Low concern</x:v>
      </x:c>
      <x:c r="G95" s="9" t="str">
        <x:v>Some concern</x:v>
      </x:c>
      <x:c r="H95" s="9" t="str">
        <x:v>Low concern</x:v>
      </x:c>
      <x:c r="I95" s="9" t="str">
        <x:v>Adjudicated to Reviewer 1</x:v>
      </x:c>
      <x:c r="J95" s="9" t="str">
        <x:v>Reference/protocol and principal quantitative outcomes are reported.</x:v>
      </x:c>
      <x:c r="K95" s="9" t="str">
        <x:v>PDF pp. 2–11; Figs. 1–6; cited SI</x:v>
      </x:c>
    </x:row>
    <x:row r="96">
      <x:c r="A96" s="9" t="str">
        <x:v>Risk</x:v>
      </x:c>
      <x:c r="B96" s="9" t="n">
        <x:v>29</x:v>
      </x:c>
      <x:c r="C96" s="9" t="str">
        <x:v>S036</x:v>
      </x:c>
      <x:c r="D96" s="9" t="str">
        <x:v>Xuan et al. (2026)</x:v>
      </x:c>
      <x:c r="E96" s="9" t="str">
        <x:v>D8</x:v>
      </x:c>
      <x:c r="F96" s="9" t="str">
        <x:v>Some concern</x:v>
      </x:c>
      <x:c r="G96" s="9" t="str">
        <x:v>Low concern</x:v>
      </x:c>
      <x:c r="H96" s="9" t="str">
        <x:v>Some concern</x:v>
      </x:c>
      <x:c r="I96" s="9" t="str">
        <x:v>Adjudicated to Reviewer 1</x:v>
      </x:c>
      <x:c r="J96" s="9" t="str">
        <x:v>Study-specific limitations are recorded in the extraction and REB sheets.</x:v>
      </x:c>
      <x:c r="K96" s="9" t="str">
        <x:v>PDF pp. 2–11; Figs. 1–6; cited SI</x:v>
      </x:c>
    </x:row>
    <x:row r="97">
      <x:c r="A97" s="9" t="str">
        <x:v>Risk</x:v>
      </x:c>
      <x:c r="B97" s="9" t="n">
        <x:v>30</x:v>
      </x:c>
      <x:c r="C97" s="9" t="str">
        <x:v>S037</x:v>
      </x:c>
      <x:c r="D97" s="9" t="str">
        <x:v>Wolterink et al. (2021)</x:v>
      </x:c>
      <x:c r="E97" s="9" t="str">
        <x:v>D2</x:v>
      </x:c>
      <x:c r="F97" s="9" t="str">
        <x:v>Some concern</x:v>
      </x:c>
      <x:c r="G97" s="9" t="str">
        <x:v>High concern</x:v>
      </x:c>
      <x:c r="H97" s="9" t="str">
        <x:v>Some concern</x:v>
      </x:c>
      <x:c r="I97" s="9" t="str">
        <x:v>Adjudicated to Reviewer 1</x:v>
      </x:c>
      <x:c r="J97" s="9" t="str">
        <x:v>Study-specific limitations are recorded in the extraction and REB sheets.</x:v>
      </x:c>
      <x:c r="K97" s="9" t="str">
        <x:v>PDF pp. 1–10; Figs. 1–16</x:v>
      </x:c>
    </x:row>
    <x:row r="98">
      <x:c r="A98" s="9" t="str">
        <x:v>Risk</x:v>
      </x:c>
      <x:c r="B98" s="9" t="n">
        <x:v>30</x:v>
      </x:c>
      <x:c r="C98" s="9" t="str">
        <x:v>S037</x:v>
      </x:c>
      <x:c r="D98" s="9" t="str">
        <x:v>Wolterink et al. (2021)</x:v>
      </x:c>
      <x:c r="E98" s="9" t="str">
        <x:v>D5</x:v>
      </x:c>
      <x:c r="F98" s="9" t="str">
        <x:v>Some concern</x:v>
      </x:c>
      <x:c r="G98" s="9" t="str">
        <x:v>Low concern</x:v>
      </x:c>
      <x:c r="H98" s="9" t="str">
        <x:v>Some concern</x:v>
      </x:c>
      <x:c r="I98" s="9" t="str">
        <x:v>Adjudicated to Reviewer 1</x:v>
      </x:c>
      <x:c r="J98" s="9" t="str">
        <x:v>Study-specific limitations are recorded in the extraction and REB sheets.</x:v>
      </x:c>
      <x:c r="K98" s="9" t="str">
        <x:v>PDF pp. 1–10; Figs. 1–16</x:v>
      </x:c>
    </x:row>
    <x:row r="99">
      <x:c r="A99" s="9" t="str">
        <x:v>Risk</x:v>
      </x:c>
      <x:c r="B99" s="9" t="n">
        <x:v>30</x:v>
      </x:c>
      <x:c r="C99" s="9" t="str">
        <x:v>S037</x:v>
      </x:c>
      <x:c r="D99" s="9" t="str">
        <x:v>Wolterink et al. (2021)</x:v>
      </x:c>
      <x:c r="E99" s="9" t="str">
        <x:v>D7</x:v>
      </x:c>
      <x:c r="F99" s="9" t="str">
        <x:v>Low concern</x:v>
      </x:c>
      <x:c r="G99" s="9" t="str">
        <x:v>Some concern</x:v>
      </x:c>
      <x:c r="H99" s="9" t="str">
        <x:v>Low concern</x:v>
      </x:c>
      <x:c r="I99" s="9" t="str">
        <x:v>Adjudicated to Reviewer 1</x:v>
      </x:c>
      <x:c r="J99" s="9" t="str">
        <x:v>Reference/protocol and principal quantitative outcomes are reported.</x:v>
      </x:c>
      <x:c r="K99" s="9" t="str">
        <x:v>PDF pp. 1–10; Figs. 1–16</x:v>
      </x:c>
    </x:row>
    <x:row r="100">
      <x:c r="A100" s="9" t="str">
        <x:v>Risk</x:v>
      </x:c>
      <x:c r="B100" s="9" t="n">
        <x:v>31</x:v>
      </x:c>
      <x:c r="C100" s="9" t="str">
        <x:v>S038</x:v>
      </x:c>
      <x:c r="D100" s="9" t="str">
        <x:v>Christ et al. (2018)</x:v>
      </x:c>
      <x:c r="E100" s="9" t="str">
        <x:v>D2</x:v>
      </x:c>
      <x:c r="F100" s="9" t="str">
        <x:v>Some concern</x:v>
      </x:c>
      <x:c r="G100" s="9" t="str">
        <x:v>Low concern</x:v>
      </x:c>
      <x:c r="H100" s="9" t="str">
        <x:v>Some concern</x:v>
      </x:c>
      <x:c r="I100" s="9" t="str">
        <x:v>Adjudicated to Reviewer 1</x:v>
      </x:c>
      <x:c r="J100" s="9" t="str">
        <x:v>Study-specific limitations are recorded in the extraction and REB sheets.</x:v>
      </x:c>
      <x:c r="K100" s="9" t="str">
        <x:v>PDF pp. 3–12; Figs. 1–11; Table 1</x:v>
      </x:c>
    </x:row>
    <x:row r="101">
      <x:c r="A101" s="9" t="str">
        <x:v>Risk</x:v>
      </x:c>
      <x:c r="B101" s="9" t="n">
        <x:v>31</x:v>
      </x:c>
      <x:c r="C101" s="9" t="str">
        <x:v>S038</x:v>
      </x:c>
      <x:c r="D101" s="9" t="str">
        <x:v>Christ et al. (2018)</x:v>
      </x:c>
      <x:c r="E101" s="9" t="str">
        <x:v>D3</x:v>
      </x:c>
      <x:c r="F101" s="9" t="str">
        <x:v>Low concern</x:v>
      </x:c>
      <x:c r="G101" s="9" t="str">
        <x:v>Some concern</x:v>
      </x:c>
      <x:c r="H101" s="9" t="str">
        <x:v>Low concern</x:v>
      </x:c>
      <x:c r="I101" s="9" t="str">
        <x:v>Adjudicated to Reviewer 1</x:v>
      </x:c>
      <x:c r="J101" s="9" t="str">
        <x:v>The reference/protocol and principal quantitative outcomes are reported.</x:v>
      </x:c>
      <x:c r="K101" s="9" t="str">
        <x:v>PDF pp. 3–12; Figs. 1–11; Table 1</x:v>
      </x:c>
    </x:row>
    <x:row r="102">
      <x:c r="A102" s="9" t="str">
        <x:v>Risk</x:v>
      </x:c>
      <x:c r="B102" s="9" t="n">
        <x:v>31</x:v>
      </x:c>
      <x:c r="C102" s="9" t="str">
        <x:v>S038</x:v>
      </x:c>
      <x:c r="D102" s="9" t="str">
        <x:v>Christ et al. (2018)</x:v>
      </x:c>
      <x:c r="E102" s="9" t="str">
        <x:v>D5</x:v>
      </x:c>
      <x:c r="F102" s="9" t="str">
        <x:v>Some concern</x:v>
      </x:c>
      <x:c r="G102" s="9" t="str">
        <x:v>Low concern</x:v>
      </x:c>
      <x:c r="H102" s="9" t="str">
        <x:v>Some concern</x:v>
      </x:c>
      <x:c r="I102" s="9" t="str">
        <x:v>Adjudicated to Reviewer 1</x:v>
      </x:c>
      <x:c r="J102" s="9" t="str">
        <x:v>Study-specific limitations are recorded in the extraction and REB sheets.</x:v>
      </x:c>
      <x:c r="K102" s="9" t="str">
        <x:v>PDF pp. 3–12; Figs. 1–11; Table 1</x:v>
      </x:c>
    </x:row>
    <x:row r="103">
      <x:c r="A103" s="9" t="str">
        <x:v>Risk</x:v>
      </x:c>
      <x:c r="B103" s="9" t="n">
        <x:v>31</x:v>
      </x:c>
      <x:c r="C103" s="9" t="str">
        <x:v>S038</x:v>
      </x:c>
      <x:c r="D103" s="9" t="str">
        <x:v>Christ et al. (2018)</x:v>
      </x:c>
      <x:c r="E103" s="9" t="str">
        <x:v>D7</x:v>
      </x:c>
      <x:c r="F103" s="9" t="str">
        <x:v>Low concern</x:v>
      </x:c>
      <x:c r="G103" s="9" t="str">
        <x:v>Some concern</x:v>
      </x:c>
      <x:c r="H103" s="9" t="str">
        <x:v>Low concern</x:v>
      </x:c>
      <x:c r="I103" s="9" t="str">
        <x:v>Adjudicated to Reviewer 1</x:v>
      </x:c>
      <x:c r="J103" s="9" t="str">
        <x:v>The reference/protocol and principal quantitative outcomes are reported.</x:v>
      </x:c>
      <x:c r="K103" s="9" t="str">
        <x:v>PDF pp. 3–12; Figs. 1–11; Table 1</x:v>
      </x:c>
    </x:row>
    <x:row r="104">
      <x:c r="A104" s="9" t="str">
        <x:v>Risk</x:v>
      </x:c>
      <x:c r="B104" s="9" t="n">
        <x:v>31</x:v>
      </x:c>
      <x:c r="C104" s="9" t="str">
        <x:v>S038</x:v>
      </x:c>
      <x:c r="D104" s="9" t="str">
        <x:v>Christ et al. (2018)</x:v>
      </x:c>
      <x:c r="E104" s="9" t="str">
        <x:v>D8</x:v>
      </x:c>
      <x:c r="F104" s="9" t="str">
        <x:v>Some concern</x:v>
      </x:c>
      <x:c r="G104" s="9" t="str">
        <x:v>High concern</x:v>
      </x:c>
      <x:c r="H104" s="9" t="str">
        <x:v>Some concern</x:v>
      </x:c>
      <x:c r="I104" s="9" t="str">
        <x:v>Adjudicated to Reviewer 1</x:v>
      </x:c>
      <x:c r="J104" s="9" t="str">
        <x:v>A wearable prototype was demonstrated, but application testing was limited.</x:v>
      </x:c>
      <x:c r="K104" s="9" t="str">
        <x:v>PDF pp. 3–12; Figs. 1–11; Table 1</x:v>
      </x:c>
    </x:row>
    <x:row r="105">
      <x:c r="A105" s="9" t="str">
        <x:v>Risk</x:v>
      </x:c>
      <x:c r="B105" s="9" t="n">
        <x:v>32</x:v>
      </x:c>
      <x:c r="C105" s="9" t="str">
        <x:v>S039</x:v>
      </x:c>
      <x:c r="D105" s="9" t="str">
        <x:v>Shin et al. (2022)</x:v>
      </x:c>
      <x:c r="E105" s="9" t="str">
        <x:v>D2</x:v>
      </x:c>
      <x:c r="F105" s="9" t="str">
        <x:v>Some concern</x:v>
      </x:c>
      <x:c r="G105" s="9" t="str">
        <x:v>Low concern</x:v>
      </x:c>
      <x:c r="H105" s="9" t="str">
        <x:v>Some concern</x:v>
      </x:c>
      <x:c r="I105" s="9" t="str">
        <x:v>Adjudicated to Reviewer 1</x:v>
      </x:c>
      <x:c r="J105" s="9" t="str">
        <x:v>Study-specific limitations are recorded in the extraction and REB sheets.</x:v>
      </x:c>
      <x:c r="K105" s="9" t="str">
        <x:v>PDF pp. 3–9; Figs. 2–10</x:v>
      </x:c>
    </x:row>
    <x:row r="106">
      <x:c r="A106" s="9" t="str">
        <x:v>Risk</x:v>
      </x:c>
      <x:c r="B106" s="9" t="n">
        <x:v>32</x:v>
      </x:c>
      <x:c r="C106" s="9" t="str">
        <x:v>S039</x:v>
      </x:c>
      <x:c r="D106" s="9" t="str">
        <x:v>Shin et al. (2022)</x:v>
      </x:c>
      <x:c r="E106" s="9" t="str">
        <x:v>D3</x:v>
      </x:c>
      <x:c r="F106" s="9" t="str">
        <x:v>Low concern</x:v>
      </x:c>
      <x:c r="G106" s="9" t="str">
        <x:v>Some concern</x:v>
      </x:c>
      <x:c r="H106" s="9" t="str">
        <x:v>Low concern</x:v>
      </x:c>
      <x:c r="I106" s="9" t="str">
        <x:v>Adjudicated to Reviewer 1</x:v>
      </x:c>
      <x:c r="J106" s="9" t="str">
        <x:v>The reference/protocol and principal quantitative outcomes are reported.</x:v>
      </x:c>
      <x:c r="K106" s="9" t="str">
        <x:v>PDF pp. 3–9; Figs. 2–10</x:v>
      </x:c>
    </x:row>
    <x:row r="107">
      <x:c r="A107" s="9" t="str">
        <x:v>Risk</x:v>
      </x:c>
      <x:c r="B107" s="9" t="n">
        <x:v>32</x:v>
      </x:c>
      <x:c r="C107" s="9" t="str">
        <x:v>S039</x:v>
      </x:c>
      <x:c r="D107" s="9" t="str">
        <x:v>Shin et al. (2022)</x:v>
      </x:c>
      <x:c r="E107" s="9" t="str">
        <x:v>D5</x:v>
      </x:c>
      <x:c r="F107" s="9" t="str">
        <x:v>Some concern</x:v>
      </x:c>
      <x:c r="G107" s="9" t="str">
        <x:v>Low concern</x:v>
      </x:c>
      <x:c r="H107" s="9" t="str">
        <x:v>Some concern</x:v>
      </x:c>
      <x:c r="I107" s="9" t="str">
        <x:v>Adjudicated to Reviewer 1</x:v>
      </x:c>
      <x:c r="J107" s="9" t="str">
        <x:v>Study-specific limitations are recorded in the extraction and REB sheets.</x:v>
      </x:c>
      <x:c r="K107" s="9" t="str">
        <x:v>PDF pp. 3–9; Figs. 2–10</x:v>
      </x:c>
    </x:row>
    <x:row r="108">
      <x:c r="A108" s="9" t="str">
        <x:v>Risk</x:v>
      </x:c>
      <x:c r="B108" s="9" t="n">
        <x:v>32</x:v>
      </x:c>
      <x:c r="C108" s="9" t="str">
        <x:v>S039</x:v>
      </x:c>
      <x:c r="D108" s="9" t="str">
        <x:v>Shin et al. (2022)</x:v>
      </x:c>
      <x:c r="E108" s="9" t="str">
        <x:v>D6</x:v>
      </x:c>
      <x:c r="F108" s="9" t="str">
        <x:v>Low concern</x:v>
      </x:c>
      <x:c r="G108" s="9" t="str">
        <x:v>High concern</x:v>
      </x:c>
      <x:c r="H108" s="9" t="str">
        <x:v>Low concern</x:v>
      </x:c>
      <x:c r="I108" s="9" t="str">
        <x:v>Adjudicated to Reviewer 1</x:v>
      </x:c>
      <x:c r="J108" s="9" t="str">
        <x:v>Four separately fabricated devices per FSG type were compared quantitatively.</x:v>
      </x:c>
      <x:c r="K108" s="9" t="str">
        <x:v>PDF pp. 3–9; Figs. 2–10</x:v>
      </x:c>
    </x:row>
    <x:row r="109">
      <x:c r="A109" s="9" t="str">
        <x:v>Risk</x:v>
      </x:c>
      <x:c r="B109" s="9" t="n">
        <x:v>32</x:v>
      </x:c>
      <x:c r="C109" s="9" t="str">
        <x:v>S039</x:v>
      </x:c>
      <x:c r="D109" s="9" t="str">
        <x:v>Shin et al. (2022)</x:v>
      </x:c>
      <x:c r="E109" s="9" t="str">
        <x:v>D8</x:v>
      </x:c>
      <x:c r="F109" s="9" t="str">
        <x:v>Low concern</x:v>
      </x:c>
      <x:c r="G109" s="9" t="str">
        <x:v>Some concern</x:v>
      </x:c>
      <x:c r="H109" s="9" t="str">
        <x:v>Low concern</x:v>
      </x:c>
      <x:c r="I109" s="9" t="str">
        <x:v>Adjudicated to Reviewer 1</x:v>
      </x:c>
      <x:c r="J109" s="9" t="str">
        <x:v>The device was tested in a human-worn configuration.</x:v>
      </x:c>
      <x:c r="K109" s="9" t="str">
        <x:v>PDF pp. 3–9; Figs. 2–10</x:v>
      </x:c>
    </x:row>
    <x:row r="110">
      <x:c r="A110" s="9" t="str">
        <x:v>Risk</x:v>
      </x:c>
      <x:c r="B110" s="9" t="n">
        <x:v>33</x:v>
      </x:c>
      <x:c r="C110" s="9" t="str">
        <x:v>S043</x:v>
      </x:c>
      <x:c r="D110" s="9" t="str">
        <x:v>Carvalho et al. (2025)</x:v>
      </x:c>
      <x:c r="E110" s="9" t="str">
        <x:v>D2</x:v>
      </x:c>
      <x:c r="F110" s="9" t="str">
        <x:v>Some concern</x:v>
      </x:c>
      <x:c r="G110" s="9" t="str">
        <x:v>Low concern</x:v>
      </x:c>
      <x:c r="H110" s="9" t="str">
        <x:v>Some concern</x:v>
      </x:c>
      <x:c r="I110" s="9" t="str">
        <x:v>Adjudicated to Reviewer 1</x:v>
      </x:c>
      <x:c r="J110" s="9" t="str">
        <x:v>Study-specific limitations are recorded in the extraction and REB sheets.</x:v>
      </x:c>
      <x:c r="K110" s="9" t="str">
        <x:v>PDF pp. 2–12; Figs. 1–8; Tables 1–4; cited SI</x:v>
      </x:c>
    </x:row>
    <x:row r="111">
      <x:c r="A111" s="9" t="str">
        <x:v>Risk</x:v>
      </x:c>
      <x:c r="B111" s="9" t="n">
        <x:v>33</x:v>
      </x:c>
      <x:c r="C111" s="9" t="str">
        <x:v>S043</x:v>
      </x:c>
      <x:c r="D111" s="9" t="str">
        <x:v>Carvalho et al. (2025)</x:v>
      </x:c>
      <x:c r="E111" s="9" t="str">
        <x:v>D5</x:v>
      </x:c>
      <x:c r="F111" s="9" t="str">
        <x:v>Some concern</x:v>
      </x:c>
      <x:c r="G111" s="9" t="str">
        <x:v>High concern</x:v>
      </x:c>
      <x:c r="H111" s="9" t="str">
        <x:v>Some concern</x:v>
      </x:c>
      <x:c r="I111" s="9" t="str">
        <x:v>Adjudicated to Reviewer 1</x:v>
      </x:c>
      <x:c r="J111" s="9" t="str">
        <x:v>Study-specific limitations are recorded in the extraction and REB sheets.</x:v>
      </x:c>
      <x:c r="K111" s="9" t="str">
        <x:v>PDF pp. 2–12; Figs. 1–8; Tables 1–4; cited SI</x:v>
      </x:c>
    </x:row>
    <x:row r="112">
      <x:c r="A112" s="9" t="str">
        <x:v>Risk</x:v>
      </x:c>
      <x:c r="B112" s="9" t="n">
        <x:v>33</x:v>
      </x:c>
      <x:c r="C112" s="9" t="str">
        <x:v>S043</x:v>
      </x:c>
      <x:c r="D112" s="9" t="str">
        <x:v>Carvalho et al. (2025)</x:v>
      </x:c>
      <x:c r="E112" s="9" t="str">
        <x:v>D7</x:v>
      </x:c>
      <x:c r="F112" s="9" t="str">
        <x:v>Low concern</x:v>
      </x:c>
      <x:c r="G112" s="9" t="str">
        <x:v>Some concern</x:v>
      </x:c>
      <x:c r="H112" s="9" t="str">
        <x:v>Low concern</x:v>
      </x:c>
      <x:c r="I112" s="9" t="str">
        <x:v>Adjudicated to Reviewer 1</x:v>
      </x:c>
      <x:c r="J112" s="9" t="str">
        <x:v>The reference/protocol and principal quantitative outcomes are reported.</x:v>
      </x:c>
      <x:c r="K112" s="9" t="str">
        <x:v>PDF pp. 2–12; Figs. 1–8; Tables 1–4; cited SI</x:v>
      </x:c>
    </x:row>
    <x:row r="113">
      <x:c r="A113" s="9" t="str">
        <x:v>Risk</x:v>
      </x:c>
      <x:c r="B113" s="9" t="n">
        <x:v>34</x:v>
      </x:c>
      <x:c r="C113" s="9" t="str">
        <x:v>S044</x:v>
      </x:c>
      <x:c r="D113" s="9" t="str">
        <x:v>Li et al. (2021)</x:v>
      </x:c>
      <x:c r="E113" s="9" t="str">
        <x:v>D1</x:v>
      </x:c>
      <x:c r="F113" s="9" t="str">
        <x:v>Some concern</x:v>
      </x:c>
      <x:c r="G113" s="9" t="str">
        <x:v>High concern</x:v>
      </x:c>
      <x:c r="H113" s="9" t="str">
        <x:v>Some concern</x:v>
      </x:c>
      <x:c r="I113" s="9" t="str">
        <x:v>Adjudicated to Reviewer 1</x:v>
      </x:c>
      <x:c r="J113" s="9" t="str">
        <x:v>Study-specific limitations are recorded in the extraction and REB sheets.</x:v>
      </x:c>
      <x:c r="K113" s="9" t="str">
        <x:v>PDF pp. 4–11; Figs. 1, 5–6; cited SI</x:v>
      </x:c>
    </x:row>
    <x:row r="114">
      <x:c r="A114" s="9" t="str">
        <x:v>Risk</x:v>
      </x:c>
      <x:c r="B114" s="9" t="n">
        <x:v>34</x:v>
      </x:c>
      <x:c r="C114" s="9" t="str">
        <x:v>S044</x:v>
      </x:c>
      <x:c r="D114" s="9" t="str">
        <x:v>Li et al. (2021)</x:v>
      </x:c>
      <x:c r="E114" s="9" t="str">
        <x:v>D3</x:v>
      </x:c>
      <x:c r="F114" s="9" t="str">
        <x:v>Low concern</x:v>
      </x:c>
      <x:c r="G114" s="9" t="str">
        <x:v>Some concern</x:v>
      </x:c>
      <x:c r="H114" s="9" t="str">
        <x:v>Low concern</x:v>
      </x:c>
      <x:c r="I114" s="9" t="str">
        <x:v>Adjudicated to Reviewer 1</x:v>
      </x:c>
      <x:c r="J114" s="9" t="str">
        <x:v>The reference/protocol and principal quantitative outcomes are reported.</x:v>
      </x:c>
      <x:c r="K114" s="9" t="str">
        <x:v>PDF pp. 4–11; Figs. 1, 5–6; cited SI</x:v>
      </x:c>
    </x:row>
    <x:row r="115">
      <x:c r="A115" s="9" t="str">
        <x:v>Risk</x:v>
      </x:c>
      <x:c r="B115" s="9" t="n">
        <x:v>34</x:v>
      </x:c>
      <x:c r="C115" s="9" t="str">
        <x:v>S044</x:v>
      </x:c>
      <x:c r="D115" s="9" t="str">
        <x:v>Li et al. (2021)</x:v>
      </x:c>
      <x:c r="E115" s="9" t="str">
        <x:v>D5</x:v>
      </x:c>
      <x:c r="F115" s="9" t="str">
        <x:v>Some concern</x:v>
      </x:c>
      <x:c r="G115" s="9" t="str">
        <x:v>Low concern</x:v>
      </x:c>
      <x:c r="H115" s="9" t="str">
        <x:v>Some concern</x:v>
      </x:c>
      <x:c r="I115" s="9" t="str">
        <x:v>Adjudicated to Reviewer 1</x:v>
      </x:c>
      <x:c r="J115" s="9" t="str">
        <x:v>Study-specific limitations are recorded in the extraction and REB sheets.</x:v>
      </x:c>
      <x:c r="K115" s="9" t="str">
        <x:v>PDF pp. 4–11; Figs. 1, 5–6; cited SI</x:v>
      </x:c>
    </x:row>
    <x:row r="116">
      <x:c r="A116" s="9" t="str">
        <x:v>Risk</x:v>
      </x:c>
      <x:c r="B116" s="9" t="n">
        <x:v>34</x:v>
      </x:c>
      <x:c r="C116" s="9" t="str">
        <x:v>S044</x:v>
      </x:c>
      <x:c r="D116" s="9" t="str">
        <x:v>Li et al. (2021)</x:v>
      </x:c>
      <x:c r="E116" s="9" t="str">
        <x:v>D7</x:v>
      </x:c>
      <x:c r="F116" s="9" t="str">
        <x:v>Low concern</x:v>
      </x:c>
      <x:c r="G116" s="9" t="str">
        <x:v>Some concern</x:v>
      </x:c>
      <x:c r="H116" s="9" t="str">
        <x:v>Low concern</x:v>
      </x:c>
      <x:c r="I116" s="9" t="str">
        <x:v>Adjudicated to Reviewer 1</x:v>
      </x:c>
      <x:c r="J116" s="9" t="str">
        <x:v>The reference/protocol and principal quantitative outcomes are reported.</x:v>
      </x:c>
      <x:c r="K116" s="9" t="str">
        <x:v>PDF pp. 4–11; Figs. 1, 5–6; cited SI</x:v>
      </x:c>
    </x:row>
    <x:row r="117">
      <x:c r="A117" s="9" t="str">
        <x:v>Risk</x:v>
      </x:c>
      <x:c r="B117" s="9" t="n">
        <x:v>35</x:v>
      </x:c>
      <x:c r="C117" s="9" t="str">
        <x:v>S046</x:v>
      </x:c>
      <x:c r="D117" s="9" t="str">
        <x:v>Zhou et al. (2024)</x:v>
      </x:c>
      <x:c r="E117" s="9" t="str">
        <x:v>D5</x:v>
      </x:c>
      <x:c r="F117" s="9" t="str">
        <x:v>Some concern</x:v>
      </x:c>
      <x:c r="G117" s="9" t="str">
        <x:v>High concern</x:v>
      </x:c>
      <x:c r="H117" s="9" t="str">
        <x:v>Some concern</x:v>
      </x:c>
      <x:c r="I117" s="9" t="str">
        <x:v>Adjudicated to Reviewer 1</x:v>
      </x:c>
      <x:c r="J117" s="9" t="str">
        <x:v>Study-specific limitations are recorded in the extraction and REB sheets.</x:v>
      </x:c>
      <x:c r="K117" s="9" t="str">
        <x:v>PDF pp. 2–7; Figs. 3–5; cited Supplementary Figs. S1–S5</x:v>
      </x:c>
    </x:row>
    <x:row r="118">
      <x:c r="A118" s="9" t="str">
        <x:v>Risk</x:v>
      </x:c>
      <x:c r="B118" s="9" t="n">
        <x:v>35</x:v>
      </x:c>
      <x:c r="C118" s="9" t="str">
        <x:v>S046</x:v>
      </x:c>
      <x:c r="D118" s="9" t="str">
        <x:v>Zhou et al. (2024)</x:v>
      </x:c>
      <x:c r="E118" s="9" t="str">
        <x:v>D7</x:v>
      </x:c>
      <x:c r="F118" s="9" t="str">
        <x:v>Low concern</x:v>
      </x:c>
      <x:c r="G118" s="9" t="str">
        <x:v>Some concern</x:v>
      </x:c>
      <x:c r="H118" s="9" t="str">
        <x:v>Low concern</x:v>
      </x:c>
      <x:c r="I118" s="9" t="str">
        <x:v>Adjudicated to Reviewer 1</x:v>
      </x:c>
      <x:c r="J118" s="9" t="str">
        <x:v>The reference/protocol and principal quantitative outcomes are reported.</x:v>
      </x:c>
      <x:c r="K118" s="9" t="str">
        <x:v>PDF pp. 2–7; Figs. 3–5; cited Supplementary Figs. S1–S5</x:v>
      </x:c>
    </x:row>
    <x:row r="119">
      <x:c r="A119" s="9" t="str">
        <x:v>Risk</x:v>
      </x:c>
      <x:c r="B119" s="9" t="n">
        <x:v>36</x:v>
      </x:c>
      <x:c r="C119" s="9" t="str">
        <x:v>S047</x:v>
      </x:c>
      <x:c r="D119" s="9" t="str">
        <x:v>Shin et al. (2025)</x:v>
      </x:c>
      <x:c r="E119" s="9" t="str">
        <x:v>D1</x:v>
      </x:c>
      <x:c r="F119" s="9" t="str">
        <x:v>High concern</x:v>
      </x:c>
      <x:c r="G119" s="9" t="str">
        <x:v>Some concern</x:v>
      </x:c>
      <x:c r="H119" s="9" t="str">
        <x:v>High concern</x:v>
      </x:c>
      <x:c r="I119" s="9" t="str">
        <x:v>Adjudicated to Reviewer 1</x:v>
      </x:c>
      <x:c r="J119" s="9" t="str">
        <x:v>The clinical feasibility study included two patients and was not prospectively powered.</x:v>
      </x:c>
      <x:c r="K119" s="9" t="str">
        <x:v>PDF pp. 3–13; Figs. 2–12; Table 1</x:v>
      </x:c>
    </x:row>
    <x:row r="120">
      <x:c r="A120" s="9" t="str">
        <x:v>Risk</x:v>
      </x:c>
      <x:c r="B120" s="9" t="n">
        <x:v>36</x:v>
      </x:c>
      <x:c r="C120" s="9" t="str">
        <x:v>S047</x:v>
      </x:c>
      <x:c r="D120" s="9" t="str">
        <x:v>Shin et al. (2025)</x:v>
      </x:c>
      <x:c r="E120" s="9" t="str">
        <x:v>D2</x:v>
      </x:c>
      <x:c r="F120" s="9" t="str">
        <x:v>Some concern</x:v>
      </x:c>
      <x:c r="G120" s="9" t="str">
        <x:v>High concern</x:v>
      </x:c>
      <x:c r="H120" s="9" t="str">
        <x:v>Some concern</x:v>
      </x:c>
      <x:c r="I120" s="9" t="str">
        <x:v>Adjudicated to Reviewer 1</x:v>
      </x:c>
      <x:c r="J120" s="9" t="str">
        <x:v>Study-specific limitations are recorded in the extraction and REB sheets.</x:v>
      </x:c>
      <x:c r="K120" s="9" t="str">
        <x:v>PDF pp. 3–13; Figs. 2–12; Table 1</x:v>
      </x:c>
    </x:row>
    <x:row r="121">
      <x:c r="A121" s="9" t="str">
        <x:v>Risk</x:v>
      </x:c>
      <x:c r="B121" s="9" t="n">
        <x:v>36</x:v>
      </x:c>
      <x:c r="C121" s="9" t="str">
        <x:v>S047</x:v>
      </x:c>
      <x:c r="D121" s="9" t="str">
        <x:v>Shin et al. (2025)</x:v>
      </x:c>
      <x:c r="E121" s="9" t="str">
        <x:v>D3</x:v>
      </x:c>
      <x:c r="F121" s="9" t="str">
        <x:v>Low concern</x:v>
      </x:c>
      <x:c r="G121" s="9" t="str">
        <x:v>Some concern</x:v>
      </x:c>
      <x:c r="H121" s="9" t="str">
        <x:v>Low concern</x:v>
      </x:c>
      <x:c r="I121" s="9" t="str">
        <x:v>Adjudicated to Reviewer 1</x:v>
      </x:c>
      <x:c r="J121" s="9" t="str">
        <x:v>The reference/protocol and principal quantitative outcomes are reported.</x:v>
      </x:c>
      <x:c r="K121" s="9" t="str">
        <x:v>PDF pp. 3–13; Figs. 2–12; Table 1</x:v>
      </x:c>
    </x:row>
    <x:row r="122">
      <x:c r="A122" s="9" t="str">
        <x:v>Risk</x:v>
      </x:c>
      <x:c r="B122" s="9" t="n">
        <x:v>36</x:v>
      </x:c>
      <x:c r="C122" s="9" t="str">
        <x:v>S047</x:v>
      </x:c>
      <x:c r="D122" s="9" t="str">
        <x:v>Shin et al. (2025)</x:v>
      </x:c>
      <x:c r="E122" s="9" t="str">
        <x:v>D5</x:v>
      </x:c>
      <x:c r="F122" s="9" t="str">
        <x:v>Some concern</x:v>
      </x:c>
      <x:c r="G122" s="9" t="str">
        <x:v>High concern</x:v>
      </x:c>
      <x:c r="H122" s="9" t="str">
        <x:v>Some concern</x:v>
      </x:c>
      <x:c r="I122" s="9" t="str">
        <x:v>Adjudicated to Reviewer 1</x:v>
      </x:c>
      <x:c r="J122" s="9" t="str">
        <x:v>Study-specific limitations are recorded in the extraction and REB sheets.</x:v>
      </x:c>
      <x:c r="K122" s="9" t="str">
        <x:v>PDF pp. 3–13; Figs. 2–12; Table 1</x:v>
      </x:c>
    </x:row>
    <x:row r="123">
      <x:c r="A123" s="9" t="str">
        <x:v>Risk</x:v>
      </x:c>
      <x:c r="B123" s="9" t="n">
        <x:v>36</x:v>
      </x:c>
      <x:c r="C123" s="9" t="str">
        <x:v>S047</x:v>
      </x:c>
      <x:c r="D123" s="9" t="str">
        <x:v>Shin et al. (2025)</x:v>
      </x:c>
      <x:c r="E123" s="9" t="str">
        <x:v>D7</x:v>
      </x:c>
      <x:c r="F123" s="9" t="str">
        <x:v>Low concern</x:v>
      </x:c>
      <x:c r="G123" s="9" t="str">
        <x:v>Some concern</x:v>
      </x:c>
      <x:c r="H123" s="9" t="str">
        <x:v>Low concern</x:v>
      </x:c>
      <x:c r="I123" s="9" t="str">
        <x:v>Adjudicated to Reviewer 1</x:v>
      </x:c>
      <x:c r="J123" s="9" t="str">
        <x:v>The reference/protocol and principal quantitative outcomes are reported.</x:v>
      </x:c>
      <x:c r="K123" s="9" t="str">
        <x:v>PDF pp. 3–13; Figs. 2–12; Table 1</x:v>
      </x:c>
    </x:row>
    <x:row r="124">
      <x:c r="A124" s="9" t="str">
        <x:v>Risk</x:v>
      </x:c>
      <x:c r="B124" s="9" t="n">
        <x:v>37</x:v>
      </x:c>
      <x:c r="C124" s="9" t="str">
        <x:v>S048</x:v>
      </x:c>
      <x:c r="D124" s="9" t="str">
        <x:v>Gunasekaran et al. (2022)</x:v>
      </x:c>
      <x:c r="E124" s="9" t="str">
        <x:v>D2</x:v>
      </x:c>
      <x:c r="F124" s="9" t="str">
        <x:v>Some concern</x:v>
      </x:c>
      <x:c r="G124" s="9" t="str">
        <x:v>Low concern</x:v>
      </x:c>
      <x:c r="H124" s="9" t="str">
        <x:v>Some concern</x:v>
      </x:c>
      <x:c r="I124" s="9" t="str">
        <x:v>Adjudicated to Reviewer 1</x:v>
      </x:c>
      <x:c r="J124" s="9" t="str">
        <x:v>Study-specific limitations are recorded in the extraction and REB sheets.</x:v>
      </x:c>
      <x:c r="K124" s="9" t="str">
        <x:v>PDF pp. 3–9; Figs. 1, 4–9; cited SI</x:v>
      </x:c>
    </x:row>
    <x:row r="125">
      <x:c r="A125" s="9" t="str">
        <x:v>Risk</x:v>
      </x:c>
      <x:c r="B125" s="9" t="n">
        <x:v>37</x:v>
      </x:c>
      <x:c r="C125" s="9" t="str">
        <x:v>S048</x:v>
      </x:c>
      <x:c r="D125" s="9" t="str">
        <x:v>Gunasekaran et al. (2022)</x:v>
      </x:c>
      <x:c r="E125" s="9" t="str">
        <x:v>D5</x:v>
      </x:c>
      <x:c r="F125" s="9" t="str">
        <x:v>Some concern</x:v>
      </x:c>
      <x:c r="G125" s="9" t="str">
        <x:v>Low concern</x:v>
      </x:c>
      <x:c r="H125" s="9" t="str">
        <x:v>Some concern</x:v>
      </x:c>
      <x:c r="I125" s="9" t="str">
        <x:v>Adjudicated to Reviewer 1</x:v>
      </x:c>
      <x:c r="J125" s="9" t="str">
        <x:v>Study-specific limitations are recorded in the extraction and REB sheets.</x:v>
      </x:c>
      <x:c r="K125" s="9" t="str">
        <x:v>PDF pp. 3–9; Figs. 1, 4–9; cited SI</x:v>
      </x:c>
    </x:row>
    <x:row r="126">
      <x:c r="A126" s="9" t="str">
        <x:v>Risk</x:v>
      </x:c>
      <x:c r="B126" s="9" t="n">
        <x:v>37</x:v>
      </x:c>
      <x:c r="C126" s="9" t="str">
        <x:v>S048</x:v>
      </x:c>
      <x:c r="D126" s="9" t="str">
        <x:v>Gunasekaran et al. (2022)</x:v>
      </x:c>
      <x:c r="E126" s="9" t="str">
        <x:v>D7</x:v>
      </x:c>
      <x:c r="F126" s="9" t="str">
        <x:v>Low concern</x:v>
      </x:c>
      <x:c r="G126" s="9" t="str">
        <x:v>Some concern</x:v>
      </x:c>
      <x:c r="H126" s="9" t="str">
        <x:v>Low concern</x:v>
      </x:c>
      <x:c r="I126" s="9" t="str">
        <x:v>Adjudicated to Reviewer 1</x:v>
      </x:c>
      <x:c r="J126" s="9" t="str">
        <x:v>The reference/protocol and principal quantitative outcomes are reported.</x:v>
      </x:c>
      <x:c r="K126" s="9" t="str">
        <x:v>PDF pp. 3–9; Figs. 1, 4–9; cited SI</x:v>
      </x:c>
    </x:row>
    <x:row r="127">
      <x:c r="A127" s="9" t="str">
        <x:v>Risk</x:v>
      </x:c>
      <x:c r="B127" s="9" t="n">
        <x:v>38</x:v>
      </x:c>
      <x:c r="C127" s="9" t="str">
        <x:v>S050</x:v>
      </x:c>
      <x:c r="D127" s="9" t="str">
        <x:v>Leal-Junior et al. (2018)</x:v>
      </x:c>
      <x:c r="E127" s="9" t="str">
        <x:v>D1</x:v>
      </x:c>
      <x:c r="F127" s="9" t="str">
        <x:v>Some concern</x:v>
      </x:c>
      <x:c r="G127" s="9" t="str">
        <x:v>High concern</x:v>
      </x:c>
      <x:c r="H127" s="9" t="str">
        <x:v>Some concern</x:v>
      </x:c>
      <x:c r="I127" s="9" t="str">
        <x:v>Adjudicated to Reviewer 1</x:v>
      </x:c>
      <x:c r="J127" s="9" t="str">
        <x:v>Study-specific evidence is documented in the extraction and REB sheets.</x:v>
      </x:c>
      <x:c r="K127" s="9" t="str">
        <x:v>PDF pp. 3–10; Figs. 1–8</x:v>
      </x:c>
    </x:row>
    <x:row r="128">
      <x:c r="A128" s="9" t="str">
        <x:v>Risk</x:v>
      </x:c>
      <x:c r="B128" s="9" t="n">
        <x:v>38</x:v>
      </x:c>
      <x:c r="C128" s="9" t="str">
        <x:v>S050</x:v>
      </x:c>
      <x:c r="D128" s="9" t="str">
        <x:v>Leal-Junior et al. (2018)</x:v>
      </x:c>
      <x:c r="E128" s="9" t="str">
        <x:v>D2</x:v>
      </x:c>
      <x:c r="F128" s="9" t="str">
        <x:v>Some concern</x:v>
      </x:c>
      <x:c r="G128" s="9" t="str">
        <x:v>High concern</x:v>
      </x:c>
      <x:c r="H128" s="9" t="str">
        <x:v>Some concern</x:v>
      </x:c>
      <x:c r="I128" s="9" t="str">
        <x:v>Adjudicated to Reviewer 1</x:v>
      </x:c>
      <x:c r="J128" s="9" t="str">
        <x:v>Study-specific evidence is documented in the extraction and REB sheets.</x:v>
      </x:c>
      <x:c r="K128" s="9" t="str">
        <x:v>PDF pp. 3–10; Figs. 1–8</x:v>
      </x:c>
    </x:row>
    <x:row r="129">
      <x:c r="A129" s="9" t="str">
        <x:v>Risk</x:v>
      </x:c>
      <x:c r="B129" s="9" t="n">
        <x:v>38</x:v>
      </x:c>
      <x:c r="C129" s="9" t="str">
        <x:v>S050</x:v>
      </x:c>
      <x:c r="D129" s="9" t="str">
        <x:v>Leal-Junior et al. (2018)</x:v>
      </x:c>
      <x:c r="E129" s="9" t="str">
        <x:v>D5</x:v>
      </x:c>
      <x:c r="F129" s="9" t="str">
        <x:v>Some concern</x:v>
      </x:c>
      <x:c r="G129" s="9" t="str">
        <x:v>High concern</x:v>
      </x:c>
      <x:c r="H129" s="9" t="str">
        <x:v>Some concern</x:v>
      </x:c>
      <x:c r="I129" s="9" t="str">
        <x:v>Adjudicated to Reviewer 1</x:v>
      </x:c>
      <x:c r="J129" s="9" t="str">
        <x:v>Study-specific evidence is documented in the extraction and REB sheets.</x:v>
      </x:c>
      <x:c r="K129" s="9" t="str">
        <x:v>PDF pp. 3–10; Figs. 1–8</x:v>
      </x:c>
    </x:row>
    <x:row r="130">
      <x:c r="A130" s="9" t="str">
        <x:v>Risk</x:v>
      </x:c>
      <x:c r="B130" s="9" t="n">
        <x:v>38</x:v>
      </x:c>
      <x:c r="C130" s="9" t="str">
        <x:v>S050</x:v>
      </x:c>
      <x:c r="D130" s="9" t="str">
        <x:v>Leal-Junior et al. (2018)</x:v>
      </x:c>
      <x:c r="E130" s="9" t="str">
        <x:v>D7</x:v>
      </x:c>
      <x:c r="F130" s="9" t="str">
        <x:v>Low concern</x:v>
      </x:c>
      <x:c r="G130" s="9" t="str">
        <x:v>Some concern</x:v>
      </x:c>
      <x:c r="H130" s="9" t="str">
        <x:v>Low concern</x:v>
      </x:c>
      <x:c r="I130" s="9" t="str">
        <x:v>Adjudicated to Reviewer 1</x:v>
      </x:c>
      <x:c r="J130" s="9" t="str">
        <x:v>Study-specific evidence is documented in the extraction and REB sheets.</x:v>
      </x:c>
      <x:c r="K130" s="9" t="str">
        <x:v>PDF pp. 3–10; Figs. 1–8</x:v>
      </x:c>
    </x:row>
    <x:row r="131">
      <x:c r="A131" s="9" t="str">
        <x:v>Risk</x:v>
      </x:c>
      <x:c r="B131" s="9" t="n">
        <x:v>38</x:v>
      </x:c>
      <x:c r="C131" s="9" t="str">
        <x:v>S050</x:v>
      </x:c>
      <x:c r="D131" s="9" t="str">
        <x:v>Leal-Junior et al. (2018)</x:v>
      </x:c>
      <x:c r="E131" s="9" t="str">
        <x:v>D8</x:v>
      </x:c>
      <x:c r="F131" s="9" t="str">
        <x:v>Some concern</x:v>
      </x:c>
      <x:c r="G131" s="9" t="str">
        <x:v>Low concern</x:v>
      </x:c>
      <x:c r="H131" s="9" t="str">
        <x:v>Some concern</x:v>
      </x:c>
      <x:c r="I131" s="9" t="str">
        <x:v>Adjudicated to Reviewer 1</x:v>
      </x:c>
      <x:c r="J131" s="9" t="str">
        <x:v>The wearable configuration and extent of application testing are documented.</x:v>
      </x:c>
      <x:c r="K131" s="9" t="str">
        <x:v>PDF pp. 3–10; Figs. 1–8</x:v>
      </x:c>
    </x:row>
    <x:row r="132">
      <x:c r="A132" s="9" t="str">
        <x:v>Risk</x:v>
      </x:c>
      <x:c r="B132" s="9" t="n">
        <x:v>39</x:v>
      </x:c>
      <x:c r="C132" s="9" t="str">
        <x:v>S051</x:v>
      </x:c>
      <x:c r="D132" s="9" t="str">
        <x:v>Ota et al. (2017)</x:v>
      </x:c>
      <x:c r="E132" s="9" t="str">
        <x:v>D1</x:v>
      </x:c>
      <x:c r="F132" s="9" t="str">
        <x:v>High concern</x:v>
      </x:c>
      <x:c r="G132" s="9" t="str">
        <x:v>Some concern</x:v>
      </x:c>
      <x:c r="H132" s="9" t="str">
        <x:v>High concern</x:v>
      </x:c>
      <x:c r="I132" s="9" t="str">
        <x:v>Adjudicated to Reviewer 1</x:v>
      </x:c>
      <x:c r="J132" s="9" t="str">
        <x:v>The on-body study involved one subject.</x:v>
      </x:c>
      <x:c r="K132" s="9" t="str">
        <x:v>PDF pp. 2–7; Figs. 1–5</x:v>
      </x:c>
    </x:row>
    <x:row r="133">
      <x:c r="A133" s="9" t="str">
        <x:v>Risk</x:v>
      </x:c>
      <x:c r="B133" s="9" t="n">
        <x:v>39</x:v>
      </x:c>
      <x:c r="C133" s="9" t="str">
        <x:v>S051</x:v>
      </x:c>
      <x:c r="D133" s="9" t="str">
        <x:v>Ota et al. (2017)</x:v>
      </x:c>
      <x:c r="E133" s="9" t="str">
        <x:v>D3</x:v>
      </x:c>
      <x:c r="F133" s="9" t="str">
        <x:v>Low concern</x:v>
      </x:c>
      <x:c r="G133" s="9" t="str">
        <x:v>Some concern</x:v>
      </x:c>
      <x:c r="H133" s="9" t="str">
        <x:v>Low concern</x:v>
      </x:c>
      <x:c r="I133" s="9" t="str">
        <x:v>Adjudicated to Reviewer 1</x:v>
      </x:c>
      <x:c r="J133" s="9" t="str">
        <x:v>Study-specific evidence is documented in the extraction and REB sheets.</x:v>
      </x:c>
      <x:c r="K133" s="9" t="str">
        <x:v>PDF pp. 2–7; Figs. 1–5</x:v>
      </x:c>
    </x:row>
    <x:row r="134">
      <x:c r="A134" s="9" t="str">
        <x:v>Risk</x:v>
      </x:c>
      <x:c r="B134" s="9" t="n">
        <x:v>39</x:v>
      </x:c>
      <x:c r="C134" s="9" t="str">
        <x:v>S051</x:v>
      </x:c>
      <x:c r="D134" s="9" t="str">
        <x:v>Ota et al. (2017)</x:v>
      </x:c>
      <x:c r="E134" s="9" t="str">
        <x:v>D7</x:v>
      </x:c>
      <x:c r="F134" s="9" t="str">
        <x:v>Low concern</x:v>
      </x:c>
      <x:c r="G134" s="9" t="str">
        <x:v>Some concern</x:v>
      </x:c>
      <x:c r="H134" s="9" t="str">
        <x:v>Low concern</x:v>
      </x:c>
      <x:c r="I134" s="9" t="str">
        <x:v>Adjudicated to Reviewer 1</x:v>
      </x:c>
      <x:c r="J134" s="9" t="str">
        <x:v>Study-specific evidence is documented in the extraction and REB sheets.</x:v>
      </x:c>
      <x:c r="K134" s="9" t="str">
        <x:v>PDF pp. 2–7; Figs. 1–5</x:v>
      </x:c>
    </x:row>
    <x:row r="135">
      <x:c r="A135" s="9" t="str">
        <x:v>Risk</x:v>
      </x:c>
      <x:c r="B135" s="9" t="n">
        <x:v>39</x:v>
      </x:c>
      <x:c r="C135" s="9" t="str">
        <x:v>S051</x:v>
      </x:c>
      <x:c r="D135" s="9" t="str">
        <x:v>Ota et al. (2017)</x:v>
      </x:c>
      <x:c r="E135" s="9" t="str">
        <x:v>D8</x:v>
      </x:c>
      <x:c r="F135" s="9" t="str">
        <x:v>Some concern</x:v>
      </x:c>
      <x:c r="G135" s="9" t="str">
        <x:v>Low concern</x:v>
      </x:c>
      <x:c r="H135" s="9" t="str">
        <x:v>Some concern</x:v>
      </x:c>
      <x:c r="I135" s="9" t="str">
        <x:v>Adjudicated to Reviewer 1</x:v>
      </x:c>
      <x:c r="J135" s="9" t="str">
        <x:v>The wearable configuration and extent of application testing are documented.</x:v>
      </x:c>
      <x:c r="K135" s="9" t="str">
        <x:v>PDF pp. 2–7; Figs. 1–5</x:v>
      </x:c>
    </x:row>
    <x:row r="136">
      <x:c r="A136" s="9" t="str">
        <x:v>Risk</x:v>
      </x:c>
      <x:c r="B136" s="9" t="n">
        <x:v>40</x:v>
      </x:c>
      <x:c r="C136" s="9" t="str">
        <x:v>S052</x:v>
      </x:c>
      <x:c r="D136" s="9" t="str">
        <x:v>Li et al. (2026)</x:v>
      </x:c>
      <x:c r="E136" s="9" t="str">
        <x:v>D3</x:v>
      </x:c>
      <x:c r="F136" s="9" t="str">
        <x:v>Low concern</x:v>
      </x:c>
      <x:c r="G136" s="9" t="str">
        <x:v>Some concern</x:v>
      </x:c>
      <x:c r="H136" s="9" t="str">
        <x:v>Low concern</x:v>
      </x:c>
      <x:c r="I136" s="9" t="str">
        <x:v>Adjudicated to Reviewer 1</x:v>
      </x:c>
      <x:c r="J136" s="9" t="str">
        <x:v>Study-specific evidence is documented in the extraction and REB sheets.</x:v>
      </x:c>
      <x:c r="K136" s="9" t="str">
        <x:v>PDF pp. 2–12; Figs. 1–6; cited Supplementary Table S1 and Figs. S1–S21</x:v>
      </x:c>
    </x:row>
    <x:row r="137">
      <x:c r="A137" s="9" t="str">
        <x:v>Risk</x:v>
      </x:c>
      <x:c r="B137" s="9" t="n">
        <x:v>40</x:v>
      </x:c>
      <x:c r="C137" s="9" t="str">
        <x:v>S052</x:v>
      </x:c>
      <x:c r="D137" s="9" t="str">
        <x:v>Li et al. (2026)</x:v>
      </x:c>
      <x:c r="E137" s="9" t="str">
        <x:v>D4</x:v>
      </x:c>
      <x:c r="F137" s="9" t="str">
        <x:v>Low concern</x:v>
      </x:c>
      <x:c r="G137" s="9" t="str">
        <x:v>Some concern</x:v>
      </x:c>
      <x:c r="H137" s="9" t="str">
        <x:v>Low concern</x:v>
      </x:c>
      <x:c r="I137" s="9" t="str">
        <x:v>Adjudicated to Reviewer 1</x:v>
      </x:c>
      <x:c r="J137" s="9" t="str">
        <x:v>Study-specific evidence is documented in the extraction and REB sheets.</x:v>
      </x:c>
      <x:c r="K137" s="9" t="str">
        <x:v>PDF pp. 2–12; Figs. 1–6; cited Supplementary Table S1 and Figs. S1–S21</x:v>
      </x:c>
    </x:row>
    <x:row r="138">
      <x:c r="A138" s="9" t="str">
        <x:v>Risk</x:v>
      </x:c>
      <x:c r="B138" s="9" t="n">
        <x:v>40</x:v>
      </x:c>
      <x:c r="C138" s="9" t="str">
        <x:v>S052</x:v>
      </x:c>
      <x:c r="D138" s="9" t="str">
        <x:v>Li et al. (2026)</x:v>
      </x:c>
      <x:c r="E138" s="9" t="str">
        <x:v>D6</x:v>
      </x:c>
      <x:c r="F138" s="9" t="str">
        <x:v>High concern</x:v>
      </x:c>
      <x:c r="G138" s="9" t="str">
        <x:v>Unclear</x:v>
      </x:c>
      <x:c r="H138" s="9" t="str">
        <x:v>High concern</x:v>
      </x:c>
      <x:c r="I138" s="9" t="str">
        <x:v>Unclear resolved</x:v>
      </x:c>
      <x:c r="J138" s="9" t="str">
        <x:v>A quantitative comparison of at least three separately fabricated complete sensors was not identified.</x:v>
      </x:c>
      <x:c r="K138" s="9" t="str">
        <x:v>PDF pp. 2–12; Figs. 1–6; cited Supplementary Table S1 and Figs. S1–S21</x:v>
      </x:c>
    </x:row>
    <x:row r="139">
      <x:c r="A139" s="9" t="str">
        <x:v>Risk</x:v>
      </x:c>
      <x:c r="B139" s="9" t="n">
        <x:v>40</x:v>
      </x:c>
      <x:c r="C139" s="9" t="str">
        <x:v>S052</x:v>
      </x:c>
      <x:c r="D139" s="9" t="str">
        <x:v>Li et al. (2026)</x:v>
      </x:c>
      <x:c r="E139" s="9" t="str">
        <x:v>D7</x:v>
      </x:c>
      <x:c r="F139" s="9" t="str">
        <x:v>Low concern</x:v>
      </x:c>
      <x:c r="G139" s="9" t="str">
        <x:v>Some concern</x:v>
      </x:c>
      <x:c r="H139" s="9" t="str">
        <x:v>Low concern</x:v>
      </x:c>
      <x:c r="I139" s="9" t="str">
        <x:v>Adjudicated to Reviewer 1</x:v>
      </x:c>
      <x:c r="J139" s="9" t="str">
        <x:v>Study-specific evidence is documented in the extraction and REB sheets.</x:v>
      </x:c>
      <x:c r="K139" s="9" t="str">
        <x:v>PDF pp. 2–12; Figs. 1–6; cited Supplementary Table S1 and Figs. S1–S21</x:v>
      </x:c>
    </x:row>
    <x:row r="140">
      <x:c r="A140" s="9" t="str">
        <x:v>Risk</x:v>
      </x:c>
      <x:c r="B140" s="9" t="n">
        <x:v>41</x:v>
      </x:c>
      <x:c r="C140" s="9" t="str">
        <x:v>S053</x:v>
      </x:c>
      <x:c r="D140" s="9" t="str">
        <x:v>Li et al. (2023)</x:v>
      </x:c>
      <x:c r="E140" s="9" t="str">
        <x:v>D1</x:v>
      </x:c>
      <x:c r="F140" s="9" t="str">
        <x:v>Some concern</x:v>
      </x:c>
      <x:c r="G140" s="9" t="str">
        <x:v>High concern</x:v>
      </x:c>
      <x:c r="H140" s="9" t="str">
        <x:v>Some concern</x:v>
      </x:c>
      <x:c r="I140" s="9" t="str">
        <x:v>Adjudicated to Reviewer 1</x:v>
      </x:c>
      <x:c r="J140" s="9" t="str">
        <x:v>Study-specific evidence is documented in the extraction and REB sheets.</x:v>
      </x:c>
      <x:c r="K140" s="9" t="str">
        <x:v>PDF pp. 3–13; Figs. 1–9</x:v>
      </x:c>
    </x:row>
    <x:row r="141">
      <x:c r="A141" s="9" t="str">
        <x:v>Risk</x:v>
      </x:c>
      <x:c r="B141" s="9" t="n">
        <x:v>41</x:v>
      </x:c>
      <x:c r="C141" s="9" t="str">
        <x:v>S053</x:v>
      </x:c>
      <x:c r="D141" s="9" t="str">
        <x:v>Li et al. (2023)</x:v>
      </x:c>
      <x:c r="E141" s="9" t="str">
        <x:v>D7</x:v>
      </x:c>
      <x:c r="F141" s="9" t="str">
        <x:v>Low concern</x:v>
      </x:c>
      <x:c r="G141" s="9" t="str">
        <x:v>Some concern</x:v>
      </x:c>
      <x:c r="H141" s="9" t="str">
        <x:v>Low concern</x:v>
      </x:c>
      <x:c r="I141" s="9" t="str">
        <x:v>Adjudicated to Reviewer 1</x:v>
      </x:c>
      <x:c r="J141" s="9" t="str">
        <x:v>Study-specific evidence is documented in the extraction and REB sheets.</x:v>
      </x:c>
      <x:c r="K141" s="9" t="str">
        <x:v>PDF pp. 3–13; Figs. 1–9</x:v>
      </x:c>
    </x:row>
    <x:row r="142">
      <x:c r="A142" s="9" t="str">
        <x:v>Risk</x:v>
      </x:c>
      <x:c r="B142" s="9" t="n">
        <x:v>41</x:v>
      </x:c>
      <x:c r="C142" s="9" t="str">
        <x:v>S053</x:v>
      </x:c>
      <x:c r="D142" s="9" t="str">
        <x:v>Li et al. (2023)</x:v>
      </x:c>
      <x:c r="E142" s="9" t="str">
        <x:v>D8</x:v>
      </x:c>
      <x:c r="F142" s="9" t="str">
        <x:v>Some concern</x:v>
      </x:c>
      <x:c r="G142" s="9" t="str">
        <x:v>Low concern</x:v>
      </x:c>
      <x:c r="H142" s="9" t="str">
        <x:v>Some concern</x:v>
      </x:c>
      <x:c r="I142" s="9" t="str">
        <x:v>Adjudicated to Reviewer 1</x:v>
      </x:c>
      <x:c r="J142" s="9" t="str">
        <x:v>The wearable configuration and extent of application testing are documented.</x:v>
      </x:c>
      <x:c r="K142" s="9" t="str">
        <x:v>PDF pp. 3–13; Figs. 1–9</x:v>
      </x:c>
    </x:row>
    <x:row r="143">
      <x:c r="A143" s="9" t="str">
        <x:v>Risk</x:v>
      </x:c>
      <x:c r="B143" s="9" t="n">
        <x:v>42</x:v>
      </x:c>
      <x:c r="C143" s="9" t="str">
        <x:v>S054</x:v>
      </x:c>
      <x:c r="D143" s="9" t="str">
        <x:v>Chatzistergos et al. (2021)</x:v>
      </x:c>
      <x:c r="E143" s="9" t="str">
        <x:v>D1</x:v>
      </x:c>
      <x:c r="F143" s="9" t="str">
        <x:v>Low concern</x:v>
      </x:c>
      <x:c r="G143" s="9" t="str">
        <x:v>Some concern</x:v>
      </x:c>
      <x:c r="H143" s="9" t="str">
        <x:v>Low concern</x:v>
      </x:c>
      <x:c r="I143" s="9" t="str">
        <x:v>Adjudicated to Reviewer 1</x:v>
      </x:c>
      <x:c r="J143" s="9" t="str">
        <x:v>Study-specific evidence is documented in the extraction and REB sheets.</x:v>
      </x:c>
      <x:c r="K143" s="9" t="str">
        <x:v>PDF pp. 3–9; Figs. 1–7; Appendix 1</x:v>
      </x:c>
    </x:row>
    <x:row r="144">
      <x:c r="A144" s="9" t="str">
        <x:v>Risk</x:v>
      </x:c>
      <x:c r="B144" s="9" t="n">
        <x:v>42</x:v>
      </x:c>
      <x:c r="C144" s="9" t="str">
        <x:v>S054</x:v>
      </x:c>
      <x:c r="D144" s="9" t="str">
        <x:v>Chatzistergos et al. (2021)</x:v>
      </x:c>
      <x:c r="E144" s="9" t="str">
        <x:v>D2</x:v>
      </x:c>
      <x:c r="F144" s="9" t="str">
        <x:v>Low concern</x:v>
      </x:c>
      <x:c r="G144" s="9" t="str">
        <x:v>High concern</x:v>
      </x:c>
      <x:c r="H144" s="9" t="str">
        <x:v>Low concern</x:v>
      </x:c>
      <x:c r="I144" s="9" t="str">
        <x:v>Adjudicated to Reviewer 1</x:v>
      </x:c>
      <x:c r="J144" s="9" t="str">
        <x:v>Study-specific evidence is documented in the extraction and REB sheets.</x:v>
      </x:c>
      <x:c r="K144" s="9" t="str">
        <x:v>PDF pp. 3–9; Figs. 1–7; Appendix 1</x:v>
      </x:c>
    </x:row>
    <x:row r="145">
      <x:c r="A145" s="9" t="str">
        <x:v>Risk</x:v>
      </x:c>
      <x:c r="B145" s="9" t="n">
        <x:v>42</x:v>
      </x:c>
      <x:c r="C145" s="9" t="str">
        <x:v>S054</x:v>
      </x:c>
      <x:c r="D145" s="9" t="str">
        <x:v>Chatzistergos et al. (2021)</x:v>
      </x:c>
      <x:c r="E145" s="9" t="str">
        <x:v>D3</x:v>
      </x:c>
      <x:c r="F145" s="9" t="str">
        <x:v>Low concern</x:v>
      </x:c>
      <x:c r="G145" s="9" t="str">
        <x:v>Some concern</x:v>
      </x:c>
      <x:c r="H145" s="9" t="str">
        <x:v>Low concern</x:v>
      </x:c>
      <x:c r="I145" s="9" t="str">
        <x:v>Adjudicated to Reviewer 1</x:v>
      </x:c>
      <x:c r="J145" s="9" t="str">
        <x:v>Study-specific evidence is documented in the extraction and REB sheets.</x:v>
      </x:c>
      <x:c r="K145" s="9" t="str">
        <x:v>PDF pp. 3–9; Figs. 1–7; Appendix 1</x:v>
      </x:c>
    </x:row>
    <x:row r="146">
      <x:c r="A146" s="9" t="str">
        <x:v>Risk</x:v>
      </x:c>
      <x:c r="B146" s="9" t="n">
        <x:v>42</x:v>
      </x:c>
      <x:c r="C146" s="9" t="str">
        <x:v>S054</x:v>
      </x:c>
      <x:c r="D146" s="9" t="str">
        <x:v>Chatzistergos et al. (2021)</x:v>
      </x:c>
      <x:c r="E146" s="9" t="str">
        <x:v>D6</x:v>
      </x:c>
      <x:c r="F146" s="9" t="str">
        <x:v>Low concern</x:v>
      </x:c>
      <x:c r="G146" s="9" t="str">
        <x:v>High concern</x:v>
      </x:c>
      <x:c r="H146" s="9" t="str">
        <x:v>Low concern</x:v>
      </x:c>
      <x:c r="I146" s="9" t="str">
        <x:v>Adjudicated to Reviewer 1</x:v>
      </x:c>
      <x:c r="J146" s="9" t="str">
        <x:v>At least three independently fabricated sensing units/specimens were quantitatively compared.</x:v>
      </x:c>
      <x:c r="K146" s="9" t="str">
        <x:v>PDF pp. 3–9; Figs. 1–7; Appendix 1</x:v>
      </x:c>
    </x:row>
    <x:row r="147">
      <x:c r="A147" s="9" t="str">
        <x:v>Risk</x:v>
      </x:c>
      <x:c r="B147" s="9" t="n">
        <x:v>42</x:v>
      </x:c>
      <x:c r="C147" s="9" t="str">
        <x:v>S054</x:v>
      </x:c>
      <x:c r="D147" s="9" t="str">
        <x:v>Chatzistergos et al. (2021)</x:v>
      </x:c>
      <x:c r="E147" s="9" t="str">
        <x:v>D7</x:v>
      </x:c>
      <x:c r="F147" s="9" t="str">
        <x:v>Low concern</x:v>
      </x:c>
      <x:c r="G147" s="9" t="str">
        <x:v>Some concern</x:v>
      </x:c>
      <x:c r="H147" s="9" t="str">
        <x:v>Low concern</x:v>
      </x:c>
      <x:c r="I147" s="9" t="str">
        <x:v>Adjudicated to Reviewer 1</x:v>
      </x:c>
      <x:c r="J147" s="9" t="str">
        <x:v>Study-specific evidence is documented in the extraction and REB sheets.</x:v>
      </x:c>
      <x:c r="K147" s="9" t="str">
        <x:v>PDF pp. 3–9; Figs. 1–7; Appendix 1</x:v>
      </x:c>
    </x:row>
    <x:row r="148">
      <x:c r="A148" s="9" t="str">
        <x:v>Risk</x:v>
      </x:c>
      <x:c r="B148" s="9" t="n">
        <x:v>43</x:v>
      </x:c>
      <x:c r="C148" s="9" t="str">
        <x:v>S055</x:v>
      </x:c>
      <x:c r="D148" s="9" t="str">
        <x:v>Ben Harrath et al. (2026)</x:v>
      </x:c>
      <x:c r="E148" s="9" t="str">
        <x:v>D2</x:v>
      </x:c>
      <x:c r="F148" s="9" t="str">
        <x:v>Some concern</x:v>
      </x:c>
      <x:c r="G148" s="9" t="str">
        <x:v>Low concern</x:v>
      </x:c>
      <x:c r="H148" s="9" t="str">
        <x:v>Some concern</x:v>
      </x:c>
      <x:c r="I148" s="9" t="str">
        <x:v>Adjudicated to Reviewer 1</x:v>
      </x:c>
      <x:c r="J148" s="9" t="str">
        <x:v>Study-specific evidence is documented in the extraction and REB sheets.</x:v>
      </x:c>
      <x:c r="K148" s="9" t="str">
        <x:v>PDF pp. 3–9; Figs. 1–10</x:v>
      </x:c>
    </x:row>
    <x:row r="149">
      <x:c r="A149" s="9" t="str">
        <x:v>Risk</x:v>
      </x:c>
      <x:c r="B149" s="9" t="n">
        <x:v>43</x:v>
      </x:c>
      <x:c r="C149" s="9" t="str">
        <x:v>S055</x:v>
      </x:c>
      <x:c r="D149" s="9" t="str">
        <x:v>Ben Harrath et al. (2026)</x:v>
      </x:c>
      <x:c r="E149" s="9" t="str">
        <x:v>D3</x:v>
      </x:c>
      <x:c r="F149" s="9" t="str">
        <x:v>Low concern</x:v>
      </x:c>
      <x:c r="G149" s="9" t="str">
        <x:v>Some concern</x:v>
      </x:c>
      <x:c r="H149" s="9" t="str">
        <x:v>Low concern</x:v>
      </x:c>
      <x:c r="I149" s="9" t="str">
        <x:v>Adjudicated to Reviewer 1</x:v>
      </x:c>
      <x:c r="J149" s="9" t="str">
        <x:v>Study-specific evidence is documented in the extraction and REB sheets.</x:v>
      </x:c>
      <x:c r="K149" s="9" t="str">
        <x:v>PDF pp. 3–9; Figs. 1–10</x:v>
      </x:c>
    </x:row>
    <x:row r="150">
      <x:c r="A150" s="9" t="str">
        <x:v>Risk</x:v>
      </x:c>
      <x:c r="B150" s="9" t="n">
        <x:v>43</x:v>
      </x:c>
      <x:c r="C150" s="9" t="str">
        <x:v>S055</x:v>
      </x:c>
      <x:c r="D150" s="9" t="str">
        <x:v>Ben Harrath et al. (2026)</x:v>
      </x:c>
      <x:c r="E150" s="9" t="str">
        <x:v>D8</x:v>
      </x:c>
      <x:c r="F150" s="9" t="str">
        <x:v>Some concern</x:v>
      </x:c>
      <x:c r="G150" s="9" t="str">
        <x:v>Low concern</x:v>
      </x:c>
      <x:c r="H150" s="9" t="str">
        <x:v>Some concern</x:v>
      </x:c>
      <x:c r="I150" s="9" t="str">
        <x:v>Adjudicated to Reviewer 1</x:v>
      </x:c>
      <x:c r="J150" s="9" t="str">
        <x:v>The wearable configuration and extent of application testing are documented.</x:v>
      </x:c>
      <x:c r="K150" s="9" t="str">
        <x:v>PDF pp. 3–9; Figs. 1–10</x:v>
      </x:c>
    </x:row>
    <x:row r="151">
      <x:c r="A151" s="9" t="str">
        <x:v>Risk</x:v>
      </x:c>
      <x:c r="B151" s="9" t="n">
        <x:v>44</x:v>
      </x:c>
      <x:c r="C151" s="9" t="str">
        <x:v>S056</x:v>
      </x:c>
      <x:c r="D151" s="9" t="str">
        <x:v>Wei et al. (2026)</x:v>
      </x:c>
      <x:c r="E151" s="9" t="str">
        <x:v>D2</x:v>
      </x:c>
      <x:c r="F151" s="9" t="str">
        <x:v>Some concern</x:v>
      </x:c>
      <x:c r="G151" s="9" t="str">
        <x:v>Low concern</x:v>
      </x:c>
      <x:c r="H151" s="9" t="str">
        <x:v>Some concern</x:v>
      </x:c>
      <x:c r="I151" s="9" t="str">
        <x:v>Adjudicated to Reviewer 1</x:v>
      </x:c>
      <x:c r="J151" s="9" t="str">
        <x:v>Study-specific evidence is documented in the extraction and REB sheets.</x:v>
      </x:c>
      <x:c r="K151" s="9" t="str">
        <x:v>PDF pp. 3–15; Figs. 1–9; Tables 1–2</x:v>
      </x:c>
    </x:row>
    <x:row r="152">
      <x:c r="A152" s="9" t="str">
        <x:v>Risk</x:v>
      </x:c>
      <x:c r="B152" s="9" t="n">
        <x:v>44</x:v>
      </x:c>
      <x:c r="C152" s="9" t="str">
        <x:v>S056</x:v>
      </x:c>
      <x:c r="D152" s="9" t="str">
        <x:v>Wei et al. (2026)</x:v>
      </x:c>
      <x:c r="E152" s="9" t="str">
        <x:v>D7</x:v>
      </x:c>
      <x:c r="F152" s="9" t="str">
        <x:v>Low concern</x:v>
      </x:c>
      <x:c r="G152" s="9" t="str">
        <x:v>Some concern</x:v>
      </x:c>
      <x:c r="H152" s="9" t="str">
        <x:v>Low concern</x:v>
      </x:c>
      <x:c r="I152" s="9" t="str">
        <x:v>Adjudicated to Reviewer 1</x:v>
      </x:c>
      <x:c r="J152" s="9" t="str">
        <x:v>Study-specific evidence is documented in the extraction and REB sheets.</x:v>
      </x:c>
      <x:c r="K152" s="9" t="str">
        <x:v>PDF pp. 3–15; Figs. 1–9; Tables 1–2</x:v>
      </x:c>
    </x:row>
    <x:row r="153">
      <x:c r="A153" s="9" t="str">
        <x:v>Risk</x:v>
      </x:c>
      <x:c r="B153" s="9" t="n">
        <x:v>44</x:v>
      </x:c>
      <x:c r="C153" s="9" t="str">
        <x:v>S056</x:v>
      </x:c>
      <x:c r="D153" s="9" t="str">
        <x:v>Wei et al. (2026)</x:v>
      </x:c>
      <x:c r="E153" s="9" t="str">
        <x:v>D8</x:v>
      </x:c>
      <x:c r="F153" s="9" t="str">
        <x:v>Some concern</x:v>
      </x:c>
      <x:c r="G153" s="9" t="str">
        <x:v>Low concern</x:v>
      </x:c>
      <x:c r="H153" s="9" t="str">
        <x:v>Some concern</x:v>
      </x:c>
      <x:c r="I153" s="9" t="str">
        <x:v>Adjudicated to Reviewer 1</x:v>
      </x:c>
      <x:c r="J153" s="9" t="str">
        <x:v>The wearable configuration and extent of application testing are documented.</x:v>
      </x:c>
      <x:c r="K153" s="9" t="str">
        <x:v>PDF pp. 3–15; Figs. 1–9; Tables 1–2</x:v>
      </x:c>
    </x:row>
    <x:row r="154">
      <x:c r="A154" s="9" t="str">
        <x:v>Risk</x:v>
      </x:c>
      <x:c r="B154" s="9" t="n">
        <x:v>45</x:v>
      </x:c>
      <x:c r="C154" s="9" t="str">
        <x:v>S057</x:v>
      </x:c>
      <x:c r="D154" s="9" t="str">
        <x:v>Wei et al. (2026)</x:v>
      </x:c>
      <x:c r="E154" s="9" t="str">
        <x:v>D2</x:v>
      </x:c>
      <x:c r="F154" s="9" t="str">
        <x:v>Some concern</x:v>
      </x:c>
      <x:c r="G154" s="9" t="str">
        <x:v>Low concern</x:v>
      </x:c>
      <x:c r="H154" s="9" t="str">
        <x:v>Some concern</x:v>
      </x:c>
      <x:c r="I154" s="9" t="str">
        <x:v>Adjudicated to Reviewer 1</x:v>
      </x:c>
      <x:c r="J154" s="9" t="str">
        <x:v>Study-specific evidence is documented in the extraction and REB sheets.</x:v>
      </x:c>
      <x:c r="K154" s="9" t="str">
        <x:v>PDF pp. 3–15; Figs. 1–10</x:v>
      </x:c>
    </x:row>
    <x:row r="155">
      <x:c r="A155" s="9" t="str">
        <x:v>Risk</x:v>
      </x:c>
      <x:c r="B155" s="9" t="n">
        <x:v>45</x:v>
      </x:c>
      <x:c r="C155" s="9" t="str">
        <x:v>S057</x:v>
      </x:c>
      <x:c r="D155" s="9" t="str">
        <x:v>Wei et al. (2026)</x:v>
      </x:c>
      <x:c r="E155" s="9" t="str">
        <x:v>D8</x:v>
      </x:c>
      <x:c r="F155" s="9" t="str">
        <x:v>Some concern</x:v>
      </x:c>
      <x:c r="G155" s="9" t="str">
        <x:v>Low concern</x:v>
      </x:c>
      <x:c r="H155" s="9" t="str">
        <x:v>Some concern</x:v>
      </x:c>
      <x:c r="I155" s="9" t="str">
        <x:v>Adjudicated to Reviewer 1</x:v>
      </x:c>
      <x:c r="J155" s="9" t="str">
        <x:v>The wearable configuration and extent of application testing are documented.</x:v>
      </x:c>
      <x:c r="K155" s="9" t="str">
        <x:v>PDF pp. 3–15; Figs. 1–10</x:v>
      </x:c>
    </x:row>
    <x:row r="156">
      <x:c r="A156" s="9" t="str">
        <x:v>Risk</x:v>
      </x:c>
      <x:c r="B156" s="9" t="n">
        <x:v>46</x:v>
      </x:c>
      <x:c r="C156" s="9" t="str">
        <x:v>S058</x:v>
      </x:c>
      <x:c r="D156" s="9" t="str">
        <x:v>Yang et al. (2026)</x:v>
      </x:c>
      <x:c r="E156" s="9" t="str">
        <x:v>D1</x:v>
      </x:c>
      <x:c r="F156" s="9" t="str">
        <x:v>Some concern</x:v>
      </x:c>
      <x:c r="G156" s="9" t="str">
        <x:v>Low concern</x:v>
      </x:c>
      <x:c r="H156" s="9" t="str">
        <x:v>Some concern</x:v>
      </x:c>
      <x:c r="I156" s="9" t="str">
        <x:v>Adjudicated to Reviewer 1</x:v>
      </x:c>
      <x:c r="J156" s="9" t="str">
        <x:v>Study-specific evidence is documented in the extraction and REB sheets.</x:v>
      </x:c>
      <x:c r="K156" s="9" t="str">
        <x:v>PDF pp. 3–13; Figs. 1–8; cited Supplementary Table S1</x:v>
      </x:c>
    </x:row>
    <x:row r="157">
      <x:c r="A157" s="9" t="str">
        <x:v>Risk</x:v>
      </x:c>
      <x:c r="B157" s="9" t="n">
        <x:v>46</x:v>
      </x:c>
      <x:c r="C157" s="9" t="str">
        <x:v>S058</x:v>
      </x:c>
      <x:c r="D157" s="9" t="str">
        <x:v>Yang et al. (2026)</x:v>
      </x:c>
      <x:c r="E157" s="9" t="str">
        <x:v>D2</x:v>
      </x:c>
      <x:c r="F157" s="9" t="str">
        <x:v>Low concern</x:v>
      </x:c>
      <x:c r="G157" s="9" t="str">
        <x:v>Some concern</x:v>
      </x:c>
      <x:c r="H157" s="9" t="str">
        <x:v>Low concern</x:v>
      </x:c>
      <x:c r="I157" s="9" t="str">
        <x:v>Adjudicated to Reviewer 1</x:v>
      </x:c>
      <x:c r="J157" s="9" t="str">
        <x:v>Study-specific evidence is documented in the extraction and REB sheets.</x:v>
      </x:c>
      <x:c r="K157" s="9" t="str">
        <x:v>PDF pp. 3–13; Figs. 1–8; cited Supplementary Table S1</x:v>
      </x:c>
    </x:row>
    <x:row r="158">
      <x:c r="A158" s="9" t="str">
        <x:v>Risk</x:v>
      </x:c>
      <x:c r="B158" s="9" t="n">
        <x:v>47</x:v>
      </x:c>
      <x:c r="C158" s="9" t="str">
        <x:v>S059</x:v>
      </x:c>
      <x:c r="D158" s="9" t="str">
        <x:v>Saroli et al. (2026)</x:v>
      </x:c>
      <x:c r="E158" s="9" t="str">
        <x:v>D2</x:v>
      </x:c>
      <x:c r="F158" s="9" t="str">
        <x:v>Some concern</x:v>
      </x:c>
      <x:c r="G158" s="9" t="str">
        <x:v>Low concern</x:v>
      </x:c>
      <x:c r="H158" s="9" t="str">
        <x:v>Some concern</x:v>
      </x:c>
      <x:c r="I158" s="9" t="str">
        <x:v>Adjudicated to Reviewer 1</x:v>
      </x:c>
      <x:c r="J158" s="9" t="str">
        <x:v>Study-specific evidence is documented in the extraction and REB sheets.</x:v>
      </x:c>
      <x:c r="K158" s="9" t="str">
        <x:v>PDF pp. 3–15; Figs. 1–9; cited Supplementary Table S1</x:v>
      </x:c>
    </x:row>
    <x:row r="159">
      <x:c r="A159" s="9" t="str">
        <x:v>Risk</x:v>
      </x:c>
      <x:c r="B159" s="9" t="n">
        <x:v>47</x:v>
      </x:c>
      <x:c r="C159" s="9" t="str">
        <x:v>S059</x:v>
      </x:c>
      <x:c r="D159" s="9" t="str">
        <x:v>Saroli et al. (2026)</x:v>
      </x:c>
      <x:c r="E159" s="9" t="str">
        <x:v>D8</x:v>
      </x:c>
      <x:c r="F159" s="9" t="str">
        <x:v>Some concern</x:v>
      </x:c>
      <x:c r="G159" s="9" t="str">
        <x:v>Low concern</x:v>
      </x:c>
      <x:c r="H159" s="9" t="str">
        <x:v>Some concern</x:v>
      </x:c>
      <x:c r="I159" s="9" t="str">
        <x:v>Adjudicated to Reviewer 1</x:v>
      </x:c>
      <x:c r="J159" s="9" t="str">
        <x:v>The wearable configuration and extent of application testing are documented.</x:v>
      </x:c>
      <x:c r="K159" s="9" t="str">
        <x:v>PDF pp. 3–15; Figs. 1–9; cited Supplementary Table S1</x:v>
      </x:c>
    </x:row>
    <x:row r="160">
      <x:c r="A160" s="9" t="str">
        <x:v>Risk</x:v>
      </x:c>
      <x:c r="B160" s="9" t="n">
        <x:v>48</x:v>
      </x:c>
      <x:c r="C160" s="9" t="str">
        <x:v>S060</x:v>
      </x:c>
      <x:c r="D160" s="9" t="str">
        <x:v>Porfyrakis et al. (2026)</x:v>
      </x:c>
      <x:c r="E160" s="9" t="str">
        <x:v>D1</x:v>
      </x:c>
      <x:c r="F160" s="9" t="str">
        <x:v>High concern</x:v>
      </x:c>
      <x:c r="G160" s="9" t="str">
        <x:v>Some concern</x:v>
      </x:c>
      <x:c r="H160" s="9" t="str">
        <x:v>High concern</x:v>
      </x:c>
      <x:c r="I160" s="9" t="str">
        <x:v>Adjudicated to Reviewer 1</x:v>
      </x:c>
      <x:c r="J160" s="9" t="str">
        <x:v>Study-specific basis is documented in the extraction and REB sheets.</x:v>
      </x:c>
      <x:c r="K160" s="9" t="str">
        <x:v>PDF pp. 2–15; Figs. 1–10; Tables 1–4</x:v>
      </x:c>
    </x:row>
    <x:row r="161">
      <x:c r="A161" s="9" t="str">
        <x:v>Risk</x:v>
      </x:c>
      <x:c r="B161" s="9" t="n">
        <x:v>48</x:v>
      </x:c>
      <x:c r="C161" s="9" t="str">
        <x:v>S060</x:v>
      </x:c>
      <x:c r="D161" s="9" t="str">
        <x:v>Porfyrakis et al. (2026)</x:v>
      </x:c>
      <x:c r="E161" s="9" t="str">
        <x:v>D2</x:v>
      </x:c>
      <x:c r="F161" s="9" t="str">
        <x:v>Some concern</x:v>
      </x:c>
      <x:c r="G161" s="9" t="str">
        <x:v>Low concern</x:v>
      </x:c>
      <x:c r="H161" s="9" t="str">
        <x:v>Some concern</x:v>
      </x:c>
      <x:c r="I161" s="9" t="str">
        <x:v>Adjudicated to Reviewer 1</x:v>
      </x:c>
      <x:c r="J161" s="9" t="str">
        <x:v>Study-specific basis is documented in the extraction and REB sheets.</x:v>
      </x:c>
      <x:c r="K161" s="9" t="str">
        <x:v>PDF pp. 2–15; Figs. 1–10; Tables 1–4</x:v>
      </x:c>
    </x:row>
    <x:row r="162">
      <x:c r="A162" s="9" t="str">
        <x:v>Risk</x:v>
      </x:c>
      <x:c r="B162" s="9" t="n">
        <x:v>48</x:v>
      </x:c>
      <x:c r="C162" s="9" t="str">
        <x:v>S060</x:v>
      </x:c>
      <x:c r="D162" s="9" t="str">
        <x:v>Porfyrakis et al. (2026)</x:v>
      </x:c>
      <x:c r="E162" s="9" t="str">
        <x:v>D7</x:v>
      </x:c>
      <x:c r="F162" s="9" t="str">
        <x:v>Low concern</x:v>
      </x:c>
      <x:c r="G162" s="9" t="str">
        <x:v>Some concern</x:v>
      </x:c>
      <x:c r="H162" s="9" t="str">
        <x:v>Low concern</x:v>
      </x:c>
      <x:c r="I162" s="9" t="str">
        <x:v>Adjudicated to Reviewer 1</x:v>
      </x:c>
      <x:c r="J162" s="9" t="str">
        <x:v>Study-specific basis is documented in the extraction and REB sheets.</x:v>
      </x:c>
      <x:c r="K162" s="9" t="str">
        <x:v>PDF pp. 2–15; Figs. 1–10; Tables 1–4</x:v>
      </x:c>
    </x:row>
    <x:row r="163">
      <x:c r="A163" s="9" t="str">
        <x:v>Risk</x:v>
      </x:c>
      <x:c r="B163" s="9" t="n">
        <x:v>48</x:v>
      </x:c>
      <x:c r="C163" s="9" t="str">
        <x:v>S060</x:v>
      </x:c>
      <x:c r="D163" s="9" t="str">
        <x:v>Porfyrakis et al. (2026)</x:v>
      </x:c>
      <x:c r="E163" s="9" t="str">
        <x:v>D8</x:v>
      </x:c>
      <x:c r="F163" s="9" t="str">
        <x:v>High concern</x:v>
      </x:c>
      <x:c r="G163" s="9" t="str">
        <x:v>Some concern</x:v>
      </x:c>
      <x:c r="H163" s="9" t="str">
        <x:v>High concern</x:v>
      </x:c>
      <x:c r="I163" s="9" t="str">
        <x:v>Adjudicated to Reviewer 1</x:v>
      </x:c>
      <x:c r="J163" s="9" t="str">
        <x:v>Wearable configuration and extent of application testing are documented in the sensor and experiment sheets.</x:v>
      </x:c>
      <x:c r="K163" s="9" t="str">
        <x:v>PDF pp. 2–15; Figs. 1–10; Tables 1–4</x:v>
      </x:c>
    </x:row>
    <x:row r="164">
      <x:c r="A164" s="9" t="str">
        <x:v>Risk</x:v>
      </x:c>
      <x:c r="B164" s="9" t="n">
        <x:v>49</x:v>
      </x:c>
      <x:c r="C164" s="9" t="str">
        <x:v>S061</x:v>
      </x:c>
      <x:c r="D164" s="9" t="str">
        <x:v>Kumar et al. (2026)</x:v>
      </x:c>
      <x:c r="E164" s="9" t="str">
        <x:v>D3</x:v>
      </x:c>
      <x:c r="F164" s="9" t="str">
        <x:v>Some concern</x:v>
      </x:c>
      <x:c r="G164" s="9" t="str">
        <x:v>High concern</x:v>
      </x:c>
      <x:c r="H164" s="9" t="str">
        <x:v>Some concern</x:v>
      </x:c>
      <x:c r="I164" s="9" t="str">
        <x:v>Adjudicated to Reviewer 1</x:v>
      </x:c>
      <x:c r="J164" s="9" t="str">
        <x:v>Study-specific basis is documented in the extraction and REB sheets.</x:v>
      </x:c>
      <x:c r="K164" s="9" t="str">
        <x:v>PDF pp. 2–11; Figs. 1–13; Table 1</x:v>
      </x:c>
    </x:row>
    <x:row r="165">
      <x:c r="A165" s="9" t="str">
        <x:v>Risk</x:v>
      </x:c>
      <x:c r="B165" s="9" t="n">
        <x:v>49</x:v>
      </x:c>
      <x:c r="C165" s="9" t="str">
        <x:v>S061</x:v>
      </x:c>
      <x:c r="D165" s="9" t="str">
        <x:v>Kumar et al. (2026)</x:v>
      </x:c>
      <x:c r="E165" s="9" t="str">
        <x:v>D4</x:v>
      </x:c>
      <x:c r="F165" s="9" t="str">
        <x:v>Low concern</x:v>
      </x:c>
      <x:c r="G165" s="9" t="str">
        <x:v>Some concern</x:v>
      </x:c>
      <x:c r="H165" s="9" t="str">
        <x:v>Low concern</x:v>
      </x:c>
      <x:c r="I165" s="9" t="str">
        <x:v>Adjudicated to Reviewer 1</x:v>
      </x:c>
      <x:c r="J165" s="9" t="str">
        <x:v>Study-specific basis is documented in the extraction and REB sheets.</x:v>
      </x:c>
      <x:c r="K165" s="9" t="str">
        <x:v>PDF pp. 2–11; Figs. 1–13; Table 1</x:v>
      </x:c>
    </x:row>
    <x:row r="166">
      <x:c r="A166" s="9" t="str">
        <x:v>Risk</x:v>
      </x:c>
      <x:c r="B166" s="9" t="n">
        <x:v>49</x:v>
      </x:c>
      <x:c r="C166" s="9" t="str">
        <x:v>S061</x:v>
      </x:c>
      <x:c r="D166" s="9" t="str">
        <x:v>Kumar et al. (2026)</x:v>
      </x:c>
      <x:c r="E166" s="9" t="str">
        <x:v>D8</x:v>
      </x:c>
      <x:c r="F166" s="9" t="str">
        <x:v>Some concern</x:v>
      </x:c>
      <x:c r="G166" s="9" t="str">
        <x:v>Low concern</x:v>
      </x:c>
      <x:c r="H166" s="9" t="str">
        <x:v>Some concern</x:v>
      </x:c>
      <x:c r="I166" s="9" t="str">
        <x:v>Adjudicated to Reviewer 1</x:v>
      </x:c>
      <x:c r="J166" s="9" t="str">
        <x:v>Wearable configuration and extent of application testing are documented in the sensor and experiment sheets.</x:v>
      </x:c>
      <x:c r="K166" s="9" t="str">
        <x:v>PDF pp. 2–11; Figs. 1–13; Table 1</x:v>
      </x:c>
    </x:row>
    <x:row r="167">
      <x:c r="A167" s="9" t="str">
        <x:v>Risk</x:v>
      </x:c>
      <x:c r="B167" s="9" t="n">
        <x:v>50</x:v>
      </x:c>
      <x:c r="C167" s="9" t="str">
        <x:v>S063</x:v>
      </x:c>
      <x:c r="D167" s="9" t="str">
        <x:v>Wu et al. (2026)</x:v>
      </x:c>
      <x:c r="E167" s="9" t="str">
        <x:v>D7</x:v>
      </x:c>
      <x:c r="F167" s="9" t="str">
        <x:v>Low concern</x:v>
      </x:c>
      <x:c r="G167" s="9" t="str">
        <x:v>Some concern</x:v>
      </x:c>
      <x:c r="H167" s="9" t="str">
        <x:v>Low concern</x:v>
      </x:c>
      <x:c r="I167" s="9" t="str">
        <x:v>Adjudicated to Reviewer 1</x:v>
      </x:c>
      <x:c r="J167" s="9" t="str">
        <x:v>Study-specific basis is documented in the extraction and REB sheets.</x:v>
      </x:c>
      <x:c r="K167" s="9" t="str">
        <x:v>PDF pp. 2–12; Figs. 1–9; Tables 1–2</x:v>
      </x:c>
    </x:row>
    <x:row r="168">
      <x:c r="A168" s="9" t="str">
        <x:v>Risk</x:v>
      </x:c>
      <x:c r="B168" s="9" t="n">
        <x:v>51</x:v>
      </x:c>
      <x:c r="C168" s="9" t="str">
        <x:v>S064</x:v>
      </x:c>
      <x:c r="D168" s="9" t="str">
        <x:v>Tao et al. (2026)</x:v>
      </x:c>
      <x:c r="E168" s="9" t="str">
        <x:v>D2</x:v>
      </x:c>
      <x:c r="F168" s="9" t="str">
        <x:v>Some concern</x:v>
      </x:c>
      <x:c r="G168" s="9" t="str">
        <x:v>Low concern</x:v>
      </x:c>
      <x:c r="H168" s="9" t="str">
        <x:v>Some concern</x:v>
      </x:c>
      <x:c r="I168" s="9" t="str">
        <x:v>Adjudicated to Reviewer 1</x:v>
      </x:c>
      <x:c r="J168" s="9" t="str">
        <x:v>Study-specific basis is documented in the extraction and REB sheets.</x:v>
      </x:c>
      <x:c r="K168" s="9" t="str">
        <x:v>PDF pp. 2–12; Figs. 1–10; Table 1</x:v>
      </x:c>
    </x:row>
    <x:row r="169">
      <x:c r="A169" s="9" t="str">
        <x:v>Risk</x:v>
      </x:c>
      <x:c r="B169" s="9" t="n">
        <x:v>51</x:v>
      </x:c>
      <x:c r="C169" s="9" t="str">
        <x:v>S064</x:v>
      </x:c>
      <x:c r="D169" s="9" t="str">
        <x:v>Tao et al. (2026)</x:v>
      </x:c>
      <x:c r="E169" s="9" t="str">
        <x:v>D5</x:v>
      </x:c>
      <x:c r="F169" s="9" t="str">
        <x:v>Some concern</x:v>
      </x:c>
      <x:c r="G169" s="9" t="str">
        <x:v>High concern</x:v>
      </x:c>
      <x:c r="H169" s="9" t="str">
        <x:v>Some concern</x:v>
      </x:c>
      <x:c r="I169" s="9" t="str">
        <x:v>Adjudicated to Reviewer 1</x:v>
      </x:c>
      <x:c r="J169" s="9" t="str">
        <x:v>Study-specific basis is documented in the extraction and REB sheets.</x:v>
      </x:c>
      <x:c r="K169" s="9" t="str">
        <x:v>PDF pp. 2–12; Figs. 1–10; Table 1</x:v>
      </x:c>
    </x:row>
    <x:row r="170">
      <x:c r="A170" s="9" t="str">
        <x:v>Risk</x:v>
      </x:c>
      <x:c r="B170" s="9" t="n">
        <x:v>51</x:v>
      </x:c>
      <x:c r="C170" s="9" t="str">
        <x:v>S064</x:v>
      </x:c>
      <x:c r="D170" s="9" t="str">
        <x:v>Tao et al. (2026)</x:v>
      </x:c>
      <x:c r="E170" s="9" t="str">
        <x:v>D6</x:v>
      </x:c>
      <x:c r="F170" s="9" t="str">
        <x:v>High concern</x:v>
      </x:c>
      <x:c r="G170" s="9" t="str">
        <x:v>Low concern</x:v>
      </x:c>
      <x:c r="H170" s="9" t="str">
        <x:v>High concern</x:v>
      </x:c>
      <x:c r="I170" s="9" t="str">
        <x:v>Adjudicated to Reviewer 1</x:v>
      </x:c>
      <x:c r="J170" s="9" t="str">
        <x:v>A qualifying same-condition comparison of at least three separately fabricated complete sensors was not identified.</x:v>
      </x:c>
      <x:c r="K170" s="9" t="str">
        <x:v>PDF pp. 2–12; Figs. 1–10; Table 1</x:v>
      </x:c>
    </x:row>
    <x:row r="171">
      <x:c r="A171" s="9" t="str">
        <x:v>Risk</x:v>
      </x:c>
      <x:c r="B171" s="9" t="n">
        <x:v>51</x:v>
      </x:c>
      <x:c r="C171" s="9" t="str">
        <x:v>S064</x:v>
      </x:c>
      <x:c r="D171" s="9" t="str">
        <x:v>Tao et al. (2026)</x:v>
      </x:c>
      <x:c r="E171" s="9" t="str">
        <x:v>D8</x:v>
      </x:c>
      <x:c r="F171" s="9" t="str">
        <x:v>Some concern</x:v>
      </x:c>
      <x:c r="G171" s="9" t="str">
        <x:v>Low concern</x:v>
      </x:c>
      <x:c r="H171" s="9" t="str">
        <x:v>Some concern</x:v>
      </x:c>
      <x:c r="I171" s="9" t="str">
        <x:v>Adjudicated to Reviewer 1</x:v>
      </x:c>
      <x:c r="J171" s="9" t="str">
        <x:v>Wearable configuration and extent of application testing are documented in the sensor and experiment sheets.</x:v>
      </x:c>
      <x:c r="K171" s="9" t="str">
        <x:v>PDF pp. 2–12; Figs. 1–10; Table 1</x:v>
      </x:c>
    </x:row>
    <x:row r="172">
      <x:c r="A172" s="9" t="str">
        <x:v>Risk</x:v>
      </x:c>
      <x:c r="B172" s="9" t="n">
        <x:v>52</x:v>
      </x:c>
      <x:c r="C172" s="9" t="str">
        <x:v>S065</x:v>
      </x:c>
      <x:c r="D172" s="9" t="str">
        <x:v>Han et al. (2026)</x:v>
      </x:c>
      <x:c r="E172" s="9" t="str">
        <x:v>D6</x:v>
      </x:c>
      <x:c r="F172" s="9" t="str">
        <x:v>Low concern</x:v>
      </x:c>
      <x:c r="G172" s="9" t="str">
        <x:v>High concern</x:v>
      </x:c>
      <x:c r="H172" s="9" t="str">
        <x:v>Low concern</x:v>
      </x:c>
      <x:c r="I172" s="9" t="str">
        <x:v>Adjudicated to Reviewer 1</x:v>
      </x:c>
      <x:c r="J172" s="9" t="str">
        <x:v>At least three separately fabricated complete devices were quantitatively compared.</x:v>
      </x:c>
      <x:c r="K172" s="9" t="str">
        <x:v>PDF pp. 2–9; Figs. 1–7</x:v>
      </x:c>
    </x:row>
    <x:row r="173">
      <x:c r="A173" s="9" t="str">
        <x:v>Risk</x:v>
      </x:c>
      <x:c r="B173" s="9" t="n">
        <x:v>52</x:v>
      </x:c>
      <x:c r="C173" s="9" t="str">
        <x:v>S065</x:v>
      </x:c>
      <x:c r="D173" s="9" t="str">
        <x:v>Han et al. (2026)</x:v>
      </x:c>
      <x:c r="E173" s="9" t="str">
        <x:v>D7</x:v>
      </x:c>
      <x:c r="F173" s="9" t="str">
        <x:v>Low concern</x:v>
      </x:c>
      <x:c r="G173" s="9" t="str">
        <x:v>Some concern</x:v>
      </x:c>
      <x:c r="H173" s="9" t="str">
        <x:v>Low concern</x:v>
      </x:c>
      <x:c r="I173" s="9" t="str">
        <x:v>Adjudicated to Reviewer 1</x:v>
      </x:c>
      <x:c r="J173" s="9" t="str">
        <x:v>Study-specific basis is documented in the extraction and REB sheets.</x:v>
      </x:c>
      <x:c r="K173" s="9" t="str">
        <x:v>PDF pp. 2–9; Figs. 1–7</x:v>
      </x:c>
    </x:row>
    <x:row r="174">
      <x:c r="A174" s="9" t="str">
        <x:v>Risk</x:v>
      </x:c>
      <x:c r="B174" s="9" t="n">
        <x:v>52</x:v>
      </x:c>
      <x:c r="C174" s="9" t="str">
        <x:v>S065</x:v>
      </x:c>
      <x:c r="D174" s="9" t="str">
        <x:v>Han et al. (2026)</x:v>
      </x:c>
      <x:c r="E174" s="9" t="str">
        <x:v>D8</x:v>
      </x:c>
      <x:c r="F174" s="9" t="str">
        <x:v>Some concern</x:v>
      </x:c>
      <x:c r="G174" s="9" t="str">
        <x:v>Low concern</x:v>
      </x:c>
      <x:c r="H174" s="9" t="str">
        <x:v>Some concern</x:v>
      </x:c>
      <x:c r="I174" s="9" t="str">
        <x:v>Adjudicated to Reviewer 1</x:v>
      </x:c>
      <x:c r="J174" s="9" t="str">
        <x:v>Wearable configuration and extent of application testing are documented in the sensor and experiment sheets.</x:v>
      </x:c>
      <x:c r="K174" s="9" t="str">
        <x:v>PDF pp. 2–9; Figs. 1–7</x:v>
      </x:c>
    </x:row>
    <x:row r="175">
      <x:c r="A175" s="9" t="str">
        <x:v>Risk</x:v>
      </x:c>
      <x:c r="B175" s="9" t="n">
        <x:v>53</x:v>
      </x:c>
      <x:c r="C175" s="9" t="str">
        <x:v>S066</x:v>
      </x:c>
      <x:c r="D175" s="9" t="str">
        <x:v>Saroli et al. (2026)</x:v>
      </x:c>
      <x:c r="E175" s="9" t="str">
        <x:v>D1</x:v>
      </x:c>
      <x:c r="F175" s="9" t="str">
        <x:v>Low concern</x:v>
      </x:c>
      <x:c r="G175" s="9" t="str">
        <x:v>Some concern</x:v>
      </x:c>
      <x:c r="H175" s="9" t="str">
        <x:v>Low concern</x:v>
      </x:c>
      <x:c r="I175" s="9" t="str">
        <x:v>Adjudicated to Reviewer 1</x:v>
      </x:c>
      <x:c r="J175" s="9" t="str">
        <x:v>Study-specific basis is documented in the extraction and REB sheets.</x:v>
      </x:c>
      <x:c r="K175" s="9" t="str">
        <x:v>PDF pp. 2–8; Figs. 1–8; Table I</x:v>
      </x:c>
    </x:row>
    <x:row r="176">
      <x:c r="A176" s="9" t="str">
        <x:v>Risk</x:v>
      </x:c>
      <x:c r="B176" s="9" t="n">
        <x:v>53</x:v>
      </x:c>
      <x:c r="C176" s="9" t="str">
        <x:v>S066</x:v>
      </x:c>
      <x:c r="D176" s="9" t="str">
        <x:v>Saroli et al. (2026)</x:v>
      </x:c>
      <x:c r="E176" s="9" t="str">
        <x:v>D2</x:v>
      </x:c>
      <x:c r="F176" s="9" t="str">
        <x:v>Some concern</x:v>
      </x:c>
      <x:c r="G176" s="9" t="str">
        <x:v>High concern</x:v>
      </x:c>
      <x:c r="H176" s="9" t="str">
        <x:v>Some concern</x:v>
      </x:c>
      <x:c r="I176" s="9" t="str">
        <x:v>Adjudicated to Reviewer 1</x:v>
      </x:c>
      <x:c r="J176" s="9" t="str">
        <x:v>Study-specific basis is documented in the extraction and REB sheets.</x:v>
      </x:c>
      <x:c r="K176" s="9" t="str">
        <x:v>PDF pp. 2–8; Figs. 1–8; Table I</x:v>
      </x:c>
    </x:row>
    <x:row r="177">
      <x:c r="A177" s="9" t="str">
        <x:v>Risk</x:v>
      </x:c>
      <x:c r="B177" s="9" t="n">
        <x:v>53</x:v>
      </x:c>
      <x:c r="C177" s="9" t="str">
        <x:v>S066</x:v>
      </x:c>
      <x:c r="D177" s="9" t="str">
        <x:v>Saroli et al. (2026)</x:v>
      </x:c>
      <x:c r="E177" s="9" t="str">
        <x:v>D3</x:v>
      </x:c>
      <x:c r="F177" s="9" t="str">
        <x:v>Some concern</x:v>
      </x:c>
      <x:c r="G177" s="9" t="str">
        <x:v>Low concern</x:v>
      </x:c>
      <x:c r="H177" s="9" t="str">
        <x:v>Some concern</x:v>
      </x:c>
      <x:c r="I177" s="9" t="str">
        <x:v>Adjudicated to Reviewer 1</x:v>
      </x:c>
      <x:c r="J177" s="9" t="str">
        <x:v>Study-specific basis is documented in the extraction and REB sheets.</x:v>
      </x:c>
      <x:c r="K177" s="9" t="str">
        <x:v>PDF pp. 2–8; Figs. 1–8; Table I</x:v>
      </x:c>
    </x:row>
    <x:row r="178">
      <x:c r="A178" s="9" t="str">
        <x:v>Risk</x:v>
      </x:c>
      <x:c r="B178" s="9" t="n">
        <x:v>53</x:v>
      </x:c>
      <x:c r="C178" s="9" t="str">
        <x:v>S066</x:v>
      </x:c>
      <x:c r="D178" s="9" t="str">
        <x:v>Saroli et al. (2026)</x:v>
      </x:c>
      <x:c r="E178" s="9" t="str">
        <x:v>D7</x:v>
      </x:c>
      <x:c r="F178" s="9" t="str">
        <x:v>Low concern</x:v>
      </x:c>
      <x:c r="G178" s="9" t="str">
        <x:v>Some concern</x:v>
      </x:c>
      <x:c r="H178" s="9" t="str">
        <x:v>Low concern</x:v>
      </x:c>
      <x:c r="I178" s="9" t="str">
        <x:v>Adjudicated to Reviewer 1</x:v>
      </x:c>
      <x:c r="J178" s="9" t="str">
        <x:v>Study-specific basis is documented in the extraction and REB sheets.</x:v>
      </x:c>
      <x:c r="K178" s="9" t="str">
        <x:v>PDF pp. 2–8; Figs. 1–8; Table I</x:v>
      </x:c>
    </x:row>
    <x:row r="179">
      <x:c r="A179" s="9" t="str">
        <x:v>Risk</x:v>
      </x:c>
      <x:c r="B179" s="9" t="n">
        <x:v>54</x:v>
      </x:c>
      <x:c r="C179" s="9" t="str">
        <x:v>S067</x:v>
      </x:c>
      <x:c r="D179" s="9" t="str">
        <x:v>Yang et al. (2026)</x:v>
      </x:c>
      <x:c r="E179" s="9" t="str">
        <x:v>D1</x:v>
      </x:c>
      <x:c r="F179" s="9" t="str">
        <x:v>High concern</x:v>
      </x:c>
      <x:c r="G179" s="9" t="str">
        <x:v>Some concern</x:v>
      </x:c>
      <x:c r="H179" s="9" t="str">
        <x:v>High concern</x:v>
      </x:c>
      <x:c r="I179" s="9" t="str">
        <x:v>Adjudicated to Reviewer 1</x:v>
      </x:c>
      <x:c r="J179" s="9" t="str">
        <x:v>Study-specific basis is documented in the extraction and REB sheets.</x:v>
      </x:c>
      <x:c r="K179" s="9" t="str">
        <x:v>PDF pp. 2–9; Figs. 1–8</x:v>
      </x:c>
    </x:row>
    <x:row r="180">
      <x:c r="A180" s="9" t="str">
        <x:v>Risk</x:v>
      </x:c>
      <x:c r="B180" s="9" t="n">
        <x:v>54</x:v>
      </x:c>
      <x:c r="C180" s="9" t="str">
        <x:v>S067</x:v>
      </x:c>
      <x:c r="D180" s="9" t="str">
        <x:v>Yang et al. (2026)</x:v>
      </x:c>
      <x:c r="E180" s="9" t="str">
        <x:v>D2</x:v>
      </x:c>
      <x:c r="F180" s="9" t="str">
        <x:v>Some concern</x:v>
      </x:c>
      <x:c r="G180" s="9" t="str">
        <x:v>High concern</x:v>
      </x:c>
      <x:c r="H180" s="9" t="str">
        <x:v>Some concern</x:v>
      </x:c>
      <x:c r="I180" s="9" t="str">
        <x:v>Adjudicated to Reviewer 1</x:v>
      </x:c>
      <x:c r="J180" s="9" t="str">
        <x:v>Study-specific basis is documented in the extraction and REB sheets.</x:v>
      </x:c>
      <x:c r="K180" s="9" t="str">
        <x:v>PDF pp. 2–9; Figs. 1–8</x:v>
      </x:c>
    </x:row>
    <x:row r="181">
      <x:c r="A181" s="9" t="str">
        <x:v>Risk</x:v>
      </x:c>
      <x:c r="B181" s="9" t="n">
        <x:v>54</x:v>
      </x:c>
      <x:c r="C181" s="9" t="str">
        <x:v>S067</x:v>
      </x:c>
      <x:c r="D181" s="9" t="str">
        <x:v>Yang et al. (2026)</x:v>
      </x:c>
      <x:c r="E181" s="9" t="str">
        <x:v>D7</x:v>
      </x:c>
      <x:c r="F181" s="9" t="str">
        <x:v>Low concern</x:v>
      </x:c>
      <x:c r="G181" s="9" t="str">
        <x:v>Some concern</x:v>
      </x:c>
      <x:c r="H181" s="9" t="str">
        <x:v>Low concern</x:v>
      </x:c>
      <x:c r="I181" s="9" t="str">
        <x:v>Adjudicated to Reviewer 1</x:v>
      </x:c>
      <x:c r="J181" s="9" t="str">
        <x:v>Study-specific basis is documented in the extraction and REB sheets.</x:v>
      </x:c>
      <x:c r="K181" s="9" t="str">
        <x:v>PDF pp. 2–9; Figs. 1–8</x:v>
      </x:c>
    </x:row>
    <x:row r="182">
      <x:c r="A182" s="9" t="str">
        <x:v>Risk</x:v>
      </x:c>
      <x:c r="B182" s="9" t="n">
        <x:v>54</x:v>
      </x:c>
      <x:c r="C182" s="9" t="str">
        <x:v>S067</x:v>
      </x:c>
      <x:c r="D182" s="9" t="str">
        <x:v>Yang et al. (2026)</x:v>
      </x:c>
      <x:c r="E182" s="9" t="str">
        <x:v>D8</x:v>
      </x:c>
      <x:c r="F182" s="9" t="str">
        <x:v>Some concern</x:v>
      </x:c>
      <x:c r="G182" s="9" t="str">
        <x:v>Low concern</x:v>
      </x:c>
      <x:c r="H182" s="9" t="str">
        <x:v>Some concern</x:v>
      </x:c>
      <x:c r="I182" s="9" t="str">
        <x:v>Adjudicated to Reviewer 1</x:v>
      </x:c>
      <x:c r="J182" s="9" t="str">
        <x:v>Wearable configuration and extent of application testing are documented in the sensor and experiment sheets.</x:v>
      </x:c>
      <x:c r="K182" s="9" t="str">
        <x:v>PDF pp. 2–9; Figs. 1–8</x:v>
      </x:c>
    </x:row>
    <x:row r="183">
      <x:c r="A183" s="9" t="str">
        <x:v>Risk</x:v>
      </x:c>
      <x:c r="B183" s="9" t="n">
        <x:v>55</x:v>
      </x:c>
      <x:c r="C183" s="9" t="str">
        <x:v>S068</x:v>
      </x:c>
      <x:c r="D183" s="9" t="str">
        <x:v>Sánchez et al. (2025)</x:v>
      </x:c>
      <x:c r="E183" s="9" t="str">
        <x:v>D1</x:v>
      </x:c>
      <x:c r="F183" s="9" t="str">
        <x:v>High concern</x:v>
      </x:c>
      <x:c r="G183" s="9" t="str">
        <x:v>Some concern</x:v>
      </x:c>
      <x:c r="H183" s="9" t="str">
        <x:v>High concern</x:v>
      </x:c>
      <x:c r="I183" s="9" t="str">
        <x:v>Adjudicated to Reviewer 1</x:v>
      </x:c>
      <x:c r="J183" s="9" t="str">
        <x:v>Study-specific basis is documented in the extraction and REB sheets.</x:v>
      </x:c>
      <x:c r="K183" s="9" t="str">
        <x:v>PDF pp. 2–10; Figs. 1–7; Table 1</x:v>
      </x:c>
    </x:row>
    <x:row r="184">
      <x:c r="A184" s="9" t="str">
        <x:v>Risk</x:v>
      </x:c>
      <x:c r="B184" s="9" t="n">
        <x:v>55</x:v>
      </x:c>
      <x:c r="C184" s="9" t="str">
        <x:v>S068</x:v>
      </x:c>
      <x:c r="D184" s="9" t="str">
        <x:v>Sánchez et al. (2025)</x:v>
      </x:c>
      <x:c r="E184" s="9" t="str">
        <x:v>D2</x:v>
      </x:c>
      <x:c r="F184" s="9" t="str">
        <x:v>Some concern</x:v>
      </x:c>
      <x:c r="G184" s="9" t="str">
        <x:v>Low concern</x:v>
      </x:c>
      <x:c r="H184" s="9" t="str">
        <x:v>Some concern</x:v>
      </x:c>
      <x:c r="I184" s="9" t="str">
        <x:v>Adjudicated to Reviewer 1</x:v>
      </x:c>
      <x:c r="J184" s="9" t="str">
        <x:v>Study-specific basis is documented in the extraction and REB sheets.</x:v>
      </x:c>
      <x:c r="K184" s="9" t="str">
        <x:v>PDF pp. 2–10; Figs. 1–7; Table 1</x:v>
      </x:c>
    </x:row>
    <x:row r="185">
      <x:c r="A185" s="9" t="str">
        <x:v>Risk</x:v>
      </x:c>
      <x:c r="B185" s="9" t="n">
        <x:v>55</x:v>
      </x:c>
      <x:c r="C185" s="9" t="str">
        <x:v>S068</x:v>
      </x:c>
      <x:c r="D185" s="9" t="str">
        <x:v>Sánchez et al. (2025)</x:v>
      </x:c>
      <x:c r="E185" s="9" t="str">
        <x:v>D6</x:v>
      </x:c>
      <x:c r="F185" s="9" t="str">
        <x:v>High concern</x:v>
      </x:c>
      <x:c r="G185" s="9" t="str">
        <x:v>Low concern</x:v>
      </x:c>
      <x:c r="H185" s="9" t="str">
        <x:v>High concern</x:v>
      </x:c>
      <x:c r="I185" s="9" t="str">
        <x:v>Adjudicated to Reviewer 1</x:v>
      </x:c>
      <x:c r="J185" s="9" t="str">
        <x:v>A qualifying same-condition comparison of at least three separately fabricated complete sensors was not identified.</x:v>
      </x:c>
      <x:c r="K185" s="9" t="str">
        <x:v>PDF pp. 2–10; Figs. 1–7; Table 1</x:v>
      </x:c>
    </x:row>
    <x:row r="186">
      <x:c r="A186" s="9" t="str">
        <x:v>Risk</x:v>
      </x:c>
      <x:c r="B186" s="9" t="n">
        <x:v>55</x:v>
      </x:c>
      <x:c r="C186" s="9" t="str">
        <x:v>S068</x:v>
      </x:c>
      <x:c r="D186" s="9" t="str">
        <x:v>Sánchez et al. (2025)</x:v>
      </x:c>
      <x:c r="E186" s="9" t="str">
        <x:v>D8</x:v>
      </x:c>
      <x:c r="F186" s="9" t="str">
        <x:v>Some concern</x:v>
      </x:c>
      <x:c r="G186" s="9" t="str">
        <x:v>Low concern</x:v>
      </x:c>
      <x:c r="H186" s="9" t="str">
        <x:v>Some concern</x:v>
      </x:c>
      <x:c r="I186" s="9" t="str">
        <x:v>Adjudicated to Reviewer 1</x:v>
      </x:c>
      <x:c r="J186" s="9" t="str">
        <x:v>Wearable configuration and extent of application testing are documented in the sensor and experiment sheets.</x:v>
      </x:c>
      <x:c r="K186" s="9" t="str">
        <x:v>PDF pp. 2–10; Figs. 1–7; Table 1</x:v>
      </x:c>
    </x:row>
    <x:row r="187">
      <x:c r="A187" s="9" t="str">
        <x:v>Risk</x:v>
      </x:c>
      <x:c r="B187" s="9" t="n">
        <x:v>56</x:v>
      </x:c>
      <x:c r="C187" s="9" t="str">
        <x:v>S069</x:v>
      </x:c>
      <x:c r="D187" s="9" t="str">
        <x:v>Babu et al. (2025)</x:v>
      </x:c>
      <x:c r="E187" s="9" t="str">
        <x:v>D2</x:v>
      </x:c>
      <x:c r="F187" s="9" t="str">
        <x:v>Some concern</x:v>
      </x:c>
      <x:c r="G187" s="9" t="str">
        <x:v>Low concern</x:v>
      </x:c>
      <x:c r="H187" s="9" t="str">
        <x:v>Some concern</x:v>
      </x:c>
      <x:c r="I187" s="9" t="str">
        <x:v>Adjudicated to Reviewer 1</x:v>
      </x:c>
      <x:c r="J187" s="9" t="str">
        <x:v>Study-specific basis is documented in the extraction and REB sheets.</x:v>
      </x:c>
      <x:c r="K187" s="9" t="str">
        <x:v>PDF pp. 2–12; Figs. 1–11; Table 1; cited SI</x:v>
      </x:c>
    </x:row>
    <x:row r="188">
      <x:c r="A188" s="9" t="str">
        <x:v>Risk</x:v>
      </x:c>
      <x:c r="B188" s="9" t="n">
        <x:v>56</x:v>
      </x:c>
      <x:c r="C188" s="9" t="str">
        <x:v>S069</x:v>
      </x:c>
      <x:c r="D188" s="9" t="str">
        <x:v>Babu et al. (2025)</x:v>
      </x:c>
      <x:c r="E188" s="9" t="str">
        <x:v>D7</x:v>
      </x:c>
      <x:c r="F188" s="9" t="str">
        <x:v>Low concern</x:v>
      </x:c>
      <x:c r="G188" s="9" t="str">
        <x:v>Some concern</x:v>
      </x:c>
      <x:c r="H188" s="9" t="str">
        <x:v>Low concern</x:v>
      </x:c>
      <x:c r="I188" s="9" t="str">
        <x:v>Adjudicated to Reviewer 1</x:v>
      </x:c>
      <x:c r="J188" s="9" t="str">
        <x:v>Study-specific basis is documented in the extraction and REB sheets.</x:v>
      </x:c>
      <x:c r="K188" s="9" t="str">
        <x:v>PDF pp. 2–12; Figs. 1–11; Table 1; cited SI</x:v>
      </x:c>
    </x:row>
    <x:row r="189">
      <x:c r="A189" s="9" t="str">
        <x:v>Risk</x:v>
      </x:c>
      <x:c r="B189" s="9" t="n">
        <x:v>57</x:v>
      </x:c>
      <x:c r="C189" s="9" t="str">
        <x:v>S070</x:v>
      </x:c>
      <x:c r="D189" s="9" t="str">
        <x:v>Dimo et al. (2026)</x:v>
      </x:c>
      <x:c r="E189" s="9" t="str">
        <x:v>D1</x:v>
      </x:c>
      <x:c r="F189" s="9" t="str">
        <x:v>High concern</x:v>
      </x:c>
      <x:c r="G189" s="9" t="str">
        <x:v>Some concern</x:v>
      </x:c>
      <x:c r="H189" s="9" t="str">
        <x:v>High concern</x:v>
      </x:c>
      <x:c r="I189" s="9" t="str">
        <x:v>Adjudicated to Reviewer 1</x:v>
      </x:c>
      <x:c r="J189" s="9" t="str">
        <x:v>Application evidence relies on one or an unspecified small convenience sample and device sampling is not justified.</x:v>
      </x:c>
      <x:c r="K189" s="9" t="str">
        <x:v>PDF pp. 3–9; Figs. 1–12; Tables I–III</x:v>
      </x:c>
    </x:row>
    <x:row r="190">
      <x:c r="A190" s="9" t="str">
        <x:v>Risk</x:v>
      </x:c>
      <x:c r="B190" s="9" t="n">
        <x:v>57</x:v>
      </x:c>
      <x:c r="C190" s="9" t="str">
        <x:v>S070</x:v>
      </x:c>
      <x:c r="D190" s="9" t="str">
        <x:v>Dimo et al. (2026)</x:v>
      </x:c>
      <x:c r="E190" s="9" t="str">
        <x:v>D8</x:v>
      </x:c>
      <x:c r="F190" s="9" t="str">
        <x:v>High concern</x:v>
      </x:c>
      <x:c r="G190" s="9" t="str">
        <x:v>Low concern</x:v>
      </x:c>
      <x:c r="H190" s="9" t="str">
        <x:v>High concern</x:v>
      </x:c>
      <x:c r="I190" s="9" t="str">
        <x:v>Adjudicated to Reviewer 1</x:v>
      </x:c>
      <x:c r="J190" s="9" t="str">
        <x:v>Wearable evidence is limited to a single or sparsely documented demonstration.</x:v>
      </x:c>
      <x:c r="K190" s="9" t="str">
        <x:v>PDF pp. 3–9; Figs. 1–12; Tables I–III</x:v>
      </x:c>
    </x:row>
    <x:row r="191">
      <x:c r="A191" s="9" t="str">
        <x:v>Risk</x:v>
      </x:c>
      <x:c r="B191" s="9" t="n">
        <x:v>58</x:v>
      </x:c>
      <x:c r="C191" s="9" t="str">
        <x:v>S071</x:v>
      </x:c>
      <x:c r="D191" s="9" t="str">
        <x:v>Luo et al. (2025)</x:v>
      </x:c>
      <x:c r="E191" s="9" t="str">
        <x:v>D8</x:v>
      </x:c>
      <x:c r="F191" s="9" t="str">
        <x:v>Some concern</x:v>
      </x:c>
      <x:c r="G191" s="9" t="str">
        <x:v>Low concern</x:v>
      </x:c>
      <x:c r="H191" s="9" t="str">
        <x:v>Some concern</x:v>
      </x:c>
      <x:c r="I191" s="9" t="str">
        <x:v>Adjudicated to Reviewer 1</x:v>
      </x:c>
      <x:c r="J191" s="9" t="str">
        <x:v>A complete wearable configuration was demonstrated, but the participant count, comparator or protocol depth was limited.</x:v>
      </x:c>
      <x:c r="K191" s="9" t="str">
        <x:v>PDF pp. 2–10; Figs. 1–12; Tables 1–2</x:v>
      </x:c>
    </x:row>
    <x:row r="192">
      <x:c r="A192" s="9" t="str">
        <x:v>Risk</x:v>
      </x:c>
      <x:c r="B192" s="9" t="n">
        <x:v>59</x:v>
      </x:c>
      <x:c r="C192" s="9" t="str">
        <x:v>S073</x:v>
      </x:c>
      <x:c r="D192" s="9" t="str">
        <x:v>Han et al. (2025)</x:v>
      </x:c>
      <x:c r="E192" s="9" t="str">
        <x:v>D1</x:v>
      </x:c>
      <x:c r="F192" s="9" t="str">
        <x:v>High concern</x:v>
      </x:c>
      <x:c r="G192" s="9" t="str">
        <x:v>Some concern</x:v>
      </x:c>
      <x:c r="H192" s="9" t="str">
        <x:v>High concern</x:v>
      </x:c>
      <x:c r="I192" s="9" t="str">
        <x:v>Adjudicated to Reviewer 1</x:v>
      </x:c>
      <x:c r="J192" s="9" t="str">
        <x:v>Application evidence relies on one or an unspecified small convenience sample and device sampling is not justified.</x:v>
      </x:c>
      <x:c r="K192" s="9" t="str">
        <x:v>PDF pp. 2–13; Figs. 1–10; Tables 1–2</x:v>
      </x:c>
    </x:row>
    <x:row r="193">
      <x:c r="A193" s="9" t="str">
        <x:v>Risk</x:v>
      </x:c>
      <x:c r="B193" s="9" t="n">
        <x:v>59</x:v>
      </x:c>
      <x:c r="C193" s="9" t="str">
        <x:v>S073</x:v>
      </x:c>
      <x:c r="D193" s="9" t="str">
        <x:v>Han et al. (2025)</x:v>
      </x:c>
      <x:c r="E193" s="9" t="str">
        <x:v>D2</x:v>
      </x:c>
      <x:c r="F193" s="9" t="str">
        <x:v>Some concern</x:v>
      </x:c>
      <x:c r="G193" s="9" t="str">
        <x:v>Low concern</x:v>
      </x:c>
      <x:c r="H193" s="9" t="str">
        <x:v>Some concern</x:v>
      </x:c>
      <x:c r="I193" s="9" t="str">
        <x:v>Adjudicated to Reviewer 1</x:v>
      </x:c>
      <x:c r="J193" s="9" t="str">
        <x:v>One or more fabrication settings or platform details are absent, unresolved or internally inconsistent.</x:v>
      </x:c>
      <x:c r="K193" s="9" t="str">
        <x:v>PDF pp. 2–13; Figs. 1–10; Tables 1–2</x:v>
      </x:c>
    </x:row>
    <x:row r="194">
      <x:c r="A194" s="9" t="str">
        <x:v>Risk</x:v>
      </x:c>
      <x:c r="B194" s="9" t="n">
        <x:v>59</x:v>
      </x:c>
      <x:c r="C194" s="9" t="str">
        <x:v>S073</x:v>
      </x:c>
      <x:c r="D194" s="9" t="str">
        <x:v>Han et al. (2025)</x:v>
      </x:c>
      <x:c r="E194" s="9" t="str">
        <x:v>D8</x:v>
      </x:c>
      <x:c r="F194" s="9" t="str">
        <x:v>Some concern</x:v>
      </x:c>
      <x:c r="G194" s="9" t="str">
        <x:v>Low concern</x:v>
      </x:c>
      <x:c r="H194" s="9" t="str">
        <x:v>Some concern</x:v>
      </x:c>
      <x:c r="I194" s="9" t="str">
        <x:v>Adjudicated to Reviewer 1</x:v>
      </x:c>
      <x:c r="J194" s="9" t="str">
        <x:v>A complete wearable configuration was demonstrated, but the participant count, comparator or protocol depth was limited.</x:v>
      </x:c>
      <x:c r="K194" s="9" t="str">
        <x:v>PDF pp. 2–13; Figs. 1–10; Tables 1–2</x:v>
      </x:c>
    </x:row>
    <x:row r="195">
      <x:c r="A195" s="9" t="str">
        <x:v>Risk</x:v>
      </x:c>
      <x:c r="B195" s="9" t="n">
        <x:v>60</x:v>
      </x:c>
      <x:c r="C195" s="9" t="str">
        <x:v>S074</x:v>
      </x:c>
      <x:c r="D195" s="9" t="str">
        <x:v>Lavorgna et al. (2025)</x:v>
      </x:c>
      <x:c r="E195" s="9" t="str">
        <x:v>D1</x:v>
      </x:c>
      <x:c r="F195" s="9" t="str">
        <x:v>Low concern</x:v>
      </x:c>
      <x:c r="G195" s="9" t="str">
        <x:v>Some concern</x:v>
      </x:c>
      <x:c r="H195" s="9" t="str">
        <x:v>Low concern</x:v>
      </x:c>
      <x:c r="I195" s="9" t="str">
        <x:v>Adjudicated to Reviewer 1</x:v>
      </x:c>
      <x:c r="J195" s="9" t="str">
        <x:v>A defined multi-participant sample was used for the wearable validation.</x:v>
      </x:c>
      <x:c r="K195" s="9" t="str">
        <x:v>PDF pp. 3–9; Figs. 1–13</x:v>
      </x:c>
    </x:row>
    <x:row r="196">
      <x:c r="A196" s="9" t="str">
        <x:v>Risk</x:v>
      </x:c>
      <x:c r="B196" s="9" t="n">
        <x:v>61</x:v>
      </x:c>
      <x:c r="C196" s="9" t="str">
        <x:v>S075</x:v>
      </x:c>
      <x:c r="D196" s="9" t="str">
        <x:v>Saroli et al. (2025)</x:v>
      </x:c>
      <x:c r="E196" s="9" t="str">
        <x:v>D1</x:v>
      </x:c>
      <x:c r="F196" s="9" t="str">
        <x:v>High concern</x:v>
      </x:c>
      <x:c r="G196" s="9" t="str">
        <x:v>Some concern</x:v>
      </x:c>
      <x:c r="H196" s="9" t="str">
        <x:v>High concern</x:v>
      </x:c>
      <x:c r="I196" s="9" t="str">
        <x:v>Adjudicated to Reviewer 1</x:v>
      </x:c>
      <x:c r="J196" s="9" t="str">
        <x:v>Application evidence relies on one or an unspecified small convenience sample and device sampling is not justified.</x:v>
      </x:c>
      <x:c r="K196" s="9" t="str">
        <x:v>PDF pp. 2–8; Figs. 1–7</x:v>
      </x:c>
    </x:row>
    <x:row r="197">
      <x:c r="A197" s="9" t="str">
        <x:v>Risk</x:v>
      </x:c>
      <x:c r="B197" s="9" t="n">
        <x:v>61</x:v>
      </x:c>
      <x:c r="C197" s="9" t="str">
        <x:v>S075</x:v>
      </x:c>
      <x:c r="D197" s="9" t="str">
        <x:v>Saroli et al. (2025)</x:v>
      </x:c>
      <x:c r="E197" s="9" t="str">
        <x:v>D2</x:v>
      </x:c>
      <x:c r="F197" s="9" t="str">
        <x:v>Low concern</x:v>
      </x:c>
      <x:c r="G197" s="9" t="str">
        <x:v>Some concern</x:v>
      </x:c>
      <x:c r="H197" s="9" t="str">
        <x:v>Low concern</x:v>
      </x:c>
      <x:c r="I197" s="9" t="str">
        <x:v>Adjudicated to Reviewer 1</x:v>
      </x:c>
      <x:c r="J197" s="9" t="str">
        <x:v>Fabrication variables and application-relevant settings are sufficiently controlled and reported.</x:v>
      </x:c>
      <x:c r="K197" s="9" t="str">
        <x:v>PDF pp. 2–8; Figs. 1–7</x:v>
      </x:c>
    </x:row>
    <x:row r="198">
      <x:c r="A198" s="9" t="str">
        <x:v>Risk</x:v>
      </x:c>
      <x:c r="B198" s="9" t="n">
        <x:v>61</x:v>
      </x:c>
      <x:c r="C198" s="9" t="str">
        <x:v>S075</x:v>
      </x:c>
      <x:c r="D198" s="9" t="str">
        <x:v>Saroli et al. (2025)</x:v>
      </x:c>
      <x:c r="E198" s="9" t="str">
        <x:v>D7</x:v>
      </x:c>
      <x:c r="F198" s="9" t="str">
        <x:v>Low concern</x:v>
      </x:c>
      <x:c r="G198" s="9" t="str">
        <x:v>Some concern</x:v>
      </x:c>
      <x:c r="H198" s="9" t="str">
        <x:v>Low concern</x:v>
      </x:c>
      <x:c r="I198" s="9" t="str">
        <x:v>Adjudicated to Reviewer 1</x:v>
      </x:c>
      <x:c r="J198" s="9" t="str">
        <x:v>Principal response magnitudes, ranges and relevant retention/failure behavior are reported.</x:v>
      </x:c>
      <x:c r="K198" s="9" t="str">
        <x:v>PDF pp. 2–8; Figs. 1–7</x:v>
      </x:c>
    </x:row>
    <x:row r="199">
      <x:c r="A199" s="9" t="str">
        <x:v>Risk</x:v>
      </x:c>
      <x:c r="B199" s="9" t="n">
        <x:v>61</x:v>
      </x:c>
      <x:c r="C199" s="9" t="str">
        <x:v>S075</x:v>
      </x:c>
      <x:c r="D199" s="9" t="str">
        <x:v>Saroli et al. (2025)</x:v>
      </x:c>
      <x:c r="E199" s="9" t="str">
        <x:v>D8</x:v>
      </x:c>
      <x:c r="F199" s="9" t="str">
        <x:v>Some concern</x:v>
      </x:c>
      <x:c r="G199" s="9" t="str">
        <x:v>Low concern</x:v>
      </x:c>
      <x:c r="H199" s="9" t="str">
        <x:v>Some concern</x:v>
      </x:c>
      <x:c r="I199" s="9" t="str">
        <x:v>Adjudicated to Reviewer 1</x:v>
      </x:c>
      <x:c r="J199" s="9" t="str">
        <x:v>A complete wearable configuration was demonstrated, but the participant count, comparator or protocol depth was limited.</x:v>
      </x:c>
      <x:c r="K199" s="9" t="str">
        <x:v>PDF pp. 2–8; Figs. 1–7</x:v>
      </x:c>
    </x:row>
    <x:row r="200">
      <x:c r="A200" s="9" t="str">
        <x:v>Risk</x:v>
      </x:c>
      <x:c r="B200" s="9" t="n">
        <x:v>62</x:v>
      </x:c>
      <x:c r="C200" s="9" t="str">
        <x:v>S076</x:v>
      </x:c>
      <x:c r="D200" s="9" t="str">
        <x:v>Meena et al. (2025)</x:v>
      </x:c>
      <x:c r="E200" s="9" t="str">
        <x:v>D2</x:v>
      </x:c>
      <x:c r="F200" s="9" t="str">
        <x:v>Some concern</x:v>
      </x:c>
      <x:c r="G200" s="9" t="str">
        <x:v>Low concern</x:v>
      </x:c>
      <x:c r="H200" s="9" t="str">
        <x:v>Some concern</x:v>
      </x:c>
      <x:c r="I200" s="9" t="str">
        <x:v>Adjudicated to Reviewer 1</x:v>
      </x:c>
      <x:c r="J200" s="9" t="str">
        <x:v>One or more fabrication settings or platform details are absent, unresolved or internally inconsistent.</x:v>
      </x:c>
      <x:c r="K200" s="9" t="str">
        <x:v>PDF pp. 3–8; Figs. 1–6; cited Supplementary Figs. S1–S10</x:v>
      </x:c>
    </x:row>
    <x:row r="201">
      <x:c r="A201" s="9" t="str">
        <x:v>Risk</x:v>
      </x:c>
      <x:c r="B201" s="9" t="n">
        <x:v>62</x:v>
      </x:c>
      <x:c r="C201" s="9" t="str">
        <x:v>S076</x:v>
      </x:c>
      <x:c r="D201" s="9" t="str">
        <x:v>Meena et al. (2025)</x:v>
      </x:c>
      <x:c r="E201" s="9" t="str">
        <x:v>D3</x:v>
      </x:c>
      <x:c r="F201" s="9" t="str">
        <x:v>Low concern</x:v>
      </x:c>
      <x:c r="G201" s="9" t="str">
        <x:v>Some concern</x:v>
      </x:c>
      <x:c r="H201" s="9" t="str">
        <x:v>Low concern</x:v>
      </x:c>
      <x:c r="I201" s="9" t="str">
        <x:v>Adjudicated to Reviewer 1</x:v>
      </x:c>
      <x:c r="J201" s="9" t="str">
        <x:v>Controlled inputs and suitable reference instrumentation/procedures are reported.</x:v>
      </x:c>
      <x:c r="K201" s="9" t="str">
        <x:v>PDF pp. 3–8; Figs. 1–6; cited Supplementary Figs. S1–S10</x:v>
      </x:c>
    </x:row>
    <x:row r="202">
      <x:c r="A202" s="9" t="str">
        <x:v>Risk</x:v>
      </x:c>
      <x:c r="B202" s="9" t="n">
        <x:v>62</x:v>
      </x:c>
      <x:c r="C202" s="9" t="str">
        <x:v>S076</x:v>
      </x:c>
      <x:c r="D202" s="9" t="str">
        <x:v>Meena et al. (2025)</x:v>
      </x:c>
      <x:c r="E202" s="9" t="str">
        <x:v>D7</x:v>
      </x:c>
      <x:c r="F202" s="9" t="str">
        <x:v>Low concern</x:v>
      </x:c>
      <x:c r="G202" s="9" t="str">
        <x:v>Some concern</x:v>
      </x:c>
      <x:c r="H202" s="9" t="str">
        <x:v>Low concern</x:v>
      </x:c>
      <x:c r="I202" s="9" t="str">
        <x:v>Adjudicated to Reviewer 1</x:v>
      </x:c>
      <x:c r="J202" s="9" t="str">
        <x:v>Principal response magnitudes, ranges and relevant retention/failure behavior are reported.</x:v>
      </x:c>
      <x:c r="K202" s="9" t="str">
        <x:v>PDF pp. 3–8; Figs. 1–6; cited Supplementary Figs. S1–S10</x:v>
      </x:c>
    </x:row>
    <x:row r="203">
      <x:c r="A203" s="9" t="str">
        <x:v>Risk</x:v>
      </x:c>
      <x:c r="B203" s="9" t="n">
        <x:v>62</x:v>
      </x:c>
      <x:c r="C203" s="9" t="str">
        <x:v>S076</x:v>
      </x:c>
      <x:c r="D203" s="9" t="str">
        <x:v>Meena et al. (2025)</x:v>
      </x:c>
      <x:c r="E203" s="9" t="str">
        <x:v>D8</x:v>
      </x:c>
      <x:c r="F203" s="9" t="str">
        <x:v>Some concern</x:v>
      </x:c>
      <x:c r="G203" s="9" t="str">
        <x:v>Low concern</x:v>
      </x:c>
      <x:c r="H203" s="9" t="str">
        <x:v>Some concern</x:v>
      </x:c>
      <x:c r="I203" s="9" t="str">
        <x:v>Adjudicated to Reviewer 1</x:v>
      </x:c>
      <x:c r="J203" s="9" t="str">
        <x:v>A complete wearable configuration was demonstrated, but the participant count, comparator or protocol depth was limited.</x:v>
      </x:c>
      <x:c r="K203" s="9" t="str">
        <x:v>PDF pp. 3–8; Figs. 1–6; cited Supplementary Figs. S1–S10</x:v>
      </x:c>
    </x:row>
    <x:row r="204">
      <x:c r="A204" s="9" t="str">
        <x:v>Risk</x:v>
      </x:c>
      <x:c r="B204" s="9" t="n">
        <x:v>63</x:v>
      </x:c>
      <x:c r="C204" s="9" t="str">
        <x:v>S077</x:v>
      </x:c>
      <x:c r="D204" s="9" t="str">
        <x:v>Farid et al. (2025)</x:v>
      </x:c>
      <x:c r="E204" s="9" t="str">
        <x:v>D1</x:v>
      </x:c>
      <x:c r="F204" s="9" t="str">
        <x:v>High concern</x:v>
      </x:c>
      <x:c r="G204" s="9" t="str">
        <x:v>Some concern</x:v>
      </x:c>
      <x:c r="H204" s="9" t="str">
        <x:v>High concern</x:v>
      </x:c>
      <x:c r="I204" s="9" t="str">
        <x:v>Adjudicated to Reviewer 1</x:v>
      </x:c>
      <x:c r="J204" s="9" t="str">
        <x:v>Application evidence relies on one or an unspecified small convenience sample and device sampling is not justified.</x:v>
      </x:c>
      <x:c r="K204" s="9" t="str">
        <x:v>PDF pp. 3–15; Figs. 1–7; Table 1</x:v>
      </x:c>
    </x:row>
    <x:row r="205">
      <x:c r="A205" s="9" t="str">
        <x:v>Risk</x:v>
      </x:c>
      <x:c r="B205" s="9" t="n">
        <x:v>63</x:v>
      </x:c>
      <x:c r="C205" s="9" t="str">
        <x:v>S077</x:v>
      </x:c>
      <x:c r="D205" s="9" t="str">
        <x:v>Farid et al. (2025)</x:v>
      </x:c>
      <x:c r="E205" s="9" t="str">
        <x:v>D3</x:v>
      </x:c>
      <x:c r="F205" s="9" t="str">
        <x:v>Some concern</x:v>
      </x:c>
      <x:c r="G205" s="9" t="str">
        <x:v>Low concern</x:v>
      </x:c>
      <x:c r="H205" s="9" t="str">
        <x:v>Some concern</x:v>
      </x:c>
      <x:c r="I205" s="9" t="str">
        <x:v>Adjudicated to Reviewer 1</x:v>
      </x:c>
      <x:c r="J205" s="9" t="str">
        <x:v>Reference/calibration details are incomplete for at least one claimed sensing or application outcome.</x:v>
      </x:c>
      <x:c r="K205" s="9" t="str">
        <x:v>PDF pp. 3–15; Figs. 1–7; Table 1</x:v>
      </x:c>
    </x:row>
    <x:row r="206">
      <x:c r="A206" s="9" t="str">
        <x:v>Risk</x:v>
      </x:c>
      <x:c r="B206" s="9" t="n">
        <x:v>63</x:v>
      </x:c>
      <x:c r="C206" s="9" t="str">
        <x:v>S077</x:v>
      </x:c>
      <x:c r="D206" s="9" t="str">
        <x:v>Farid et al. (2025)</x:v>
      </x:c>
      <x:c r="E206" s="9" t="str">
        <x:v>D4</x:v>
      </x:c>
      <x:c r="F206" s="9" t="str">
        <x:v>Some concern</x:v>
      </x:c>
      <x:c r="G206" s="9" t="str">
        <x:v>Low concern</x:v>
      </x:c>
      <x:c r="H206" s="9" t="str">
        <x:v>Some concern</x:v>
      </x:c>
      <x:c r="I206" s="9" t="str">
        <x:v>Adjudicated to Reviewer 1</x:v>
      </x:c>
      <x:c r="J206" s="9" t="str">
        <x:v>Conditions are incompletely specified across the multifunctional/application tests.</x:v>
      </x:c>
      <x:c r="K206" s="9" t="str">
        <x:v>PDF pp. 3–15; Figs. 1–7; Table 1</x:v>
      </x:c>
    </x:row>
    <x:row r="207">
      <x:c r="A207" s="9" t="str">
        <x:v>Risk</x:v>
      </x:c>
      <x:c r="B207" s="9" t="n">
        <x:v>63</x:v>
      </x:c>
      <x:c r="C207" s="9" t="str">
        <x:v>S077</x:v>
      </x:c>
      <x:c r="D207" s="9" t="str">
        <x:v>Farid et al. (2025)</x:v>
      </x:c>
      <x:c r="E207" s="9" t="str">
        <x:v>D7</x:v>
      </x:c>
      <x:c r="F207" s="9" t="str">
        <x:v>Some concern</x:v>
      </x:c>
      <x:c r="G207" s="9" t="str">
        <x:v>Low concern</x:v>
      </x:c>
      <x:c r="H207" s="9" t="str">
        <x:v>Some concern</x:v>
      </x:c>
      <x:c r="I207" s="9" t="str">
        <x:v>Adjudicated to Reviewer 1</x:v>
      </x:c>
      <x:c r="J207" s="9" t="str">
        <x:v>Some principal claims rely on selected curves, inconsistent descriptions or incomplete uncertainty/device-level reporting.</x:v>
      </x:c>
      <x:c r="K207" s="9" t="str">
        <x:v>PDF pp. 3–15; Figs. 1–7; Table 1</x:v>
      </x:c>
    </x:row>
    <x:row r="208">
      <x:c r="A208" s="9" t="str">
        <x:v>Risk</x:v>
      </x:c>
      <x:c r="B208" s="9" t="n">
        <x:v>63</x:v>
      </x:c>
      <x:c r="C208" s="9" t="str">
        <x:v>S077</x:v>
      </x:c>
      <x:c r="D208" s="9" t="str">
        <x:v>Farid et al. (2025)</x:v>
      </x:c>
      <x:c r="E208" s="9" t="str">
        <x:v>D8</x:v>
      </x:c>
      <x:c r="F208" s="9" t="str">
        <x:v>Some concern</x:v>
      </x:c>
      <x:c r="G208" s="9" t="str">
        <x:v>Low concern</x:v>
      </x:c>
      <x:c r="H208" s="9" t="str">
        <x:v>Some concern</x:v>
      </x:c>
      <x:c r="I208" s="9" t="str">
        <x:v>Adjudicated to Reviewer 1</x:v>
      </x:c>
      <x:c r="J208" s="9" t="str">
        <x:v>A complete wearable configuration was demonstrated, but the participant count, comparator or protocol depth was limited.</x:v>
      </x:c>
      <x:c r="K208" s="9" t="str">
        <x:v>PDF pp. 3–15; Figs. 1–7; Table 1</x:v>
      </x:c>
    </x:row>
    <x:row r="209">
      <x:c r="A209" s="9" t="str">
        <x:v>Risk</x:v>
      </x:c>
      <x:c r="B209" s="9" t="n">
        <x:v>64</x:v>
      </x:c>
      <x:c r="C209" s="9" t="str">
        <x:v>S078</x:v>
      </x:c>
      <x:c r="D209" s="9" t="str">
        <x:v>Hu et al. (2024)</x:v>
      </x:c>
      <x:c r="E209" s="9" t="str">
        <x:v>D1</x:v>
      </x:c>
      <x:c r="F209" s="9" t="str">
        <x:v>High concern</x:v>
      </x:c>
      <x:c r="G209" s="9" t="str">
        <x:v>Some concern</x:v>
      </x:c>
      <x:c r="H209" s="9" t="str">
        <x:v>High concern</x:v>
      </x:c>
      <x:c r="I209" s="9" t="str">
        <x:v>Adjudicated to Reviewer 1</x:v>
      </x:c>
      <x:c r="J209" s="9" t="str">
        <x:v>Application evidence relies on one or an unspecified small convenience sample and device sampling is not justified.</x:v>
      </x:c>
      <x:c r="K209" s="9" t="str">
        <x:v>PDF pp. 3–8; Figs. 1–6; Supporting Table S1 cited</x:v>
      </x:c>
    </x:row>
    <x:row r="210">
      <x:c r="A210" s="9" t="str">
        <x:v>Risk</x:v>
      </x:c>
      <x:c r="B210" s="9" t="n">
        <x:v>64</x:v>
      </x:c>
      <x:c r="C210" s="9" t="str">
        <x:v>S078</x:v>
      </x:c>
      <x:c r="D210" s="9" t="str">
        <x:v>Hu et al. (2024)</x:v>
      </x:c>
      <x:c r="E210" s="9" t="str">
        <x:v>D7</x:v>
      </x:c>
      <x:c r="F210" s="9" t="str">
        <x:v>Low concern</x:v>
      </x:c>
      <x:c r="G210" s="9" t="str">
        <x:v>Some concern</x:v>
      </x:c>
      <x:c r="H210" s="9" t="str">
        <x:v>Low concern</x:v>
      </x:c>
      <x:c r="I210" s="9" t="str">
        <x:v>Adjudicated to Reviewer 1</x:v>
      </x:c>
      <x:c r="J210" s="9" t="str">
        <x:v>Principal response magnitudes, ranges and relevant retention/failure behavior are reported.</x:v>
      </x:c>
      <x:c r="K210" s="9" t="str">
        <x:v>PDF pp. 3–8; Figs. 1–6; Supporting Table S1 cited</x:v>
      </x:c>
    </x:row>
    <x:row r="211">
      <x:c r="A211" s="9" t="str">
        <x:v>Risk</x:v>
      </x:c>
      <x:c r="B211" s="9" t="n">
        <x:v>64</x:v>
      </x:c>
      <x:c r="C211" s="9" t="str">
        <x:v>S078</x:v>
      </x:c>
      <x:c r="D211" s="9" t="str">
        <x:v>Hu et al. (2024)</x:v>
      </x:c>
      <x:c r="E211" s="9" t="str">
        <x:v>D8</x:v>
      </x:c>
      <x:c r="F211" s="9" t="str">
        <x:v>Some concern</x:v>
      </x:c>
      <x:c r="G211" s="9" t="str">
        <x:v>Low concern</x:v>
      </x:c>
      <x:c r="H211" s="9" t="str">
        <x:v>Some concern</x:v>
      </x:c>
      <x:c r="I211" s="9" t="str">
        <x:v>Adjudicated to Reviewer 1</x:v>
      </x:c>
      <x:c r="J211" s="9" t="str">
        <x:v>A complete wearable configuration was demonstrated, but the participant count, comparator or protocol depth was limited.</x:v>
      </x:c>
      <x:c r="K211" s="9" t="str">
        <x:v>PDF pp. 3–8; Figs. 1–6; Supporting Table S1 cited</x:v>
      </x:c>
    </x:row>
    <x:row r="212">
      <x:c r="A212" s="9" t="str">
        <x:v>Risk</x:v>
      </x:c>
      <x:c r="B212" s="9" t="n">
        <x:v>66</x:v>
      </x:c>
      <x:c r="C212" s="9" t="str">
        <x:v>S080</x:v>
      </x:c>
      <x:c r="D212" s="9" t="str">
        <x:v>Imanian et al. (2023)</x:v>
      </x:c>
      <x:c r="E212" s="9" t="str">
        <x:v>D1</x:v>
      </x:c>
      <x:c r="F212" s="9" t="str">
        <x:v>High concern</x:v>
      </x:c>
      <x:c r="G212" s="9" t="str">
        <x:v>Some concern</x:v>
      </x:c>
      <x:c r="H212" s="9" t="str">
        <x:v>High concern</x:v>
      </x:c>
      <x:c r="I212" s="9" t="str">
        <x:v>Adjudicated to Reviewer 1</x:v>
      </x:c>
      <x:c r="J212" s="9" t="str">
        <x:v>Device sampling was not justified and wearable testing used one, two or an unspecified small number of participants.</x:v>
      </x:c>
      <x:c r="K212" s="9" t="str">
        <x:v>PDF pp. 2, 4–12; Figs. 1–8</x:v>
      </x:c>
    </x:row>
    <x:row r="213">
      <x:c r="A213" s="9" t="str">
        <x:v>Risk</x:v>
      </x:c>
      <x:c r="B213" s="9" t="n">
        <x:v>66</x:v>
      </x:c>
      <x:c r="C213" s="9" t="str">
        <x:v>S080</x:v>
      </x:c>
      <x:c r="D213" s="9" t="str">
        <x:v>Imanian et al. (2023)</x:v>
      </x:c>
      <x:c r="E213" s="9" t="str">
        <x:v>D3</x:v>
      </x:c>
      <x:c r="F213" s="9" t="str">
        <x:v>Some concern</x:v>
      </x:c>
      <x:c r="G213" s="9" t="str">
        <x:v>Low concern</x:v>
      </x:c>
      <x:c r="H213" s="9" t="str">
        <x:v>Some concern</x:v>
      </x:c>
      <x:c r="I213" s="9" t="str">
        <x:v>Adjudicated to Reviewer 1</x:v>
      </x:c>
      <x:c r="J213" s="9" t="str">
        <x:v>The application demonstration lacks an independent physiological comparator or independently measured joint angle.</x:v>
      </x:c>
      <x:c r="K213" s="9" t="str">
        <x:v>PDF pp. 2, 4–12; Figs. 1–8</x:v>
      </x:c>
    </x:row>
    <x:row r="214">
      <x:c r="A214" s="9" t="str">
        <x:v>Risk</x:v>
      </x:c>
      <x:c r="B214" s="9" t="n">
        <x:v>66</x:v>
      </x:c>
      <x:c r="C214" s="9" t="str">
        <x:v>S080</x:v>
      </x:c>
      <x:c r="D214" s="9" t="str">
        <x:v>Imanian et al. (2023)</x:v>
      </x:c>
      <x:c r="E214" s="9" t="str">
        <x:v>D8</x:v>
      </x:c>
      <x:c r="F214" s="9" t="str">
        <x:v>Some concern</x:v>
      </x:c>
      <x:c r="G214" s="9" t="str">
        <x:v>Low concern</x:v>
      </x:c>
      <x:c r="H214" s="9" t="str">
        <x:v>Some concern</x:v>
      </x:c>
      <x:c r="I214" s="9" t="str">
        <x:v>Adjudicated to Reviewer 1</x:v>
      </x:c>
      <x:c r="J214" s="9" t="str">
        <x:v>A complete wearable configuration was demonstrated, but participant count, comparator or protocol depth is limited.</x:v>
      </x:c>
      <x:c r="K214" s="9" t="str">
        <x:v>PDF pp. 2, 4–12; Figs. 1–8</x:v>
      </x:c>
    </x:row>
    <x:row r="215">
      <x:c r="A215" s="9" t="str">
        <x:v>Risk</x:v>
      </x:c>
      <x:c r="B215" s="9" t="n">
        <x:v>67</x:v>
      </x:c>
      <x:c r="C215" s="9" t="str">
        <x:v>S081</x:v>
      </x:c>
      <x:c r="D215" s="9" t="str">
        <x:v>De Tommasi et al. (2023)</x:v>
      </x:c>
      <x:c r="E215" s="9" t="str">
        <x:v>D1</x:v>
      </x:c>
      <x:c r="F215" s="9" t="str">
        <x:v>High concern</x:v>
      </x:c>
      <x:c r="G215" s="9" t="str">
        <x:v>Some concern</x:v>
      </x:c>
      <x:c r="H215" s="9" t="str">
        <x:v>High concern</x:v>
      </x:c>
      <x:c r="I215" s="9" t="str">
        <x:v>Adjudicated to Reviewer 1</x:v>
      </x:c>
      <x:c r="J215" s="9" t="str">
        <x:v>Device sampling was not justified and wearable testing used one, two or an unspecified small number of participants.</x:v>
      </x:c>
      <x:c r="K215" s="9" t="str">
        <x:v>PDF pp. 3–7; Figs. 1–8; Table I</x:v>
      </x:c>
    </x:row>
    <x:row r="216">
      <x:c r="A216" s="9" t="str">
        <x:v>Risk</x:v>
      </x:c>
      <x:c r="B216" s="9" t="n">
        <x:v>67</x:v>
      </x:c>
      <x:c r="C216" s="9" t="str">
        <x:v>S081</x:v>
      </x:c>
      <x:c r="D216" s="9" t="str">
        <x:v>De Tommasi et al. (2023)</x:v>
      </x:c>
      <x:c r="E216" s="9" t="str">
        <x:v>D5</x:v>
      </x:c>
      <x:c r="F216" s="9" t="str">
        <x:v>Low concern</x:v>
      </x:c>
      <x:c r="G216" s="9" t="str">
        <x:v>High concern</x:v>
      </x:c>
      <x:c r="H216" s="9" t="str">
        <x:v>Low concern</x:v>
      </x:c>
      <x:c r="I216" s="9" t="str">
        <x:v>Adjudicated to Reviewer 1</x:v>
      </x:c>
      <x:c r="J216" s="9" t="str">
        <x:v>At least one defined repeated-measurement or endurance protocol is reported.</x:v>
      </x:c>
      <x:c r="K216" s="9" t="str">
        <x:v>PDF pp. 3–7; Figs. 1–8; Table I</x:v>
      </x:c>
    </x:row>
    <x:row r="217">
      <x:c r="A217" s="9" t="str">
        <x:v>Risk</x:v>
      </x:c>
      <x:c r="B217" s="9" t="n">
        <x:v>67</x:v>
      </x:c>
      <x:c r="C217" s="9" t="str">
        <x:v>S081</x:v>
      </x:c>
      <x:c r="D217" s="9" t="str">
        <x:v>De Tommasi et al. (2023)</x:v>
      </x:c>
      <x:c r="E217" s="9" t="str">
        <x:v>D7</x:v>
      </x:c>
      <x:c r="F217" s="9" t="str">
        <x:v>Low concern</x:v>
      </x:c>
      <x:c r="G217" s="9" t="str">
        <x:v>Some concern</x:v>
      </x:c>
      <x:c r="H217" s="9" t="str">
        <x:v>Low concern</x:v>
      </x:c>
      <x:c r="I217" s="9" t="str">
        <x:v>Adjudicated to Reviewer 1</x:v>
      </x:c>
      <x:c r="J217" s="9" t="str">
        <x:v>Principal response magnitudes, ranges and stability/failure behavior are quantitatively reported.</x:v>
      </x:c>
      <x:c r="K217" s="9" t="str">
        <x:v>PDF pp. 3–7; Figs. 1–8; Table I</x:v>
      </x:c>
    </x:row>
    <x:row r="218">
      <x:c r="A218" s="9" t="str">
        <x:v>Risk</x:v>
      </x:c>
      <x:c r="B218" s="9" t="n">
        <x:v>67</x:v>
      </x:c>
      <x:c r="C218" s="9" t="str">
        <x:v>S081</x:v>
      </x:c>
      <x:c r="D218" s="9" t="str">
        <x:v>De Tommasi et al. (2023)</x:v>
      </x:c>
      <x:c r="E218" s="9" t="str">
        <x:v>D8</x:v>
      </x:c>
      <x:c r="F218" s="9" t="str">
        <x:v>Some concern</x:v>
      </x:c>
      <x:c r="G218" s="9" t="str">
        <x:v>Low concern</x:v>
      </x:c>
      <x:c r="H218" s="9" t="str">
        <x:v>Some concern</x:v>
      </x:c>
      <x:c r="I218" s="9" t="str">
        <x:v>Adjudicated to Reviewer 1</x:v>
      </x:c>
      <x:c r="J218" s="9" t="str">
        <x:v>A complete wearable configuration was demonstrated, but participant count, comparator or protocol depth is limited.</x:v>
      </x:c>
      <x:c r="K218" s="9" t="str">
        <x:v>PDF pp. 3–7; Figs. 1–8; Table I</x:v>
      </x:c>
    </x:row>
    <x:row r="219">
      <x:c r="A219" s="9" t="str">
        <x:v>Risk</x:v>
      </x:c>
      <x:c r="B219" s="9" t="n">
        <x:v>68</x:v>
      </x:c>
      <x:c r="C219" s="9" t="str">
        <x:v>S082</x:v>
      </x:c>
      <x:c r="D219" s="9" t="str">
        <x:v>Xiang et al. (2023)</x:v>
      </x:c>
      <x:c r="E219" s="9" t="str">
        <x:v>D1</x:v>
      </x:c>
      <x:c r="F219" s="9" t="str">
        <x:v>High concern</x:v>
      </x:c>
      <x:c r="G219" s="9" t="str">
        <x:v>Some concern</x:v>
      </x:c>
      <x:c r="H219" s="9" t="str">
        <x:v>High concern</x:v>
      </x:c>
      <x:c r="I219" s="9" t="str">
        <x:v>Adjudicated to Reviewer 1</x:v>
      </x:c>
      <x:c r="J219" s="9" t="str">
        <x:v>Device sampling was not justified and wearable testing used one, two or an unspecified small number of participants.</x:v>
      </x:c>
      <x:c r="K219" s="9" t="str">
        <x:v>PDF pp. 4–12; Figs. 1–7; Supplementary Figs. S1–S5 cited</x:v>
      </x:c>
    </x:row>
    <x:row r="220">
      <x:c r="A220" s="9" t="str">
        <x:v>Risk</x:v>
      </x:c>
      <x:c r="B220" s="9" t="n">
        <x:v>68</x:v>
      </x:c>
      <x:c r="C220" s="9" t="str">
        <x:v>S082</x:v>
      </x:c>
      <x:c r="D220" s="9" t="str">
        <x:v>Xiang et al. (2023)</x:v>
      </x:c>
      <x:c r="E220" s="9" t="str">
        <x:v>D2</x:v>
      </x:c>
      <x:c r="F220" s="9" t="str">
        <x:v>Some concern</x:v>
      </x:c>
      <x:c r="G220" s="9" t="str">
        <x:v>High concern</x:v>
      </x:c>
      <x:c r="H220" s="9" t="str">
        <x:v>Some concern</x:v>
      </x:c>
      <x:c r="I220" s="9" t="str">
        <x:v>Adjudicated to Reviewer 1</x:v>
      </x:c>
      <x:c r="J220" s="9" t="str">
        <x:v>One or more platform, nozzle, layer-height, infill or toolpath details are absent.</x:v>
      </x:c>
      <x:c r="K220" s="9" t="str">
        <x:v>PDF pp. 4–12; Figs. 1–7; Supplementary Figs. S1–S5 cited</x:v>
      </x:c>
    </x:row>
    <x:row r="221">
      <x:c r="A221" s="9" t="str">
        <x:v>Risk</x:v>
      </x:c>
      <x:c r="B221" s="9" t="n">
        <x:v>68</x:v>
      </x:c>
      <x:c r="C221" s="9" t="str">
        <x:v>S082</x:v>
      </x:c>
      <x:c r="D221" s="9" t="str">
        <x:v>Xiang et al. (2023)</x:v>
      </x:c>
      <x:c r="E221" s="9" t="str">
        <x:v>D3</x:v>
      </x:c>
      <x:c r="F221" s="9" t="str">
        <x:v>Low concern</x:v>
      </x:c>
      <x:c r="G221" s="9" t="str">
        <x:v>Some concern</x:v>
      </x:c>
      <x:c r="H221" s="9" t="str">
        <x:v>Low concern</x:v>
      </x:c>
      <x:c r="I221" s="9" t="str">
        <x:v>Adjudicated to Reviewer 1</x:v>
      </x:c>
      <x:c r="J221" s="9" t="str">
        <x:v>Controlled inputs and suitable reference instruments/procedures are reported.</x:v>
      </x:c>
      <x:c r="K221" s="9" t="str">
        <x:v>PDF pp. 4–12; Figs. 1–7; Supplementary Figs. S1–S5 cited</x:v>
      </x:c>
    </x:row>
    <x:row r="222">
      <x:c r="A222" s="9" t="str">
        <x:v>Risk</x:v>
      </x:c>
      <x:c r="B222" s="9" t="n">
        <x:v>68</x:v>
      </x:c>
      <x:c r="C222" s="9" t="str">
        <x:v>S082</x:v>
      </x:c>
      <x:c r="D222" s="9" t="str">
        <x:v>Xiang et al. (2023)</x:v>
      </x:c>
      <x:c r="E222" s="9" t="str">
        <x:v>D8</x:v>
      </x:c>
      <x:c r="F222" s="9" t="str">
        <x:v>Some concern</x:v>
      </x:c>
      <x:c r="G222" s="9" t="str">
        <x:v>Low concern</x:v>
      </x:c>
      <x:c r="H222" s="9" t="str">
        <x:v>Some concern</x:v>
      </x:c>
      <x:c r="I222" s="9" t="str">
        <x:v>Adjudicated to Reviewer 1</x:v>
      </x:c>
      <x:c r="J222" s="9" t="str">
        <x:v>A complete wearable configuration was demonstrated, but participant count, comparator or protocol depth is limited.</x:v>
      </x:c>
      <x:c r="K222" s="9" t="str">
        <x:v>PDF pp. 4–12; Figs. 1–7; Supplementary Figs. S1–S5 cited</x:v>
      </x:c>
    </x:row>
    <x:row r="223">
      <x:c r="A223" s="9" t="str">
        <x:v>Risk</x:v>
      </x:c>
      <x:c r="B223" s="9" t="n">
        <x:v>69</x:v>
      </x:c>
      <x:c r="C223" s="9" t="str">
        <x:v>S084</x:v>
      </x:c>
      <x:c r="D223" s="9" t="str">
        <x:v>Liu et al. (2023)</x:v>
      </x:c>
      <x:c r="E223" s="9" t="str">
        <x:v>D1</x:v>
      </x:c>
      <x:c r="F223" s="9" t="str">
        <x:v>High concern</x:v>
      </x:c>
      <x:c r="G223" s="9" t="str">
        <x:v>Some concern</x:v>
      </x:c>
      <x:c r="H223" s="9" t="str">
        <x:v>High concern</x:v>
      </x:c>
      <x:c r="I223" s="9" t="str">
        <x:v>Adjudicated to Reviewer 1</x:v>
      </x:c>
      <x:c r="J223" s="9" t="str">
        <x:v>Device sampling was not justified and wearable testing used one, two or an unspecified small number of participants.</x:v>
      </x:c>
      <x:c r="K223" s="9" t="str">
        <x:v>PDF pp. 4–11; Figs. 1–8; Supplementary Figs. S1–S5 cited</x:v>
      </x:c>
    </x:row>
    <x:row r="224">
      <x:c r="A224" s="9" t="str">
        <x:v>Risk</x:v>
      </x:c>
      <x:c r="B224" s="9" t="n">
        <x:v>69</x:v>
      </x:c>
      <x:c r="C224" s="9" t="str">
        <x:v>S084</x:v>
      </x:c>
      <x:c r="D224" s="9" t="str">
        <x:v>Liu et al. (2023)</x:v>
      </x:c>
      <x:c r="E224" s="9" t="str">
        <x:v>D2</x:v>
      </x:c>
      <x:c r="F224" s="9" t="str">
        <x:v>Some concern</x:v>
      </x:c>
      <x:c r="G224" s="9" t="str">
        <x:v>High concern</x:v>
      </x:c>
      <x:c r="H224" s="9" t="str">
        <x:v>Some concern</x:v>
      </x:c>
      <x:c r="I224" s="9" t="str">
        <x:v>Adjudicated to Reviewer 1</x:v>
      </x:c>
      <x:c r="J224" s="9" t="str">
        <x:v>One or more platform, nozzle, layer-height, infill or toolpath details are absent.</x:v>
      </x:c>
      <x:c r="K224" s="9" t="str">
        <x:v>PDF pp. 4–11; Figs. 1–8; Supplementary Figs. S1–S5 cited</x:v>
      </x:c>
    </x:row>
    <x:row r="225">
      <x:c r="A225" s="9" t="str">
        <x:v>Risk</x:v>
      </x:c>
      <x:c r="B225" s="9" t="n">
        <x:v>69</x:v>
      </x:c>
      <x:c r="C225" s="9" t="str">
        <x:v>S084</x:v>
      </x:c>
      <x:c r="D225" s="9" t="str">
        <x:v>Liu et al. (2023)</x:v>
      </x:c>
      <x:c r="E225" s="9" t="str">
        <x:v>D3</x:v>
      </x:c>
      <x:c r="F225" s="9" t="str">
        <x:v>Low concern</x:v>
      </x:c>
      <x:c r="G225" s="9" t="str">
        <x:v>Some concern</x:v>
      </x:c>
      <x:c r="H225" s="9" t="str">
        <x:v>Low concern</x:v>
      </x:c>
      <x:c r="I225" s="9" t="str">
        <x:v>Adjudicated to Reviewer 1</x:v>
      </x:c>
      <x:c r="J225" s="9" t="str">
        <x:v>Controlled inputs and suitable reference instruments/procedures are reported.</x:v>
      </x:c>
      <x:c r="K225" s="9" t="str">
        <x:v>PDF pp. 4–11; Figs. 1–8; Supplementary Figs. S1–S5 cited</x:v>
      </x:c>
    </x:row>
    <x:row r="226">
      <x:c r="A226" s="9" t="str">
        <x:v>Risk</x:v>
      </x:c>
      <x:c r="B226" s="9" t="n">
        <x:v>69</x:v>
      </x:c>
      <x:c r="C226" s="9" t="str">
        <x:v>S084</x:v>
      </x:c>
      <x:c r="D226" s="9" t="str">
        <x:v>Liu et al. (2023)</x:v>
      </x:c>
      <x:c r="E226" s="9" t="str">
        <x:v>D8</x:v>
      </x:c>
      <x:c r="F226" s="9" t="str">
        <x:v>Some concern</x:v>
      </x:c>
      <x:c r="G226" s="9" t="str">
        <x:v>Low concern</x:v>
      </x:c>
      <x:c r="H226" s="9" t="str">
        <x:v>Some concern</x:v>
      </x:c>
      <x:c r="I226" s="9" t="str">
        <x:v>Adjudicated to Reviewer 1</x:v>
      </x:c>
      <x:c r="J226" s="9" t="str">
        <x:v>A complete wearable configuration was demonstrated, but participant count, comparator or protocol depth is limited.</x:v>
      </x:c>
      <x:c r="K226" s="9" t="str">
        <x:v>PDF pp. 4–11; Figs. 1–8; Supplementary Figs. S1–S5 cited</x:v>
      </x:c>
    </x:row>
    <x:row r="227">
      <x:c r="A227" s="9" t="str">
        <x:v>Risk</x:v>
      </x:c>
      <x:c r="B227" s="9" t="n">
        <x:v>70</x:v>
      </x:c>
      <x:c r="C227" s="9" t="str">
        <x:v>S085</x:v>
      </x:c>
      <x:c r="D227" s="9" t="str">
        <x:v>Li et al. (2022)</x:v>
      </x:c>
      <x:c r="E227" s="9" t="str">
        <x:v>D1</x:v>
      </x:c>
      <x:c r="F227" s="9" t="str">
        <x:v>High concern</x:v>
      </x:c>
      <x:c r="G227" s="9" t="str">
        <x:v>Some concern</x:v>
      </x:c>
      <x:c r="H227" s="9" t="str">
        <x:v>High concern</x:v>
      </x:c>
      <x:c r="I227" s="9" t="str">
        <x:v>Adjudicated to Reviewer 1</x:v>
      </x:c>
      <x:c r="J227" s="9" t="str">
        <x:v>Device sampling was not justified and wearable testing used one, two or an unspecified small number of participants.</x:v>
      </x:c>
      <x:c r="K227" s="9" t="str">
        <x:v>PDF pp. 2–4, 8–12; Figs. 1–18; Tables 1–2</x:v>
      </x:c>
    </x:row>
    <x:row r="228">
      <x:c r="A228" s="9" t="str">
        <x:v>Risk</x:v>
      </x:c>
      <x:c r="B228" s="9" t="n">
        <x:v>70</x:v>
      </x:c>
      <x:c r="C228" s="9" t="str">
        <x:v>S085</x:v>
      </x:c>
      <x:c r="D228" s="9" t="str">
        <x:v>Li et al. (2022)</x:v>
      </x:c>
      <x:c r="E228" s="9" t="str">
        <x:v>D2</x:v>
      </x:c>
      <x:c r="F228" s="9" t="str">
        <x:v>Low concern</x:v>
      </x:c>
      <x:c r="G228" s="9" t="str">
        <x:v>Some concern</x:v>
      </x:c>
      <x:c r="H228" s="9" t="str">
        <x:v>Low concern</x:v>
      </x:c>
      <x:c r="I228" s="9" t="str">
        <x:v>Adjudicated to Reviewer 1</x:v>
      </x:c>
      <x:c r="J228" s="9" t="str">
        <x:v>Application-relevant fabrication variables and settings are sufficiently controlled and reported.</x:v>
      </x:c>
      <x:c r="K228" s="9" t="str">
        <x:v>PDF pp. 2–4, 8–12; Figs. 1–18; Tables 1–2</x:v>
      </x:c>
    </x:row>
    <x:row r="229">
      <x:c r="A229" s="9" t="str">
        <x:v>Risk</x:v>
      </x:c>
      <x:c r="B229" s="9" t="n">
        <x:v>70</x:v>
      </x:c>
      <x:c r="C229" s="9" t="str">
        <x:v>S085</x:v>
      </x:c>
      <x:c r="D229" s="9" t="str">
        <x:v>Li et al. (2022)</x:v>
      </x:c>
      <x:c r="E229" s="9" t="str">
        <x:v>D7</x:v>
      </x:c>
      <x:c r="F229" s="9" t="str">
        <x:v>Low concern</x:v>
      </x:c>
      <x:c r="G229" s="9" t="str">
        <x:v>Some concern</x:v>
      </x:c>
      <x:c r="H229" s="9" t="str">
        <x:v>Low concern</x:v>
      </x:c>
      <x:c r="I229" s="9" t="str">
        <x:v>Adjudicated to Reviewer 1</x:v>
      </x:c>
      <x:c r="J229" s="9" t="str">
        <x:v>Principal response magnitudes, ranges and stability/failure behavior are quantitatively reported.</x:v>
      </x:c>
      <x:c r="K229" s="9" t="str">
        <x:v>PDF pp. 2–4, 8–12; Figs. 1–18; Tables 1–2</x:v>
      </x:c>
    </x:row>
    <x:row r="230">
      <x:c r="A230" s="9" t="str">
        <x:v>Risk</x:v>
      </x:c>
      <x:c r="B230" s="9" t="n">
        <x:v>70</x:v>
      </x:c>
      <x:c r="C230" s="9" t="str">
        <x:v>S085</x:v>
      </x:c>
      <x:c r="D230" s="9" t="str">
        <x:v>Li et al. (2022)</x:v>
      </x:c>
      <x:c r="E230" s="9" t="str">
        <x:v>D8</x:v>
      </x:c>
      <x:c r="F230" s="9" t="str">
        <x:v>Some concern</x:v>
      </x:c>
      <x:c r="G230" s="9" t="str">
        <x:v>Low concern</x:v>
      </x:c>
      <x:c r="H230" s="9" t="str">
        <x:v>Some concern</x:v>
      </x:c>
      <x:c r="I230" s="9" t="str">
        <x:v>Adjudicated to Reviewer 1</x:v>
      </x:c>
      <x:c r="J230" s="9" t="str">
        <x:v>A complete wearable configuration was demonstrated, but participant count, comparator or protocol depth is limited.</x:v>
      </x:c>
      <x:c r="K230" s="9" t="str">
        <x:v>PDF pp. 2–4, 8–12; Figs. 1–18; Tables 1–2</x:v>
      </x:c>
    </x:row>
    <x:row r="231">
      <x:c r="A231" s="9" t="str">
        <x:v>Risk</x:v>
      </x:c>
      <x:c r="B231" s="9" t="n">
        <x:v>71</x:v>
      </x:c>
      <x:c r="C231" s="9" t="str">
        <x:v>S086</x:v>
      </x:c>
      <x:c r="D231" s="9" t="str">
        <x:v>Li et al. (2022)</x:v>
      </x:c>
      <x:c r="E231" s="9" t="str">
        <x:v>D1</x:v>
      </x:c>
      <x:c r="F231" s="9" t="str">
        <x:v>High concern</x:v>
      </x:c>
      <x:c r="G231" s="9" t="str">
        <x:v>Some concern</x:v>
      </x:c>
      <x:c r="H231" s="9" t="str">
        <x:v>High concern</x:v>
      </x:c>
      <x:c r="I231" s="9" t="str">
        <x:v>Adjudicated to Reviewer 1</x:v>
      </x:c>
      <x:c r="J231" s="9" t="str">
        <x:v>Device sampling was not justified and wearable testing used one, two or an unspecified small number of participants.</x:v>
      </x:c>
      <x:c r="K231" s="9" t="str">
        <x:v>PDF pp. 2–9; Figs. 1–6; Supporting Figs. S1–S3 and Table S1 cited</x:v>
      </x:c>
    </x:row>
    <x:row r="232">
      <x:c r="A232" s="9" t="str">
        <x:v>Risk</x:v>
      </x:c>
      <x:c r="B232" s="9" t="n">
        <x:v>71</x:v>
      </x:c>
      <x:c r="C232" s="9" t="str">
        <x:v>S086</x:v>
      </x:c>
      <x:c r="D232" s="9" t="str">
        <x:v>Li et al. (2022)</x:v>
      </x:c>
      <x:c r="E232" s="9" t="str">
        <x:v>D8</x:v>
      </x:c>
      <x:c r="F232" s="9" t="str">
        <x:v>Some concern</x:v>
      </x:c>
      <x:c r="G232" s="9" t="str">
        <x:v>Low concern</x:v>
      </x:c>
      <x:c r="H232" s="9" t="str">
        <x:v>Some concern</x:v>
      </x:c>
      <x:c r="I232" s="9" t="str">
        <x:v>Adjudicated to Reviewer 1</x:v>
      </x:c>
      <x:c r="J232" s="9" t="str">
        <x:v>A complete wearable configuration was demonstrated, but participant count, comparator or protocol depth is limited.</x:v>
      </x:c>
      <x:c r="K232" s="9" t="str">
        <x:v>PDF pp. 2–9; Figs. 1–6; Supporting Figs. S1–S3 and Table S1 cited</x:v>
      </x:c>
    </x:row>
    <x:row r="233">
      <x:c r="A233" s="9" t="str">
        <x:v>Risk</x:v>
      </x:c>
      <x:c r="B233" s="9" t="n">
        <x:v>72</x:v>
      </x:c>
      <x:c r="C233" s="9" t="str">
        <x:v>S087</x:v>
      </x:c>
      <x:c r="D233" s="9" t="str">
        <x:v>Ma et al. (2021)</x:v>
      </x:c>
      <x:c r="E233" s="9" t="str">
        <x:v>D1</x:v>
      </x:c>
      <x:c r="F233" s="9" t="str">
        <x:v>High concern</x:v>
      </x:c>
      <x:c r="G233" s="9" t="str">
        <x:v>Some concern</x:v>
      </x:c>
      <x:c r="H233" s="9" t="str">
        <x:v>High concern</x:v>
      </x:c>
      <x:c r="I233" s="9" t="str">
        <x:v>Adjudicated to Reviewer 1</x:v>
      </x:c>
      <x:c r="J233" s="9" t="str">
        <x:v>Device sampling was not justified and wearable testing used one, two or an unspecified small number of participants.</x:v>
      </x:c>
      <x:c r="K233" s="9" t="str">
        <x:v>PDF pp. 2–7; Figs. 1–5; Supplementary Figs. S1–S7 cited</x:v>
      </x:c>
    </x:row>
    <x:row r="234">
      <x:c r="A234" s="9" t="str">
        <x:v>Risk</x:v>
      </x:c>
      <x:c r="B234" s="9" t="n">
        <x:v>72</x:v>
      </x:c>
      <x:c r="C234" s="9" t="str">
        <x:v>S087</x:v>
      </x:c>
      <x:c r="D234" s="9" t="str">
        <x:v>Ma et al. (2021)</x:v>
      </x:c>
      <x:c r="E234" s="9" t="str">
        <x:v>D2</x:v>
      </x:c>
      <x:c r="F234" s="9" t="str">
        <x:v>Some concern</x:v>
      </x:c>
      <x:c r="G234" s="9" t="str">
        <x:v>High concern</x:v>
      </x:c>
      <x:c r="H234" s="9" t="str">
        <x:v>Some concern</x:v>
      </x:c>
      <x:c r="I234" s="9" t="str">
        <x:v>Adjudicated to Reviewer 1</x:v>
      </x:c>
      <x:c r="J234" s="9" t="str">
        <x:v>One or more platform, nozzle, layer-height, infill or toolpath details are absent.</x:v>
      </x:c>
      <x:c r="K234" s="9" t="str">
        <x:v>PDF pp. 2–7; Figs. 1–5; Supplementary Figs. S1–S7 cited</x:v>
      </x:c>
    </x:row>
    <x:row r="235">
      <x:c r="A235" s="9" t="str">
        <x:v>Risk</x:v>
      </x:c>
      <x:c r="B235" s="9" t="n">
        <x:v>72</x:v>
      </x:c>
      <x:c r="C235" s="9" t="str">
        <x:v>S087</x:v>
      </x:c>
      <x:c r="D235" s="9" t="str">
        <x:v>Ma et al. (2021)</x:v>
      </x:c>
      <x:c r="E235" s="9" t="str">
        <x:v>D8</x:v>
      </x:c>
      <x:c r="F235" s="9" t="str">
        <x:v>Some concern</x:v>
      </x:c>
      <x:c r="G235" s="9" t="str">
        <x:v>Low concern</x:v>
      </x:c>
      <x:c r="H235" s="9" t="str">
        <x:v>Some concern</x:v>
      </x:c>
      <x:c r="I235" s="9" t="str">
        <x:v>Adjudicated to Reviewer 1</x:v>
      </x:c>
      <x:c r="J235" s="9" t="str">
        <x:v>A complete wearable configuration was demonstrated, but participant count, comparator or protocol depth is limited.</x:v>
      </x:c>
      <x:c r="K235" s="9" t="str">
        <x:v>PDF pp. 2–7; Figs. 1–5; Supplementary Figs. S1–S7 cited</x:v>
      </x:c>
    </x:row>
    <x:row r="236">
      <x:c r="A236" s="9" t="str">
        <x:v>Risk</x:v>
      </x:c>
      <x:c r="B236" s="9" t="n">
        <x:v>73</x:v>
      </x:c>
      <x:c r="C236" s="9" t="str">
        <x:v>S088</x:v>
      </x:c>
      <x:c r="D236" s="9" t="str">
        <x:v>Cheng-Yu et al. (2021)</x:v>
      </x:c>
      <x:c r="E236" s="9" t="str">
        <x:v>D1</x:v>
      </x:c>
      <x:c r="F236" s="9" t="str">
        <x:v>High concern</x:v>
      </x:c>
      <x:c r="G236" s="9" t="str">
        <x:v>Some concern</x:v>
      </x:c>
      <x:c r="H236" s="9" t="str">
        <x:v>High concern</x:v>
      </x:c>
      <x:c r="I236" s="9" t="str">
        <x:v>Adjudicated to Reviewer 1</x:v>
      </x:c>
      <x:c r="J236" s="9" t="str">
        <x:v>Device sampling was not justified and wearable testing used one, two or an unspecified small number of participants.</x:v>
      </x:c>
      <x:c r="K236" s="9" t="str">
        <x:v>PDF pp. 4–12; Figs. 1–10; Table 1</x:v>
      </x:c>
    </x:row>
    <x:row r="237">
      <x:c r="A237" s="9" t="str">
        <x:v>Risk</x:v>
      </x:c>
      <x:c r="B237" s="9" t="n">
        <x:v>73</x:v>
      </x:c>
      <x:c r="C237" s="9" t="str">
        <x:v>S088</x:v>
      </x:c>
      <x:c r="D237" s="9" t="str">
        <x:v>Cheng-Yu et al. (2021)</x:v>
      </x:c>
      <x:c r="E237" s="9" t="str">
        <x:v>D4</x:v>
      </x:c>
      <x:c r="F237" s="9" t="str">
        <x:v>Low concern</x:v>
      </x:c>
      <x:c r="G237" s="9" t="str">
        <x:v>Some concern</x:v>
      </x:c>
      <x:c r="H237" s="9" t="str">
        <x:v>Low concern</x:v>
      </x:c>
      <x:c r="I237" s="9" t="str">
        <x:v>Adjudicated to Reviewer 1</x:v>
      </x:c>
      <x:c r="J237" s="9" t="str">
        <x:v>Principal loading ranges, rates, holds or cycle conditions are stated.</x:v>
      </x:c>
      <x:c r="K237" s="9" t="str">
        <x:v>PDF pp. 4–12; Figs. 1–10; Table 1</x:v>
      </x:c>
    </x:row>
    <x:row r="238">
      <x:c r="A238" s="9" t="str">
        <x:v>Risk</x:v>
      </x:c>
      <x:c r="B238" s="9" t="n">
        <x:v>73</x:v>
      </x:c>
      <x:c r="C238" s="9" t="str">
        <x:v>S088</x:v>
      </x:c>
      <x:c r="D238" s="9" t="str">
        <x:v>Cheng-Yu et al. (2021)</x:v>
      </x:c>
      <x:c r="E238" s="9" t="str">
        <x:v>D5</x:v>
      </x:c>
      <x:c r="F238" s="9" t="str">
        <x:v>Low concern</x:v>
      </x:c>
      <x:c r="G238" s="9" t="str">
        <x:v>High concern</x:v>
      </x:c>
      <x:c r="H238" s="9" t="str">
        <x:v>Low concern</x:v>
      </x:c>
      <x:c r="I238" s="9" t="str">
        <x:v>Adjudicated to Reviewer 1</x:v>
      </x:c>
      <x:c r="J238" s="9" t="str">
        <x:v>At least one defined repeated-measurement or endurance protocol is reported.</x:v>
      </x:c>
      <x:c r="K238" s="9" t="str">
        <x:v>PDF pp. 4–12; Figs. 1–10; Table 1</x:v>
      </x:c>
    </x:row>
    <x:row r="239">
      <x:c r="A239" s="9" t="str">
        <x:v>Risk</x:v>
      </x:c>
      <x:c r="B239" s="9" t="n">
        <x:v>73</x:v>
      </x:c>
      <x:c r="C239" s="9" t="str">
        <x:v>S088</x:v>
      </x:c>
      <x:c r="D239" s="9" t="str">
        <x:v>Cheng-Yu et al. (2021)</x:v>
      </x:c>
      <x:c r="E239" s="9" t="str">
        <x:v>D7</x:v>
      </x:c>
      <x:c r="F239" s="9" t="str">
        <x:v>Low concern</x:v>
      </x:c>
      <x:c r="G239" s="9" t="str">
        <x:v>Some concern</x:v>
      </x:c>
      <x:c r="H239" s="9" t="str">
        <x:v>Low concern</x:v>
      </x:c>
      <x:c r="I239" s="9" t="str">
        <x:v>Adjudicated to Reviewer 1</x:v>
      </x:c>
      <x:c r="J239" s="9" t="str">
        <x:v>Principal response magnitudes, ranges and stability/failure behavior are quantitatively reported.</x:v>
      </x:c>
      <x:c r="K239" s="9" t="str">
        <x:v>PDF pp. 4–12; Figs. 1–10; Table 1</x:v>
      </x:c>
    </x:row>
    <x:row r="240">
      <x:c r="A240" s="9" t="str">
        <x:v>Risk</x:v>
      </x:c>
      <x:c r="B240" s="9" t="n">
        <x:v>73</x:v>
      </x:c>
      <x:c r="C240" s="9" t="str">
        <x:v>S088</x:v>
      </x:c>
      <x:c r="D240" s="9" t="str">
        <x:v>Cheng-Yu et al. (2021)</x:v>
      </x:c>
      <x:c r="E240" s="9" t="str">
        <x:v>D8</x:v>
      </x:c>
      <x:c r="F240" s="9" t="str">
        <x:v>High concern</x:v>
      </x:c>
      <x:c r="G240" s="9" t="str">
        <x:v>Low concern</x:v>
      </x:c>
      <x:c r="H240" s="9" t="str">
        <x:v>High concern</x:v>
      </x:c>
      <x:c r="I240" s="9" t="str">
        <x:v>Adjudicated to Reviewer 1</x:v>
      </x:c>
      <x:c r="J240" s="9" t="str">
        <x:v>Wearable evidence is restricted to one participant and lacks broader validation.</x:v>
      </x:c>
      <x:c r="K240" s="9" t="str">
        <x:v>PDF pp. 4–12; Figs. 1–10; Table 1</x:v>
      </x:c>
    </x:row>
    <x:row r="241">
      <x:c r="A241" s="9" t="str">
        <x:v>Risk</x:v>
      </x:c>
      <x:c r="B241" s="9" t="n">
        <x:v>74</x:v>
      </x:c>
      <x:c r="C241" s="9" t="str">
        <x:v>S089</x:v>
      </x:c>
      <x:c r="D241" s="9" t="str">
        <x:v>Xiang et al. (2020)</x:v>
      </x:c>
      <x:c r="E241" s="9" t="str">
        <x:v>D1</x:v>
      </x:c>
      <x:c r="F241" s="9" t="str">
        <x:v>High concern</x:v>
      </x:c>
      <x:c r="G241" s="9" t="str">
        <x:v>Some concern</x:v>
      </x:c>
      <x:c r="H241" s="9" t="str">
        <x:v>High concern</x:v>
      </x:c>
      <x:c r="I241" s="9" t="str">
        <x:v>Adjudicated to Reviewer 1</x:v>
      </x:c>
      <x:c r="J241" s="9" t="str">
        <x:v>Device sampling was not justified and wearable testing used one, two or an unspecified small number of participants.</x:v>
      </x:c>
      <x:c r="K241" s="9" t="str">
        <x:v>PDF pp. 10–35 of available accepted manuscript; Figs. 1–10; Tables 1–2; Supplementary Tables S1–S2 cited</x:v>
      </x:c>
    </x:row>
    <x:row r="242">
      <x:c r="A242" s="9" t="str">
        <x:v>Risk</x:v>
      </x:c>
      <x:c r="B242" s="9" t="n">
        <x:v>74</x:v>
      </x:c>
      <x:c r="C242" s="9" t="str">
        <x:v>S089</x:v>
      </x:c>
      <x:c r="D242" s="9" t="str">
        <x:v>Xiang et al. (2020)</x:v>
      </x:c>
      <x:c r="E242" s="9" t="str">
        <x:v>D8</x:v>
      </x:c>
      <x:c r="F242" s="9" t="str">
        <x:v>Some concern</x:v>
      </x:c>
      <x:c r="G242" s="9" t="str">
        <x:v>Low concern</x:v>
      </x:c>
      <x:c r="H242" s="9" t="str">
        <x:v>Some concern</x:v>
      </x:c>
      <x:c r="I242" s="9" t="str">
        <x:v>Adjudicated to Reviewer 1</x:v>
      </x:c>
      <x:c r="J242" s="9" t="str">
        <x:v>A complete wearable configuration was demonstrated, but participant count, comparator or protocol depth is limited.</x:v>
      </x:c>
      <x:c r="K242" s="9" t="str">
        <x:v>PDF pp. 10–35 of available accepted manuscript; Figs. 1–10; Tables 1–2; Supplementary Tables S1–S2 cited</x:v>
      </x:c>
    </x:row>
    <x:row r="243">
      <x:c r="A243" s="9" t="str">
        <x:v>Risk</x:v>
      </x:c>
      <x:c r="B243" s="9" t="n">
        <x:v>75</x:v>
      </x:c>
      <x:c r="C243" s="9" t="str">
        <x:v>S090</x:v>
      </x:c>
      <x:c r="D243" s="9" t="str">
        <x:v>Fan et al. (2019)</x:v>
      </x:c>
      <x:c r="E243" s="9" t="str">
        <x:v>D1</x:v>
      </x:c>
      <x:c r="F243" s="9" t="str">
        <x:v>High concern</x:v>
      </x:c>
      <x:c r="G243" s="9" t="str">
        <x:v>Some concern</x:v>
      </x:c>
      <x:c r="H243" s="9" t="str">
        <x:v>High concern</x:v>
      </x:c>
      <x:c r="I243" s="9" t="str">
        <x:v>Adjudicated to Reviewer 1</x:v>
      </x:c>
      <x:c r="J243" s="9" t="str">
        <x:v>Device counts are reported for several electrical parameters, but sampling and device selection were not justified.</x:v>
      </x:c>
      <x:c r="K243" s="9" t="str">
        <x:v>PDF pp. 2–7; Figs. 1, 3–4; Tables 1–2</x:v>
      </x:c>
    </x:row>
    <x:row r="244">
      <x:c r="A244" s="9" t="str">
        <x:v>Risk</x:v>
      </x:c>
      <x:c r="B244" s="9" t="n">
        <x:v>75</x:v>
      </x:c>
      <x:c r="C244" s="9" t="str">
        <x:v>S090</x:v>
      </x:c>
      <x:c r="D244" s="9" t="str">
        <x:v>Fan et al. (2019)</x:v>
      </x:c>
      <x:c r="E244" s="9" t="str">
        <x:v>D2</x:v>
      </x:c>
      <x:c r="F244" s="9" t="str">
        <x:v>Some concern</x:v>
      </x:c>
      <x:c r="G244" s="9" t="str">
        <x:v>High concern</x:v>
      </x:c>
      <x:c r="H244" s="9" t="str">
        <x:v>Some concern</x:v>
      </x:c>
      <x:c r="I244" s="9" t="str">
        <x:v>Adjudicated to Reviewer 1</x:v>
      </x:c>
      <x:c r="J244" s="9" t="str">
        <x:v>The FDM platform and material are identified, but several FDM settings required to reproduce the soft-PLA structure are absent.</x:v>
      </x:c>
      <x:c r="K244" s="9" t="str">
        <x:v>PDF pp. 2–7; Figs. 1, 3–4; Tables 1–2</x:v>
      </x:c>
    </x:row>
    <x:row r="245">
      <x:c r="A245" s="9" t="str">
        <x:v>Risk</x:v>
      </x:c>
      <x:c r="B245" s="9" t="n">
        <x:v>75</x:v>
      </x:c>
      <x:c r="C245" s="9" t="str">
        <x:v>S090</x:v>
      </x:c>
      <x:c r="D245" s="9" t="str">
        <x:v>Fan et al. (2019)</x:v>
      </x:c>
      <x:c r="E245" s="9" t="str">
        <x:v>D3</x:v>
      </x:c>
      <x:c r="F245" s="9" t="str">
        <x:v>Low concern</x:v>
      </x:c>
      <x:c r="G245" s="9" t="str">
        <x:v>Some concern</x:v>
      </x:c>
      <x:c r="H245" s="9" t="str">
        <x:v>Low concern</x:v>
      </x:c>
      <x:c r="I245" s="9" t="str">
        <x:v>Adjudicated to Reviewer 1</x:v>
      </x:c>
      <x:c r="J245" s="9" t="str">
        <x:v>Controlled electrical inputs and independent pH measurement are reported with appropriate instrumentation.</x:v>
      </x:c>
      <x:c r="K245" s="9" t="str">
        <x:v>PDF pp. 2–7; Figs. 1, 3–4; Tables 1–2</x:v>
      </x:c>
    </x:row>
    <x:row r="246">
      <x:c r="A246" s="9" t="str">
        <x:v>Risk</x:v>
      </x:c>
      <x:c r="B246" s="9" t="n">
        <x:v>76</x:v>
      </x:c>
      <x:c r="C246" s="9" t="str">
        <x:v>S091</x:v>
      </x:c>
      <x:c r="D246" s="9" t="str">
        <x:v>Kennedy et al. (2017)</x:v>
      </x:c>
      <x:c r="E246" s="9" t="str">
        <x:v>D2</x:v>
      </x:c>
      <x:c r="F246" s="9" t="str">
        <x:v>Low concern</x:v>
      </x:c>
      <x:c r="G246" s="9" t="str">
        <x:v>Some concern</x:v>
      </x:c>
      <x:c r="H246" s="9" t="str">
        <x:v>Low concern</x:v>
      </x:c>
      <x:c r="I246" s="9" t="str">
        <x:v>Adjudicated to Reviewer 1</x:v>
      </x:c>
      <x:c r="J246" s="9" t="str">
        <x:v>Material formulation and application-relevant FDM settings are sufficiently controlled and reported.</x:v>
      </x:c>
      <x:c r="K246" s="9" t="str">
        <x:v>PDF pp. 1–8; Figs. 2, 6–11; Table 1; ESI Table S1 and Fig. S5 cited</x:v>
      </x:c>
    </x:row>
    <x:row r="247">
      <x:c r="A247" s="9" t="str">
        <x:v>Risk</x:v>
      </x:c>
      <x:c r="B247" s="9" t="n">
        <x:v>76</x:v>
      </x:c>
      <x:c r="C247" s="9" t="str">
        <x:v>S091</x:v>
      </x:c>
      <x:c r="D247" s="9" t="str">
        <x:v>Kennedy et al. (2017)</x:v>
      </x:c>
      <x:c r="E247" s="9" t="str">
        <x:v>D3</x:v>
      </x:c>
      <x:c r="F247" s="9" t="str">
        <x:v>Low concern</x:v>
      </x:c>
      <x:c r="G247" s="9" t="str">
        <x:v>High concern</x:v>
      </x:c>
      <x:c r="H247" s="9" t="str">
        <x:v>Low concern</x:v>
      </x:c>
      <x:c r="I247" s="9" t="str">
        <x:v>Adjudicated to Reviewer 1</x:v>
      </x:c>
      <x:c r="J247" s="9" t="str">
        <x:v>A stated vapour chamber and voltage-divider acquisition circuit link exposure to resistance response.</x:v>
      </x:c>
      <x:c r="K247" s="9" t="str">
        <x:v>PDF pp. 1–8; Figs. 2, 6–11; Table 1; ESI Table S1 and Fig. S5 cited</x:v>
      </x:c>
    </x:row>
    <x:row r="248">
      <x:c r="A248" s="9" t="str">
        <x:v>Risk</x:v>
      </x:c>
      <x:c r="B248" s="9" t="n">
        <x:v>76</x:v>
      </x:c>
      <x:c r="C248" s="9" t="str">
        <x:v>S091</x:v>
      </x:c>
      <x:c r="D248" s="9" t="str">
        <x:v>Kennedy et al. (2017)</x:v>
      </x:c>
      <x:c r="E248" s="9" t="str">
        <x:v>D6</x:v>
      </x:c>
      <x:c r="F248" s="9" t="str">
        <x:v>Some concern</x:v>
      </x:c>
      <x:c r="G248" s="9" t="str">
        <x:v>High concern</x:v>
      </x:c>
      <x:c r="H248" s="9" t="str">
        <x:v>Some concern</x:v>
      </x:c>
      <x:c r="I248" s="9" t="str">
        <x:v>Adjudicated to Reviewer 1</x:v>
      </x:c>
      <x:c r="J248" s="9" t="str">
        <x:v>Between-device dispersion is available for baseline resistance, but not for VOC response or retention.</x:v>
      </x:c>
      <x:c r="K248" s="9" t="str">
        <x:v>PDF pp. 1–8; Figs. 2, 6–11; Table 1; ESI Table S1 and Fig. S5 cited</x:v>
      </x:c>
    </x:row>
    <x:row r="249">
      <x:c r="A249" s="9"/>
      <x:c r="B249" s="9"/>
      <x:c r="C249" s="9"/>
      <x:c r="D249" s="9"/>
      <x:c r="E249" s="9"/>
      <x:c r="F249" s="9"/>
      <x:c r="G249" s="9"/>
      <x:c r="H249" s="9"/>
      <x:c r="I249" s="9"/>
      <x:c r="J249" s="9"/>
      <x:c r="K249" s="9"/>
    </x:row>
    <x:row r="250">
      <x:c r="A250" s="9"/>
      <x:c r="B250" s="9"/>
      <x:c r="C250" s="9"/>
      <x:c r="D250" s="9"/>
      <x:c r="E250" s="9"/>
      <x:c r="F250" s="9"/>
      <x:c r="G250" s="9"/>
      <x:c r="H250" s="9"/>
      <x:c r="I250" s="9"/>
      <x:c r="J250" s="9"/>
      <x:c r="K250" s="9"/>
    </x:row>
    <x:row r="251">
      <x:c r="A251" s="9"/>
      <x:c r="B251" s="9"/>
      <x:c r="C251" s="9"/>
      <x:c r="D251" s="9"/>
      <x:c r="E251" s="9"/>
      <x:c r="F251" s="9"/>
      <x:c r="G251" s="9"/>
      <x:c r="H251" s="9"/>
      <x:c r="I251" s="9"/>
      <x:c r="J251" s="9"/>
      <x:c r="K251" s="9"/>
    </x:row>
    <x:row r="252">
      <x:c r="A252" s="9"/>
      <x:c r="B252" s="9"/>
      <x:c r="C252" s="9"/>
      <x:c r="D252" s="9"/>
      <x:c r="E252" s="9"/>
      <x:c r="F252" s="9"/>
      <x:c r="G252" s="9"/>
      <x:c r="H252" s="9"/>
      <x:c r="I252" s="9"/>
      <x:c r="J252" s="9"/>
      <x:c r="K252" s="9"/>
    </x:row>
    <x:row r="253">
      <x:c r="A253" s="9"/>
      <x:c r="B253" s="9"/>
      <x:c r="C253" s="9"/>
      <x:c r="D253" s="9"/>
      <x:c r="E253" s="9"/>
      <x:c r="F253" s="9"/>
      <x:c r="G253" s="9"/>
      <x:c r="H253" s="9"/>
      <x:c r="I253" s="9"/>
      <x:c r="J253" s="9"/>
      <x:c r="K253" s="9"/>
    </x:row>
    <x:row r="254">
      <x:c r="A254" s="9"/>
      <x:c r="B254" s="9"/>
      <x:c r="C254" s="9"/>
      <x:c r="D254" s="9"/>
      <x:c r="E254" s="9"/>
      <x:c r="F254" s="9"/>
      <x:c r="G254" s="9"/>
      <x:c r="H254" s="9"/>
      <x:c r="I254" s="9"/>
      <x:c r="J254" s="9"/>
      <x:c r="K254" s="9"/>
    </x:row>
    <x:row r="255">
      <x:c r="A255" s="9"/>
      <x:c r="B255" s="9"/>
      <x:c r="C255" s="9"/>
      <x:c r="D255" s="9"/>
      <x:c r="E255" s="9"/>
      <x:c r="F255" s="9"/>
      <x:c r="G255" s="9"/>
      <x:c r="H255" s="9"/>
      <x:c r="I255" s="9"/>
      <x:c r="J255" s="9"/>
      <x:c r="K255" s="9"/>
    </x:row>
    <x:row r="256">
      <x:c r="A256" s="9"/>
      <x:c r="B256" s="9"/>
      <x:c r="C256" s="9"/>
      <x:c r="D256" s="9"/>
      <x:c r="E256" s="9"/>
      <x:c r="F256" s="9"/>
      <x:c r="G256" s="9"/>
      <x:c r="H256" s="9"/>
      <x:c r="I256" s="9"/>
      <x:c r="J256" s="9"/>
      <x:c r="K256" s="9"/>
    </x:row>
    <x:row r="257">
      <x:c r="A257" s="9"/>
      <x:c r="B257" s="9"/>
      <x:c r="C257" s="9"/>
      <x:c r="D257" s="9"/>
      <x:c r="E257" s="9"/>
      <x:c r="F257" s="9"/>
      <x:c r="G257" s="9"/>
      <x:c r="H257" s="9"/>
      <x:c r="I257" s="9"/>
      <x:c r="J257" s="9"/>
      <x:c r="K257" s="9"/>
    </x:row>
    <x:row r="258">
      <x:c r="A258" s="9"/>
      <x:c r="B258" s="9"/>
      <x:c r="C258" s="9"/>
      <x:c r="D258" s="9"/>
      <x:c r="E258" s="9"/>
      <x:c r="F258" s="9"/>
      <x:c r="G258" s="9"/>
      <x:c r="H258" s="9"/>
      <x:c r="I258" s="9"/>
      <x:c r="J258" s="9"/>
      <x:c r="K258" s="9"/>
    </x:row>
    <x:row r="259">
      <x:c r="A259" s="9"/>
      <x:c r="B259" s="9"/>
      <x:c r="C259" s="9"/>
      <x:c r="D259" s="9"/>
      <x:c r="E259" s="9"/>
      <x:c r="F259" s="9"/>
      <x:c r="G259" s="9"/>
      <x:c r="H259" s="9"/>
      <x:c r="I259" s="9"/>
      <x:c r="J259" s="9"/>
      <x:c r="K259" s="9"/>
    </x:row>
    <x:row r="260">
      <x:c r="A260" s="9"/>
      <x:c r="B260" s="9"/>
      <x:c r="C260" s="9"/>
      <x:c r="D260" s="9"/>
      <x:c r="E260" s="9"/>
      <x:c r="F260" s="9"/>
      <x:c r="G260" s="9"/>
      <x:c r="H260" s="9"/>
      <x:c r="I260" s="9"/>
      <x:c r="J260" s="9"/>
      <x:c r="K260" s="9"/>
    </x:row>
    <x:row r="261">
      <x:c r="A261" s="9"/>
      <x:c r="B261" s="9"/>
      <x:c r="C261" s="9"/>
      <x:c r="D261" s="9"/>
      <x:c r="E261" s="9"/>
      <x:c r="F261" s="9"/>
      <x:c r="G261" s="9"/>
      <x:c r="H261" s="9"/>
      <x:c r="I261" s="9"/>
      <x:c r="J261" s="9"/>
      <x:c r="K261" s="9"/>
    </x:row>
    <x:row r="262">
      <x:c r="A262" s="9"/>
      <x:c r="B262" s="9"/>
      <x:c r="C262" s="9"/>
      <x:c r="D262" s="9"/>
      <x:c r="E262" s="9"/>
      <x:c r="F262" s="9"/>
      <x:c r="G262" s="9"/>
      <x:c r="H262" s="9"/>
      <x:c r="I262" s="9"/>
      <x:c r="J262" s="9"/>
      <x:c r="K262" s="9"/>
    </x:row>
    <x:row r="263">
      <x:c r="A263" s="9"/>
      <x:c r="B263" s="9"/>
      <x:c r="C263" s="9"/>
      <x:c r="D263" s="9"/>
      <x:c r="E263" s="9"/>
      <x:c r="F263" s="9"/>
      <x:c r="G263" s="9"/>
      <x:c r="H263" s="9"/>
      <x:c r="I263" s="9"/>
      <x:c r="J263" s="9"/>
      <x:c r="K263" s="9"/>
    </x:row>
    <x:row r="264">
      <x:c r="A264" s="9"/>
      <x:c r="B264" s="9"/>
      <x:c r="C264" s="9"/>
      <x:c r="D264" s="9"/>
      <x:c r="E264" s="9"/>
      <x:c r="F264" s="9"/>
      <x:c r="G264" s="9"/>
      <x:c r="H264" s="9"/>
      <x:c r="I264" s="9"/>
      <x:c r="J264" s="9"/>
      <x:c r="K264" s="9"/>
    </x:row>
    <x:row r="265">
      <x:c r="A265" s="9"/>
      <x:c r="B265" s="9"/>
      <x:c r="C265" s="9"/>
      <x:c r="D265" s="9"/>
      <x:c r="E265" s="9"/>
      <x:c r="F265" s="9"/>
      <x:c r="G265" s="9"/>
      <x:c r="H265" s="9"/>
      <x:c r="I265" s="9"/>
      <x:c r="J265" s="9"/>
      <x:c r="K265" s="9"/>
    </x:row>
    <x:row r="266">
      <x:c r="A266" s="9"/>
      <x:c r="B266" s="9"/>
      <x:c r="C266" s="9"/>
      <x:c r="D266" s="9"/>
      <x:c r="E266" s="9"/>
      <x:c r="F266" s="9"/>
      <x:c r="G266" s="9"/>
      <x:c r="H266" s="9"/>
      <x:c r="I266" s="9"/>
      <x:c r="J266" s="9"/>
      <x:c r="K266" s="9"/>
    </x:row>
    <x:row r="267">
      <x:c r="A267" s="9"/>
      <x:c r="B267" s="9"/>
      <x:c r="C267" s="9"/>
      <x:c r="D267" s="9"/>
      <x:c r="E267" s="9"/>
      <x:c r="F267" s="9"/>
      <x:c r="G267" s="9"/>
      <x:c r="H267" s="9"/>
      <x:c r="I267" s="9"/>
      <x:c r="J267" s="9"/>
      <x:c r="K267" s="9"/>
    </x:row>
    <x:row r="268">
      <x:c r="A268" s="9"/>
      <x:c r="B268" s="9"/>
      <x:c r="C268" s="9"/>
      <x:c r="D268" s="9"/>
      <x:c r="E268" s="9"/>
      <x:c r="F268" s="9"/>
      <x:c r="G268" s="9"/>
      <x:c r="H268" s="9"/>
      <x:c r="I268" s="9"/>
      <x:c r="J268" s="9"/>
      <x:c r="K268" s="9"/>
    </x:row>
    <x:row r="269">
      <x:c r="A269" s="9"/>
      <x:c r="B269" s="9"/>
      <x:c r="C269" s="9"/>
      <x:c r="D269" s="9"/>
      <x:c r="E269" s="9"/>
      <x:c r="F269" s="9"/>
      <x:c r="G269" s="9"/>
      <x:c r="H269" s="9"/>
      <x:c r="I269" s="9"/>
      <x:c r="J269" s="9"/>
      <x:c r="K269" s="9"/>
    </x:row>
    <x:row r="270">
      <x:c r="A270" s="9"/>
      <x:c r="B270" s="9"/>
      <x:c r="C270" s="9"/>
      <x:c r="D270" s="9"/>
      <x:c r="E270" s="9"/>
      <x:c r="F270" s="9"/>
      <x:c r="G270" s="9"/>
      <x:c r="H270" s="9"/>
      <x:c r="I270" s="9"/>
      <x:c r="J270" s="9"/>
      <x:c r="K270" s="9"/>
    </x:row>
    <x:row r="271">
      <x:c r="A271" s="9"/>
      <x:c r="B271" s="9"/>
      <x:c r="C271" s="9"/>
      <x:c r="D271" s="9"/>
      <x:c r="E271" s="9"/>
      <x:c r="F271" s="9"/>
      <x:c r="G271" s="9"/>
      <x:c r="H271" s="9"/>
      <x:c r="I271" s="9"/>
      <x:c r="J271" s="9"/>
      <x:c r="K271" s="9"/>
    </x:row>
    <x:row r="272">
      <x:c r="A272" s="9"/>
      <x:c r="B272" s="9"/>
      <x:c r="C272" s="9"/>
      <x:c r="D272" s="9"/>
      <x:c r="E272" s="9"/>
      <x:c r="F272" s="9"/>
      <x:c r="G272" s="9"/>
      <x:c r="H272" s="9"/>
      <x:c r="I272" s="9"/>
      <x:c r="J272" s="9"/>
      <x:c r="K272" s="9"/>
    </x:row>
    <x:row r="273">
      <x:c r="A273" s="9"/>
      <x:c r="B273" s="9"/>
      <x:c r="C273" s="9"/>
      <x:c r="D273" s="9"/>
      <x:c r="E273" s="9"/>
      <x:c r="F273" s="9"/>
      <x:c r="G273" s="9"/>
      <x:c r="H273" s="9"/>
      <x:c r="I273" s="9"/>
      <x:c r="J273" s="9"/>
      <x:c r="K273" s="9"/>
    </x:row>
    <x:row r="274">
      <x:c r="A274" s="9"/>
      <x:c r="B274" s="9"/>
      <x:c r="C274" s="9"/>
      <x:c r="D274" s="9"/>
      <x:c r="E274" s="9"/>
      <x:c r="F274" s="9"/>
      <x:c r="G274" s="9"/>
      <x:c r="H274" s="9"/>
      <x:c r="I274" s="9"/>
      <x:c r="J274" s="9"/>
      <x:c r="K274" s="9"/>
    </x:row>
    <x:row r="275">
      <x:c r="A275" s="9"/>
      <x:c r="B275" s="9"/>
      <x:c r="C275" s="9"/>
      <x:c r="D275" s="9"/>
      <x:c r="E275" s="9"/>
      <x:c r="F275" s="9"/>
      <x:c r="G275" s="9"/>
      <x:c r="H275" s="9"/>
      <x:c r="I275" s="9"/>
      <x:c r="J275" s="9"/>
      <x:c r="K275" s="9"/>
    </x:row>
    <x:row r="276">
      <x:c r="A276" s="9"/>
      <x:c r="B276" s="9"/>
      <x:c r="C276" s="9"/>
      <x:c r="D276" s="9"/>
      <x:c r="E276" s="9"/>
      <x:c r="F276" s="9"/>
      <x:c r="G276" s="9"/>
      <x:c r="H276" s="9"/>
      <x:c r="I276" s="9"/>
      <x:c r="J276" s="9"/>
      <x:c r="K276" s="9"/>
    </x:row>
    <x:row r="277">
      <x:c r="A277" s="9"/>
      <x:c r="B277" s="9"/>
      <x:c r="C277" s="9"/>
      <x:c r="D277" s="9"/>
      <x:c r="E277" s="9"/>
      <x:c r="F277" s="9"/>
      <x:c r="G277" s="9"/>
      <x:c r="H277" s="9"/>
      <x:c r="I277" s="9"/>
      <x:c r="J277" s="9"/>
      <x:c r="K277" s="9"/>
    </x:row>
    <x:row r="278">
      <x:c r="A278" s="9"/>
      <x:c r="B278" s="9"/>
      <x:c r="C278" s="9"/>
      <x:c r="D278" s="9"/>
      <x:c r="E278" s="9"/>
      <x:c r="F278" s="9"/>
      <x:c r="G278" s="9"/>
      <x:c r="H278" s="9"/>
      <x:c r="I278" s="9"/>
      <x:c r="J278" s="9"/>
      <x:c r="K278" s="9"/>
    </x:row>
    <x:row r="279">
      <x:c r="A279" s="9"/>
      <x:c r="B279" s="9"/>
      <x:c r="C279" s="9"/>
      <x:c r="D279" s="9"/>
      <x:c r="E279" s="9"/>
      <x:c r="F279" s="9"/>
      <x:c r="G279" s="9"/>
      <x:c r="H279" s="9"/>
      <x:c r="I279" s="9"/>
      <x:c r="J279" s="9"/>
      <x:c r="K279" s="9"/>
    </x:row>
    <x:row r="280">
      <x:c r="A280" s="9"/>
      <x:c r="B280" s="9"/>
      <x:c r="C280" s="9"/>
      <x:c r="D280" s="9"/>
      <x:c r="E280" s="9"/>
      <x:c r="F280" s="9"/>
      <x:c r="G280" s="9"/>
      <x:c r="H280" s="9"/>
      <x:c r="I280" s="9"/>
      <x:c r="J280" s="9"/>
      <x:c r="K280" s="9"/>
    </x:row>
    <x:row r="281">
      <x:c r="A281" s="9"/>
      <x:c r="B281" s="9"/>
      <x:c r="C281" s="9"/>
      <x:c r="D281" s="9"/>
      <x:c r="E281" s="9"/>
      <x:c r="F281" s="9"/>
      <x:c r="G281" s="9"/>
      <x:c r="H281" s="9"/>
      <x:c r="I281" s="9"/>
      <x:c r="J281" s="9"/>
      <x:c r="K281" s="9"/>
    </x:row>
    <x:row r="282">
      <x:c r="A282" s="9"/>
      <x:c r="B282" s="9"/>
      <x:c r="C282" s="9"/>
      <x:c r="D282" s="9"/>
      <x:c r="E282" s="9"/>
      <x:c r="F282" s="9"/>
      <x:c r="G282" s="9"/>
      <x:c r="H282" s="9"/>
      <x:c r="I282" s="9"/>
      <x:c r="J282" s="9"/>
      <x:c r="K282" s="9"/>
    </x:row>
    <x:row r="283">
      <x:c r="A283" s="9"/>
      <x:c r="B283" s="9"/>
      <x:c r="C283" s="9"/>
      <x:c r="D283" s="9"/>
      <x:c r="E283" s="9"/>
      <x:c r="F283" s="9"/>
      <x:c r="G283" s="9"/>
      <x:c r="H283" s="9"/>
      <x:c r="I283" s="9"/>
      <x:c r="J283" s="9"/>
      <x:c r="K283" s="9"/>
    </x:row>
    <x:row r="284">
      <x:c r="A284" s="9"/>
      <x:c r="B284" s="9"/>
      <x:c r="C284" s="9"/>
      <x:c r="D284" s="9"/>
      <x:c r="E284" s="9"/>
      <x:c r="F284" s="9"/>
      <x:c r="G284" s="9"/>
      <x:c r="H284" s="9"/>
      <x:c r="I284" s="9"/>
      <x:c r="J284" s="9"/>
      <x:c r="K284" s="9"/>
    </x:row>
    <x:row r="285">
      <x:c r="A285" s="9"/>
      <x:c r="B285" s="9"/>
      <x:c r="C285" s="9"/>
      <x:c r="D285" s="9"/>
      <x:c r="E285" s="9"/>
      <x:c r="F285" s="9"/>
      <x:c r="G285" s="9"/>
      <x:c r="H285" s="9"/>
      <x:c r="I285" s="9"/>
      <x:c r="J285" s="9"/>
      <x:c r="K285" s="9"/>
    </x:row>
    <x:row r="286">
      <x:c r="A286" s="9"/>
      <x:c r="B286" s="9"/>
      <x:c r="C286" s="9"/>
      <x:c r="D286" s="9"/>
      <x:c r="E286" s="9"/>
      <x:c r="F286" s="9"/>
      <x:c r="G286" s="9"/>
      <x:c r="H286" s="9"/>
      <x:c r="I286" s="9"/>
      <x:c r="J286" s="9"/>
      <x:c r="K286" s="9"/>
    </x:row>
    <x:row r="287">
      <x:c r="A287" s="9"/>
      <x:c r="B287" s="9"/>
      <x:c r="C287" s="9"/>
      <x:c r="D287" s="9"/>
      <x:c r="E287" s="9"/>
      <x:c r="F287" s="9"/>
      <x:c r="G287" s="9"/>
      <x:c r="H287" s="9"/>
      <x:c r="I287" s="9"/>
      <x:c r="J287" s="9"/>
      <x:c r="K287" s="9"/>
    </x:row>
    <x:row r="288">
      <x:c r="A288" s="9"/>
      <x:c r="B288" s="9"/>
      <x:c r="C288" s="9"/>
      <x:c r="D288" s="9"/>
      <x:c r="E288" s="9"/>
      <x:c r="F288" s="9"/>
      <x:c r="G288" s="9"/>
      <x:c r="H288" s="9"/>
      <x:c r="I288" s="9"/>
      <x:c r="J288" s="9"/>
      <x:c r="K288" s="9"/>
    </x:row>
    <x:row r="289">
      <x:c r="A289" s="9"/>
      <x:c r="B289" s="9"/>
      <x:c r="C289" s="9"/>
      <x:c r="D289" s="9"/>
      <x:c r="E289" s="9"/>
      <x:c r="F289" s="9"/>
      <x:c r="G289" s="9"/>
      <x:c r="H289" s="9"/>
      <x:c r="I289" s="9"/>
      <x:c r="J289" s="9"/>
      <x:c r="K289" s="9"/>
    </x:row>
    <x:row r="290">
      <x:c r="A290" s="9"/>
      <x:c r="B290" s="9"/>
      <x:c r="C290" s="9"/>
      <x:c r="D290" s="9"/>
      <x:c r="E290" s="9"/>
      <x:c r="F290" s="9"/>
      <x:c r="G290" s="9"/>
      <x:c r="H290" s="9"/>
      <x:c r="I290" s="9"/>
      <x:c r="J290" s="9"/>
      <x:c r="K290" s="9"/>
    </x:row>
    <x:row r="291">
      <x:c r="A291" s="9"/>
      <x:c r="B291" s="9"/>
      <x:c r="C291" s="9"/>
      <x:c r="D291" s="9"/>
      <x:c r="E291" s="9"/>
      <x:c r="F291" s="9"/>
      <x:c r="G291" s="9"/>
      <x:c r="H291" s="9"/>
      <x:c r="I291" s="9"/>
      <x:c r="J291" s="9"/>
      <x:c r="K291" s="9"/>
    </x:row>
    <x:row r="292">
      <x:c r="A292" s="9"/>
      <x:c r="B292" s="9"/>
      <x:c r="C292" s="9"/>
      <x:c r="D292" s="9"/>
      <x:c r="E292" s="9"/>
      <x:c r="F292" s="9"/>
      <x:c r="G292" s="9"/>
      <x:c r="H292" s="9"/>
      <x:c r="I292" s="9"/>
      <x:c r="J292" s="9"/>
      <x:c r="K292" s="9"/>
    </x:row>
    <x:row r="293">
      <x:c r="A293" s="9"/>
      <x:c r="B293" s="9"/>
      <x:c r="C293" s="9"/>
      <x:c r="D293" s="9"/>
      <x:c r="E293" s="9"/>
      <x:c r="F293" s="9"/>
      <x:c r="G293" s="9"/>
      <x:c r="H293" s="9"/>
      <x:c r="I293" s="9"/>
      <x:c r="J293" s="9"/>
      <x:c r="K293" s="9"/>
    </x:row>
    <x:row r="294">
      <x:c r="A294" s="9"/>
      <x:c r="B294" s="9"/>
      <x:c r="C294" s="9"/>
      <x:c r="D294" s="9"/>
      <x:c r="E294" s="9"/>
      <x:c r="F294" s="9"/>
      <x:c r="G294" s="9"/>
      <x:c r="H294" s="9"/>
      <x:c r="I294" s="9"/>
      <x:c r="J294" s="9"/>
      <x:c r="K294" s="9"/>
    </x:row>
    <x:row r="295">
      <x:c r="A295" s="9"/>
      <x:c r="B295" s="9"/>
      <x:c r="C295" s="9"/>
      <x:c r="D295" s="9"/>
      <x:c r="E295" s="9"/>
      <x:c r="F295" s="9"/>
      <x:c r="G295" s="9"/>
      <x:c r="H295" s="9"/>
      <x:c r="I295" s="9"/>
      <x:c r="J295" s="9"/>
      <x:c r="K295" s="9"/>
    </x:row>
    <x:row r="296">
      <x:c r="A296" s="9"/>
      <x:c r="B296" s="9"/>
      <x:c r="C296" s="9"/>
      <x:c r="D296" s="9"/>
      <x:c r="E296" s="9"/>
      <x:c r="F296" s="9"/>
      <x:c r="G296" s="9"/>
      <x:c r="H296" s="9"/>
      <x:c r="I296" s="9"/>
      <x:c r="J296" s="9"/>
      <x:c r="K296" s="9"/>
    </x:row>
    <x:row r="297">
      <x:c r="A297" s="9"/>
      <x:c r="B297" s="9"/>
      <x:c r="C297" s="9"/>
      <x:c r="D297" s="9"/>
      <x:c r="E297" s="9"/>
      <x:c r="F297" s="9"/>
      <x:c r="G297" s="9"/>
      <x:c r="H297" s="9"/>
      <x:c r="I297" s="9"/>
      <x:c r="J297" s="9"/>
      <x:c r="K297" s="9"/>
    </x:row>
    <x:row r="298">
      <x:c r="A298" s="9"/>
      <x:c r="B298" s="9"/>
      <x:c r="C298" s="9"/>
      <x:c r="D298" s="9"/>
      <x:c r="E298" s="9"/>
      <x:c r="F298" s="9"/>
      <x:c r="G298" s="9"/>
      <x:c r="H298" s="9"/>
      <x:c r="I298" s="9"/>
      <x:c r="J298" s="9"/>
      <x:c r="K298" s="9"/>
    </x:row>
    <x:row r="299">
      <x:c r="A299" s="9"/>
      <x:c r="B299" s="9"/>
      <x:c r="C299" s="9"/>
      <x:c r="D299" s="9"/>
      <x:c r="E299" s="9"/>
      <x:c r="F299" s="9"/>
      <x:c r="G299" s="9"/>
      <x:c r="H299" s="9"/>
      <x:c r="I299" s="9"/>
      <x:c r="J299" s="9"/>
      <x:c r="K299" s="9"/>
    </x:row>
    <x:row r="300">
      <x:c r="A300" s="9"/>
      <x:c r="B300" s="9"/>
      <x:c r="C300" s="9"/>
      <x:c r="D300" s="9"/>
      <x:c r="E300" s="9"/>
      <x:c r="F300" s="9"/>
      <x:c r="G300" s="9"/>
      <x:c r="H300" s="9"/>
      <x:c r="I300" s="9"/>
      <x:c r="J300" s="9"/>
      <x:c r="K300" s="9"/>
    </x:row>
    <x:row r="301">
      <x:c r="A301" s="9"/>
      <x:c r="B301" s="9"/>
      <x:c r="C301" s="9"/>
      <x:c r="D301" s="9"/>
      <x:c r="E301" s="9"/>
      <x:c r="F301" s="9"/>
      <x:c r="G301" s="9"/>
      <x:c r="H301" s="9"/>
      <x:c r="I301" s="9"/>
      <x:c r="J301" s="9"/>
      <x:c r="K301" s="9"/>
    </x:row>
    <x:row r="302">
      <x:c r="A302" s="9"/>
      <x:c r="B302" s="9"/>
      <x:c r="C302" s="9"/>
      <x:c r="D302" s="9"/>
      <x:c r="E302" s="9"/>
      <x:c r="F302" s="9"/>
      <x:c r="G302" s="9"/>
      <x:c r="H302" s="9"/>
      <x:c r="I302" s="9"/>
      <x:c r="J302" s="9"/>
      <x:c r="K302" s="9"/>
    </x:row>
    <x:row r="303">
      <x:c r="A303" s="9"/>
      <x:c r="B303" s="9"/>
      <x:c r="C303" s="9"/>
      <x:c r="D303" s="9"/>
      <x:c r="E303" s="9"/>
      <x:c r="F303" s="9"/>
      <x:c r="G303" s="9"/>
      <x:c r="H303" s="9"/>
      <x:c r="I303" s="9"/>
      <x:c r="J303" s="9"/>
      <x:c r="K303" s="9"/>
    </x:row>
    <x:row r="304">
      <x:c r="A304" s="9"/>
      <x:c r="B304" s="9"/>
      <x:c r="C304" s="9"/>
      <x:c r="D304" s="9"/>
      <x:c r="E304" s="9"/>
      <x:c r="F304" s="9"/>
      <x:c r="G304" s="9"/>
      <x:c r="H304" s="9"/>
      <x:c r="I304" s="9"/>
      <x:c r="J304" s="9"/>
      <x:c r="K304" s="9"/>
    </x:row>
    <x:row r="305">
      <x:c r="A305" s="9"/>
      <x:c r="B305" s="9"/>
      <x:c r="C305" s="9"/>
      <x:c r="D305" s="9"/>
      <x:c r="E305" s="9"/>
      <x:c r="F305" s="9"/>
      <x:c r="G305" s="9"/>
      <x:c r="H305" s="9"/>
      <x:c r="I305" s="9"/>
      <x:c r="J305" s="9"/>
      <x:c r="K305" s="9"/>
    </x:row>
    <x:row r="306">
      <x:c r="A306" s="9"/>
      <x:c r="B306" s="9"/>
      <x:c r="C306" s="9"/>
      <x:c r="D306" s="9"/>
      <x:c r="E306" s="9"/>
      <x:c r="F306" s="9"/>
      <x:c r="G306" s="9"/>
      <x:c r="H306" s="9"/>
      <x:c r="I306" s="9"/>
      <x:c r="J306" s="9"/>
      <x:c r="K306" s="9"/>
    </x:row>
    <x:row r="307">
      <x:c r="A307" s="9"/>
      <x:c r="B307" s="9"/>
      <x:c r="C307" s="9"/>
      <x:c r="D307" s="9"/>
      <x:c r="E307" s="9"/>
      <x:c r="F307" s="9"/>
      <x:c r="G307" s="9"/>
      <x:c r="H307" s="9"/>
      <x:c r="I307" s="9"/>
      <x:c r="J307" s="9"/>
      <x:c r="K307" s="9"/>
    </x:row>
    <x:row r="308">
      <x:c r="A308" s="9"/>
      <x:c r="B308" s="9"/>
      <x:c r="C308" s="9"/>
      <x:c r="D308" s="9"/>
      <x:c r="E308" s="9"/>
      <x:c r="F308" s="9"/>
      <x:c r="G308" s="9"/>
      <x:c r="H308" s="9"/>
      <x:c r="I308" s="9"/>
      <x:c r="J308" s="9"/>
      <x:c r="K308" s="9"/>
    </x:row>
    <x:row r="309">
      <x:c r="A309" s="9"/>
      <x:c r="B309" s="9"/>
      <x:c r="C309" s="9"/>
      <x:c r="D309" s="9"/>
      <x:c r="E309" s="9"/>
      <x:c r="F309" s="9"/>
      <x:c r="G309" s="9"/>
      <x:c r="H309" s="9"/>
      <x:c r="I309" s="9"/>
      <x:c r="J309" s="9"/>
      <x:c r="K309" s="9"/>
    </x:row>
    <x:row r="310">
      <x:c r="A310" s="9"/>
      <x:c r="B310" s="9"/>
      <x:c r="C310" s="9"/>
      <x:c r="D310" s="9"/>
      <x:c r="E310" s="9"/>
      <x:c r="F310" s="9"/>
      <x:c r="G310" s="9"/>
      <x:c r="H310" s="9"/>
      <x:c r="I310" s="9"/>
      <x:c r="J310" s="9"/>
      <x:c r="K310" s="9"/>
    </x:row>
    <x:row r="311">
      <x:c r="A311" s="9"/>
      <x:c r="B311" s="9"/>
      <x:c r="C311" s="9"/>
      <x:c r="D311" s="9"/>
      <x:c r="E311" s="9"/>
      <x:c r="F311" s="9"/>
      <x:c r="G311" s="9"/>
      <x:c r="H311" s="9"/>
      <x:c r="I311" s="9"/>
      <x:c r="J311" s="9"/>
      <x:c r="K311" s="9"/>
    </x:row>
    <x:row r="312">
      <x:c r="A312" s="9"/>
      <x:c r="B312" s="9"/>
      <x:c r="C312" s="9"/>
      <x:c r="D312" s="9"/>
      <x:c r="E312" s="9"/>
      <x:c r="F312" s="9"/>
      <x:c r="G312" s="9"/>
      <x:c r="H312" s="9"/>
      <x:c r="I312" s="9"/>
      <x:c r="J312" s="9"/>
      <x:c r="K312" s="9"/>
    </x:row>
    <x:row r="313">
      <x:c r="A313" s="9"/>
      <x:c r="B313" s="9"/>
      <x:c r="C313" s="9"/>
      <x:c r="D313" s="9"/>
      <x:c r="E313" s="9"/>
      <x:c r="F313" s="9"/>
      <x:c r="G313" s="9"/>
      <x:c r="H313" s="9"/>
      <x:c r="I313" s="9"/>
      <x:c r="J313" s="9"/>
      <x:c r="K313" s="9"/>
    </x:row>
    <x:row r="314">
      <x:c r="A314" s="9"/>
      <x:c r="B314" s="9"/>
      <x:c r="C314" s="9"/>
      <x:c r="D314" s="9"/>
      <x:c r="E314" s="9"/>
      <x:c r="F314" s="9"/>
      <x:c r="G314" s="9"/>
      <x:c r="H314" s="9"/>
      <x:c r="I314" s="9"/>
      <x:c r="J314" s="9"/>
      <x:c r="K314" s="9"/>
    </x:row>
    <x:row r="315">
      <x:c r="A315" s="9"/>
      <x:c r="B315" s="9"/>
      <x:c r="C315" s="9"/>
      <x:c r="D315" s="9"/>
      <x:c r="E315" s="9"/>
      <x:c r="F315" s="9"/>
      <x:c r="G315" s="9"/>
      <x:c r="H315" s="9"/>
      <x:c r="I315" s="9"/>
      <x:c r="J315" s="9"/>
      <x:c r="K315" s="9"/>
    </x:row>
    <x:row r="316">
      <x:c r="A316" s="9"/>
      <x:c r="B316" s="9"/>
      <x:c r="C316" s="9"/>
      <x:c r="D316" s="9"/>
      <x:c r="E316" s="9"/>
      <x:c r="F316" s="9"/>
      <x:c r="G316" s="9"/>
      <x:c r="H316" s="9"/>
      <x:c r="I316" s="9"/>
      <x:c r="J316" s="9"/>
      <x:c r="K316" s="9"/>
    </x:row>
    <x:row r="317">
      <x:c r="A317" s="9"/>
      <x:c r="B317" s="9"/>
      <x:c r="C317" s="9"/>
      <x:c r="D317" s="9"/>
      <x:c r="E317" s="9"/>
      <x:c r="F317" s="9"/>
      <x:c r="G317" s="9"/>
      <x:c r="H317" s="9"/>
      <x:c r="I317" s="9"/>
      <x:c r="J317" s="9"/>
      <x:c r="K317" s="9"/>
    </x:row>
    <x:row r="318">
      <x:c r="A318" s="9"/>
      <x:c r="B318" s="9"/>
      <x:c r="C318" s="9"/>
      <x:c r="D318" s="9"/>
      <x:c r="E318" s="9"/>
      <x:c r="F318" s="9"/>
      <x:c r="G318" s="9"/>
      <x:c r="H318" s="9"/>
      <x:c r="I318" s="9"/>
      <x:c r="J318" s="9"/>
      <x:c r="K318" s="9"/>
    </x:row>
    <x:row r="319">
      <x:c r="A319" s="9"/>
      <x:c r="B319" s="9"/>
      <x:c r="C319" s="9"/>
      <x:c r="D319" s="9"/>
      <x:c r="E319" s="9"/>
      <x:c r="F319" s="9"/>
      <x:c r="G319" s="9"/>
      <x:c r="H319" s="9"/>
      <x:c r="I319" s="9"/>
      <x:c r="J319" s="9"/>
      <x:c r="K319" s="9"/>
    </x:row>
    <x:row r="320">
      <x:c r="A320" s="9"/>
      <x:c r="B320" s="9"/>
      <x:c r="C320" s="9"/>
      <x:c r="D320" s="9"/>
      <x:c r="E320" s="9"/>
      <x:c r="F320" s="9"/>
      <x:c r="G320" s="9"/>
      <x:c r="H320" s="9"/>
      <x:c r="I320" s="9"/>
      <x:c r="J320" s="9"/>
      <x:c r="K320" s="9"/>
    </x:row>
    <x:row r="321">
      <x:c r="A321" s="9"/>
      <x:c r="B321" s="9"/>
      <x:c r="C321" s="9"/>
      <x:c r="D321" s="9"/>
      <x:c r="E321" s="9"/>
      <x:c r="F321" s="9"/>
      <x:c r="G321" s="9"/>
      <x:c r="H321" s="9"/>
      <x:c r="I321" s="9"/>
      <x:c r="J321" s="9"/>
      <x:c r="K321" s="9"/>
    </x:row>
    <x:row r="322">
      <x:c r="A322" s="9"/>
      <x:c r="B322" s="9"/>
      <x:c r="C322" s="9"/>
      <x:c r="D322" s="9"/>
      <x:c r="E322" s="9"/>
      <x:c r="F322" s="9"/>
      <x:c r="G322" s="9"/>
      <x:c r="H322" s="9"/>
      <x:c r="I322" s="9"/>
      <x:c r="J322" s="9"/>
      <x:c r="K322" s="9"/>
    </x:row>
    <x:row r="323">
      <x:c r="A323" s="9"/>
      <x:c r="B323" s="9"/>
      <x:c r="C323" s="9"/>
      <x:c r="D323" s="9"/>
      <x:c r="E323" s="9"/>
      <x:c r="F323" s="9"/>
      <x:c r="G323" s="9"/>
      <x:c r="H323" s="9"/>
      <x:c r="I323" s="9"/>
      <x:c r="J323" s="9"/>
      <x:c r="K323" s="9"/>
    </x:row>
    <x:row r="324">
      <x:c r="A324" s="9"/>
      <x:c r="B324" s="9"/>
      <x:c r="C324" s="9"/>
      <x:c r="D324" s="9"/>
      <x:c r="E324" s="9"/>
      <x:c r="F324" s="9"/>
      <x:c r="G324" s="9"/>
      <x:c r="H324" s="9"/>
      <x:c r="I324" s="9"/>
      <x:c r="J324" s="9"/>
      <x:c r="K324" s="9"/>
    </x:row>
    <x:row r="325">
      <x:c r="A325" s="9"/>
      <x:c r="B325" s="9"/>
      <x:c r="C325" s="9"/>
      <x:c r="D325" s="9"/>
      <x:c r="E325" s="9"/>
      <x:c r="F325" s="9"/>
      <x:c r="G325" s="9"/>
      <x:c r="H325" s="9"/>
      <x:c r="I325" s="9"/>
      <x:c r="J325" s="9"/>
      <x:c r="K325" s="9"/>
    </x:row>
    <x:row r="326">
      <x:c r="A326" s="9"/>
      <x:c r="B326" s="9"/>
      <x:c r="C326" s="9"/>
      <x:c r="D326" s="9"/>
      <x:c r="E326" s="9"/>
      <x:c r="F326" s="9"/>
      <x:c r="G326" s="9"/>
      <x:c r="H326" s="9"/>
      <x:c r="I326" s="9"/>
      <x:c r="J326" s="9"/>
      <x:c r="K326" s="9"/>
    </x:row>
    <x:row r="327">
      <x:c r="A327" s="9"/>
      <x:c r="B327" s="9"/>
      <x:c r="C327" s="9"/>
      <x:c r="D327" s="9"/>
      <x:c r="E327" s="9"/>
      <x:c r="F327" s="9"/>
      <x:c r="G327" s="9"/>
      <x:c r="H327" s="9"/>
      <x:c r="I327" s="9"/>
      <x:c r="J327" s="9"/>
      <x:c r="K327" s="9"/>
    </x:row>
    <x:row r="328">
      <x:c r="A328" s="9"/>
      <x:c r="B328" s="9"/>
      <x:c r="C328" s="9"/>
      <x:c r="D328" s="9"/>
      <x:c r="E328" s="9"/>
      <x:c r="F328" s="9"/>
      <x:c r="G328" s="9"/>
      <x:c r="H328" s="9"/>
      <x:c r="I328" s="9"/>
      <x:c r="J328" s="9"/>
      <x:c r="K328" s="9"/>
    </x:row>
    <x:row r="329">
      <x:c r="A329" s="9"/>
      <x:c r="B329" s="9"/>
      <x:c r="C329" s="9"/>
      <x:c r="D329" s="9"/>
      <x:c r="E329" s="9"/>
      <x:c r="F329" s="9"/>
      <x:c r="G329" s="9"/>
      <x:c r="H329" s="9"/>
      <x:c r="I329" s="9"/>
      <x:c r="J329" s="9"/>
      <x:c r="K329" s="9"/>
    </x:row>
    <x:row r="330">
      <x:c r="A330" s="9"/>
      <x:c r="B330" s="9"/>
      <x:c r="C330" s="9"/>
      <x:c r="D330" s="9"/>
      <x:c r="E330" s="9"/>
      <x:c r="F330" s="9"/>
      <x:c r="G330" s="9"/>
      <x:c r="H330" s="9"/>
      <x:c r="I330" s="9"/>
      <x:c r="J330" s="9"/>
      <x:c r="K330" s="9"/>
    </x:row>
    <x:row r="331">
      <x:c r="A331" s="9"/>
      <x:c r="B331" s="9"/>
      <x:c r="C331" s="9"/>
      <x:c r="D331" s="9"/>
      <x:c r="E331" s="9"/>
      <x:c r="F331" s="9"/>
      <x:c r="G331" s="9"/>
      <x:c r="H331" s="9"/>
      <x:c r="I331" s="9"/>
      <x:c r="J331" s="9"/>
      <x:c r="K331" s="9"/>
    </x:row>
    <x:row r="332">
      <x:c r="A332" s="9"/>
      <x:c r="B332" s="9"/>
      <x:c r="C332" s="9"/>
      <x:c r="D332" s="9"/>
      <x:c r="E332" s="9"/>
      <x:c r="F332" s="9"/>
      <x:c r="G332" s="9"/>
      <x:c r="H332" s="9"/>
      <x:c r="I332" s="9"/>
      <x:c r="J332" s="9"/>
      <x:c r="K332" s="9"/>
    </x:row>
    <x:row r="333">
      <x:c r="A333" s="9"/>
      <x:c r="B333" s="9"/>
      <x:c r="C333" s="9"/>
      <x:c r="D333" s="9"/>
      <x:c r="E333" s="9"/>
      <x:c r="F333" s="9"/>
      <x:c r="G333" s="9"/>
      <x:c r="H333" s="9"/>
      <x:c r="I333" s="9"/>
      <x:c r="J333" s="9"/>
      <x:c r="K333" s="9"/>
    </x:row>
    <x:row r="334">
      <x:c r="A334" s="9"/>
      <x:c r="B334" s="9"/>
      <x:c r="C334" s="9"/>
      <x:c r="D334" s="9"/>
      <x:c r="E334" s="9"/>
      <x:c r="F334" s="9"/>
      <x:c r="G334" s="9"/>
      <x:c r="H334" s="9"/>
      <x:c r="I334" s="9"/>
      <x:c r="J334" s="9"/>
      <x:c r="K334" s="9"/>
    </x:row>
    <x:row r="335">
      <x:c r="A335" s="9"/>
      <x:c r="B335" s="9"/>
      <x:c r="C335" s="9"/>
      <x:c r="D335" s="9"/>
      <x:c r="E335" s="9"/>
      <x:c r="F335" s="9"/>
      <x:c r="G335" s="9"/>
      <x:c r="H335" s="9"/>
      <x:c r="I335" s="9"/>
      <x:c r="J335" s="9"/>
      <x:c r="K335" s="9"/>
    </x:row>
    <x:row r="336">
      <x:c r="A336" s="9"/>
      <x:c r="B336" s="9"/>
      <x:c r="C336" s="9"/>
      <x:c r="D336" s="9"/>
      <x:c r="E336" s="9"/>
      <x:c r="F336" s="9"/>
      <x:c r="G336" s="9"/>
      <x:c r="H336" s="9"/>
      <x:c r="I336" s="9"/>
      <x:c r="J336" s="9"/>
      <x:c r="K336" s="9"/>
    </x:row>
    <x:row r="337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</x:row>
    <x:row r="338">
      <x:c r="A338" t="str">
        <x:v>REB</x:v>
      </x:c>
      <x:c r="B338" t="n">
        <x:v>3</x:v>
      </x:c>
      <x:c r="C338" t="str">
        <x:v>S004</x:v>
      </x:c>
      <x:c r="D338" t="str">
        <x:v>Farid et al. (2025)</x:v>
      </x:c>
      <x:c r="E338" t="str">
        <x:v>L6</x:v>
      </x:c>
      <x:c r="F338" t="str">
        <x:v>1</x:v>
      </x:c>
      <x:c r="G338" t="str">
        <x:v>1</x:v>
      </x:c>
      <x:c r="H338" t="str">
        <x:v>0</x:v>
      </x:c>
      <x:c r="I338" t="str">
        <x:v>Consensus revised after L6 consistency audit</x:v>
      </x:c>
      <x:c r="J338" t="str">
        <x:v>Loading rate is a parameter of the intended tensile-strain input, not an exposure extrinsic to the measurand; no qualifying L6 condition was reported.</x:v>
      </x:c>
      <x:c r="K338" t="str">
        <x:v>PDF pp. 10-11; Fig. 6h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4" customHeight="1">
      <x:c r="A1" s="7" t="str">
        <x:v>Check</x:v>
      </x:c>
      <x:c r="B1" s="7" t="str">
        <x:v>Expected</x:v>
      </x:c>
      <x:c r="C1" s="7" t="str">
        <x:v>Observed</x:v>
      </x:c>
      <x:c r="D1" s="7" t="str">
        <x:v>Result</x:v>
      </x:c>
    </x:row>
    <x:row r="2">
      <x:c r="A2" s="8" t="str">
        <x:v>Studies</x:v>
      </x:c>
      <x:c r="B2" s="8" t="n">
        <x:v>76</x:v>
      </x:c>
      <x:c r="C2" s="8" t="n">
        <x:v>76</x:v>
      </x:c>
      <x:c r="D2" s="8" t="str">
        <x:v>OK</x:v>
      </x:c>
    </x:row>
    <x:row r="3">
      <x:c r="A3" s="9" t="str">
        <x:v>REB decisions</x:v>
      </x:c>
      <x:c r="B3" s="9" t="n">
        <x:v>608</x:v>
      </x:c>
      <x:c r="C3" s="9" t="n">
        <x:v>608</x:v>
      </x:c>
      <x:c r="D3" s="9" t="str">
        <x:v>OK</x:v>
      </x:c>
    </x:row>
    <x:row r="4">
      <x:c r="A4" s="9" t="str">
        <x:v>Final REB unresolved</x:v>
      </x:c>
      <x:c r="B4" s="9" t="n">
        <x:v>0</x:v>
      </x:c>
      <x:c r="C4" s="9" t="n">
        <x:v>0</x:v>
      </x:c>
      <x:c r="D4" s="9" t="str">
        <x:v>OK</x:v>
      </x:c>
    </x:row>
    <x:row r="5">
      <x:c r="A5" s="9" t="str">
        <x:v>Risk judgments</x:v>
      </x:c>
      <x:c r="B5" s="9" t="n">
        <x:v>608</x:v>
      </x:c>
      <x:c r="C5" s="9" t="n">
        <x:v>608</x:v>
      </x:c>
      <x:c r="D5" s="9" t="str">
        <x:v>OK</x:v>
      </x:c>
    </x:row>
    <x:row r="6">
      <x:c r="A6" s="9" t="str">
        <x:v>Final risk unresolved</x:v>
      </x:c>
      <x:c r="B6" s="9" t="n">
        <x:v>0</x:v>
      </x:c>
      <x:c r="C6" s="9" t="n">
        <x:v>0</x:v>
      </x:c>
      <x:c r="D6" s="9" t="str">
        <x:v>OK</x:v>
      </x:c>
    </x:row>
    <x:row r="7">
      <x:c r="A7" s="9" t="str">
        <x:v>REB prevalence total</x:v>
      </x:c>
      <x:c r="B7" s="9" t="n">
        <x:v>389</x:v>
      </x:c>
      <x:c r="C7" s="9" t="n">
        <x:v>389</x:v>
      </x:c>
      <x:c r="D7" s="9" t="str">
        <x:v>OK</x:v>
      </x:c>
    </x:row>
    <x:row r="8">
      <x:c r="A8" s="9" t="str">
        <x:v>Risk domain totals</x:v>
      </x:c>
      <x:c r="B8" s="9" t="n">
        <x:v>608</x:v>
      </x:c>
      <x:c r="C8" s="9" t="n">
        <x:v>608</x:v>
      </x:c>
      <x:c r="D8" s="9" t="str">
        <x:v>OK</x:v>
      </x:c>
    </x:row>
    <x:row r="9">
      <x:c r="A9" s="9" t="str">
        <x:v>REB comparable pairs</x:v>
      </x:c>
      <x:c r="B9" s="9" t="n">
        <x:v>606</x:v>
      </x:c>
      <x:c r="C9" s="9" t="n">
        <x:v>606</x:v>
      </x:c>
      <x:c r="D9" s="9" t="str">
        <x:v>OK</x:v>
      </x:c>
    </x:row>
    <x:row r="10">
      <x:c r="A10" s="9" t="str">
        <x:v>REB excluded ratings</x:v>
      </x:c>
      <x:c r="B10" s="9" t="n">
        <x:v>2</x:v>
      </x:c>
      <x:c r="C10" s="9" t="n">
        <x:v>2</x:v>
      </x:c>
      <x:c r="D10" s="9" t="str">
        <x:v>OK</x:v>
      </x:c>
    </x:row>
    <x:row r="11">
      <x:c r="A11" s="9" t="str">
        <x:v>REB agreements</x:v>
      </x:c>
      <x:c r="B11" s="9" t="n">
        <x:v>605</x:v>
      </x:c>
      <x:c r="C11" s="9" t="n">
        <x:v>605</x:v>
      </x:c>
      <x:c r="D11" s="9" t="str">
        <x:v>OK</x:v>
      </x:c>
    </x:row>
    <x:row r="12">
      <x:c r="A12" s="9" t="str">
        <x:v>Final-round REB pooled agreement</x:v>
      </x:c>
      <x:c r="B12" s="9" t="str">
        <x:v>99.8%</x:v>
      </x:c>
      <x:c r="C12" s="9" t="str">
        <x:v>99.8%</x:v>
      </x:c>
      <x:c r="D12" s="9" t="str">
        <x:v>OK</x:v>
      </x:c>
    </x:row>
    <x:row r="13">
      <x:c r="A13" s="9" t="str">
        <x:v>Final-round REB pooled kappa</x:v>
      </x:c>
      <x:c r="B13" s="9" t="n">
        <x:v>0.9963356673801836</x:v>
      </x:c>
      <x:c r="C13" s="9" t="n">
        <x:v>0.9963356673801836</x:v>
      </x:c>
      <x:c r="D13" s="9" t="str">
        <x:v>OK</x:v>
      </x:c>
    </x:row>
    <x:row r="14">
      <x:c r="A14" s="9" t="str">
        <x:v>REB comparison exceptions logged</x:v>
      </x:c>
      <x:c r="B14" s="9" t="n">
        <x:v>3</x:v>
      </x:c>
      <x:c r="C14" s="9" t="n">
        <x:v>3</x:v>
      </x:c>
      <x:c r="D14" s="9" t="str">
        <x:v>OK</x:v>
      </x:c>
    </x:row>
    <x:row r="15">
      <x:c r="A15" s="9" t="str">
        <x:v>Risk route: Adjudicated to Reviewer 1</x:v>
      </x:c>
      <x:c r="B15" s="9" t="str">
        <x:v>Recorded</x:v>
      </x:c>
      <x:c r="C15" s="9" t="n">
        <x:v>242</x:v>
      </x:c>
      <x:c r="D15" s="9" t="str">
        <x:v>OK</x:v>
      </x:c>
    </x:row>
    <x:row r="16">
      <x:c r="A16" s="10" t="str">
        <x:v>Risk route: Unclear resolved</x:v>
      </x:c>
      <x:c r="B16" s="10" t="str">
        <x:v>Recorded</x:v>
      </x:c>
      <x:c r="C16" s="10" t="n">
        <x:v>2</x:v>
      </x:c>
      <x:c r="D16" s="10" t="str">
        <x:v>OK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23" hidden="0" customWidth="1"/>
    <x:col min="4" max="4" width="10" hidden="0" customWidth="1"/>
    <x:col min="5" max="5" width="31" hidden="0" customWidth="1"/>
    <x:col min="6" max="6" width="16" hidden="0" customWidth="1"/>
    <x:col min="7" max="7" width="16" hidden="0" customWidth="1"/>
    <x:col min="8" max="8" width="16" hidden="0" customWidth="1"/>
    <x:col min="9" max="9" width="42" hidden="0" customWidth="1"/>
    <x:col min="10" max="10" width="64" hidden="0" customWidth="1"/>
    <x:col min="11" max="11" width="28" hidden="0" customWidth="1"/>
    <x:col min="13" max="13" width="35" hidden="0" customWidth="1"/>
    <x:col min="14" max="14" width="12" hidden="0" customWidth="1"/>
  </x:cols>
  <x:sheetData>
    <x:row r="1" ht="36" hidden="0" customHeight="1">
      <x:c r="A1" s="24" t="str">
        <x:v>Synthesis ID</x:v>
      </x:c>
      <x:c r="B1" s="24" t="str">
        <x:v>Study ID</x:v>
      </x:c>
      <x:c r="C1" s="24" t="str">
        <x:v>Citation</x:v>
      </x:c>
      <x:c r="D1" s="24" t="str">
        <x:v>L6 decision</x:v>
      </x:c>
      <x:c r="E1" s="24" t="str">
        <x:v>Evidence subtype</x:v>
      </x:c>
      <x:c r="F1" s="24" t="str">
        <x:v>In-exposure cross-sensitivity</x:v>
      </x:c>
      <x:c r="G1" s="24" t="str">
        <x:v>Post-exposure retention</x:v>
      </x:c>
      <x:c r="H1" s="24" t="str">
        <x:v>Defined reference/recovery reported</x:v>
      </x:c>
      <x:c r="I1" s="24" t="str">
        <x:v>Reference/recovery detail</x:v>
      </x:c>
      <x:c r="J1" s="24" t="str">
        <x:v>Evidence basis</x:v>
      </x:c>
      <x:c r="K1" s="24" t="str">
        <x:v>Locator</x:v>
      </x:c>
      <x:c r="L1" s="21"/>
      <x:c r="M1" s="23" t="str">
        <x:v>Audit summary</x:v>
      </x:c>
      <x:c r="N1" s="23" t="str">
        <x:v>Count</x:v>
      </x:c>
    </x:row>
    <x:row r="2" ht="24" hidden="0" customHeight="1">
      <x:c r="A2" s="21" t="n">
        <x:v>2</x:v>
      </x:c>
      <x:c r="B2" s="21" t="str">
        <x:v>S002</x:v>
      </x:c>
      <x:c r="C2" s="21" t="str">
        <x:v>Koukouviti et al. (2022)</x:v>
      </x:c>
      <x:c r="D2" s="21" t="n">
        <x:v>1</x:v>
      </x:c>
      <x:c r="E2" s="21" t="str">
        <x:v>In-exposure cross-sensitivity only</x:v>
      </x:c>
      <x:c r="F2" s="21" t="str">
        <x:v>Yes</x:v>
      </x:c>
      <x:c r="G2" s="21" t="str">
        <x:v>No</x:v>
      </x:c>
      <x:c r="H2" s="21" t="str">
        <x:v>NA</x:v>
      </x:c>
      <x:c r="I2" s="21" t="str">
        <x:v>No post-exposure retention endpoint was coded.</x:v>
      </x:c>
      <x:c r="J2" s="21" t="str">
        <x:v>In-exposure cross-sensitivity only: Artificial-sweat pH and interferents stated; recovery/response reported.</x:v>
      </x:c>
      <x:c r="K2" s="21" t="str">
        <x:v>PDF pp. 8-10, Fig. 6-7</x:v>
      </x:c>
      <x:c r="L2" s="21"/>
      <x:c r="M2" s="21" t="str">
        <x:v>In-exposure cross-sensitivity only</x:v>
      </x:c>
      <x:c r="N2" s="21" t="n">
        <x:f>COUNTIF(E2:E31,M2)</x:f>
        <x:v>20</x:v>
      </x:c>
    </x:row>
    <x:row r="3" ht="24" hidden="0" customHeight="1">
      <x:c r="A3" s="21" t="n">
        <x:v>5</x:v>
      </x:c>
      <x:c r="B3" s="21" t="str">
        <x:v>S007</x:v>
      </x:c>
      <x:c r="C3" s="21" t="str">
        <x:v>Velcescu et al. (2019)</x:v>
      </x:c>
      <x:c r="D3" s="21" t="n">
        <x:v>1</x:v>
      </x:c>
      <x:c r="E3" s="21" t="str">
        <x:v>In-exposure cross-sensitivity only</x:v>
      </x:c>
      <x:c r="F3" s="21" t="str">
        <x:v>Yes</x:v>
      </x:c>
      <x:c r="G3" s="21" t="str">
        <x:v>No</x:v>
      </x:c>
      <x:c r="H3" s="21" t="str">
        <x:v>NA</x:v>
      </x:c>
      <x:c r="I3" s="21" t="str">
        <x:v>No post-exposure retention endpoint was coded.</x:v>
      </x:c>
      <x:c r="J3" s="21" t="str">
        <x:v>In-exposure cross-sensitivity only: Electrode contact pressure is a declared mounting/use condition distinct from EEG measurand; impedance response is reported.</x:v>
      </x:c>
      <x:c r="K3" s="21" t="str">
        <x:v>PDF pp. 5-6, 9-10; Fig. 5</x:v>
      </x:c>
      <x:c r="L3" s="21"/>
      <x:c r="M3" s="21" t="str">
        <x:v>Post-exposure retention only</x:v>
      </x:c>
      <x:c r="N3" s="21" t="n">
        <x:f>COUNTIF(E2:E31,M3)</x:f>
        <x:v>8</x:v>
      </x:c>
    </x:row>
    <x:row r="4" ht="24" hidden="0" customHeight="1">
      <x:c r="A4" s="21" t="n">
        <x:v>9</x:v>
      </x:c>
      <x:c r="B4" s="21" t="str">
        <x:v>S012</x:v>
      </x:c>
      <x:c r="C4" s="21" t="str">
        <x:v>Wolterink et al. (2020)</x:v>
      </x:c>
      <x:c r="D4" s="21" t="n">
        <x:v>1</x:v>
      </x:c>
      <x:c r="E4" s="21" t="str">
        <x:v>In-exposure cross-sensitivity only</x:v>
      </x:c>
      <x:c r="F4" s="21" t="str">
        <x:v>Yes</x:v>
      </x:c>
      <x:c r="G4" s="21" t="str">
        <x:v>No</x:v>
      </x:c>
      <x:c r="H4" s="21" t="str">
        <x:v>NA</x:v>
      </x:c>
      <x:c r="I4" s="21" t="str">
        <x:v>No post-exposure retention endpoint was coded.</x:v>
      </x:c>
      <x:c r="J4" s="21" t="str">
        <x:v>In-exposure cross-sensitivity only: Dry versus water-moistened contact is a declared use-related condition with response comparison.</x:v>
      </x:c>
      <x:c r="K4" s="21" t="str">
        <x:v>PDF pp. 4–14; Figs. 1–17; Tables 2–3</x:v>
      </x:c>
      <x:c r="L4" s="21"/>
      <x:c r="M4" s="21" t="str">
        <x:v>Both</x:v>
      </x:c>
      <x:c r="N4" s="21" t="n">
        <x:f>COUNTIF(E2:E31,M4)</x:f>
        <x:v>2</x:v>
      </x:c>
    </x:row>
    <x:row r="5" ht="36" hidden="0" customHeight="1">
      <x:c r="A5" s="21" t="n">
        <x:v>10</x:v>
      </x:c>
      <x:c r="B5" s="21" t="str">
        <x:v>S013</x:v>
      </x:c>
      <x:c r="C5" s="21" t="str">
        <x:v>Poulladofonou et al. (2022)</x:v>
      </x:c>
      <x:c r="D5" s="21" t="n">
        <x:v>1</x:v>
      </x:c>
      <x:c r="E5" s="21" t="str">
        <x:v>Post-exposure retention only</x:v>
      </x:c>
      <x:c r="F5" s="21" t="str">
        <x:v>No</x:v>
      </x:c>
      <x:c r="G5" s="21" t="str">
        <x:v>Yes</x:v>
      </x:c>
      <x:c r="H5" s="21" t="str">
        <x:v>Yes</x:v>
      </x:c>
      <x:c r="I5" s="21" t="str">
        <x:v>Distilled-water washing followed by room storage between daily measurements was reported.</x:v>
      </x:c>
      <x:c r="J5" s="21" t="str">
        <x:v>Post-exposure retention only; defined reference/recovery reported: Distilled-water washing followed by room storage between daily measurements was reported. Evidence: Daily washing/storage over 12 days with response stability is reported.</x:v>
      </x:c>
      <x:c r="K5" s="21" t="str">
        <x:v>PDF pp. 3–7; Figs. 1–6; Table 1; cited SI</x:v>
      </x:c>
      <x:c r="L5" s="21"/>
      <x:c r="M5" s="21" t="str">
        <x:v>Any post-exposure retention</x:v>
      </x:c>
      <x:c r="N5" s="21" t="n">
        <x:f>COUNTIF(G2:G31,"Yes")</x:f>
        <x:v>10</x:v>
      </x:c>
    </x:row>
    <x:row r="6" ht="15" hidden="0" customHeight="1">
      <x:c r="A6" s="21" t="n">
        <x:v>11</x:v>
      </x:c>
      <x:c r="B6" s="21" t="str">
        <x:v>S014</x:v>
      </x:c>
      <x:c r="C6" s="21" t="str">
        <x:v>Dimo et al. (2025)</x:v>
      </x:c>
      <x:c r="D6" s="21" t="n">
        <x:v>1</x:v>
      </x:c>
      <x:c r="E6" s="21" t="str">
        <x:v>In-exposure cross-sensitivity only</x:v>
      </x:c>
      <x:c r="F6" s="21" t="str">
        <x:v>Yes</x:v>
      </x:c>
      <x:c r="G6" s="21" t="str">
        <x:v>No</x:v>
      </x:c>
      <x:c r="H6" s="21" t="str">
        <x:v>NA</x:v>
      </x:c>
      <x:c r="I6" s="21" t="str">
        <x:v>No post-exposure retention endpoint was coded.</x:v>
      </x:c>
      <x:c r="J6" s="21" t="str">
        <x:v>In-exposure cross-sensitivity only: 20–50 °C exposure with sensor response.</x:v>
      </x:c>
      <x:c r="K6" s="21" t="str">
        <x:v>PDF pp. 4–15; Figs. 1–10; Tables 1–2</x:v>
      </x:c>
      <x:c r="L6" s="21"/>
      <x:c r="M6" s="21" t="str">
        <x:v>Defined reference/recovery reported</x:v>
      </x:c>
      <x:c r="N6" s="21" t="n">
        <x:f>COUNTIF(H2:H31,"Yes")</x:f>
        <x:v>3</x:v>
      </x:c>
    </x:row>
    <x:row r="7" ht="36" hidden="0" customHeight="1">
      <x:c r="A7" s="21" t="n">
        <x:v>13</x:v>
      </x:c>
      <x:c r="B7" s="21" t="str">
        <x:v>S017</x:v>
      </x:c>
      <x:c r="C7" s="21" t="str">
        <x:v>Zhang and Ma (2025)</x:v>
      </x:c>
      <x:c r="D7" s="21" t="n">
        <x:v>1</x:v>
      </x:c>
      <x:c r="E7" s="21" t="str">
        <x:v>Both</x:v>
      </x:c>
      <x:c r="F7" s="21" t="str">
        <x:v>Yes</x:v>
      </x:c>
      <x:c r="G7" s="21" t="str">
        <x:v>Yes</x:v>
      </x:c>
      <x:c r="H7" s="21" t="str">
        <x:v>No</x:v>
      </x:c>
      <x:c r="I7" s="21" t="str">
        <x:v>Post-buckling recovery output was reported, but the recovery interval and reference conditioning were not specified.</x:v>
      </x:c>
      <x:c r="J7" s="21" t="str">
        <x:v>Both; defined reference/recovery not reported: Post-buckling recovery output was reported, but the recovery interval and reference conditioning were not specified. Evidence: Humidity and buckling/recovery exposures with output response are reported.</x:v>
      </x:c>
      <x:c r="K7" s="21" t="str">
        <x:v>PDF pp. 4-5, Fig. 4</x:v>
      </x:c>
      <x:c r="L7" s="21"/>
      <x:c r="M7" s="21"/>
      <x:c r="N7" s="21"/>
    </x:row>
    <x:row r="8" ht="15" hidden="0" customHeight="1">
      <x:c r="A8" s="21" t="n">
        <x:v>15</x:v>
      </x:c>
      <x:c r="B8" s="21" t="str">
        <x:v>S019</x:v>
      </x:c>
      <x:c r="C8" s="21" t="str">
        <x:v>Vu et al. (2021)</x:v>
      </x:c>
      <x:c r="D8" s="21" t="n">
        <x:v>1</x:v>
      </x:c>
      <x:c r="E8" s="21" t="str">
        <x:v>In-exposure cross-sensitivity only</x:v>
      </x:c>
      <x:c r="F8" s="21" t="str">
        <x:v>Yes</x:v>
      </x:c>
      <x:c r="G8" s="21" t="str">
        <x:v>No</x:v>
      </x:c>
      <x:c r="H8" s="21" t="str">
        <x:v>NA</x:v>
      </x:c>
      <x:c r="I8" s="21" t="str">
        <x:v>No post-exposure retention endpoint was coded.</x:v>
      </x:c>
      <x:c r="J8" s="21" t="str">
        <x:v>In-exposure cross-sensitivity only: Response was measured from 20–30 °C.</x:v>
      </x:c>
      <x:c r="K8" s="21" t="str">
        <x:v>PDF pp. 2–8; Figs. 1–7</x:v>
      </x:c>
      <x:c r="L8" s="21"/>
      <x:c r="M8" s="21"/>
      <x:c r="N8" s="21"/>
    </x:row>
    <x:row r="9" ht="24" hidden="0" customHeight="1">
      <x:c r="A9" s="21" t="n">
        <x:v>18</x:v>
      </x:c>
      <x:c r="B9" s="21" t="str">
        <x:v>S022</x:v>
      </x:c>
      <x:c r="C9" s="21" t="str">
        <x:v>Yan et al. (2025)</x:v>
      </x:c>
      <x:c r="D9" s="21" t="n">
        <x:v>1</x:v>
      </x:c>
      <x:c r="E9" s="21" t="str">
        <x:v>In-exposure cross-sensitivity only</x:v>
      </x:c>
      <x:c r="F9" s="21" t="str">
        <x:v>Yes</x:v>
      </x:c>
      <x:c r="G9" s="21" t="str">
        <x:v>No</x:v>
      </x:c>
      <x:c r="H9" s="21" t="str">
        <x:v>NA</x:v>
      </x:c>
      <x:c r="I9" s="21" t="str">
        <x:v>No post-exposure retention endpoint was coded.</x:v>
      </x:c>
      <x:c r="J9" s="21" t="str">
        <x:v>In-exposure cross-sensitivity only: Resistance response was measured from 23% to 85% RH; the reported normalized-resistance variation was on the order of 10^-3.</x:v>
      </x:c>
      <x:c r="K9" s="21" t="str">
        <x:v>Supplementary Fig. S9</x:v>
      </x:c>
      <x:c r="L9" s="21"/>
      <x:c r="M9" s="21"/>
      <x:c r="N9" s="21"/>
    </x:row>
    <x:row r="10" ht="48" hidden="0" customHeight="1">
      <x:c r="A10" s="21" t="n">
        <x:v>20</x:v>
      </x:c>
      <x:c r="B10" s="21" t="str">
        <x:v>S024</x:v>
      </x:c>
      <x:c r="C10" s="21" t="str">
        <x:v>Han et al. (2026)</x:v>
      </x:c>
      <x:c r="D10" s="21" t="n">
        <x:v>1</x:v>
      </x:c>
      <x:c r="E10" s="21" t="str">
        <x:v>Post-exposure retention only</x:v>
      </x:c>
      <x:c r="F10" s="21" t="str">
        <x:v>No</x:v>
      </x:c>
      <x:c r="G10" s="21" t="str">
        <x:v>Yes</x:v>
      </x:c>
      <x:c r="H10" s="21" t="str">
        <x:v>No</x:v>
      </x:c>
      <x:c r="I10" s="21" t="str">
        <x:v>The 3- and 7-day exposure time points were defined, but no return-to-reference or recovery period was reported.</x:v>
      </x:c>
      <x:c r="J10" s="21" t="str">
        <x:v>Post-exposure retention only; defined reference/recovery not reported: The 3- and 7-day exposure time points were defined, but no return-to-reference or recovery period was reported. Evidence: Sensor response was compared before exposure and after 3 and 7 days at 60 °C and 80% RH; gauge factor decreased by 5.4% and 9.1%, respectively.</x:v>
      </x:c>
      <x:c r="K10" s="21" t="str">
        <x:v>Main article p. 7; Supplementary Fig. S4, SI p. 4</x:v>
      </x:c>
      <x:c r="L10" s="21"/>
      <x:c r="M10" s="21"/>
      <x:c r="N10" s="21"/>
    </x:row>
    <x:row r="11" ht="36" hidden="0" customHeight="1">
      <x:c r="A11" s="21" t="n">
        <x:v>21</x:v>
      </x:c>
      <x:c r="B11" s="21" t="str">
        <x:v>S025</x:v>
      </x:c>
      <x:c r="C11" s="21" t="str">
        <x:v>Wei et al. (2026)</x:v>
      </x:c>
      <x:c r="D11" s="21" t="n">
        <x:v>1</x:v>
      </x:c>
      <x:c r="E11" s="21" t="str">
        <x:v>Both</x:v>
      </x:c>
      <x:c r="F11" s="21" t="str">
        <x:v>Yes</x:v>
      </x:c>
      <x:c r="G11" s="21" t="str">
        <x:v>Yes</x:v>
      </x:c>
      <x:c r="H11" s="21" t="str">
        <x:v>No</x:v>
      </x:c>
      <x:c r="I11" s="21" t="str">
        <x:v>Response after repeated insertion was reported, but no return-to-reference condition or recovery period was defined.</x:v>
      </x:c>
      <x:c r="J11" s="21" t="str">
        <x:v>Both; defined reference/recovery not reported: Response after repeated insertion was reported, but no return-to-reference condition or recovery period was defined. Evidence: Temperature and repeated skin-insertion effects are reported.</x:v>
      </x:c>
      <x:c r="K11" s="21" t="str">
        <x:v>PDF pp. 2–10; Figs. 1–6; Table 1; cited SI</x:v>
      </x:c>
      <x:c r="L11" s="21"/>
      <x:c r="M11" s="21"/>
      <x:c r="N11" s="21"/>
    </x:row>
    <x:row r="12" ht="48" hidden="0" customHeight="1">
      <x:c r="A12" s="21" t="n">
        <x:v>23</x:v>
      </x:c>
      <x:c r="B12" s="21" t="str">
        <x:v>S029</x:v>
      </x:c>
      <x:c r="C12" s="21" t="str">
        <x:v>Özkurt et al. (2026)</x:v>
      </x:c>
      <x:c r="D12" s="21" t="n">
        <x:v>1</x:v>
      </x:c>
      <x:c r="E12" s="21" t="str">
        <x:v>Post-exposure retention only</x:v>
      </x:c>
      <x:c r="F12" s="21" t="str">
        <x:v>No</x:v>
      </x:c>
      <x:c r="G12" s="21" t="str">
        <x:v>Yes</x:v>
      </x:c>
      <x:c r="H12" s="21" t="str">
        <x:v>No</x:v>
      </x:c>
      <x:c r="I12" s="21" t="str">
        <x:v>Fresh and 60-day-aged devices were compared; no return-to-reference or recovery phase was reported.</x:v>
      </x:c>
      <x:c r="J12" s="21" t="str">
        <x:v>Post-exposure retention only; defined reference/recovery not reported: Fresh and 60-day-aged devices were compared; no return-to-reference or recovery phase was reported. Evidence: Fresh and 60-day-aged specimens were compared over repeated bends, giving a time/storage exposure response.</x:v>
      </x:c>
      <x:c r="K12" s="21" t="str">
        <x:v>PDF pp. 4–23; Figs. 3–17; Tables 2–7</x:v>
      </x:c>
      <x:c r="L12" s="21"/>
      <x:c r="M12" s="21"/>
      <x:c r="N12" s="21"/>
    </x:row>
    <x:row r="13" ht="48" hidden="0" customHeight="1">
      <x:c r="A13" s="21" t="n">
        <x:v>27</x:v>
      </x:c>
      <x:c r="B13" s="21" t="str">
        <x:v>S034</x:v>
      </x:c>
      <x:c r="C13" s="21" t="str">
        <x:v>Zhang et al. (2026)</x:v>
      </x:c>
      <x:c r="D13" s="21" t="n">
        <x:v>1</x:v>
      </x:c>
      <x:c r="E13" s="21" t="str">
        <x:v>Post-exposure retention only</x:v>
      </x:c>
      <x:c r="F13" s="21" t="str">
        <x:v>No</x:v>
      </x:c>
      <x:c r="G13" s="21" t="str">
        <x:v>Yes</x:v>
      </x:c>
      <x:c r="H13" s="21" t="str">
        <x:v>No</x:v>
      </x:c>
      <x:c r="I13" s="21" t="str">
        <x:v>Response across wash/reuse cycles was reported, but no separate drying or recovery interval was defined.</x:v>
      </x:c>
      <x:c r="J13" s="21" t="str">
        <x:v>Post-exposure retention only; defined reference/recovery not reported: Response across wash/reuse cycles was reported, but no separate drying or recovery interval was defined. Evidence: Water/ethanol washing is a declared use-related exposure with response and structural outcomes.</x:v>
      </x:c>
      <x:c r="K13" s="21" t="str">
        <x:v>PDF pp. 2–9; Figs. 1–5; cited SI</x:v>
      </x:c>
      <x:c r="L13" s="21"/>
      <x:c r="M13" s="21"/>
      <x:c r="N13" s="21"/>
    </x:row>
    <x:row r="14" ht="36" hidden="0" customHeight="1">
      <x:c r="A14" s="21" t="n">
        <x:v>28</x:v>
      </x:c>
      <x:c r="B14" s="21" t="str">
        <x:v>S035</x:v>
      </x:c>
      <x:c r="C14" s="21" t="str">
        <x:v>Katseli et al. (2021)</x:v>
      </x:c>
      <x:c r="D14" s="21" t="n">
        <x:v>1</x:v>
      </x:c>
      <x:c r="E14" s="21" t="str">
        <x:v>Post-exposure retention only</x:v>
      </x:c>
      <x:c r="F14" s="21" t="str">
        <x:v>No</x:v>
      </x:c>
      <x:c r="G14" s="21" t="str">
        <x:v>Yes</x:v>
      </x:c>
      <x:c r="H14" s="21" t="str">
        <x:v>Yes</x:v>
      </x:c>
      <x:c r="I14" s="21" t="str">
        <x:v>Daily washing followed by ambient storage before subsequent measurements was reported.</x:v>
      </x:c>
      <x:c r="J14" s="21" t="str">
        <x:v>Post-exposure retention only; defined reference/recovery reported: Daily washing followed by ambient storage before subsequent measurements was reported. Evidence: Daily washing/ambient storage over 10 days is a declared exposure with retained response.</x:v>
      </x:c>
      <x:c r="K14" s="21" t="str">
        <x:v>PDF pp. 1–5; Figs. 1–4; cited SI</x:v>
      </x:c>
      <x:c r="L14" s="21"/>
      <x:c r="M14" s="21"/>
      <x:c r="N14" s="21"/>
    </x:row>
    <x:row r="15" ht="24" hidden="0" customHeight="1">
      <x:c r="A15" s="21" t="n">
        <x:v>29</x:v>
      </x:c>
      <x:c r="B15" s="21" t="str">
        <x:v>S036</x:v>
      </x:c>
      <x:c r="C15" s="21" t="str">
        <x:v>Xuan et al. (2026)</x:v>
      </x:c>
      <x:c r="D15" s="21" t="n">
        <x:v>1</x:v>
      </x:c>
      <x:c r="E15" s="21" t="str">
        <x:v>In-exposure cross-sensitivity only</x:v>
      </x:c>
      <x:c r="F15" s="21" t="str">
        <x:v>Yes</x:v>
      </x:c>
      <x:c r="G15" s="21" t="str">
        <x:v>No</x:v>
      </x:c>
      <x:c r="H15" s="21" t="str">
        <x:v>NA</x:v>
      </x:c>
      <x:c r="I15" s="21" t="str">
        <x:v>No post-exposure retention endpoint was coded.</x:v>
      </x:c>
      <x:c r="J15" s="21" t="str">
        <x:v>In-exposure cross-sensitivity only: Temperature 24–40 °C and concentration 0.5×–1.25× were varied with sweat-rate deviation reported.</x:v>
      </x:c>
      <x:c r="K15" s="21" t="str">
        <x:v>PDF pp. 2–11; Figs. 1–6; cited SI</x:v>
      </x:c>
      <x:c r="L15" s="21"/>
      <x:c r="M15" s="21"/>
      <x:c r="N15" s="21"/>
    </x:row>
    <x:row r="16" ht="36" hidden="0" customHeight="1">
      <x:c r="A16" s="21" t="n">
        <x:v>37</x:v>
      </x:c>
      <x:c r="B16" s="21" t="str">
        <x:v>S048</x:v>
      </x:c>
      <x:c r="C16" s="21" t="str">
        <x:v>Gunasekaran et al. (2022)</x:v>
      </x:c>
      <x:c r="D16" s="21" t="n">
        <x:v>1</x:v>
      </x:c>
      <x:c r="E16" s="21" t="str">
        <x:v>Post-exposure retention only</x:v>
      </x:c>
      <x:c r="F16" s="21" t="str">
        <x:v>No</x:v>
      </x:c>
      <x:c r="G16" s="21" t="str">
        <x:v>Yes</x:v>
      </x:c>
      <x:c r="H16" s="21" t="str">
        <x:v>Yes</x:v>
      </x:c>
      <x:c r="I16" s="21" t="str">
        <x:v>Resistance was measured after drying and cooling at 30-minute intervals.</x:v>
      </x:c>
      <x:c r="J16" s="21" t="str">
        <x:v>Post-exposure retention only; defined reference/recovery reported: Resistance was measured after drying and cooling at 30-minute intervals. Evidence: Water and organic-solvent immersion/ultrasonication for four hours was followed by resistance measurements.</x:v>
      </x:c>
      <x:c r="K16" s="21" t="str">
        <x:v>PDF pp. 3–9; Figs. 1, 4–9; cited SI</x:v>
      </x:c>
      <x:c r="L16" s="21"/>
      <x:c r="M16" s="21"/>
      <x:c r="N16" s="21"/>
    </x:row>
    <x:row r="17" ht="24" hidden="0" customHeight="1">
      <x:c r="A17" s="21" t="n">
        <x:v>38</x:v>
      </x:c>
      <x:c r="B17" s="21" t="str">
        <x:v>S050</x:v>
      </x:c>
      <x:c r="C17" s="21" t="str">
        <x:v>Leal-Junior et al. (2018)</x:v>
      </x:c>
      <x:c r="D17" s="21" t="n">
        <x:v>1</x:v>
      </x:c>
      <x:c r="E17" s="21" t="str">
        <x:v>In-exposure cross-sensitivity only</x:v>
      </x:c>
      <x:c r="F17" s="21" t="str">
        <x:v>Yes</x:v>
      </x:c>
      <x:c r="G17" s="21" t="str">
        <x:v>No</x:v>
      </x:c>
      <x:c r="H17" s="21" t="str">
        <x:v>NA</x:v>
      </x:c>
      <x:c r="I17" s="21" t="str">
        <x:v>No post-exposure retention endpoint was coded.</x:v>
      </x:c>
      <x:c r="J17" s="21" t="str">
        <x:v>In-exposure cross-sensitivity only: Sensor response was quantified from 25 to 45 °C and force compensation was evaluated.</x:v>
      </x:c>
      <x:c r="K17" s="21" t="str">
        <x:v>PDF pp. 3–10; Figs. 1–8</x:v>
      </x:c>
      <x:c r="L17" s="21"/>
      <x:c r="M17" s="21"/>
      <x:c r="N17" s="21"/>
    </x:row>
    <x:row r="18" ht="15" hidden="0" customHeight="1">
      <x:c r="A18" s="21" t="n">
        <x:v>39</x:v>
      </x:c>
      <x:c r="B18" s="21" t="str">
        <x:v>S051</x:v>
      </x:c>
      <x:c r="C18" s="21" t="str">
        <x:v>Ota et al. (2017)</x:v>
      </x:c>
      <x:c r="D18" s="21" t="n">
        <x:v>1</x:v>
      </x:c>
      <x:c r="E18" s="21" t="str">
        <x:v>In-exposure cross-sensitivity only</x:v>
      </x:c>
      <x:c r="F18" s="21" t="str">
        <x:v>Yes</x:v>
      </x:c>
      <x:c r="G18" s="21" t="str">
        <x:v>No</x:v>
      </x:c>
      <x:c r="H18" s="21" t="str">
        <x:v>NA</x:v>
      </x:c>
      <x:c r="I18" s="21" t="str">
        <x:v>No post-exposure retention endpoint was coded.</x:v>
      </x:c>
      <x:c r="J18" s="21" t="str">
        <x:v>In-exposure cross-sensitivity only: The device response was measured in rooms from 6 to 40 °C.</x:v>
      </x:c>
      <x:c r="K18" s="21" t="str">
        <x:v>PDF pp. 2–7; Figs. 1–5</x:v>
      </x:c>
      <x:c r="L18" s="21"/>
      <x:c r="M18" s="21"/>
      <x:c r="N18" s="21"/>
    </x:row>
    <x:row r="19" ht="36" hidden="0" customHeight="1">
      <x:c r="A19" s="21" t="n">
        <x:v>40</x:v>
      </x:c>
      <x:c r="B19" s="21" t="str">
        <x:v>S052</x:v>
      </x:c>
      <x:c r="C19" s="21" t="str">
        <x:v>Li et al. (2026)</x:v>
      </x:c>
      <x:c r="D19" s="21" t="n">
        <x:v>1</x:v>
      </x:c>
      <x:c r="E19" s="21" t="str">
        <x:v>In-exposure cross-sensitivity only</x:v>
      </x:c>
      <x:c r="F19" s="21" t="str">
        <x:v>Yes</x:v>
      </x:c>
      <x:c r="G19" s="21" t="str">
        <x:v>No</x:v>
      </x:c>
      <x:c r="H19" s="21" t="str">
        <x:v>NA</x:v>
      </x:c>
      <x:c r="I19" s="21" t="str">
        <x:v>No post-exposure retention endpoint was coded.</x:v>
      </x:c>
      <x:c r="J19" s="21" t="str">
        <x:v>In-exposure cross-sensitivity only: Ambient humidity and temperature response are explicitly reported, with detail in cited supplementary figures.</x:v>
      </x:c>
      <x:c r="K19" s="21" t="str">
        <x:v>PDF pp. 2–12; Figs. 1–6; cited Supplementary Table S1 and Figs. S1–S21</x:v>
      </x:c>
      <x:c r="L19" s="21"/>
      <x:c r="M19" s="21"/>
      <x:c r="N19" s="21"/>
    </x:row>
    <x:row r="20" ht="24" hidden="0" customHeight="1">
      <x:c r="A20" s="21" t="n">
        <x:v>44</x:v>
      </x:c>
      <x:c r="B20" s="21" t="str">
        <x:v>S056</x:v>
      </x:c>
      <x:c r="C20" s="21" t="str">
        <x:v>Wei et al. (2026)</x:v>
      </x:c>
      <x:c r="D20" s="21" t="n">
        <x:v>1</x:v>
      </x:c>
      <x:c r="E20" s="21" t="str">
        <x:v>In-exposure cross-sensitivity only</x:v>
      </x:c>
      <x:c r="F20" s="21" t="str">
        <x:v>Yes</x:v>
      </x:c>
      <x:c r="G20" s="21" t="str">
        <x:v>No</x:v>
      </x:c>
      <x:c r="H20" s="21" t="str">
        <x:v>NA</x:v>
      </x:c>
      <x:c r="I20" s="21" t="str">
        <x:v>No post-exposure retention endpoint was coded.</x:v>
      </x:c>
      <x:c r="J20" s="21" t="str">
        <x:v>In-exposure cross-sensitivity only: Liquids, humidity and sweat-related responses were measured.</x:v>
      </x:c>
      <x:c r="K20" s="21" t="str">
        <x:v>PDF pp. 3–15; Figs. 1–9; Tables 1–2</x:v>
      </x:c>
      <x:c r="L20" s="21"/>
      <x:c r="M20" s="21"/>
      <x:c r="N20" s="21"/>
    </x:row>
    <x:row r="21" ht="24" hidden="0" customHeight="1">
      <x:c r="A21" s="21" t="n">
        <x:v>46</x:v>
      </x:c>
      <x:c r="B21" s="21" t="str">
        <x:v>S058</x:v>
      </x:c>
      <x:c r="C21" s="21" t="str">
        <x:v>Yang et al. (2026)</x:v>
      </x:c>
      <x:c r="D21" s="21" t="n">
        <x:v>1</x:v>
      </x:c>
      <x:c r="E21" s="21" t="str">
        <x:v>In-exposure cross-sensitivity only</x:v>
      </x:c>
      <x:c r="F21" s="21" t="str">
        <x:v>Yes</x:v>
      </x:c>
      <x:c r="G21" s="21" t="str">
        <x:v>No</x:v>
      </x:c>
      <x:c r="H21" s="21" t="str">
        <x:v>NA</x:v>
      </x:c>
      <x:c r="I21" s="21" t="str">
        <x:v>No post-exposure retention endpoint was coded.</x:v>
      </x:c>
      <x:c r="J21" s="21" t="str">
        <x:v>In-exposure cross-sensitivity only: Temperature, humidity and artificial-sweat responses were measured.</x:v>
      </x:c>
      <x:c r="K21" s="21" t="str">
        <x:v>PDF pp. 3–13; Figs. 1–8; cited Supplementary Table S1</x:v>
      </x:c>
      <x:c r="L21" s="21"/>
      <x:c r="M21" s="21"/>
      <x:c r="N21" s="21"/>
    </x:row>
    <x:row r="22" ht="24" hidden="0" customHeight="1">
      <x:c r="A22" s="21" t="n">
        <x:v>47</x:v>
      </x:c>
      <x:c r="B22" s="21" t="str">
        <x:v>S059</x:v>
      </x:c>
      <x:c r="C22" s="21" t="str">
        <x:v>Saroli et al. (2026)</x:v>
      </x:c>
      <x:c r="D22" s="21" t="n">
        <x:v>1</x:v>
      </x:c>
      <x:c r="E22" s="21" t="str">
        <x:v>In-exposure cross-sensitivity only</x:v>
      </x:c>
      <x:c r="F22" s="21" t="str">
        <x:v>Yes</x:v>
      </x:c>
      <x:c r="G22" s="21" t="str">
        <x:v>No</x:v>
      </x:c>
      <x:c r="H22" s="21" t="str">
        <x:v>NA</x:v>
      </x:c>
      <x:c r="I22" s="21" t="str">
        <x:v>No post-exposure retention endpoint was coded.</x:v>
      </x:c>
      <x:c r="J22" s="21" t="str">
        <x:v>In-exposure cross-sensitivity only: Electrodes were tested dry and after declared water moistening with quantitative impedance/SNR response.</x:v>
      </x:c>
      <x:c r="K22" s="21" t="str">
        <x:v>PDF pp. 3–15; Figs. 1–9; cited Supplementary Table S1</x:v>
      </x:c>
      <x:c r="L22" s="21"/>
      <x:c r="M22" s="21"/>
      <x:c r="N22" s="21"/>
    </x:row>
    <x:row r="23" ht="24" hidden="0" customHeight="1">
      <x:c r="A23" s="21" t="n">
        <x:v>49</x:v>
      </x:c>
      <x:c r="B23" s="21" t="str">
        <x:v>S061</x:v>
      </x:c>
      <x:c r="C23" s="21" t="str">
        <x:v>Kumar et al. (2026)</x:v>
      </x:c>
      <x:c r="D23" s="21" t="n">
        <x:v>1</x:v>
      </x:c>
      <x:c r="E23" s="21" t="str">
        <x:v>In-exposure cross-sensitivity only</x:v>
      </x:c>
      <x:c r="F23" s="21" t="str">
        <x:v>Yes</x:v>
      </x:c>
      <x:c r="G23" s="21" t="str">
        <x:v>No</x:v>
      </x:c>
      <x:c r="H23" s="21" t="str">
        <x:v>NA</x:v>
      </x:c>
      <x:c r="I23" s="21" t="str">
        <x:v>No post-exposure retention endpoint was coded.</x:v>
      </x:c>
      <x:c r="J23" s="21" t="str">
        <x:v>In-exposure cross-sensitivity only: Response was compared between stated with-wear/without-wear assembly-loading states.</x:v>
      </x:c>
      <x:c r="K23" s="21" t="str">
        <x:v>PDF pp. 2–11; Figs. 1–13; Table 1</x:v>
      </x:c>
      <x:c r="L23" s="21"/>
      <x:c r="M23" s="21"/>
      <x:c r="N23" s="21"/>
    </x:row>
    <x:row r="24" ht="24" hidden="0" customHeight="1">
      <x:c r="A24" s="21" t="n">
        <x:v>53</x:v>
      </x:c>
      <x:c r="B24" s="21" t="str">
        <x:v>S066</x:v>
      </x:c>
      <x:c r="C24" s="21" t="str">
        <x:v>Saroli et al. (2026)</x:v>
      </x:c>
      <x:c r="D24" s="21" t="n">
        <x:v>1</x:v>
      </x:c>
      <x:c r="E24" s="21" t="str">
        <x:v>In-exposure cross-sensitivity only</x:v>
      </x:c>
      <x:c r="F24" s="21" t="str">
        <x:v>Yes</x:v>
      </x:c>
      <x:c r="G24" s="21" t="str">
        <x:v>No</x:v>
      </x:c>
      <x:c r="H24" s="21" t="str">
        <x:v>NA</x:v>
      </x:c>
      <x:c r="I24" s="21" t="str">
        <x:v>No post-exposure retention endpoint was coded.</x:v>
      </x:c>
      <x:c r="J24" s="21" t="str">
        <x:v>In-exposure cross-sensitivity only: Walking, jogging and stair use provide declared use-related activity exposure with quantified response.</x:v>
      </x:c>
      <x:c r="K24" s="21" t="str">
        <x:v>PDF pp. 2–8; Figs. 1–8; Table I</x:v>
      </x:c>
      <x:c r="L24" s="21"/>
      <x:c r="M24" s="21"/>
      <x:c r="N24" s="21"/>
    </x:row>
    <x:row r="25" ht="24" hidden="0" customHeight="1">
      <x:c r="A25" s="21" t="n">
        <x:v>54</x:v>
      </x:c>
      <x:c r="B25" s="21" t="str">
        <x:v>S067</x:v>
      </x:c>
      <x:c r="C25" s="21" t="str">
        <x:v>Yang et al. (2026)</x:v>
      </x:c>
      <x:c r="D25" s="21" t="n">
        <x:v>1</x:v>
      </x:c>
      <x:c r="E25" s="21" t="str">
        <x:v>In-exposure cross-sensitivity only</x:v>
      </x:c>
      <x:c r="F25" s="21" t="str">
        <x:v>Yes</x:v>
      </x:c>
      <x:c r="G25" s="21" t="str">
        <x:v>No</x:v>
      </x:c>
      <x:c r="H25" s="21" t="str">
        <x:v>NA</x:v>
      </x:c>
      <x:c r="I25" s="21" t="str">
        <x:v>No post-exposure retention endpoint was coded.</x:v>
      </x:c>
      <x:c r="J25" s="21" t="str">
        <x:v>In-exposure cross-sensitivity only: Temperature and humidity were deliberately varied and the output was reported.</x:v>
      </x:c>
      <x:c r="K25" s="21" t="str">
        <x:v>PDF pp. 2–9; Figs. 1–8</x:v>
      </x:c>
      <x:c r="L25" s="21"/>
      <x:c r="M25" s="21"/>
      <x:c r="N25" s="21"/>
    </x:row>
    <x:row r="26" ht="36" hidden="0" customHeight="1">
      <x:c r="A26" s="21" t="n">
        <x:v>56</x:v>
      </x:c>
      <x:c r="B26" s="21" t="str">
        <x:v>S069</x:v>
      </x:c>
      <x:c r="C26" s="21" t="str">
        <x:v>Babu et al. (2025)</x:v>
      </x:c>
      <x:c r="D26" s="21" t="n">
        <x:v>1</x:v>
      </x:c>
      <x:c r="E26" s="21" t="str">
        <x:v>Post-exposure retention only</x:v>
      </x:c>
      <x:c r="F26" s="21" t="str">
        <x:v>No</x:v>
      </x:c>
      <x:c r="G26" s="21" t="str">
        <x:v>Yes</x:v>
      </x:c>
      <x:c r="H26" s="21" t="str">
        <x:v>No</x:v>
      </x:c>
      <x:c r="I26" s="21" t="str">
        <x:v>Output after 30 minutes of hand washing was reported without a stated drying or recovery interval.</x:v>
      </x:c>
      <x:c r="J26" s="21" t="str">
        <x:v>Post-exposure retention only; defined reference/recovery not reported: Output after 30 minutes of hand washing was reported without a stated drying or recovery interval. Evidence: Water/detergent washing for 30 min was followed by output measurement.</x:v>
      </x:c>
      <x:c r="K26" s="21" t="str">
        <x:v>PDF pp. 2–12; Figs. 1–11; Table 1; cited SI</x:v>
      </x:c>
      <x:c r="L26" s="21"/>
      <x:c r="M26" s="21"/>
      <x:c r="N26" s="21"/>
    </x:row>
    <x:row r="27" ht="24" hidden="0" customHeight="1">
      <x:c r="A27" s="21" t="n">
        <x:v>57</x:v>
      </x:c>
      <x:c r="B27" s="21" t="str">
        <x:v>S070</x:v>
      </x:c>
      <x:c r="C27" s="21" t="str">
        <x:v>Dimo et al. (2026)</x:v>
      </x:c>
      <x:c r="D27" s="21" t="n">
        <x:v>1</x:v>
      </x:c>
      <x:c r="E27" s="21" t="str">
        <x:v>In-exposure cross-sensitivity only</x:v>
      </x:c>
      <x:c r="F27" s="21" t="str">
        <x:v>Yes</x:v>
      </x:c>
      <x:c r="G27" s="21" t="str">
        <x:v>No</x:v>
      </x:c>
      <x:c r="H27" s="21" t="str">
        <x:v>NA</x:v>
      </x:c>
      <x:c r="I27" s="21" t="str">
        <x:v>No post-exposure retention endpoint was coded.</x:v>
      </x:c>
      <x:c r="J27" s="21" t="str">
        <x:v>In-exposure cross-sensitivity only: Temperature and RH were deliberately varied with sensor response reported.</x:v>
      </x:c>
      <x:c r="K27" s="21" t="str">
        <x:v>PDF pp. 3–9; Figs. 1–12; Tables I–III</x:v>
      </x:c>
      <x:c r="L27" s="21"/>
      <x:c r="M27" s="21"/>
      <x:c r="N27" s="21"/>
    </x:row>
    <x:row r="28" ht="24" hidden="0" customHeight="1">
      <x:c r="A28" s="21" t="n">
        <x:v>60</x:v>
      </x:c>
      <x:c r="B28" s="21" t="str">
        <x:v>S074</x:v>
      </x:c>
      <x:c r="C28" s="21" t="str">
        <x:v>Lavorgna et al. (2025)</x:v>
      </x:c>
      <x:c r="D28" s="21" t="n">
        <x:v>1</x:v>
      </x:c>
      <x:c r="E28" s="21" t="str">
        <x:v>In-exposure cross-sensitivity only</x:v>
      </x:c>
      <x:c r="F28" s="21" t="str">
        <x:v>Yes</x:v>
      </x:c>
      <x:c r="G28" s="21" t="str">
        <x:v>No</x:v>
      </x:c>
      <x:c r="H28" s="21" t="str">
        <x:v>NA</x:v>
      </x:c>
      <x:c r="I28" s="21" t="str">
        <x:v>No post-exposure retention endpoint was coded.</x:v>
      </x:c>
      <x:c r="J28" s="21" t="str">
        <x:v>In-exposure cross-sensitivity only: Temperature was deliberately varied as a cross-sensitivity condition for the strain/wearable sensor.</x:v>
      </x:c>
      <x:c r="K28" s="21" t="str">
        <x:v>PDF pp. 3–9; Figs. 1–13</x:v>
      </x:c>
      <x:c r="L28" s="21"/>
      <x:c r="M28" s="21"/>
      <x:c r="N28" s="21"/>
    </x:row>
    <x:row r="29" ht="24" hidden="0" customHeight="1">
      <x:c r="A29" s="21" t="n">
        <x:v>61</x:v>
      </x:c>
      <x:c r="B29" s="21" t="str">
        <x:v>S075</x:v>
      </x:c>
      <x:c r="C29" s="21" t="str">
        <x:v>Saroli et al. (2025)</x:v>
      </x:c>
      <x:c r="D29" s="21" t="n">
        <x:v>1</x:v>
      </x:c>
      <x:c r="E29" s="21" t="str">
        <x:v>In-exposure cross-sensitivity only</x:v>
      </x:c>
      <x:c r="F29" s="21" t="str">
        <x:v>Yes</x:v>
      </x:c>
      <x:c r="G29" s="21" t="str">
        <x:v>No</x:v>
      </x:c>
      <x:c r="H29" s="21" t="str">
        <x:v>NA</x:v>
      </x:c>
      <x:c r="I29" s="21" t="str">
        <x:v>No post-exposure retention endpoint was coded.</x:v>
      </x:c>
      <x:c r="J29" s="21" t="str">
        <x:v>In-exposure cross-sensitivity only: Controlled temperature and RH cycles report response for all three configurations.</x:v>
      </x:c>
      <x:c r="K29" s="21" t="str">
        <x:v>PDF pp. 2–8; Figs. 1–7</x:v>
      </x:c>
      <x:c r="L29" s="21"/>
      <x:c r="M29" s="21"/>
      <x:c r="N29" s="21"/>
    </x:row>
    <x:row r="30" ht="48" hidden="0" customHeight="1">
      <x:c r="A30" s="21" t="n">
        <x:v>65</x:v>
      </x:c>
      <x:c r="B30" s="21" t="str">
        <x:v>S079</x:v>
      </x:c>
      <x:c r="C30" s="21" t="str">
        <x:v>Han et al. (2024)</x:v>
      </x:c>
      <x:c r="D30" s="21" t="n">
        <x:v>1</x:v>
      </x:c>
      <x:c r="E30" s="21" t="str">
        <x:v>Post-exposure retention only</x:v>
      </x:c>
      <x:c r="F30" s="21" t="str">
        <x:v>No</x:v>
      </x:c>
      <x:c r="G30" s="21" t="str">
        <x:v>Yes</x:v>
      </x:c>
      <x:c r="H30" s="21" t="str">
        <x:v>No</x:v>
      </x:c>
      <x:c r="I30" s="21" t="str">
        <x:v>Post-exposure response followed temperature, water-immersion and rubbing challenges without a stated return-to-reference or recovery period.</x:v>
      </x:c>
      <x:c r="J30" s="21" t="str">
        <x:v>Post-exposure retention only; defined reference/recovery not reported: Post-exposure response followed temperature, water-immersion and rubbing challenges without a stated return-to-reference or recovery period. Evidence: Performance was measured after 40 °C, −35 °C and 24-h water immersion/rubbing exposures.</x:v>
      </x:c>
      <x:c r="K30" s="21" t="str">
        <x:v>PDF pp. 2–12; Figs. 1–8; Supplementary Figs. S1–S15 cited</x:v>
      </x:c>
      <x:c r="L30" s="21"/>
      <x:c r="M30" s="21"/>
      <x:c r="N30" s="21"/>
    </x:row>
    <x:row r="31" ht="36" hidden="0" customHeight="1">
      <x:c r="A31" s="21" t="n">
        <x:v>74</x:v>
      </x:c>
      <x:c r="B31" s="21" t="str">
        <x:v>S089</x:v>
      </x:c>
      <x:c r="C31" s="21" t="str">
        <x:v>Xiang et al. (2020)</x:v>
      </x:c>
      <x:c r="D31" s="21" t="n">
        <x:v>1</x:v>
      </x:c>
      <x:c r="E31" s="21" t="str">
        <x:v>In-exposure cross-sensitivity only</x:v>
      </x:c>
      <x:c r="F31" s="21" t="str">
        <x:v>Yes</x:v>
      </x:c>
      <x:c r="G31" s="21" t="str">
        <x:v>No</x:v>
      </x:c>
      <x:c r="H31" s="21" t="str">
        <x:v>NA</x:v>
      </x:c>
      <x:c r="I31" s="21" t="str">
        <x:v>No post-exposure retention endpoint was coded.</x:v>
      </x:c>
      <x:c r="J31" s="21" t="str">
        <x:v>In-exposure cross-sensitivity only: Conductivity was measured and reported across a stated 20–80 °C exposure.</x:v>
      </x:c>
      <x:c r="K31" s="21" t="str">
        <x:v>PDF pp. 10–35 of available accepted manuscript; Figs. 1–10; Tables 1–2; Supplementary Tables S1–S2 cited</x:v>
      </x:c>
      <x:c r="L31" s="21"/>
      <x:c r="M31" s="21"/>
      <x:c r="N31" s="21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18" hidden="0" customWidth="1"/>
    <x:col min="3" max="3" width="18" hidden="0" customWidth="1"/>
    <x:col min="4" max="4" width="18" hidden="0" customWidth="1"/>
    <x:col min="5" max="5" width="58" hidden="0" customWidth="1"/>
  </x:cols>
  <x:sheetData>
    <x:row r="1" ht="15" hidden="0" customHeight="1">
      <x:c r="A1" s="24" t="str">
        <x:v>Metric</x:v>
      </x:c>
      <x:c r="B1" s="24" t="str">
        <x:v>Primary corpus</x:v>
      </x:c>
      <x:c r="C1" s="24" t="str">
        <x:v>Strict sensitivity corpus</x:v>
      </x:c>
      <x:c r="D1" s="24" t="str">
        <x:v>Strict proportion</x:v>
      </x:c>
      <x:c r="E1" s="24" t="str">
        <x:v>Interpretation</x:v>
      </x:c>
    </x:row>
    <x:row r="2" ht="15" hidden="0" customHeight="1">
      <x:c r="A2" s="21" t="str">
        <x:v>Study count</x:v>
      </x:c>
      <x:c r="B2" s="21" t="n">
        <x:f>COUNTA('REB Consensus Profiles'!B2:B77)</x:f>
        <x:v>76</x:v>
      </x:c>
      <x:c r="C2" s="21" t="n">
        <x:f>B2-2</x:f>
        <x:v>74</x:v>
      </x:c>
      <x:c r="D2" s="21"/>
      <x:c r="E2" s="21" t="str">
        <x:v>S090 and S091 excluded only in the strict sensitivity analysis.</x:v>
      </x:c>
    </x:row>
    <x:row r="3" ht="15" hidden="0" customHeight="1">
      <x:c r="A3" s="21" t="str">
        <x:v>L1</x:v>
      </x:c>
      <x:c r="B3" s="21" t="n">
        <x:f>SUM('REB Consensus Profiles'!E2:E77)</x:f>
        <x:v>33</x:v>
      </x:c>
      <x:c r="C3" s="21" t="n">
        <x:f>SUMIFS('REB Consensus Profiles'!E2:E77,'REB Consensus Profiles'!B2:B77,"&lt;&gt;S090",'REB Consensus Profiles'!B2:B77,"&lt;&gt;S091")</x:f>
        <x:v>32</x:v>
      </x:c>
      <x:c r="D3" s="32" t="n">
        <x:f>C3/$C$2</x:f>
        <x:v>0.43243243243243246</x:v>
      </x:c>
      <x:c r="E3" s="21" t="str">
        <x:v>Count of studies meeting the dimension.</x:v>
      </x:c>
    </x:row>
    <x:row r="4" ht="15" hidden="0" customHeight="1">
      <x:c r="A4" s="21" t="str">
        <x:v>L2</x:v>
      </x:c>
      <x:c r="B4" s="21" t="n">
        <x:f>SUM('REB Consensus Profiles'!F2:F77)</x:f>
        <x:v>75</x:v>
      </x:c>
      <x:c r="C4" s="21" t="n">
        <x:f>SUMIFS('REB Consensus Profiles'!F2:F77,'REB Consensus Profiles'!B2:B77,"&lt;&gt;S090",'REB Consensus Profiles'!B2:B77,"&lt;&gt;S091")</x:f>
        <x:v>73</x:v>
      </x:c>
      <x:c r="D4" s="32" t="n">
        <x:f>C4/$C$2</x:f>
        <x:v>0.9864864864864865</x:v>
      </x:c>
      <x:c r="E4" s="21" t="str">
        <x:v>Count of studies meeting the dimension.</x:v>
      </x:c>
    </x:row>
    <x:row r="5" ht="15" hidden="0" customHeight="1">
      <x:c r="A5" s="21" t="str">
        <x:v>L3</x:v>
      </x:c>
      <x:c r="B5" s="21" t="n">
        <x:f>SUM('REB Consensus Profiles'!G2:G77)</x:f>
        <x:v>76</x:v>
      </x:c>
      <x:c r="C5" s="21" t="n">
        <x:f>SUMIFS('REB Consensus Profiles'!G2:G77,'REB Consensus Profiles'!B2:B77,"&lt;&gt;S090",'REB Consensus Profiles'!B2:B77,"&lt;&gt;S091")</x:f>
        <x:v>74</x:v>
      </x:c>
      <x:c r="D5" s="32" t="n">
        <x:f>C5/$C$2</x:f>
        <x:v>1</x:v>
      </x:c>
      <x:c r="E5" s="21" t="str">
        <x:v>Count of studies meeting the dimension.</x:v>
      </x:c>
    </x:row>
    <x:row r="6" ht="15" hidden="0" customHeight="1">
      <x:c r="A6" s="21" t="str">
        <x:v>L4</x:v>
      </x:c>
      <x:c r="B6" s="21" t="n">
        <x:f>SUM('REB Consensus Profiles'!H2:H77)</x:f>
        <x:v>76</x:v>
      </x:c>
      <x:c r="C6" s="21" t="n">
        <x:f>SUMIFS('REB Consensus Profiles'!H2:H77,'REB Consensus Profiles'!B2:B77,"&lt;&gt;S090",'REB Consensus Profiles'!B2:B77,"&lt;&gt;S091")</x:f>
        <x:v>74</x:v>
      </x:c>
      <x:c r="D6" s="32" t="n">
        <x:f>C6/$C$2</x:f>
        <x:v>1</x:v>
      </x:c>
      <x:c r="E6" s="21" t="str">
        <x:v>Count of studies meeting the dimension.</x:v>
      </x:c>
    </x:row>
    <x:row r="7" ht="15" hidden="0" customHeight="1">
      <x:c r="A7" s="21" t="str">
        <x:v>L5</x:v>
      </x:c>
      <x:c r="B7" s="21" t="n">
        <x:f>SUM('REB Consensus Profiles'!I2:I77)</x:f>
        <x:v>62</x:v>
      </x:c>
      <x:c r="C7" s="21" t="n">
        <x:f>SUMIFS('REB Consensus Profiles'!I2:I77,'REB Consensus Profiles'!B2:B77,"&lt;&gt;S090",'REB Consensus Profiles'!B2:B77,"&lt;&gt;S091")</x:f>
        <x:v>61</x:v>
      </x:c>
      <x:c r="D7" s="32" t="n">
        <x:f>C7/$C$2</x:f>
        <x:v>0.8243243243243243</x:v>
      </x:c>
      <x:c r="E7" s="21" t="str">
        <x:v>Count of studies meeting the dimension.</x:v>
      </x:c>
    </x:row>
    <x:row r="8" ht="15" hidden="0" customHeight="1">
      <x:c r="A8" s="21" t="str">
        <x:v>L6</x:v>
      </x:c>
      <x:c r="B8" s="21" t="n">
        <x:f>SUM('REB Consensus Profiles'!J2:J77)</x:f>
        <x:v>30</x:v>
      </x:c>
      <x:c r="C8" s="21" t="n">
        <x:f>SUMIFS('REB Consensus Profiles'!J2:J77,'REB Consensus Profiles'!B2:B77,"&lt;&gt;S090",'REB Consensus Profiles'!B2:B77,"&lt;&gt;S091")</x:f>
        <x:v>30</x:v>
      </x:c>
      <x:c r="D8" s="32" t="n">
        <x:f>C8/$C$2</x:f>
        <x:v>0.40540540540540543</x:v>
      </x:c>
      <x:c r="E8" s="21" t="str">
        <x:v>Count of studies meeting the dimension.</x:v>
      </x:c>
    </x:row>
    <x:row r="9" ht="15" hidden="0" customHeight="1">
      <x:c r="A9" s="21" t="str">
        <x:v>L7</x:v>
      </x:c>
      <x:c r="B9" s="21" t="n">
        <x:f>SUM('REB Consensus Profiles'!K2:K77)</x:f>
        <x:v>20</x:v>
      </x:c>
      <x:c r="C9" s="21" t="n">
        <x:f>SUMIFS('REB Consensus Profiles'!K2:K77,'REB Consensus Profiles'!B2:B77,"&lt;&gt;S090",'REB Consensus Profiles'!B2:B77,"&lt;&gt;S091")</x:f>
        <x:v>20</x:v>
      </x:c>
      <x:c r="D9" s="32" t="n">
        <x:f>C9/$C$2</x:f>
        <x:v>0.2702702702702703</x:v>
      </x:c>
      <x:c r="E9" s="21" t="str">
        <x:v>Count of studies meeting the dimension.</x:v>
      </x:c>
    </x:row>
    <x:row r="10" ht="15" hidden="0" customHeight="1">
      <x:c r="A10" s="21" t="str">
        <x:v>L8</x:v>
      </x:c>
      <x:c r="B10" s="21" t="n">
        <x:f>SUM('REB Consensus Profiles'!L2:L77)</x:f>
        <x:v>17</x:v>
      </x:c>
      <x:c r="C10" s="21" t="n">
        <x:f>SUMIFS('REB Consensus Profiles'!L2:L77,'REB Consensus Profiles'!B2:B77,"&lt;&gt;S090",'REB Consensus Profiles'!B2:B77,"&lt;&gt;S091")</x:f>
        <x:v>15</x:v>
      </x:c>
      <x:c r="D10" s="32" t="n">
        <x:f>C10/$C$2</x:f>
        <x:v>0.20270270270270271</x:v>
      </x:c>
      <x:c r="E10" s="21" t="str">
        <x:v>Count of studies meeting the dimension.</x:v>
      </x:c>
    </x:row>
    <x:row r="11" ht="15" hidden="0" customHeight="1">
      <x:c r="A11" s="21" t="str">
        <x:v>Mean R</x:v>
      </x:c>
      <x:c r="B11" s="33" t="n">
        <x:f>AVERAGE('REB Consensus Profiles'!M2:M77)</x:f>
        <x:v>0.6398026315789473</x:v>
      </x:c>
      <x:c r="C11" s="33" t="n">
        <x:f>SUMIFS('REB Consensus Profiles'!M2:M77,'REB Consensus Profiles'!B2:B77,"&lt;&gt;S090",'REB Consensus Profiles'!B2:B77,"&lt;&gt;S091")/$C$2</x:f>
        <x:v>0.6402027027027027</x:v>
      </x:c>
      <x:c r="D11" s="32"/>
      <x:c r="E11" s="21" t="str">
        <x:v>Descriptive score; secondary to the eight-component profile.</x:v>
      </x:c>
    </x:row>
    <x:row r="12" ht="15" hidden="0" customHeight="1">
      <x:c r="A12" s="21" t="str">
        <x:v>L5-L8 dimensions met: 0</x:v>
      </x:c>
      <x:c r="B12" s="21" t="n">
        <x:f>COUNTIF('REB Consensus Profiles'!N2:N77,0)</x:f>
        <x:v>7</x:v>
      </x:c>
      <x:c r="C12" s="21" t="n">
        <x:f>COUNTIFS('REB Consensus Profiles'!N2:N77,0,'REB Consensus Profiles'!B2:B77,"&lt;&gt;S090",'REB Consensus Profiles'!B2:B77,"&lt;&gt;S091")</x:f>
        <x:v>7</x:v>
      </x:c>
      <x:c r="D12" s="32" t="n">
        <x:f>C12/$C$2</x:f>
        <x:v>0.0945945945945946</x:v>
      </x:c>
      <x:c r="E12" s="21" t="str">
        <x:v>Study count.</x:v>
      </x:c>
    </x:row>
    <x:row r="13" ht="15" hidden="0" customHeight="1">
      <x:c r="A13" s="21" t="str">
        <x:v>L5-L8 dimensions met: 1</x:v>
      </x:c>
      <x:c r="B13" s="21" t="n">
        <x:f>COUNTIF('REB Consensus Profiles'!N2:N77,1)</x:f>
        <x:v>28</x:v>
      </x:c>
      <x:c r="C13" s="21" t="n">
        <x:f>COUNTIFS('REB Consensus Profiles'!N2:N77,1,'REB Consensus Profiles'!B2:B77,"&lt;&gt;S090",'REB Consensus Profiles'!B2:B77,"&lt;&gt;S091")</x:f>
        <x:v>27</x:v>
      </x:c>
      <x:c r="D13" s="32" t="n">
        <x:f>C13/$C$2</x:f>
        <x:v>0.36486486486486486</x:v>
      </x:c>
      <x:c r="E13" s="21" t="str">
        <x:v>Study count.</x:v>
      </x:c>
    </x:row>
    <x:row r="14" ht="15" hidden="0" customHeight="1">
      <x:c r="A14" s="21" t="str">
        <x:v>L5-L8 dimensions met: 2</x:v>
      </x:c>
      <x:c r="B14" s="21" t="n">
        <x:f>COUNTIF('REB Consensus Profiles'!N2:N77,2)</x:f>
        <x:v>24</x:v>
      </x:c>
      <x:c r="C14" s="21" t="n">
        <x:f>COUNTIFS('REB Consensus Profiles'!N2:N77,2,'REB Consensus Profiles'!B2:B77,"&lt;&gt;S090",'REB Consensus Profiles'!B2:B77,"&lt;&gt;S091")</x:f>
        <x:v>23</x:v>
      </x:c>
      <x:c r="D14" s="32" t="n">
        <x:f>C14/$C$2</x:f>
        <x:v>0.3108108108108108</x:v>
      </x:c>
      <x:c r="E14" s="21" t="str">
        <x:v>Study count.</x:v>
      </x:c>
    </x:row>
    <x:row r="15" ht="15" hidden="0" customHeight="1">
      <x:c r="A15" s="21" t="str">
        <x:v>L5-L8 dimensions met: 3</x:v>
      </x:c>
      <x:c r="B15" s="21" t="n">
        <x:f>COUNTIF('REB Consensus Profiles'!N2:N77,3)</x:f>
        <x:v>15</x:v>
      </x:c>
      <x:c r="C15" s="21" t="n">
        <x:f>COUNTIFS('REB Consensus Profiles'!N2:N77,3,'REB Consensus Profiles'!B2:B77,"&lt;&gt;S090",'REB Consensus Profiles'!B2:B77,"&lt;&gt;S091")</x:f>
        <x:v>15</x:v>
      </x:c>
      <x:c r="D15" s="32" t="n">
        <x:f>C15/$C$2</x:f>
        <x:v>0.20270270270270271</x:v>
      </x:c>
      <x:c r="E15" s="21" t="str">
        <x:v>Study count.</x:v>
      </x:c>
    </x:row>
    <x:row r="16" ht="15" hidden="0" customHeight="1">
      <x:c r="A16" s="21" t="str">
        <x:v>L5-L8 dimensions met: 4</x:v>
      </x:c>
      <x:c r="B16" s="21" t="n">
        <x:f>COUNTIF('REB Consensus Profiles'!N2:N77,4)</x:f>
        <x:v>2</x:v>
      </x:c>
      <x:c r="C16" s="21" t="n">
        <x:f>COUNTIFS('REB Consensus Profiles'!N2:N77,4,'REB Consensus Profiles'!B2:B77,"&lt;&gt;S090",'REB Consensus Profiles'!B2:B77,"&lt;&gt;S091")</x:f>
        <x:v>2</x:v>
      </x:c>
      <x:c r="D16" s="32" t="n">
        <x:f>C16/$C$2</x:f>
        <x:v>0.02702702702702703</x:v>
      </x:c>
      <x:c r="E16" s="21" t="str">
        <x:v>Study count.</x:v>
      </x:c>
    </x:row>
    <x:row r="17" ht="15" hidden="0" customHeight="1">
      <x:c r="A17" s="21" t="str">
        <x:v>Most frequent pattern 1-0-0-0</x:v>
      </x:c>
      <x:c r="B17" s="21" t="n">
        <x:f>COUNTIF('REB Consensus Profiles'!O2:O77,"1-0-0-0")</x:f>
        <x:v>21</x:v>
      </x:c>
      <x:c r="C17" s="21" t="n">
        <x:f>COUNTIFS('REB Consensus Profiles'!O2:O77,"1-0-0-0",'REB Consensus Profiles'!B2:B77,"&lt;&gt;S090",'REB Consensus Profiles'!B2:B77,"&lt;&gt;S091")</x:f>
        <x:v>21</x:v>
      </x:c>
      <x:c r="D17" s="32" t="n">
        <x:f>C17/$C$2</x:f>
        <x:v>0.28378378378378377</x:v>
      </x:c>
      <x:c r="E17" s="21" t="str">
        <x:v>Count; pattern identity is unchanged.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23" hidden="0" customWidth="1"/>
    <x:col min="4" max="4" width="27" hidden="0" customWidth="1"/>
    <x:col min="5" max="5" width="55" hidden="0" customWidth="1"/>
    <x:col min="6" max="6" width="65" hidden="0" customWidth="1"/>
    <x:col min="7" max="7" width="30" hidden="0" customWidth="1"/>
  </x:cols>
  <x:sheetData>
    <x:row r="1" ht="15" hidden="0" customHeight="1">
      <x:c r="A1" s="35" t="str">
        <x:v>Synthesis ID</x:v>
      </x:c>
      <x:c r="B1" s="35" t="str">
        <x:v>Study ID</x:v>
      </x:c>
      <x:c r="C1" s="35" t="str">
        <x:v>Citation</x:v>
      </x:c>
      <x:c r="D1" s="35" t="str">
        <x:v>Qualifying route</x:v>
      </x:c>
      <x:c r="E1" s="35" t="str">
        <x:v>Minimum endpoint</x:v>
      </x:c>
      <x:c r="F1" s="35" t="str">
        <x:v>Evidence basis</x:v>
      </x:c>
      <x:c r="G1" s="35" t="str">
        <x:v>Locator</x:v>
      </x:c>
    </x:row>
    <x:row r="2" ht="24" hidden="0" customHeight="1">
      <x:c r="A2" s="21" t="n">
        <x:v>11</x:v>
      </x:c>
      <x:c r="B2" s="21" t="str">
        <x:v>S014</x:v>
      </x:c>
      <x:c r="C2" s="21" t="str">
        <x:v>Dimo et al. (2025)</x:v>
      </x:c>
      <x:c r="D2" s="21" t="str">
        <x:v>Route A--direct interface</x:v>
      </x:c>
      <x:c r="E2" s="21" t="str">
        <x:v>Direct adhesion, peel, shear, pull-out, leakage, continuity, delamination, strain-transfer or interface-retention endpoint.</x:v>
      </x:c>
      <x:c r="F2" s="21" t="str">
        <x:v>Route A—direct interface: three pull-out specimens per material quantified the fibre–printed-host interface, with pull-out force exceeding 12 N without complete detachment.</x:v>
      </x:c>
      <x:c r="G2" s="21" t="str">
        <x:v>PDF pp. 4–15; Figs. 1–10; Tables 1–2</x:v>
      </x:c>
    </x:row>
    <x:row r="3" ht="24" hidden="0" customHeight="1">
      <x:c r="A3" s="21" t="n">
        <x:v>14</x:v>
      </x:c>
      <x:c r="B3" s="21" t="str">
        <x:v>S018</x:v>
      </x:c>
      <x:c r="C3" s="21" t="str">
        <x:v>Vu et al. (2025)</x:v>
      </x:c>
      <x:c r="D3" s="21" t="str">
        <x:v>Route B--integrated assembly</x:v>
      </x:c>
      <x:c r="E3" s="21" t="str">
        <x:v>Repeated application-relevant testing of the final assembly with a defined retention or failure endpoint.</x:v>
      </x:c>
      <x:c r="F3" s="21" t="str">
        <x:v>Route B—integrated assembly: the final insole completed repeated loaded steps and the pneumatic chambers remained airtight and intact throughout the reported loading sequence.</x:v>
      </x:c>
      <x:c r="G3" s="21" t="str">
        <x:v>PDF pp. 3–11; Figs. 1–6; Table 1</x:v>
      </x:c>
    </x:row>
    <x:row r="4" ht="24" hidden="0" customHeight="1">
      <x:c r="A4" s="21" t="n">
        <x:v>17</x:v>
      </x:c>
      <x:c r="B4" s="21" t="str">
        <x:v>S021</x:v>
      </x:c>
      <x:c r="C4" s="21" t="str">
        <x:v>Li et al. (2026)</x:v>
      </x:c>
      <x:c r="D4" s="21" t="str">
        <x:v>Route B--integrated assembly</x:v>
      </x:c>
      <x:c r="E4" s="21" t="str">
        <x:v>Repeated application-relevant testing of the final assembly with a defined retention or failure endpoint.</x:v>
      </x:c>
      <x:c r="F4" s="21" t="str">
        <x:v>Route B—integrated assembly: the data glove was removed and re-worn for a separate-session validation, with retained classification performance reported after reapplication.</x:v>
      </x:c>
      <x:c r="G4" s="21" t="str">
        <x:v>PDF pp. 3–12; Figs. 1–8; Table 1</x:v>
      </x:c>
    </x:row>
    <x:row r="5" ht="24" hidden="0" customHeight="1">
      <x:c r="A5" s="21" t="n">
        <x:v>20</x:v>
      </x:c>
      <x:c r="B5" s="21" t="str">
        <x:v>S024</x:v>
      </x:c>
      <x:c r="C5" s="21" t="str">
        <x:v>Han et al. (2026)</x:v>
      </x:c>
      <x:c r="D5" s="21" t="str">
        <x:v>Route A--direct interface</x:v>
      </x:c>
      <x:c r="E5" s="21" t="str">
        <x:v>Direct adhesion, peel, shear, pull-out, leakage, continuity, delamination, strain-transfer or interface-retention endpoint.</x:v>
      </x:c>
      <x:c r="F5" s="21" t="str">
        <x:v>Route A—direct interface: lap-shear testing quantified adhesion between the conductive TPU layer and the pressure-sensitive adhesive encapsulation.</x:v>
      </x:c>
      <x:c r="G5" s="21" t="str">
        <x:v>PDF pp. 2–11; Figs. 1–6; cited SI</x:v>
      </x:c>
    </x:row>
    <x:row r="6" ht="36" hidden="0" customHeight="1">
      <x:c r="A6" s="21" t="n">
        <x:v>26</x:v>
      </x:c>
      <x:c r="B6" s="21" t="str">
        <x:v>S033</x:v>
      </x:c>
      <x:c r="C6" s="21" t="str">
        <x:v>Yu et al. (2020)</x:v>
      </x:c>
      <x:c r="D6" s="21" t="str">
        <x:v>Route A--direct interface</x:v>
      </x:c>
      <x:c r="E6" s="21" t="str">
        <x:v>Direct adhesion, peel, shear, pull-out, leakage, continuity, delamination, strain-transfer or interface-retention endpoint.</x:v>
      </x:c>
      <x:c r="F6" s="21" t="str">
        <x:v>Route A—direct interface: peel-off force was measured for coated, embedded and unmodified TPE sensing units pressed against test tape, directly evaluating retention of the CNT–TPE sensing interface.</x:v>
      </x:c>
      <x:c r="G6" s="21" t="str">
        <x:v>S033_Supplement_01.pdf, p. 2, Fig. S2; S033_Main.pdf, physical pp. 5–7</x:v>
      </x:c>
    </x:row>
    <x:row r="7" ht="36" hidden="0" customHeight="1">
      <x:c r="A7" s="21" t="n">
        <x:v>27</x:v>
      </x:c>
      <x:c r="B7" s="21" t="str">
        <x:v>S034</x:v>
      </x:c>
      <x:c r="C7" s="21" t="str">
        <x:v>Zhang et al. (2026)</x:v>
      </x:c>
      <x:c r="D7" s="21" t="str">
        <x:v>Route A--direct interface</x:v>
      </x:c>
      <x:c r="E7" s="21" t="str">
        <x:v>Direct adhesion, peel, shear, pull-out, leakage, continuity, delamination, strain-transfer or interface-retention endpoint.</x:v>
      </x:c>
      <x:c r="F7" s="21" t="str">
        <x:v>Route A—direct interface: leakage was monitored during repeated wash/reuse cycles of the fused microfluidic-on-fabric structure; fabric devices remained functional for 60–70 cycles and the complete platform retained stable voltage readings over 30 reuse cycles.</x:v>
      </x:c>
      <x:c r="G7" s="21" t="str">
        <x:v>S034_Main.pdf, physical pp. 4–7, Figs. 1C and 3B–D</x:v>
      </x:c>
    </x:row>
    <x:row r="8" ht="36" hidden="0" customHeight="1">
      <x:c r="A8" s="21" t="n">
        <x:v>29</x:v>
      </x:c>
      <x:c r="B8" s="21" t="str">
        <x:v>S036</x:v>
      </x:c>
      <x:c r="C8" s="21" t="str">
        <x:v>Xuan et al. (2026)</x:v>
      </x:c>
      <x:c r="D8" s="21" t="str">
        <x:v>Route B--integrated assembly</x:v>
      </x:c>
      <x:c r="E8" s="21" t="str">
        <x:v>Repeated application-relevant testing of the final assembly with a defined retention or failure endpoint.</x:v>
      </x:c>
      <x:c r="F8" s="21" t="str">
        <x:v>Route B—integrated assembly: the attached sweat-rate device was monitored until the explicit system-capacity failure endpoint at approximately 2200 seconds.</x:v>
      </x:c>
      <x:c r="G8" s="21" t="str">
        <x:v>S036_Main.pdf, physical p. 3, assembly/cycling protocol; pp. 9–10, on-body section and Fig. 6</x:v>
      </x:c>
    </x:row>
    <x:row r="9" ht="24" hidden="0" customHeight="1">
      <x:c r="A9" s="21" t="n">
        <x:v>36</x:v>
      </x:c>
      <x:c r="B9" s="21" t="str">
        <x:v>S047</x:v>
      </x:c>
      <x:c r="C9" s="21" t="str">
        <x:v>Shin et al. (2025)</x:v>
      </x:c>
      <x:c r="D9" s="21" t="str">
        <x:v>Route B--integrated assembly</x:v>
      </x:c>
      <x:c r="E9" s="21" t="str">
        <x:v>Repeated application-relevant testing of the final assembly with a defined retention or failure endpoint.</x:v>
      </x:c>
      <x:c r="F9" s="21" t="str">
        <x:v>Route B—integrated assembly: interface pressure was monitored during the wear trial and maintained within the stated 15–25 mmHg range, with strap adjustment recorded.</x:v>
      </x:c>
      <x:c r="G9" s="21" t="str">
        <x:v>S047_Main.pdf, physical p. 6, clinical protocol; pp. 9–10, section 3.2.1 and Fig. 9</x:v>
      </x:c>
    </x:row>
    <x:row r="10" ht="36" hidden="0" customHeight="1">
      <x:c r="A10" s="21" t="n">
        <x:v>37</x:v>
      </x:c>
      <x:c r="B10" s="21" t="str">
        <x:v>S048</x:v>
      </x:c>
      <x:c r="C10" s="21" t="str">
        <x:v>Gunasekaran et al. (2022)</x:v>
      </x:c>
      <x:c r="D10" s="21" t="str">
        <x:v>Route A--direct interface</x:v>
      </x:c>
      <x:c r="E10" s="21" t="str">
        <x:v>Direct adhesion, peel, shear, pull-out, leakage, continuity, delamination, strain-transfer or interface-retention endpoint.</x:v>
      </x:c>
      <x:c r="F10" s="21" t="str">
        <x:v>Route A—direct interface: surface- and interface-embedded graphene/TPU samples underwent four hours of solvent ultrasonication with resistance monitoring and inspection for delamination, shedding, swelling and retained graphene at the interface.</x:v>
      </x:c>
      <x:c r="G10" s="21" t="str">
        <x:v>S048_Main.pdf, physical pp. 3–6, Fig. 4; Supplementary Figs. S7–S8</x:v>
      </x:c>
    </x:row>
    <x:row r="11" ht="24" hidden="0" customHeight="1">
      <x:c r="A11" s="21" t="n">
        <x:v>46</x:v>
      </x:c>
      <x:c r="B11" s="21" t="str">
        <x:v>S058</x:v>
      </x:c>
      <x:c r="C11" s="21" t="str">
        <x:v>Yang et al. (2026)</x:v>
      </x:c>
      <x:c r="D11" s="21" t="str">
        <x:v>Route B--integrated assembly</x:v>
      </x:c>
      <x:c r="E11" s="21" t="str">
        <x:v>Repeated application-relevant testing of the final assembly with a defined retention or failure endpoint.</x:v>
      </x:c>
      <x:c r="F11" s="21" t="str">
        <x:v>Route B—integrated assembly: a seven-day wear trial was documented and the reliability assessment reported no structural damage, delamination or output failure.</x:v>
      </x:c>
      <x:c r="G11" s="21" t="str">
        <x:v>S058_Supplement_01.docx, Fig. S7c; S058_Main.pdf, physical pp. 8 and 12</x:v>
      </x:c>
    </x:row>
    <x:row r="12" ht="36" hidden="0" customHeight="1">
      <x:c r="A12" s="21" t="n">
        <x:v>47</x:v>
      </x:c>
      <x:c r="B12" s="21" t="str">
        <x:v>S059</x:v>
      </x:c>
      <x:c r="C12" s="21" t="str">
        <x:v>Saroli et al. (2026)</x:v>
      </x:c>
      <x:c r="D12" s="21" t="str">
        <x:v>Route B--integrated assembly</x:v>
      </x:c>
      <x:c r="E12" s="21" t="str">
        <x:v>Repeated application-relevant testing of the final assembly with a defined retention or failure endpoint.</x:v>
      </x:c>
      <x:c r="F12" s="21" t="str">
        <x:v>Route B—integrated assembly: the encapsulated Int1 configuration completed 1000 loading cycles with continuous output, no spikes, signal loss or visible mechanical damage; baseline drift and retained structural integrity were explicitly reported.</x:v>
      </x:c>
      <x:c r="G12" s="21" t="str">
        <x:v>S059_Main.pdf, physical pp. 7–8, Fig. 3C</x:v>
      </x:c>
    </x:row>
    <x:row r="13" ht="36" hidden="0" customHeight="1">
      <x:c r="A13" s="21" t="n">
        <x:v>51</x:v>
      </x:c>
      <x:c r="B13" s="21" t="str">
        <x:v>S064</x:v>
      </x:c>
      <x:c r="C13" s="21" t="str">
        <x:v>Tao et al. (2026)</x:v>
      </x:c>
      <x:c r="D13" s="21" t="str">
        <x:v>Route A--direct interface</x:v>
      </x:c>
      <x:c r="E13" s="21" t="str">
        <x:v>Direct adhesion, peel, shear, pull-out, leakage, continuity, delamination, strain-transfer or interface-retention endpoint.</x:v>
      </x:c>
      <x:c r="F13" s="21" t="str">
        <x:v>Route A—direct integration: repeated impact testing compared surface-mounted and embedded sensors; the surface-mounted layer crushed, fragmented and peeled, whereas the embedded sensor survived and retained functional stability.</x:v>
      </x:c>
      <x:c r="G13" s="21" t="str">
        <x:v>S064_Main.pdf, physical pp. 6–8, Figs. 4–6</x:v>
      </x:c>
    </x:row>
    <x:row r="14" ht="24" hidden="0" customHeight="1">
      <x:c r="A14" s="21" t="n">
        <x:v>52</x:v>
      </x:c>
      <x:c r="B14" s="21" t="str">
        <x:v>S065</x:v>
      </x:c>
      <x:c r="C14" s="21" t="str">
        <x:v>Han et al. (2026)</x:v>
      </x:c>
      <x:c r="D14" s="21" t="str">
        <x:v>Route B--integrated assembly</x:v>
      </x:c>
      <x:c r="E14" s="21" t="str">
        <x:v>Repeated application-relevant testing of the final assembly with a defined retention or failure endpoint.</x:v>
      </x:c>
      <x:c r="F14" s="21" t="str">
        <x:v>Route B—integrated assembly: repeated attached-sensor bending was evaluated with no delamination or loss of sensitivity, consistent cycle responses and SNR of 34.12 ± 0.72.</x:v>
      </x:c>
      <x:c r="G14" s="21" t="str">
        <x:v>S065_Main.pdf, physical pp. 8–9, section 3.4 and Fig. 7c–d</x:v>
      </x:c>
    </x:row>
    <x:row r="15" ht="24" hidden="0" customHeight="1">
      <x:c r="A15" s="21" t="n">
        <x:v>53</x:v>
      </x:c>
      <x:c r="B15" s="21" t="str">
        <x:v>S066</x:v>
      </x:c>
      <x:c r="C15" s="21" t="str">
        <x:v>Saroli et al. (2026)</x:v>
      </x:c>
      <x:c r="D15" s="21" t="str">
        <x:v>Route B--integrated assembly</x:v>
      </x:c>
      <x:c r="E15" s="21" t="str">
        <x:v>Repeated application-relevant testing of the final assembly with a defined retention or failure endpoint.</x:v>
      </x:c>
      <x:c r="F15" s="21" t="str">
        <x:v>Route B—integrated assembly: the complete chest-strap system was monitored for approximately 42 minutes; stable amplitude, no evident drift and no loss of periodicity were reported.</x:v>
      </x:c>
      <x:c r="G15" s="21" t="str">
        <x:v>S066_Main.pdf, physical p. 5, assembly; pp. 7–8, section V.C and Fig. 6</x:v>
      </x:c>
    </x:row>
    <x:row r="16" ht="36" hidden="0" customHeight="1">
      <x:c r="A16" s="21" t="n">
        <x:v>56</x:v>
      </x:c>
      <x:c r="B16" s="21" t="str">
        <x:v>S069</x:v>
      </x:c>
      <x:c r="C16" s="21" t="str">
        <x:v>Babu et al. (2025)</x:v>
      </x:c>
      <x:c r="D16" s="21" t="str">
        <x:v>Route A--direct interface</x:v>
      </x:c>
      <x:c r="E16" s="21" t="str">
        <x:v>Direct adhesion, peel, shear, pull-out, leakage, continuity, delamination, strain-transfer or interface-retention endpoint.</x:v>
      </x:c>
      <x:c r="F16" s="21" t="str">
        <x:v>Route A—direct interface: the printed-polypropylene/conductive-fabric bond was evaluated using the DIN EN ISO 11339 T-peel method. The study also reported stable output over 20,000 cycles and no delamination during repeated operation.</x:v>
      </x:c>
      <x:c r="G16" s="21" t="str">
        <x:v>S069_Main.pdf, physical pp. 11–13, Fig. 10f–g; Supplementary Fig. S11</x:v>
      </x:c>
    </x:row>
    <x:row r="17" ht="36" hidden="0" customHeight="1">
      <x:c r="A17" s="21" t="n">
        <x:v>58</x:v>
      </x:c>
      <x:c r="B17" s="21" t="str">
        <x:v>S071</x:v>
      </x:c>
      <x:c r="C17" s="21" t="str">
        <x:v>Luo et al. (2025)</x:v>
      </x:c>
      <x:c r="D17" s="21" t="str">
        <x:v>Route A--direct interface</x:v>
      </x:c>
      <x:c r="E17" s="21" t="str">
        <x:v>Direct adhesion, peel, shear, pull-out, leakage, continuity, delamination, strain-transfer or interface-retention endpoint.</x:v>
      </x:c>
      <x:c r="F17" s="21" t="str">
        <x:v>Route A—direct interface: after 1000 compression cycles, coating integrity was inspected by SEM; the graphene layer remained attached to the TPU substrate without large-scale delamination, peeling or shedding.</x:v>
      </x:c>
      <x:c r="G17" s="21" t="str">
        <x:v>S071_Main.pdf, physical pp. 5–6, Fig. 6f–g</x:v>
      </x:c>
    </x:row>
    <x:row r="18" ht="36" hidden="0" customHeight="1">
      <x:c r="A18" s="21" t="n">
        <x:v>62</x:v>
      </x:c>
      <x:c r="B18" s="21" t="str">
        <x:v>S076</x:v>
      </x:c>
      <x:c r="C18" s="21" t="str">
        <x:v>Meena et al. (2025)</x:v>
      </x:c>
      <x:c r="D18" s="21" t="str">
        <x:v>Route B--integrated assembly</x:v>
      </x:c>
      <x:c r="E18" s="21" t="str">
        <x:v>Repeated application-relevant testing of the final assembly with a defined retention or failure endpoint.</x:v>
      </x:c>
      <x:c r="F18" s="21" t="str">
        <x:v>Route B—integrated assembly: the assembled nanogenerator completed 1000 cycles with peak voltage retained within 95% ± 3% of its initial value; supplementary testing extended the stability observation to about 5000 cycles.</x:v>
      </x:c>
      <x:c r="G18" s="21" t="str">
        <x:v>S076_Main.pdf, physical pp. 6–7, Fig. 5g; Supplementary Fig. S9</x:v>
      </x:c>
    </x:row>
    <x:row r="19" ht="36" hidden="0" customHeight="1">
      <x:c r="A19" s="21" t="n">
        <x:v>65</x:v>
      </x:c>
      <x:c r="B19" s="21" t="str">
        <x:v>S079</x:v>
      </x:c>
      <x:c r="C19" s="21" t="str">
        <x:v>Han et al. (2024)</x:v>
      </x:c>
      <x:c r="D19" s="21" t="str">
        <x:v>Route B--integrated assembly</x:v>
      </x:c>
      <x:c r="E19" s="21" t="str">
        <x:v>Repeated application-relevant testing of the final assembly with a defined retention or failure endpoint.</x:v>
      </x:c>
      <x:c r="F19" s="21" t="str">
        <x:v>Route B—integrated assembly: the sensor retained approximately 70% ± 5% resistance change during the same bending motion after high-temperature, low-temperature and water-conditioning procedures, with minimal response change.</x:v>
      </x:c>
      <x:c r="G19" s="21" t="str">
        <x:v>S079_Main.pdf, physical pp. 10–11, Fig. 7b and discussion of Supplementary Fig. S15</x:v>
      </x:c>
    </x:row>
    <x:row r="20" ht="36" hidden="0" customHeight="1">
      <x:c r="A20" s="21" t="n">
        <x:v>70</x:v>
      </x:c>
      <x:c r="B20" s="21" t="str">
        <x:v>S085</x:v>
      </x:c>
      <x:c r="C20" s="21" t="str">
        <x:v>Li et al. (2022)</x:v>
      </x:c>
      <x:c r="D20" s="21" t="str">
        <x:v>Route A--direct interface</x:v>
      </x:c>
      <x:c r="E20" s="21" t="str">
        <x:v>Direct adhesion, peel, shear, pull-out, leakage, continuity, delamination, strain-transfer or interface-retention endpoint.</x:v>
      </x:c>
      <x:c r="F20" s="21" t="str">
        <x:v>Route A—direct interface: after 3000 tensile cycles, the printed CBP/TPU sensing structure remained intact and fitted to the TPU-film substrate while the response maxima remained approximately steady.</x:v>
      </x:c>
      <x:c r="G20" s="21" t="str">
        <x:v>S085_Main.pdf, physical pp. 9–10, Figs. 15–16</x:v>
      </x:c>
    </x:row>
    <x:row r="21" ht="36" hidden="0" customHeight="1">
      <x:c r="A21" s="21" t="n">
        <x:v>72</x:v>
      </x:c>
      <x:c r="B21" s="21" t="str">
        <x:v>S087</x:v>
      </x:c>
      <x:c r="C21" s="21" t="str">
        <x:v>Ma et al. (2021)</x:v>
      </x:c>
      <x:c r="D21" s="21" t="str">
        <x:v>Route A--direct interface</x:v>
      </x:c>
      <x:c r="E21" s="21" t="str">
        <x:v>Direct adhesion, peel, shear, pull-out, leakage, continuity, delamination, strain-transfer or interface-retention endpoint.</x:v>
      </x:c>
      <x:c r="F21" s="21" t="str">
        <x:v>Route A—direct interface: standardized tape peel testing measured peel force and graphene transfer, demonstrating stronger graphene–SEBS adhesion for the surface-filled structure than for the surface-coated comparator.</x:v>
      </x:c>
      <x:c r="G21" s="21" t="str">
        <x:v>S087_Main.pdf, physical pp. 3–4, Fig. 1 and Supplementary Figs. S3–S4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1" hidden="0" customWidth="1"/>
    <x:col min="3" max="3" width="24" hidden="0" customWidth="1"/>
    <x:col min="4" max="4" width="15" hidden="0" customWidth="1"/>
    <x:col min="5" max="5" width="7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13" hidden="0" customWidth="1"/>
    <x:col min="14" max="14" width="13" hidden="0" customWidth="1"/>
    <x:col min="15" max="15" width="16" hidden="0" customWidth="1"/>
  </x:cols>
  <x:sheetData>
    <x:row r="1" ht="15" hidden="0" customHeight="1">
      <x:c r="A1" s="40" t="str">
        <x:v>Synthesis ID</x:v>
      </x:c>
      <x:c r="B1" s="40" t="str">
        <x:v>Study ID</x:v>
      </x:c>
      <x:c r="C1" s="40" t="str">
        <x:v>Citation</x:v>
      </x:c>
      <x:c r="D1" s="40" t="str">
        <x:v>Scenario</x:v>
      </x:c>
      <x:c r="E1" s="40" t="str">
        <x:v>L1</x:v>
      </x:c>
      <x:c r="F1" s="40" t="str">
        <x:v>L2</x:v>
      </x:c>
      <x:c r="G1" s="40" t="str">
        <x:v>L3</x:v>
      </x:c>
      <x:c r="H1" s="40" t="str">
        <x:v>L4</x:v>
      </x:c>
      <x:c r="I1" s="40" t="str">
        <x:v>L5</x:v>
      </x:c>
      <x:c r="J1" s="40" t="str">
        <x:v>L6</x:v>
      </x:c>
      <x:c r="K1" s="40" t="str">
        <x:v>L7</x:v>
      </x:c>
      <x:c r="L1" s="40" t="str">
        <x:v>L8</x:v>
      </x:c>
      <x:c r="M1" s="40" t="str">
        <x:v>R</x:v>
      </x:c>
      <x:c r="N1" s="40" t="str">
        <x:v>L5-L8 count</x:v>
      </x:c>
      <x:c r="O1" s="40" t="str">
        <x:v>L5-L8 pattern</x:v>
      </x:c>
    </x:row>
    <x:row r="2" ht="15" hidden="0" customHeight="1">
      <x:c r="A2" s="21" t="n">
        <x:v>1</x:v>
      </x:c>
      <x:c r="B2" s="21" t="str">
        <x:v>S001</x:v>
      </x:c>
      <x:c r="C2" s="21" t="str">
        <x:v>Leal-Junior et al. (2025)</x:v>
      </x:c>
      <x:c r="D2" s="21" t="str">
        <x:v>Primary</x:v>
      </x:c>
      <x:c r="E2" s="21" t="n">
        <x:v>0</x:v>
      </x:c>
      <x:c r="F2" s="21" t="n">
        <x:v>1</x:v>
      </x:c>
      <x:c r="G2" s="21" t="n">
        <x:v>1</x:v>
      </x:c>
      <x:c r="H2" s="21" t="n">
        <x:v>1</x:v>
      </x:c>
      <x:c r="I2" s="21" t="n">
        <x:v>1</x:v>
      </x:c>
      <x:c r="J2" s="21" t="n">
        <x:v>0</x:v>
      </x:c>
      <x:c r="K2" s="21" t="n">
        <x:v>0</x:v>
      </x:c>
      <x:c r="L2" s="21" t="n">
        <x:v>0</x:v>
      </x:c>
      <x:c r="M2" s="33" t="n">
        <x:f>SUM(E2:L2)/8</x:f>
        <x:v>0.5</x:v>
      </x:c>
      <x:c r="N2" s="21" t="n">
        <x:f>SUM(I2:L2)</x:f>
        <x:v>1</x:v>
      </x:c>
      <x:c r="O2" s="21" t="str">
        <x:f>I2&amp;"-"&amp;J2&amp;"-"&amp;K2&amp;"-"&amp;L2</x:f>
        <x:v>1-0-0-0</x:v>
      </x:c>
    </x:row>
    <x:row r="3" ht="15" hidden="0" customHeight="1">
      <x:c r="A3" s="21" t="n">
        <x:v>2</x:v>
      </x:c>
      <x:c r="B3" s="21" t="str">
        <x:v>S002</x:v>
      </x:c>
      <x:c r="C3" s="21" t="str">
        <x:v>Koukouviti et al. (2022)</x:v>
      </x:c>
      <x:c r="D3" s="21" t="str">
        <x:v>Primary</x:v>
      </x:c>
      <x:c r="E3" s="21" t="n">
        <x:v>0</x:v>
      </x:c>
      <x:c r="F3" s="21" t="n">
        <x:v>1</x:v>
      </x:c>
      <x:c r="G3" s="21" t="n">
        <x:v>1</x:v>
      </x:c>
      <x:c r="H3" s="21" t="n">
        <x:v>1</x:v>
      </x:c>
      <x:c r="I3" s="21" t="n">
        <x:v>1</x:v>
      </x:c>
      <x:c r="J3" s="21" t="n">
        <x:v>1</x:v>
      </x:c>
      <x:c r="K3" s="21" t="n">
        <x:v>0</x:v>
      </x:c>
      <x:c r="L3" s="21" t="n">
        <x:v>1</x:v>
      </x:c>
      <x:c r="M3" s="33" t="n">
        <x:f>SUM(E3:L3)/8</x:f>
        <x:v>0.75</x:v>
      </x:c>
      <x:c r="N3" s="21" t="n">
        <x:f>SUM(I3:L3)</x:f>
        <x:v>3</x:v>
      </x:c>
      <x:c r="O3" s="21" t="str">
        <x:f>I3&amp;"-"&amp;J3&amp;"-"&amp;K3&amp;"-"&amp;L3</x:f>
        <x:v>1-1-0-1</x:v>
      </x:c>
    </x:row>
    <x:row r="4" ht="15" hidden="0" customHeight="1">
      <x:c r="A4" s="21" t="n">
        <x:v>3</x:v>
      </x:c>
      <x:c r="B4" s="21" t="str">
        <x:v>S004</x:v>
      </x:c>
      <x:c r="C4" s="21" t="str">
        <x:v>Farid et al. (2025)</x:v>
      </x:c>
      <x:c r="D4" s="21" t="str">
        <x:v>Primary</x:v>
      </x:c>
      <x:c r="E4" s="21" t="n">
        <x:v>1</x:v>
      </x:c>
      <x:c r="F4" s="21" t="n">
        <x:v>1</x:v>
      </x:c>
      <x:c r="G4" s="21" t="n">
        <x:v>1</x:v>
      </x:c>
      <x:c r="H4" s="21" t="n">
        <x:v>1</x:v>
      </x:c>
      <x:c r="I4" s="21" t="n">
        <x:v>1</x:v>
      </x:c>
      <x:c r="J4" s="21" t="n">
        <x:v>0</x:v>
      </x:c>
      <x:c r="K4" s="21" t="n">
        <x:v>0</x:v>
      </x:c>
      <x:c r="L4" s="21" t="n">
        <x:v>0</x:v>
      </x:c>
      <x:c r="M4" s="33" t="n">
        <x:f>SUM(E4:L4)/8</x:f>
        <x:v>0.625</x:v>
      </x:c>
      <x:c r="N4" s="21" t="n">
        <x:f>SUM(I4:L4)</x:f>
        <x:v>1</x:v>
      </x:c>
      <x:c r="O4" s="21" t="str">
        <x:f>I4&amp;"-"&amp;J4&amp;"-"&amp;K4&amp;"-"&amp;L4</x:f>
        <x:v>1-0-0-0</x:v>
      </x:c>
    </x:row>
    <x:row r="5" ht="15" hidden="0" customHeight="1">
      <x:c r="A5" s="21" t="n">
        <x:v>4</x:v>
      </x:c>
      <x:c r="B5" s="21" t="str">
        <x:v>S005</x:v>
      </x:c>
      <x:c r="C5" s="21" t="str">
        <x:v>Tavares et al. (2022)</x:v>
      </x:c>
      <x:c r="D5" s="21" t="str">
        <x:v>Primary</x:v>
      </x:c>
      <x:c r="E5" s="21" t="n">
        <x:v>0</x:v>
      </x:c>
      <x:c r="F5" s="21" t="n">
        <x:v>1</x:v>
      </x:c>
      <x:c r="G5" s="21" t="n">
        <x:v>1</x:v>
      </x:c>
      <x:c r="H5" s="21" t="n">
        <x:v>1</x:v>
      </x:c>
      <x:c r="I5" s="21" t="n">
        <x:v>0</x:v>
      </x:c>
      <x:c r="J5" s="21" t="n">
        <x:v>0</x:v>
      </x:c>
      <x:c r="K5" s="21" t="n">
        <x:v>0</x:v>
      </x:c>
      <x:c r="L5" s="21" t="n">
        <x:v>0</x:v>
      </x:c>
      <x:c r="M5" s="33" t="n">
        <x:f>SUM(E5:L5)/8</x:f>
        <x:v>0.375</x:v>
      </x:c>
      <x:c r="N5" s="21" t="n">
        <x:f>SUM(I5:L5)</x:f>
        <x:v>0</x:v>
      </x:c>
      <x:c r="O5" s="21" t="str">
        <x:f>I5&amp;"-"&amp;J5&amp;"-"&amp;K5&amp;"-"&amp;L5</x:f>
        <x:v>0-0-0-0</x:v>
      </x:c>
    </x:row>
    <x:row r="6" ht="15" hidden="0" customHeight="1">
      <x:c r="A6" s="21" t="n">
        <x:v>5</x:v>
      </x:c>
      <x:c r="B6" s="21" t="str">
        <x:v>S007</x:v>
      </x:c>
      <x:c r="C6" s="21" t="str">
        <x:v>Velcescu et al. (2019)</x:v>
      </x:c>
      <x:c r="D6" s="21" t="str">
        <x:v>Primary</x:v>
      </x:c>
      <x:c r="E6" s="21" t="n">
        <x:v>1</x:v>
      </x:c>
      <x:c r="F6" s="21" t="n">
        <x:v>1</x:v>
      </x:c>
      <x:c r="G6" s="21" t="n">
        <x:v>1</x:v>
      </x:c>
      <x:c r="H6" s="21" t="n">
        <x:v>1</x:v>
      </x:c>
      <x:c r="I6" s="21" t="n">
        <x:v>0</x:v>
      </x:c>
      <x:c r="J6" s="21" t="n">
        <x:v>1</x:v>
      </x:c>
      <x:c r="K6" s="21" t="n">
        <x:v>0</x:v>
      </x:c>
      <x:c r="L6" s="21" t="n">
        <x:v>0</x:v>
      </x:c>
      <x:c r="M6" s="33" t="n">
        <x:f>SUM(E6:L6)/8</x:f>
        <x:v>0.625</x:v>
      </x:c>
      <x:c r="N6" s="21" t="n">
        <x:f>SUM(I6:L6)</x:f>
        <x:v>1</x:v>
      </x:c>
      <x:c r="O6" s="21" t="str">
        <x:f>I6&amp;"-"&amp;J6&amp;"-"&amp;K6&amp;"-"&amp;L6</x:f>
        <x:v>0-1-0-0</x:v>
      </x:c>
    </x:row>
    <x:row r="7" ht="15" hidden="0" customHeight="1">
      <x:c r="A7" s="21" t="n">
        <x:v>6</x:v>
      </x:c>
      <x:c r="B7" s="21" t="str">
        <x:v>S008</x:v>
      </x:c>
      <x:c r="C7" s="21" t="str">
        <x:v>Kim et al. (2022)</x:v>
      </x:c>
      <x:c r="D7" s="21" t="str">
        <x:v>Primary</x:v>
      </x:c>
      <x:c r="E7" s="21" t="n">
        <x:v>1</x:v>
      </x:c>
      <x:c r="F7" s="21" t="n">
        <x:v>1</x:v>
      </x:c>
      <x:c r="G7" s="21" t="n">
        <x:v>1</x:v>
      </x:c>
      <x:c r="H7" s="21" t="n">
        <x:v>1</x:v>
      </x:c>
      <x:c r="I7" s="21" t="n">
        <x:v>0</x:v>
      </x:c>
      <x:c r="J7" s="21" t="n">
        <x:v>0</x:v>
      </x:c>
      <x:c r="K7" s="21" t="n">
        <x:v>0</x:v>
      </x:c>
      <x:c r="L7" s="21" t="n">
        <x:v>0</x:v>
      </x:c>
      <x:c r="M7" s="33" t="n">
        <x:f>SUM(E7:L7)/8</x:f>
        <x:v>0.5</x:v>
      </x:c>
      <x:c r="N7" s="21" t="n">
        <x:f>SUM(I7:L7)</x:f>
        <x:v>0</x:v>
      </x:c>
      <x:c r="O7" s="21" t="str">
        <x:f>I7&amp;"-"&amp;J7&amp;"-"&amp;K7&amp;"-"&amp;L7</x:f>
        <x:v>0-0-0-0</x:v>
      </x:c>
    </x:row>
    <x:row r="8" ht="15" hidden="0" customHeight="1">
      <x:c r="A8" s="21" t="n">
        <x:v>7</x:v>
      </x:c>
      <x:c r="B8" s="21" t="str">
        <x:v>S010</x:v>
      </x:c>
      <x:c r="C8" s="21" t="str">
        <x:v>Mutlu et al. (2023)</x:v>
      </x:c>
      <x:c r="D8" s="21" t="str">
        <x:v>Primary</x:v>
      </x:c>
      <x:c r="E8" s="21" t="n">
        <x:v>1</x:v>
      </x:c>
      <x:c r="F8" s="21" t="n">
        <x:v>1</x:v>
      </x:c>
      <x:c r="G8" s="21" t="n">
        <x:v>1</x:v>
      </x:c>
      <x:c r="H8" s="21" t="n">
        <x:v>1</x:v>
      </x:c>
      <x:c r="I8" s="21" t="n">
        <x:v>1</x:v>
      </x:c>
      <x:c r="J8" s="21" t="n">
        <x:v>0</x:v>
      </x:c>
      <x:c r="K8" s="21" t="n">
        <x:v>0</x:v>
      </x:c>
      <x:c r="L8" s="21" t="n">
        <x:v>0</x:v>
      </x:c>
      <x:c r="M8" s="33" t="n">
        <x:f>SUM(E8:L8)/8</x:f>
        <x:v>0.625</x:v>
      </x:c>
      <x:c r="N8" s="21" t="n">
        <x:f>SUM(I8:L8)</x:f>
        <x:v>1</x:v>
      </x:c>
      <x:c r="O8" s="21" t="str">
        <x:f>I8&amp;"-"&amp;J8&amp;"-"&amp;K8&amp;"-"&amp;L8</x:f>
        <x:v>1-0-0-0</x:v>
      </x:c>
    </x:row>
    <x:row r="9" ht="15" hidden="0" customHeight="1">
      <x:c r="A9" s="21" t="n">
        <x:v>8</x:v>
      </x:c>
      <x:c r="B9" s="21" t="str">
        <x:v>S011</x:v>
      </x:c>
      <x:c r="C9" s="21" t="str">
        <x:v>Samarentsis et al. (2022)</x:v>
      </x:c>
      <x:c r="D9" s="21" t="str">
        <x:v>Primary</x:v>
      </x:c>
      <x:c r="E9" s="21" t="n">
        <x:v>1</x:v>
      </x:c>
      <x:c r="F9" s="21" t="n">
        <x:v>1</x:v>
      </x:c>
      <x:c r="G9" s="21" t="n">
        <x:v>1</x:v>
      </x:c>
      <x:c r="H9" s="21" t="n">
        <x:v>1</x:v>
      </x:c>
      <x:c r="I9" s="21" t="n">
        <x:v>1</x:v>
      </x:c>
      <x:c r="J9" s="21" t="n">
        <x:v>0</x:v>
      </x:c>
      <x:c r="K9" s="21" t="n">
        <x:v>0</x:v>
      </x:c>
      <x:c r="L9" s="21" t="n">
        <x:v>1</x:v>
      </x:c>
      <x:c r="M9" s="33" t="n">
        <x:f>SUM(E9:L9)/8</x:f>
        <x:v>0.75</x:v>
      </x:c>
      <x:c r="N9" s="21" t="n">
        <x:f>SUM(I9:L9)</x:f>
        <x:v>2</x:v>
      </x:c>
      <x:c r="O9" s="21" t="str">
        <x:f>I9&amp;"-"&amp;J9&amp;"-"&amp;K9&amp;"-"&amp;L9</x:f>
        <x:v>1-0-0-1</x:v>
      </x:c>
    </x:row>
    <x:row r="10" ht="15" hidden="0" customHeight="1">
      <x:c r="A10" s="21" t="n">
        <x:v>9</x:v>
      </x:c>
      <x:c r="B10" s="21" t="str">
        <x:v>S012</x:v>
      </x:c>
      <x:c r="C10" s="21" t="str">
        <x:v>Wolterink et al. (2020)</x:v>
      </x:c>
      <x:c r="D10" s="21" t="str">
        <x:v>Primary</x:v>
      </x:c>
      <x:c r="E10" s="21" t="n">
        <x:v>0</x:v>
      </x:c>
      <x:c r="F10" s="21" t="n">
        <x:v>1</x:v>
      </x:c>
      <x:c r="G10" s="21" t="n">
        <x:v>1</x:v>
      </x:c>
      <x:c r="H10" s="21" t="n">
        <x:v>1</x:v>
      </x:c>
      <x:c r="I10" s="21" t="n">
        <x:v>1</x:v>
      </x:c>
      <x:c r="J10" s="21" t="n">
        <x:v>1</x:v>
      </x:c>
      <x:c r="K10" s="21" t="n">
        <x:v>0</x:v>
      </x:c>
      <x:c r="L10" s="21" t="n">
        <x:v>0</x:v>
      </x:c>
      <x:c r="M10" s="33" t="n">
        <x:f>SUM(E10:L10)/8</x:f>
        <x:v>0.625</x:v>
      </x:c>
      <x:c r="N10" s="21" t="n">
        <x:f>SUM(I10:L10)</x:f>
        <x:v>2</x:v>
      </x:c>
      <x:c r="O10" s="21" t="str">
        <x:f>I10&amp;"-"&amp;J10&amp;"-"&amp;K10&amp;"-"&amp;L10</x:f>
        <x:v>1-1-0-0</x:v>
      </x:c>
    </x:row>
    <x:row r="11" ht="15" hidden="0" customHeight="1">
      <x:c r="A11" s="21" t="n">
        <x:v>10</x:v>
      </x:c>
      <x:c r="B11" s="21" t="str">
        <x:v>S013</x:v>
      </x:c>
      <x:c r="C11" s="21" t="str">
        <x:v>Poulladofonou et al. (2022)</x:v>
      </x:c>
      <x:c r="D11" s="21" t="str">
        <x:v>Primary</x:v>
      </x:c>
      <x:c r="E11" s="21" t="n">
        <x:v>0</x:v>
      </x:c>
      <x:c r="F11" s="21" t="n">
        <x:v>1</x:v>
      </x:c>
      <x:c r="G11" s="21" t="n">
        <x:v>1</x:v>
      </x:c>
      <x:c r="H11" s="21" t="n">
        <x:v>1</x:v>
      </x:c>
      <x:c r="I11" s="21" t="n">
        <x:v>1</x:v>
      </x:c>
      <x:c r="J11" s="21" t="n">
        <x:v>1</x:v>
      </x:c>
      <x:c r="K11" s="21" t="n">
        <x:v>0</x:v>
      </x:c>
      <x:c r="L11" s="21" t="n">
        <x:v>1</x:v>
      </x:c>
      <x:c r="M11" s="33" t="n">
        <x:f>SUM(E11:L11)/8</x:f>
        <x:v>0.75</x:v>
      </x:c>
      <x:c r="N11" s="21" t="n">
        <x:f>SUM(I11:L11)</x:f>
        <x:v>3</x:v>
      </x:c>
      <x:c r="O11" s="21" t="str">
        <x:f>I11&amp;"-"&amp;J11&amp;"-"&amp;K11&amp;"-"&amp;L11</x:f>
        <x:v>1-1-0-1</x:v>
      </x:c>
    </x:row>
    <x:row r="12" ht="15" hidden="0" customHeight="1">
      <x:c r="A12" s="21" t="n">
        <x:v>11</x:v>
      </x:c>
      <x:c r="B12" s="21" t="str">
        <x:v>S014</x:v>
      </x:c>
      <x:c r="C12" s="21" t="str">
        <x:v>Dimo et al. (2025)</x:v>
      </x:c>
      <x:c r="D12" s="21" t="str">
        <x:v>Primary</x:v>
      </x:c>
      <x:c r="E12" s="21" t="n">
        <x:v>0</x:v>
      </x:c>
      <x:c r="F12" s="21" t="n">
        <x:v>1</x:v>
      </x:c>
      <x:c r="G12" s="21" t="n">
        <x:v>1</x:v>
      </x:c>
      <x:c r="H12" s="21" t="n">
        <x:v>1</x:v>
      </x:c>
      <x:c r="I12" s="21" t="n">
        <x:v>1</x:v>
      </x:c>
      <x:c r="J12" s="21" t="n">
        <x:v>1</x:v>
      </x:c>
      <x:c r="K12" s="21" t="n">
        <x:v>1</x:v>
      </x:c>
      <x:c r="L12" s="21" t="n">
        <x:v>0</x:v>
      </x:c>
      <x:c r="M12" s="33" t="n">
        <x:f>SUM(E12:L12)/8</x:f>
        <x:v>0.75</x:v>
      </x:c>
      <x:c r="N12" s="21" t="n">
        <x:f>SUM(I12:L12)</x:f>
        <x:v>3</x:v>
      </x:c>
      <x:c r="O12" s="21" t="str">
        <x:f>I12&amp;"-"&amp;J12&amp;"-"&amp;K12&amp;"-"&amp;L12</x:f>
        <x:v>1-1-1-0</x:v>
      </x:c>
    </x:row>
    <x:row r="13" ht="15" hidden="0" customHeight="1">
      <x:c r="A13" s="21" t="n">
        <x:v>12</x:v>
      </x:c>
      <x:c r="B13" s="21" t="str">
        <x:v>S015</x:v>
      </x:c>
      <x:c r="C13" s="21" t="str">
        <x:v>Farook et al. (2023)</x:v>
      </x:c>
      <x:c r="D13" s="21" t="str">
        <x:v>Primary</x:v>
      </x:c>
      <x:c r="E13" s="21" t="n">
        <x:v>0</x:v>
      </x:c>
      <x:c r="F13" s="21" t="n">
        <x:v>1</x:v>
      </x:c>
      <x:c r="G13" s="21" t="n">
        <x:v>1</x:v>
      </x:c>
      <x:c r="H13" s="21" t="n">
        <x:v>1</x:v>
      </x:c>
      <x:c r="I13" s="21" t="n">
        <x:v>0</x:v>
      </x:c>
      <x:c r="J13" s="21" t="n">
        <x:v>0</x:v>
      </x:c>
      <x:c r="K13" s="21" t="n">
        <x:v>0</x:v>
      </x:c>
      <x:c r="L13" s="21" t="n">
        <x:v>0</x:v>
      </x:c>
      <x:c r="M13" s="33" t="n">
        <x:f>SUM(E13:L13)/8</x:f>
        <x:v>0.375</x:v>
      </x:c>
      <x:c r="N13" s="21" t="n">
        <x:f>SUM(I13:L13)</x:f>
        <x:v>0</x:v>
      </x:c>
      <x:c r="O13" s="21" t="str">
        <x:f>I13&amp;"-"&amp;J13&amp;"-"&amp;K13&amp;"-"&amp;L13</x:f>
        <x:v>0-0-0-0</x:v>
      </x:c>
    </x:row>
    <x:row r="14" ht="15" hidden="0" customHeight="1">
      <x:c r="A14" s="21" t="n">
        <x:v>13</x:v>
      </x:c>
      <x:c r="B14" s="21" t="str">
        <x:v>S017</x:v>
      </x:c>
      <x:c r="C14" s="21" t="str">
        <x:v>Zhang and Ma (2025)</x:v>
      </x:c>
      <x:c r="D14" s="21" t="str">
        <x:v>Primary</x:v>
      </x:c>
      <x:c r="E14" s="21" t="n">
        <x:v>0</x:v>
      </x:c>
      <x:c r="F14" s="21" t="n">
        <x:v>0</x:v>
      </x:c>
      <x:c r="G14" s="21" t="n">
        <x:v>1</x:v>
      </x:c>
      <x:c r="H14" s="21" t="n">
        <x:v>1</x:v>
      </x:c>
      <x:c r="I14" s="21" t="n">
        <x:v>1</x:v>
      </x:c>
      <x:c r="J14" s="21" t="n">
        <x:v>1</x:v>
      </x:c>
      <x:c r="K14" s="21" t="n">
        <x:v>0</x:v>
      </x:c>
      <x:c r="L14" s="21" t="n">
        <x:v>0</x:v>
      </x:c>
      <x:c r="M14" s="33" t="n">
        <x:f>SUM(E14:L14)/8</x:f>
        <x:v>0.5</x:v>
      </x:c>
      <x:c r="N14" s="21" t="n">
        <x:f>SUM(I14:L14)</x:f>
        <x:v>2</x:v>
      </x:c>
      <x:c r="O14" s="21" t="str">
        <x:f>I14&amp;"-"&amp;J14&amp;"-"&amp;K14&amp;"-"&amp;L14</x:f>
        <x:v>1-1-0-0</x:v>
      </x:c>
    </x:row>
    <x:row r="15" ht="15" hidden="0" customHeight="1">
      <x:c r="A15" s="21" t="n">
        <x:v>14</x:v>
      </x:c>
      <x:c r="B15" s="21" t="str">
        <x:v>S018</x:v>
      </x:c>
      <x:c r="C15" s="21" t="str">
        <x:v>Vu et al. (2025)</x:v>
      </x:c>
      <x:c r="D15" s="21" t="str">
        <x:v>Primary</x:v>
      </x:c>
      <x:c r="E15" s="21" t="n">
        <x:v>0</x:v>
      </x:c>
      <x:c r="F15" s="21" t="n">
        <x:v>1</x:v>
      </x:c>
      <x:c r="G15" s="21" t="n">
        <x:v>1</x:v>
      </x:c>
      <x:c r="H15" s="21" t="n">
        <x:v>1</x:v>
      </x:c>
      <x:c r="I15" s="21" t="n">
        <x:v>0</x:v>
      </x:c>
      <x:c r="J15" s="21" t="n">
        <x:v>0</x:v>
      </x:c>
      <x:c r="K15" s="21" t="n">
        <x:v>1</x:v>
      </x:c>
      <x:c r="L15" s="21" t="n">
        <x:v>0</x:v>
      </x:c>
      <x:c r="M15" s="33" t="n">
        <x:f>SUM(E15:L15)/8</x:f>
        <x:v>0.5</x:v>
      </x:c>
      <x:c r="N15" s="21" t="n">
        <x:f>SUM(I15:L15)</x:f>
        <x:v>1</x:v>
      </x:c>
      <x:c r="O15" s="21" t="str">
        <x:f>I15&amp;"-"&amp;J15&amp;"-"&amp;K15&amp;"-"&amp;L15</x:f>
        <x:v>0-0-1-0</x:v>
      </x:c>
    </x:row>
    <x:row r="16" ht="15" hidden="0" customHeight="1">
      <x:c r="A16" s="21" t="n">
        <x:v>15</x:v>
      </x:c>
      <x:c r="B16" s="21" t="str">
        <x:v>S019</x:v>
      </x:c>
      <x:c r="C16" s="21" t="str">
        <x:v>Vu et al. (2021)</x:v>
      </x:c>
      <x:c r="D16" s="21" t="str">
        <x:v>Primary</x:v>
      </x:c>
      <x:c r="E16" s="21" t="n">
        <x:v>1</x:v>
      </x:c>
      <x:c r="F16" s="21" t="n">
        <x:v>1</x:v>
      </x:c>
      <x:c r="G16" s="21" t="n">
        <x:v>1</x:v>
      </x:c>
      <x:c r="H16" s="21" t="n">
        <x:v>1</x:v>
      </x:c>
      <x:c r="I16" s="21" t="n">
        <x:v>1</x:v>
      </x:c>
      <x:c r="J16" s="21" t="n">
        <x:v>1</x:v>
      </x:c>
      <x:c r="K16" s="21" t="n">
        <x:v>0</x:v>
      </x:c>
      <x:c r="L16" s="21" t="n">
        <x:v>1</x:v>
      </x:c>
      <x:c r="M16" s="33" t="n">
        <x:f>SUM(E16:L16)/8</x:f>
        <x:v>0.875</x:v>
      </x:c>
      <x:c r="N16" s="21" t="n">
        <x:f>SUM(I16:L16)</x:f>
        <x:v>3</x:v>
      </x:c>
      <x:c r="O16" s="21" t="str">
        <x:f>I16&amp;"-"&amp;J16&amp;"-"&amp;K16&amp;"-"&amp;L16</x:f>
        <x:v>1-1-0-1</x:v>
      </x:c>
    </x:row>
    <x:row r="17" ht="15" hidden="0" customHeight="1">
      <x:c r="A17" s="21" t="n">
        <x:v>16</x:v>
      </x:c>
      <x:c r="B17" s="21" t="str">
        <x:v>S020</x:v>
      </x:c>
      <x:c r="C17" s="21" t="str">
        <x:v>Langlois et al. (2021)</x:v>
      </x:c>
      <x:c r="D17" s="21" t="str">
        <x:v>Primary</x:v>
      </x:c>
      <x:c r="E17" s="21" t="n">
        <x:v>0</x:v>
      </x:c>
      <x:c r="F17" s="21" t="n">
        <x:v>1</x:v>
      </x:c>
      <x:c r="G17" s="21" t="n">
        <x:v>1</x:v>
      </x:c>
      <x:c r="H17" s="21" t="n">
        <x:v>1</x:v>
      </x:c>
      <x:c r="I17" s="21" t="n">
        <x:v>1</x:v>
      </x:c>
      <x:c r="J17" s="21" t="n">
        <x:v>0</x:v>
      </x:c>
      <x:c r="K17" s="21" t="n">
        <x:v>0</x:v>
      </x:c>
      <x:c r="L17" s="21" t="n">
        <x:v>1</x:v>
      </x:c>
      <x:c r="M17" s="33" t="n">
        <x:f>SUM(E17:L17)/8</x:f>
        <x:v>0.625</x:v>
      </x:c>
      <x:c r="N17" s="21" t="n">
        <x:f>SUM(I17:L17)</x:f>
        <x:v>2</x:v>
      </x:c>
      <x:c r="O17" s="21" t="str">
        <x:f>I17&amp;"-"&amp;J17&amp;"-"&amp;K17&amp;"-"&amp;L17</x:f>
        <x:v>1-0-0-1</x:v>
      </x:c>
    </x:row>
    <x:row r="18" ht="15" hidden="0" customHeight="1">
      <x:c r="A18" s="21" t="n">
        <x:v>17</x:v>
      </x:c>
      <x:c r="B18" s="21" t="str">
        <x:v>S021</x:v>
      </x:c>
      <x:c r="C18" s="21" t="str">
        <x:v>Li et al. (2026)</x:v>
      </x:c>
      <x:c r="D18" s="21" t="str">
        <x:v>Primary</x:v>
      </x:c>
      <x:c r="E18" s="21" t="n">
        <x:v>0</x:v>
      </x:c>
      <x:c r="F18" s="21" t="n">
        <x:v>1</x:v>
      </x:c>
      <x:c r="G18" s="21" t="n">
        <x:v>1</x:v>
      </x:c>
      <x:c r="H18" s="21" t="n">
        <x:v>1</x:v>
      </x:c>
      <x:c r="I18" s="21" t="n">
        <x:v>0</x:v>
      </x:c>
      <x:c r="J18" s="21" t="n">
        <x:v>0</x:v>
      </x:c>
      <x:c r="K18" s="21" t="n">
        <x:v>1</x:v>
      </x:c>
      <x:c r="L18" s="21" t="n">
        <x:v>0</x:v>
      </x:c>
      <x:c r="M18" s="33" t="n">
        <x:f>SUM(E18:L18)/8</x:f>
        <x:v>0.5</x:v>
      </x:c>
      <x:c r="N18" s="21" t="n">
        <x:f>SUM(I18:L18)</x:f>
        <x:v>1</x:v>
      </x:c>
      <x:c r="O18" s="21" t="str">
        <x:f>I18&amp;"-"&amp;J18&amp;"-"&amp;K18&amp;"-"&amp;L18</x:f>
        <x:v>0-0-1-0</x:v>
      </x:c>
    </x:row>
    <x:row r="19" ht="15" hidden="0" customHeight="1">
      <x:c r="A19" s="21" t="n">
        <x:v>18</x:v>
      </x:c>
      <x:c r="B19" s="21" t="str">
        <x:v>S022</x:v>
      </x:c>
      <x:c r="C19" s="21" t="str">
        <x:v>Yan et al. (2025)</x:v>
      </x:c>
      <x:c r="D19" s="21" t="str">
        <x:v>Primary</x:v>
      </x:c>
      <x:c r="E19" s="21" t="n">
        <x:v>0</x:v>
      </x:c>
      <x:c r="F19" s="21" t="n">
        <x:v>1</x:v>
      </x:c>
      <x:c r="G19" s="21" t="n">
        <x:v>1</x:v>
      </x:c>
      <x:c r="H19" s="21" t="n">
        <x:v>1</x:v>
      </x:c>
      <x:c r="I19" s="21" t="n">
        <x:v>1</x:v>
      </x:c>
      <x:c r="J19" s="21" t="n">
        <x:v>1</x:v>
      </x:c>
      <x:c r="K19" s="21" t="n">
        <x:v>0</x:v>
      </x:c>
      <x:c r="L19" s="21" t="n">
        <x:v>0</x:v>
      </x:c>
      <x:c r="M19" s="33" t="n">
        <x:f>SUM(E19:L19)/8</x:f>
        <x:v>0.625</x:v>
      </x:c>
      <x:c r="N19" s="21" t="n">
        <x:f>SUM(I19:L19)</x:f>
        <x:v>2</x:v>
      </x:c>
      <x:c r="O19" s="21" t="str">
        <x:f>I19&amp;"-"&amp;J19&amp;"-"&amp;K19&amp;"-"&amp;L19</x:f>
        <x:v>1-1-0-0</x:v>
      </x:c>
    </x:row>
    <x:row r="20" ht="15" hidden="0" customHeight="1">
      <x:c r="A20" s="21" t="n">
        <x:v>19</x:v>
      </x:c>
      <x:c r="B20" s="21" t="str">
        <x:v>S023</x:v>
      </x:c>
      <x:c r="C20" s="21" t="str">
        <x:v>Salo et al. (2022)</x:v>
      </x:c>
      <x:c r="D20" s="21" t="str">
        <x:v>Primary</x:v>
      </x:c>
      <x:c r="E20" s="21" t="n">
        <x:v>1</x:v>
      </x:c>
      <x:c r="F20" s="21" t="n">
        <x:v>1</x:v>
      </x:c>
      <x:c r="G20" s="21" t="n">
        <x:v>1</x:v>
      </x:c>
      <x:c r="H20" s="21" t="n">
        <x:v>1</x:v>
      </x:c>
      <x:c r="I20" s="21" t="n">
        <x:v>1</x:v>
      </x:c>
      <x:c r="J20" s="21" t="n">
        <x:v>0</x:v>
      </x:c>
      <x:c r="K20" s="21" t="n">
        <x:v>0</x:v>
      </x:c>
      <x:c r="L20" s="21" t="n">
        <x:v>1</x:v>
      </x:c>
      <x:c r="M20" s="33" t="n">
        <x:f>SUM(E20:L20)/8</x:f>
        <x:v>0.75</x:v>
      </x:c>
      <x:c r="N20" s="21" t="n">
        <x:f>SUM(I20:L20)</x:f>
        <x:v>2</x:v>
      </x:c>
      <x:c r="O20" s="21" t="str">
        <x:f>I20&amp;"-"&amp;J20&amp;"-"&amp;K20&amp;"-"&amp;L20</x:f>
        <x:v>1-0-0-1</x:v>
      </x:c>
    </x:row>
    <x:row r="21" ht="15" hidden="0" customHeight="1">
      <x:c r="A21" s="21" t="n">
        <x:v>20</x:v>
      </x:c>
      <x:c r="B21" s="21" t="str">
        <x:v>S024</x:v>
      </x:c>
      <x:c r="C21" s="21" t="str">
        <x:v>Han et al. (2026)</x:v>
      </x:c>
      <x:c r="D21" s="21" t="str">
        <x:v>Primary</x:v>
      </x:c>
      <x:c r="E21" s="21" t="n">
        <x:v>0</x:v>
      </x:c>
      <x:c r="F21" s="21" t="n">
        <x:v>1</x:v>
      </x:c>
      <x:c r="G21" s="21" t="n">
        <x:v>1</x:v>
      </x:c>
      <x:c r="H21" s="21" t="n">
        <x:v>1</x:v>
      </x:c>
      <x:c r="I21" s="21" t="n">
        <x:v>1</x:v>
      </x:c>
      <x:c r="J21" s="21" t="n">
        <x:v>1</x:v>
      </x:c>
      <x:c r="K21" s="21" t="n">
        <x:v>1</x:v>
      </x:c>
      <x:c r="L21" s="21" t="n">
        <x:v>0</x:v>
      </x:c>
      <x:c r="M21" s="33" t="n">
        <x:f>SUM(E21:L21)/8</x:f>
        <x:v>0.75</x:v>
      </x:c>
      <x:c r="N21" s="21" t="n">
        <x:f>SUM(I21:L21)</x:f>
        <x:v>3</x:v>
      </x:c>
      <x:c r="O21" s="21" t="str">
        <x:f>I21&amp;"-"&amp;J21&amp;"-"&amp;K21&amp;"-"&amp;L21</x:f>
        <x:v>1-1-1-0</x:v>
      </x:c>
    </x:row>
    <x:row r="22" ht="15" hidden="0" customHeight="1">
      <x:c r="A22" s="21" t="n">
        <x:v>21</x:v>
      </x:c>
      <x:c r="B22" s="21" t="str">
        <x:v>S025</x:v>
      </x:c>
      <x:c r="C22" s="21" t="str">
        <x:v>Wei et al. (2026)</x:v>
      </x:c>
      <x:c r="D22" s="21" t="str">
        <x:v>Primary</x:v>
      </x:c>
      <x:c r="E22" s="21" t="n">
        <x:v>1</x:v>
      </x:c>
      <x:c r="F22" s="21" t="n">
        <x:v>1</x:v>
      </x:c>
      <x:c r="G22" s="21" t="n">
        <x:v>1</x:v>
      </x:c>
      <x:c r="H22" s="21" t="n">
        <x:v>1</x:v>
      </x:c>
      <x:c r="I22" s="21" t="n">
        <x:v>1</x:v>
      </x:c>
      <x:c r="J22" s="21" t="n">
        <x:v>1</x:v>
      </x:c>
      <x:c r="K22" s="21" t="n">
        <x:v>0</x:v>
      </x:c>
      <x:c r="L22" s="21" t="n">
        <x:v>1</x:v>
      </x:c>
      <x:c r="M22" s="33" t="n">
        <x:f>SUM(E22:L22)/8</x:f>
        <x:v>0.875</x:v>
      </x:c>
      <x:c r="N22" s="21" t="n">
        <x:f>SUM(I22:L22)</x:f>
        <x:v>3</x:v>
      </x:c>
      <x:c r="O22" s="21" t="str">
        <x:f>I22&amp;"-"&amp;J22&amp;"-"&amp;K22&amp;"-"&amp;L22</x:f>
        <x:v>1-1-0-1</x:v>
      </x:c>
    </x:row>
    <x:row r="23" ht="15" hidden="0" customHeight="1">
      <x:c r="A23" s="21" t="n">
        <x:v>22</x:v>
      </x:c>
      <x:c r="B23" s="21" t="str">
        <x:v>S028</x:v>
      </x:c>
      <x:c r="C23" s="21" t="str">
        <x:v>Gothard et al. (2023)</x:v>
      </x:c>
      <x:c r="D23" s="21" t="str">
        <x:v>Primary</x:v>
      </x:c>
      <x:c r="E23" s="21" t="n">
        <x:v>1</x:v>
      </x:c>
      <x:c r="F23" s="21" t="n">
        <x:v>1</x:v>
      </x:c>
      <x:c r="G23" s="21" t="n">
        <x:v>1</x:v>
      </x:c>
      <x:c r="H23" s="21" t="n">
        <x:v>1</x:v>
      </x:c>
      <x:c r="I23" s="21" t="n">
        <x:v>1</x:v>
      </x:c>
      <x:c r="J23" s="21" t="n">
        <x:v>0</x:v>
      </x:c>
      <x:c r="K23" s="21" t="n">
        <x:v>0</x:v>
      </x:c>
      <x:c r="L23" s="21" t="n">
        <x:v>1</x:v>
      </x:c>
      <x:c r="M23" s="33" t="n">
        <x:f>SUM(E23:L23)/8</x:f>
        <x:v>0.75</x:v>
      </x:c>
      <x:c r="N23" s="21" t="n">
        <x:f>SUM(I23:L23)</x:f>
        <x:v>2</x:v>
      </x:c>
      <x:c r="O23" s="21" t="str">
        <x:f>I23&amp;"-"&amp;J23&amp;"-"&amp;K23&amp;"-"&amp;L23</x:f>
        <x:v>1-0-0-1</x:v>
      </x:c>
    </x:row>
    <x:row r="24" ht="15" hidden="0" customHeight="1">
      <x:c r="A24" s="21" t="n">
        <x:v>23</x:v>
      </x:c>
      <x:c r="B24" s="21" t="str">
        <x:v>S029</x:v>
      </x:c>
      <x:c r="C24" s="21" t="str">
        <x:v>Özkurt et al. (2026)</x:v>
      </x:c>
      <x:c r="D24" s="21" t="str">
        <x:v>Primary</x:v>
      </x:c>
      <x:c r="E24" s="21" t="n">
        <x:v>1</x:v>
      </x:c>
      <x:c r="F24" s="21" t="n">
        <x:v>1</x:v>
      </x:c>
      <x:c r="G24" s="21" t="n">
        <x:v>1</x:v>
      </x:c>
      <x:c r="H24" s="21" t="n">
        <x:v>1</x:v>
      </x:c>
      <x:c r="I24" s="21" t="n">
        <x:v>1</x:v>
      </x:c>
      <x:c r="J24" s="21" t="n">
        <x:v>1</x:v>
      </x:c>
      <x:c r="K24" s="21" t="n">
        <x:v>0</x:v>
      </x:c>
      <x:c r="L24" s="21" t="n">
        <x:v>1</x:v>
      </x:c>
      <x:c r="M24" s="33" t="n">
        <x:f>SUM(E24:L24)/8</x:f>
        <x:v>0.875</x:v>
      </x:c>
      <x:c r="N24" s="21" t="n">
        <x:f>SUM(I24:L24)</x:f>
        <x:v>3</x:v>
      </x:c>
      <x:c r="O24" s="21" t="str">
        <x:f>I24&amp;"-"&amp;J24&amp;"-"&amp;K24&amp;"-"&amp;L24</x:f>
        <x:v>1-1-0-1</x:v>
      </x:c>
    </x:row>
    <x:row r="25" ht="15" hidden="0" customHeight="1">
      <x:c r="A25" s="21" t="n">
        <x:v>24</x:v>
      </x:c>
      <x:c r="B25" s="21" t="str">
        <x:v>S031</x:v>
      </x:c>
      <x:c r="C25" s="21" t="str">
        <x:v>Rivera et al. (2022)</x:v>
      </x:c>
      <x:c r="D25" s="21" t="str">
        <x:v>Primary</x:v>
      </x:c>
      <x:c r="E25" s="21" t="n">
        <x:v>0</x:v>
      </x:c>
      <x:c r="F25" s="21" t="n">
        <x:v>1</x:v>
      </x:c>
      <x:c r="G25" s="21" t="n">
        <x:v>1</x:v>
      </x:c>
      <x:c r="H25" s="21" t="n">
        <x:v>1</x:v>
      </x:c>
      <x:c r="I25" s="21" t="n">
        <x:v>0</x:v>
      </x:c>
      <x:c r="J25" s="21" t="n">
        <x:v>0</x:v>
      </x:c>
      <x:c r="K25" s="21" t="n">
        <x:v>0</x:v>
      </x:c>
      <x:c r="L25" s="21" t="n">
        <x:v>0</x:v>
      </x:c>
      <x:c r="M25" s="33" t="n">
        <x:f>SUM(E25:L25)/8</x:f>
        <x:v>0.375</x:v>
      </x:c>
      <x:c r="N25" s="21" t="n">
        <x:f>SUM(I25:L25)</x:f>
        <x:v>0</x:v>
      </x:c>
      <x:c r="O25" s="21" t="str">
        <x:f>I25&amp;"-"&amp;J25&amp;"-"&amp;K25&amp;"-"&amp;L25</x:f>
        <x:v>0-0-0-0</x:v>
      </x:c>
    </x:row>
    <x:row r="26" ht="15" hidden="0" customHeight="1">
      <x:c r="A26" s="21" t="n">
        <x:v>25</x:v>
      </x:c>
      <x:c r="B26" s="21" t="str">
        <x:v>S032</x:v>
      </x:c>
      <x:c r="C26" s="21" t="str">
        <x:v>Liu et al. (2021)</x:v>
      </x:c>
      <x:c r="D26" s="21" t="str">
        <x:v>Primary</x:v>
      </x:c>
      <x:c r="E26" s="21" t="n">
        <x:v>0</x:v>
      </x:c>
      <x:c r="F26" s="21" t="n">
        <x:v>1</x:v>
      </x:c>
      <x:c r="G26" s="21" t="n">
        <x:v>1</x:v>
      </x:c>
      <x:c r="H26" s="21" t="n">
        <x:v>1</x:v>
      </x:c>
      <x:c r="I26" s="21" t="n">
        <x:v>0</x:v>
      </x:c>
      <x:c r="J26" s="21" t="n">
        <x:v>0</x:v>
      </x:c>
      <x:c r="K26" s="21" t="n">
        <x:v>0</x:v>
      </x:c>
      <x:c r="L26" s="21" t="n">
        <x:v>0</x:v>
      </x:c>
      <x:c r="M26" s="33" t="n">
        <x:f>SUM(E26:L26)/8</x:f>
        <x:v>0.375</x:v>
      </x:c>
      <x:c r="N26" s="21" t="n">
        <x:f>SUM(I26:L26)</x:f>
        <x:v>0</x:v>
      </x:c>
      <x:c r="O26" s="21" t="str">
        <x:f>I26&amp;"-"&amp;J26&amp;"-"&amp;K26&amp;"-"&amp;L26</x:f>
        <x:v>0-0-0-0</x:v>
      </x:c>
    </x:row>
    <x:row r="27" ht="15" hidden="0" customHeight="1">
      <x:c r="A27" s="21" t="n">
        <x:v>26</x:v>
      </x:c>
      <x:c r="B27" s="21" t="str">
        <x:v>S033</x:v>
      </x:c>
      <x:c r="C27" s="21" t="str">
        <x:v>Yu et al. (2020)</x:v>
      </x:c>
      <x:c r="D27" s="21" t="str">
        <x:v>Primary</x:v>
      </x:c>
      <x:c r="E27" s="21" t="n">
        <x:v>0</x:v>
      </x:c>
      <x:c r="F27" s="21" t="n">
        <x:v>1</x:v>
      </x:c>
      <x:c r="G27" s="21" t="n">
        <x:v>1</x:v>
      </x:c>
      <x:c r="H27" s="21" t="n">
        <x:v>1</x:v>
      </x:c>
      <x:c r="I27" s="21" t="n">
        <x:v>1</x:v>
      </x:c>
      <x:c r="J27" s="21" t="n">
        <x:v>0</x:v>
      </x:c>
      <x:c r="K27" s="21" t="n">
        <x:v>1</x:v>
      </x:c>
      <x:c r="L27" s="21" t="n">
        <x:v>0</x:v>
      </x:c>
      <x:c r="M27" s="33" t="n">
        <x:f>SUM(E27:L27)/8</x:f>
        <x:v>0.625</x:v>
      </x:c>
      <x:c r="N27" s="21" t="n">
        <x:f>SUM(I27:L27)</x:f>
        <x:v>2</x:v>
      </x:c>
      <x:c r="O27" s="21" t="str">
        <x:f>I27&amp;"-"&amp;J27&amp;"-"&amp;K27&amp;"-"&amp;L27</x:f>
        <x:v>1-0-1-0</x:v>
      </x:c>
    </x:row>
    <x:row r="28" ht="15" hidden="0" customHeight="1">
      <x:c r="A28" s="21" t="n">
        <x:v>27</x:v>
      </x:c>
      <x:c r="B28" s="21" t="str">
        <x:v>S034</x:v>
      </x:c>
      <x:c r="C28" s="21" t="str">
        <x:v>Zhang et al. (2026)</x:v>
      </x:c>
      <x:c r="D28" s="21" t="str">
        <x:v>Primary</x:v>
      </x:c>
      <x:c r="E28" s="21" t="n">
        <x:v>0</x:v>
      </x:c>
      <x:c r="F28" s="21" t="n">
        <x:v>1</x:v>
      </x:c>
      <x:c r="G28" s="21" t="n">
        <x:v>1</x:v>
      </x:c>
      <x:c r="H28" s="21" t="n">
        <x:v>1</x:v>
      </x:c>
      <x:c r="I28" s="21" t="n">
        <x:v>1</x:v>
      </x:c>
      <x:c r="J28" s="21" t="n">
        <x:v>1</x:v>
      </x:c>
      <x:c r="K28" s="21" t="n">
        <x:v>1</x:v>
      </x:c>
      <x:c r="L28" s="21" t="n">
        <x:v>1</x:v>
      </x:c>
      <x:c r="M28" s="33" t="n">
        <x:f>SUM(E28:L28)/8</x:f>
        <x:v>0.875</x:v>
      </x:c>
      <x:c r="N28" s="21" t="n">
        <x:f>SUM(I28:L28)</x:f>
        <x:v>4</x:v>
      </x:c>
      <x:c r="O28" s="21" t="str">
        <x:f>I28&amp;"-"&amp;J28&amp;"-"&amp;K28&amp;"-"&amp;L28</x:f>
        <x:v>1-1-1-1</x:v>
      </x:c>
    </x:row>
    <x:row r="29" ht="15" hidden="0" customHeight="1">
      <x:c r="A29" s="21" t="n">
        <x:v>28</x:v>
      </x:c>
      <x:c r="B29" s="21" t="str">
        <x:v>S035</x:v>
      </x:c>
      <x:c r="C29" s="21" t="str">
        <x:v>Katseli et al. (2021)</x:v>
      </x:c>
      <x:c r="D29" s="21" t="str">
        <x:v>Primary</x:v>
      </x:c>
      <x:c r="E29" s="21" t="n">
        <x:v>0</x:v>
      </x:c>
      <x:c r="F29" s="21" t="n">
        <x:v>1</x:v>
      </x:c>
      <x:c r="G29" s="21" t="n">
        <x:v>1</x:v>
      </x:c>
      <x:c r="H29" s="21" t="n">
        <x:v>1</x:v>
      </x:c>
      <x:c r="I29" s="21" t="n">
        <x:v>1</x:v>
      </x:c>
      <x:c r="J29" s="21" t="n">
        <x:v>1</x:v>
      </x:c>
      <x:c r="K29" s="21" t="n">
        <x:v>0</x:v>
      </x:c>
      <x:c r="L29" s="21" t="n">
        <x:v>1</x:v>
      </x:c>
      <x:c r="M29" s="33" t="n">
        <x:f>SUM(E29:L29)/8</x:f>
        <x:v>0.75</x:v>
      </x:c>
      <x:c r="N29" s="21" t="n">
        <x:f>SUM(I29:L29)</x:f>
        <x:v>3</x:v>
      </x:c>
      <x:c r="O29" s="21" t="str">
        <x:f>I29&amp;"-"&amp;J29&amp;"-"&amp;K29&amp;"-"&amp;L29</x:f>
        <x:v>1-1-0-1</x:v>
      </x:c>
    </x:row>
    <x:row r="30" ht="15" hidden="0" customHeight="1">
      <x:c r="A30" s="21" t="n">
        <x:v>29</x:v>
      </x:c>
      <x:c r="B30" s="21" t="str">
        <x:v>S036</x:v>
      </x:c>
      <x:c r="C30" s="21" t="str">
        <x:v>Xuan et al. (2026)</x:v>
      </x:c>
      <x:c r="D30" s="21" t="str">
        <x:v>Primary</x:v>
      </x:c>
      <x:c r="E30" s="21" t="n">
        <x:v>0</x:v>
      </x:c>
      <x:c r="F30" s="21" t="n">
        <x:v>1</x:v>
      </x:c>
      <x:c r="G30" s="21" t="n">
        <x:v>1</x:v>
      </x:c>
      <x:c r="H30" s="21" t="n">
        <x:v>1</x:v>
      </x:c>
      <x:c r="I30" s="21" t="n">
        <x:v>1</x:v>
      </x:c>
      <x:c r="J30" s="21" t="n">
        <x:v>1</x:v>
      </x:c>
      <x:c r="K30" s="21" t="n">
        <x:v>1</x:v>
      </x:c>
      <x:c r="L30" s="21" t="n">
        <x:v>0</x:v>
      </x:c>
      <x:c r="M30" s="33" t="n">
        <x:f>SUM(E30:L30)/8</x:f>
        <x:v>0.75</x:v>
      </x:c>
      <x:c r="N30" s="21" t="n">
        <x:f>SUM(I30:L30)</x:f>
        <x:v>3</x:v>
      </x:c>
      <x:c r="O30" s="21" t="str">
        <x:f>I30&amp;"-"&amp;J30&amp;"-"&amp;K30&amp;"-"&amp;L30</x:f>
        <x:v>1-1-1-0</x:v>
      </x:c>
    </x:row>
    <x:row r="31" ht="15" hidden="0" customHeight="1">
      <x:c r="A31" s="21" t="n">
        <x:v>30</x:v>
      </x:c>
      <x:c r="B31" s="21" t="str">
        <x:v>S037</x:v>
      </x:c>
      <x:c r="C31" s="21" t="str">
        <x:v>Wolterink et al. (2021)</x:v>
      </x:c>
      <x:c r="D31" s="21" t="str">
        <x:v>Primary</x:v>
      </x:c>
      <x:c r="E31" s="21" t="n">
        <x:v>0</x:v>
      </x:c>
      <x:c r="F31" s="21" t="n">
        <x:v>1</x:v>
      </x:c>
      <x:c r="G31" s="21" t="n">
        <x:v>1</x:v>
      </x:c>
      <x:c r="H31" s="21" t="n">
        <x:v>1</x:v>
      </x:c>
      <x:c r="I31" s="21" t="n">
        <x:v>1</x:v>
      </x:c>
      <x:c r="J31" s="21" t="n">
        <x:v>0</x:v>
      </x:c>
      <x:c r="K31" s="21" t="n">
        <x:v>0</x:v>
      </x:c>
      <x:c r="L31" s="21" t="n">
        <x:v>0</x:v>
      </x:c>
      <x:c r="M31" s="33" t="n">
        <x:f>SUM(E31:L31)/8</x:f>
        <x:v>0.5</x:v>
      </x:c>
      <x:c r="N31" s="21" t="n">
        <x:f>SUM(I31:L31)</x:f>
        <x:v>1</x:v>
      </x:c>
      <x:c r="O31" s="21" t="str">
        <x:f>I31&amp;"-"&amp;J31&amp;"-"&amp;K31&amp;"-"&amp;L31</x:f>
        <x:v>1-0-0-0</x:v>
      </x:c>
    </x:row>
    <x:row r="32" ht="15" hidden="0" customHeight="1">
      <x:c r="A32" s="21" t="n">
        <x:v>31</x:v>
      </x:c>
      <x:c r="B32" s="21" t="str">
        <x:v>S038</x:v>
      </x:c>
      <x:c r="C32" s="21" t="str">
        <x:v>Christ et al. (2018)</x:v>
      </x:c>
      <x:c r="D32" s="21" t="str">
        <x:v>Primary</x:v>
      </x:c>
      <x:c r="E32" s="21" t="n">
        <x:v>1</x:v>
      </x:c>
      <x:c r="F32" s="21" t="n">
        <x:v>1</x:v>
      </x:c>
      <x:c r="G32" s="21" t="n">
        <x:v>1</x:v>
      </x:c>
      <x:c r="H32" s="21" t="n">
        <x:v>1</x:v>
      </x:c>
      <x:c r="I32" s="21" t="n">
        <x:v>1</x:v>
      </x:c>
      <x:c r="J32" s="21" t="n">
        <x:v>0</x:v>
      </x:c>
      <x:c r="K32" s="21" t="n">
        <x:v>0</x:v>
      </x:c>
      <x:c r="L32" s="21" t="n">
        <x:v>0</x:v>
      </x:c>
      <x:c r="M32" s="33" t="n">
        <x:f>SUM(E32:L32)/8</x:f>
        <x:v>0.625</x:v>
      </x:c>
      <x:c r="N32" s="21" t="n">
        <x:f>SUM(I32:L32)</x:f>
        <x:v>1</x:v>
      </x:c>
      <x:c r="O32" s="21" t="str">
        <x:f>I32&amp;"-"&amp;J32&amp;"-"&amp;K32&amp;"-"&amp;L32</x:f>
        <x:v>1-0-0-0</x:v>
      </x:c>
    </x:row>
    <x:row r="33" ht="15" hidden="0" customHeight="1">
      <x:c r="A33" s="21" t="n">
        <x:v>32</x:v>
      </x:c>
      <x:c r="B33" s="21" t="str">
        <x:v>S039</x:v>
      </x:c>
      <x:c r="C33" s="21" t="str">
        <x:v>Shin et al. (2022)</x:v>
      </x:c>
      <x:c r="D33" s="21" t="str">
        <x:v>Primary</x:v>
      </x:c>
      <x:c r="E33" s="21" t="n">
        <x:v>1</x:v>
      </x:c>
      <x:c r="F33" s="21" t="n">
        <x:v>1</x:v>
      </x:c>
      <x:c r="G33" s="21" t="n">
        <x:v>1</x:v>
      </x:c>
      <x:c r="H33" s="21" t="n">
        <x:v>1</x:v>
      </x:c>
      <x:c r="I33" s="21" t="n">
        <x:v>1</x:v>
      </x:c>
      <x:c r="J33" s="21" t="n">
        <x:v>0</x:v>
      </x:c>
      <x:c r="K33" s="21" t="n">
        <x:v>0</x:v>
      </x:c>
      <x:c r="L33" s="21" t="n">
        <x:v>1</x:v>
      </x:c>
      <x:c r="M33" s="33" t="n">
        <x:f>SUM(E33:L33)/8</x:f>
        <x:v>0.75</x:v>
      </x:c>
      <x:c r="N33" s="21" t="n">
        <x:f>SUM(I33:L33)</x:f>
        <x:v>2</x:v>
      </x:c>
      <x:c r="O33" s="21" t="str">
        <x:f>I33&amp;"-"&amp;J33&amp;"-"&amp;K33&amp;"-"&amp;L33</x:f>
        <x:v>1-0-0-1</x:v>
      </x:c>
    </x:row>
    <x:row r="34" ht="15" hidden="0" customHeight="1">
      <x:c r="A34" s="21" t="n">
        <x:v>33</x:v>
      </x:c>
      <x:c r="B34" s="21" t="str">
        <x:v>S043</x:v>
      </x:c>
      <x:c r="C34" s="21" t="str">
        <x:v>Carvalho et al. (2025)</x:v>
      </x:c>
      <x:c r="D34" s="21" t="str">
        <x:v>Primary</x:v>
      </x:c>
      <x:c r="E34" s="21" t="n">
        <x:v>1</x:v>
      </x:c>
      <x:c r="F34" s="21" t="n">
        <x:v>1</x:v>
      </x:c>
      <x:c r="G34" s="21" t="n">
        <x:v>1</x:v>
      </x:c>
      <x:c r="H34" s="21" t="n">
        <x:v>1</x:v>
      </x:c>
      <x:c r="I34" s="21" t="n">
        <x:v>0</x:v>
      </x:c>
      <x:c r="J34" s="21" t="n">
        <x:v>0</x:v>
      </x:c>
      <x:c r="K34" s="21" t="n">
        <x:v>0</x:v>
      </x:c>
      <x:c r="L34" s="21" t="n">
        <x:v>0</x:v>
      </x:c>
      <x:c r="M34" s="33" t="n">
        <x:f>SUM(E34:L34)/8</x:f>
        <x:v>0.5</x:v>
      </x:c>
      <x:c r="N34" s="21" t="n">
        <x:f>SUM(I34:L34)</x:f>
        <x:v>0</x:v>
      </x:c>
      <x:c r="O34" s="21" t="str">
        <x:f>I34&amp;"-"&amp;J34&amp;"-"&amp;K34&amp;"-"&amp;L34</x:f>
        <x:v>0-0-0-0</x:v>
      </x:c>
    </x:row>
    <x:row r="35" ht="15" hidden="0" customHeight="1">
      <x:c r="A35" s="21" t="n">
        <x:v>34</x:v>
      </x:c>
      <x:c r="B35" s="21" t="str">
        <x:v>S044</x:v>
      </x:c>
      <x:c r="C35" s="21" t="str">
        <x:v>Li et al. (2021)</x:v>
      </x:c>
      <x:c r="D35" s="21" t="str">
        <x:v>Primary</x:v>
      </x:c>
      <x:c r="E35" s="21" t="n">
        <x:v>1</x:v>
      </x:c>
      <x:c r="F35" s="21" t="n">
        <x:v>1</x:v>
      </x:c>
      <x:c r="G35" s="21" t="n">
        <x:v>1</x:v>
      </x:c>
      <x:c r="H35" s="21" t="n">
        <x:v>1</x:v>
      </x:c>
      <x:c r="I35" s="21" t="n">
        <x:v>1</x:v>
      </x:c>
      <x:c r="J35" s="21" t="n">
        <x:v>0</x:v>
      </x:c>
      <x:c r="K35" s="21" t="n">
        <x:v>0</x:v>
      </x:c>
      <x:c r="L35" s="21" t="n">
        <x:v>0</x:v>
      </x:c>
      <x:c r="M35" s="33" t="n">
        <x:f>SUM(E35:L35)/8</x:f>
        <x:v>0.625</x:v>
      </x:c>
      <x:c r="N35" s="21" t="n">
        <x:f>SUM(I35:L35)</x:f>
        <x:v>1</x:v>
      </x:c>
      <x:c r="O35" s="21" t="str">
        <x:f>I35&amp;"-"&amp;J35&amp;"-"&amp;K35&amp;"-"&amp;L35</x:f>
        <x:v>1-0-0-0</x:v>
      </x:c>
    </x:row>
    <x:row r="36" ht="15" hidden="0" customHeight="1">
      <x:c r="A36" s="21" t="n">
        <x:v>35</x:v>
      </x:c>
      <x:c r="B36" s="21" t="str">
        <x:v>S046</x:v>
      </x:c>
      <x:c r="C36" s="21" t="str">
        <x:v>Zhou et al. (2024)</x:v>
      </x:c>
      <x:c r="D36" s="21" t="str">
        <x:v>Primary</x:v>
      </x:c>
      <x:c r="E36" s="21" t="n">
        <x:v>0</x:v>
      </x:c>
      <x:c r="F36" s="21" t="n">
        <x:v>1</x:v>
      </x:c>
      <x:c r="G36" s="21" t="n">
        <x:v>1</x:v>
      </x:c>
      <x:c r="H36" s="21" t="n">
        <x:v>1</x:v>
      </x:c>
      <x:c r="I36" s="21" t="n">
        <x:v>0</x:v>
      </x:c>
      <x:c r="J36" s="21" t="n">
        <x:v>0</x:v>
      </x:c>
      <x:c r="K36" s="21" t="n">
        <x:v>0</x:v>
      </x:c>
      <x:c r="L36" s="21" t="n">
        <x:v>0</x:v>
      </x:c>
      <x:c r="M36" s="33" t="n">
        <x:f>SUM(E36:L36)/8</x:f>
        <x:v>0.375</x:v>
      </x:c>
      <x:c r="N36" s="21" t="n">
        <x:f>SUM(I36:L36)</x:f>
        <x:v>0</x:v>
      </x:c>
      <x:c r="O36" s="21" t="str">
        <x:f>I36&amp;"-"&amp;J36&amp;"-"&amp;K36&amp;"-"&amp;L36</x:f>
        <x:v>0-0-0-0</x:v>
      </x:c>
    </x:row>
    <x:row r="37" ht="15" hidden="0" customHeight="1">
      <x:c r="A37" s="21" t="n">
        <x:v>36</x:v>
      </x:c>
      <x:c r="B37" s="21" t="str">
        <x:v>S047</x:v>
      </x:c>
      <x:c r="C37" s="21" t="str">
        <x:v>Shin et al. (2025)</x:v>
      </x:c>
      <x:c r="D37" s="21" t="str">
        <x:v>Primary</x:v>
      </x:c>
      <x:c r="E37" s="21" t="n">
        <x:v>0</x:v>
      </x:c>
      <x:c r="F37" s="21" t="n">
        <x:v>1</x:v>
      </x:c>
      <x:c r="G37" s="21" t="n">
        <x:v>1</x:v>
      </x:c>
      <x:c r="H37" s="21" t="n">
        <x:v>1</x:v>
      </x:c>
      <x:c r="I37" s="21" t="n">
        <x:v>0</x:v>
      </x:c>
      <x:c r="J37" s="21" t="n">
        <x:v>0</x:v>
      </x:c>
      <x:c r="K37" s="21" t="n">
        <x:v>1</x:v>
      </x:c>
      <x:c r="L37" s="21" t="n">
        <x:v>0</x:v>
      </x:c>
      <x:c r="M37" s="33" t="n">
        <x:f>SUM(E37:L37)/8</x:f>
        <x:v>0.5</x:v>
      </x:c>
      <x:c r="N37" s="21" t="n">
        <x:f>SUM(I37:L37)</x:f>
        <x:v>1</x:v>
      </x:c>
      <x:c r="O37" s="21" t="str">
        <x:f>I37&amp;"-"&amp;J37&amp;"-"&amp;K37&amp;"-"&amp;L37</x:f>
        <x:v>0-0-1-0</x:v>
      </x:c>
    </x:row>
    <x:row r="38" ht="15" hidden="0" customHeight="1">
      <x:c r="A38" s="21" t="n">
        <x:v>37</x:v>
      </x:c>
      <x:c r="B38" s="21" t="str">
        <x:v>S048</x:v>
      </x:c>
      <x:c r="C38" s="21" t="str">
        <x:v>Gunasekaran et al. (2022)</x:v>
      </x:c>
      <x:c r="D38" s="21" t="str">
        <x:v>Primary</x:v>
      </x:c>
      <x:c r="E38" s="21" t="n">
        <x:v>1</x:v>
      </x:c>
      <x:c r="F38" s="21" t="n">
        <x:v>1</x:v>
      </x:c>
      <x:c r="G38" s="21" t="n">
        <x:v>1</x:v>
      </x:c>
      <x:c r="H38" s="21" t="n">
        <x:v>1</x:v>
      </x:c>
      <x:c r="I38" s="21" t="n">
        <x:v>1</x:v>
      </x:c>
      <x:c r="J38" s="21" t="n">
        <x:v>1</x:v>
      </x:c>
      <x:c r="K38" s="21" t="n">
        <x:v>1</x:v>
      </x:c>
      <x:c r="L38" s="21" t="n">
        <x:v>0</x:v>
      </x:c>
      <x:c r="M38" s="33" t="n">
        <x:f>SUM(E38:L38)/8</x:f>
        <x:v>0.875</x:v>
      </x:c>
      <x:c r="N38" s="21" t="n">
        <x:f>SUM(I38:L38)</x:f>
        <x:v>3</x:v>
      </x:c>
      <x:c r="O38" s="21" t="str">
        <x:f>I38&amp;"-"&amp;J38&amp;"-"&amp;K38&amp;"-"&amp;L38</x:f>
        <x:v>1-1-1-0</x:v>
      </x:c>
    </x:row>
    <x:row r="39" ht="15" hidden="0" customHeight="1">
      <x:c r="A39" s="21" t="n">
        <x:v>38</x:v>
      </x:c>
      <x:c r="B39" s="21" t="str">
        <x:v>S050</x:v>
      </x:c>
      <x:c r="C39" s="21" t="str">
        <x:v>Leal-Junior et al. (2018)</x:v>
      </x:c>
      <x:c r="D39" s="21" t="str">
        <x:v>Primary</x:v>
      </x:c>
      <x:c r="E39" s="21" t="n">
        <x:v>0</x:v>
      </x:c>
      <x:c r="F39" s="21" t="n">
        <x:v>1</x:v>
      </x:c>
      <x:c r="G39" s="21" t="n">
        <x:v>1</x:v>
      </x:c>
      <x:c r="H39" s="21" t="n">
        <x:v>1</x:v>
      </x:c>
      <x:c r="I39" s="21" t="n">
        <x:v>1</x:v>
      </x:c>
      <x:c r="J39" s="21" t="n">
        <x:v>1</x:v>
      </x:c>
      <x:c r="K39" s="21" t="n">
        <x:v>0</x:v>
      </x:c>
      <x:c r="L39" s="21" t="n">
        <x:v>0</x:v>
      </x:c>
      <x:c r="M39" s="33" t="n">
        <x:f>SUM(E39:L39)/8</x:f>
        <x:v>0.625</x:v>
      </x:c>
      <x:c r="N39" s="21" t="n">
        <x:f>SUM(I39:L39)</x:f>
        <x:v>2</x:v>
      </x:c>
      <x:c r="O39" s="21" t="str">
        <x:f>I39&amp;"-"&amp;J39&amp;"-"&amp;K39&amp;"-"&amp;L39</x:f>
        <x:v>1-1-0-0</x:v>
      </x:c>
    </x:row>
    <x:row r="40" ht="15" hidden="0" customHeight="1">
      <x:c r="A40" s="21" t="n">
        <x:v>39</x:v>
      </x:c>
      <x:c r="B40" s="21" t="str">
        <x:v>S051</x:v>
      </x:c>
      <x:c r="C40" s="21" t="str">
        <x:v>Ota et al. (2017)</x:v>
      </x:c>
      <x:c r="D40" s="21" t="str">
        <x:v>Primary</x:v>
      </x:c>
      <x:c r="E40" s="21" t="n">
        <x:v>1</x:v>
      </x:c>
      <x:c r="F40" s="21" t="n">
        <x:v>1</x:v>
      </x:c>
      <x:c r="G40" s="21" t="n">
        <x:v>1</x:v>
      </x:c>
      <x:c r="H40" s="21" t="n">
        <x:v>1</x:v>
      </x:c>
      <x:c r="I40" s="21" t="n">
        <x:v>0</x:v>
      </x:c>
      <x:c r="J40" s="21" t="n">
        <x:v>1</x:v>
      </x:c>
      <x:c r="K40" s="21" t="n">
        <x:v>0</x:v>
      </x:c>
      <x:c r="L40" s="21" t="n">
        <x:v>0</x:v>
      </x:c>
      <x:c r="M40" s="33" t="n">
        <x:f>SUM(E40:L40)/8</x:f>
        <x:v>0.625</x:v>
      </x:c>
      <x:c r="N40" s="21" t="n">
        <x:f>SUM(I40:L40)</x:f>
        <x:v>1</x:v>
      </x:c>
      <x:c r="O40" s="21" t="str">
        <x:f>I40&amp;"-"&amp;J40&amp;"-"&amp;K40&amp;"-"&amp;L40</x:f>
        <x:v>0-1-0-0</x:v>
      </x:c>
    </x:row>
    <x:row r="41" ht="15" hidden="0" customHeight="1">
      <x:c r="A41" s="21" t="n">
        <x:v>40</x:v>
      </x:c>
      <x:c r="B41" s="21" t="str">
        <x:v>S052</x:v>
      </x:c>
      <x:c r="C41" s="21" t="str">
        <x:v>Li et al. (2026)</x:v>
      </x:c>
      <x:c r="D41" s="21" t="str">
        <x:v>Primary</x:v>
      </x:c>
      <x:c r="E41" s="21" t="n">
        <x:v>0</x:v>
      </x:c>
      <x:c r="F41" s="21" t="n">
        <x:v>1</x:v>
      </x:c>
      <x:c r="G41" s="21" t="n">
        <x:v>1</x:v>
      </x:c>
      <x:c r="H41" s="21" t="n">
        <x:v>1</x:v>
      </x:c>
      <x:c r="I41" s="21" t="n">
        <x:v>1</x:v>
      </x:c>
      <x:c r="J41" s="21" t="n">
        <x:v>1</x:v>
      </x:c>
      <x:c r="K41" s="21" t="n">
        <x:v>0</x:v>
      </x:c>
      <x:c r="L41" s="21" t="n">
        <x:v>0</x:v>
      </x:c>
      <x:c r="M41" s="33" t="n">
        <x:f>SUM(E41:L41)/8</x:f>
        <x:v>0.625</x:v>
      </x:c>
      <x:c r="N41" s="21" t="n">
        <x:f>SUM(I41:L41)</x:f>
        <x:v>2</x:v>
      </x:c>
      <x:c r="O41" s="21" t="str">
        <x:f>I41&amp;"-"&amp;J41&amp;"-"&amp;K41&amp;"-"&amp;L41</x:f>
        <x:v>1-1-0-0</x:v>
      </x:c>
    </x:row>
    <x:row r="42" ht="15" hidden="0" customHeight="1">
      <x:c r="A42" s="21" t="n">
        <x:v>41</x:v>
      </x:c>
      <x:c r="B42" s="21" t="str">
        <x:v>S053</x:v>
      </x:c>
      <x:c r="C42" s="21" t="str">
        <x:v>Li et al. (2023)</x:v>
      </x:c>
      <x:c r="D42" s="21" t="str">
        <x:v>Primary</x:v>
      </x:c>
      <x:c r="E42" s="21" t="n">
        <x:v>0</x:v>
      </x:c>
      <x:c r="F42" s="21" t="n">
        <x:v>1</x:v>
      </x:c>
      <x:c r="G42" s="21" t="n">
        <x:v>1</x:v>
      </x:c>
      <x:c r="H42" s="21" t="n">
        <x:v>1</x:v>
      </x:c>
      <x:c r="I42" s="21" t="n">
        <x:v>1</x:v>
      </x:c>
      <x:c r="J42" s="21" t="n">
        <x:v>0</x:v>
      </x:c>
      <x:c r="K42" s="21" t="n">
        <x:v>0</x:v>
      </x:c>
      <x:c r="L42" s="21" t="n">
        <x:v>0</x:v>
      </x:c>
      <x:c r="M42" s="33" t="n">
        <x:f>SUM(E42:L42)/8</x:f>
        <x:v>0.5</x:v>
      </x:c>
      <x:c r="N42" s="21" t="n">
        <x:f>SUM(I42:L42)</x:f>
        <x:v>1</x:v>
      </x:c>
      <x:c r="O42" s="21" t="str">
        <x:f>I42&amp;"-"&amp;J42&amp;"-"&amp;K42&amp;"-"&amp;L42</x:f>
        <x:v>1-0-0-0</x:v>
      </x:c>
    </x:row>
    <x:row r="43" ht="15" hidden="0" customHeight="1">
      <x:c r="A43" s="21" t="n">
        <x:v>42</x:v>
      </x:c>
      <x:c r="B43" s="21" t="str">
        <x:v>S054</x:v>
      </x:c>
      <x:c r="C43" s="21" t="str">
        <x:v>Chatzistergos et al. (2021)</x:v>
      </x:c>
      <x:c r="D43" s="21" t="str">
        <x:v>Primary</x:v>
      </x:c>
      <x:c r="E43" s="21" t="n">
        <x:v>0</x:v>
      </x:c>
      <x:c r="F43" s="21" t="n">
        <x:v>1</x:v>
      </x:c>
      <x:c r="G43" s="21" t="n">
        <x:v>1</x:v>
      </x:c>
      <x:c r="H43" s="21" t="n">
        <x:v>1</x:v>
      </x:c>
      <x:c r="I43" s="21" t="n">
        <x:v>1</x:v>
      </x:c>
      <x:c r="J43" s="21" t="n">
        <x:v>0</x:v>
      </x:c>
      <x:c r="K43" s="21" t="n">
        <x:v>0</x:v>
      </x:c>
      <x:c r="L43" s="21" t="n">
        <x:v>1</x:v>
      </x:c>
      <x:c r="M43" s="33" t="n">
        <x:f>SUM(E43:L43)/8</x:f>
        <x:v>0.625</x:v>
      </x:c>
      <x:c r="N43" s="21" t="n">
        <x:f>SUM(I43:L43)</x:f>
        <x:v>2</x:v>
      </x:c>
      <x:c r="O43" s="21" t="str">
        <x:f>I43&amp;"-"&amp;J43&amp;"-"&amp;K43&amp;"-"&amp;L43</x:f>
        <x:v>1-0-0-1</x:v>
      </x:c>
    </x:row>
    <x:row r="44" ht="15" hidden="0" customHeight="1">
      <x:c r="A44" s="21" t="n">
        <x:v>43</x:v>
      </x:c>
      <x:c r="B44" s="21" t="str">
        <x:v>S055</x:v>
      </x:c>
      <x:c r="C44" s="21" t="str">
        <x:v>Ben Harrath et al. (2026)</x:v>
      </x:c>
      <x:c r="D44" s="21" t="str">
        <x:v>Primary</x:v>
      </x:c>
      <x:c r="E44" s="21" t="n">
        <x:v>1</x:v>
      </x:c>
      <x:c r="F44" s="21" t="n">
        <x:v>1</x:v>
      </x:c>
      <x:c r="G44" s="21" t="n">
        <x:v>1</x:v>
      </x:c>
      <x:c r="H44" s="21" t="n">
        <x:v>1</x:v>
      </x:c>
      <x:c r="I44" s="21" t="n">
        <x:v>1</x:v>
      </x:c>
      <x:c r="J44" s="21" t="n">
        <x:v>0</x:v>
      </x:c>
      <x:c r="K44" s="21" t="n">
        <x:v>0</x:v>
      </x:c>
      <x:c r="L44" s="21" t="n">
        <x:v>0</x:v>
      </x:c>
      <x:c r="M44" s="33" t="n">
        <x:f>SUM(E44:L44)/8</x:f>
        <x:v>0.625</x:v>
      </x:c>
      <x:c r="N44" s="21" t="n">
        <x:f>SUM(I44:L44)</x:f>
        <x:v>1</x:v>
      </x:c>
      <x:c r="O44" s="21" t="str">
        <x:f>I44&amp;"-"&amp;J44&amp;"-"&amp;K44&amp;"-"&amp;L44</x:f>
        <x:v>1-0-0-0</x:v>
      </x:c>
    </x:row>
    <x:row r="45" ht="15" hidden="0" customHeight="1">
      <x:c r="A45" s="21" t="n">
        <x:v>44</x:v>
      </x:c>
      <x:c r="B45" s="21" t="str">
        <x:v>S056</x:v>
      </x:c>
      <x:c r="C45" s="21" t="str">
        <x:v>Wei et al. (2026)</x:v>
      </x:c>
      <x:c r="D45" s="21" t="str">
        <x:v>Primary</x:v>
      </x:c>
      <x:c r="E45" s="21" t="n">
        <x:v>1</x:v>
      </x:c>
      <x:c r="F45" s="21" t="n">
        <x:v>1</x:v>
      </x:c>
      <x:c r="G45" s="21" t="n">
        <x:v>1</x:v>
      </x:c>
      <x:c r="H45" s="21" t="n">
        <x:v>1</x:v>
      </x:c>
      <x:c r="I45" s="21" t="n">
        <x:v>1</x:v>
      </x:c>
      <x:c r="J45" s="21" t="n">
        <x:v>1</x:v>
      </x:c>
      <x:c r="K45" s="21" t="n">
        <x:v>0</x:v>
      </x:c>
      <x:c r="L45" s="21" t="n">
        <x:v>0</x:v>
      </x:c>
      <x:c r="M45" s="33" t="n">
        <x:f>SUM(E45:L45)/8</x:f>
        <x:v>0.75</x:v>
      </x:c>
      <x:c r="N45" s="21" t="n">
        <x:f>SUM(I45:L45)</x:f>
        <x:v>2</x:v>
      </x:c>
      <x:c r="O45" s="21" t="str">
        <x:f>I45&amp;"-"&amp;J45&amp;"-"&amp;K45&amp;"-"&amp;L45</x:f>
        <x:v>1-1-0-0</x:v>
      </x:c>
    </x:row>
    <x:row r="46" ht="15" hidden="0" customHeight="1">
      <x:c r="A46" s="21" t="n">
        <x:v>45</x:v>
      </x:c>
      <x:c r="B46" s="21" t="str">
        <x:v>S057</x:v>
      </x:c>
      <x:c r="C46" s="21" t="str">
        <x:v>Wei et al. (2026)</x:v>
      </x:c>
      <x:c r="D46" s="21" t="str">
        <x:v>Primary</x:v>
      </x:c>
      <x:c r="E46" s="21" t="n">
        <x:v>1</x:v>
      </x:c>
      <x:c r="F46" s="21" t="n">
        <x:v>1</x:v>
      </x:c>
      <x:c r="G46" s="21" t="n">
        <x:v>1</x:v>
      </x:c>
      <x:c r="H46" s="21" t="n">
        <x:v>1</x:v>
      </x:c>
      <x:c r="I46" s="21" t="n">
        <x:v>1</x:v>
      </x:c>
      <x:c r="J46" s="21" t="n">
        <x:v>0</x:v>
      </x:c>
      <x:c r="K46" s="21" t="n">
        <x:v>0</x:v>
      </x:c>
      <x:c r="L46" s="21" t="n">
        <x:v>0</x:v>
      </x:c>
      <x:c r="M46" s="33" t="n">
        <x:f>SUM(E46:L46)/8</x:f>
        <x:v>0.625</x:v>
      </x:c>
      <x:c r="N46" s="21" t="n">
        <x:f>SUM(I46:L46)</x:f>
        <x:v>1</x:v>
      </x:c>
      <x:c r="O46" s="21" t="str">
        <x:f>I46&amp;"-"&amp;J46&amp;"-"&amp;K46&amp;"-"&amp;L46</x:f>
        <x:v>1-0-0-0</x:v>
      </x:c>
    </x:row>
    <x:row r="47" ht="15" hidden="0" customHeight="1">
      <x:c r="A47" s="21" t="n">
        <x:v>46</x:v>
      </x:c>
      <x:c r="B47" s="21" t="str">
        <x:v>S058</x:v>
      </x:c>
      <x:c r="C47" s="21" t="str">
        <x:v>Yang et al. (2026)</x:v>
      </x:c>
      <x:c r="D47" s="21" t="str">
        <x:v>Primary</x:v>
      </x:c>
      <x:c r="E47" s="21" t="n">
        <x:v>1</x:v>
      </x:c>
      <x:c r="F47" s="21" t="n">
        <x:v>1</x:v>
      </x:c>
      <x:c r="G47" s="21" t="n">
        <x:v>1</x:v>
      </x:c>
      <x:c r="H47" s="21" t="n">
        <x:v>1</x:v>
      </x:c>
      <x:c r="I47" s="21" t="n">
        <x:v>1</x:v>
      </x:c>
      <x:c r="J47" s="21" t="n">
        <x:v>1</x:v>
      </x:c>
      <x:c r="K47" s="21" t="n">
        <x:v>1</x:v>
      </x:c>
      <x:c r="L47" s="21" t="n">
        <x:v>1</x:v>
      </x:c>
      <x:c r="M47" s="33" t="n">
        <x:f>SUM(E47:L47)/8</x:f>
        <x:v>1</x:v>
      </x:c>
      <x:c r="N47" s="21" t="n">
        <x:f>SUM(I47:L47)</x:f>
        <x:v>4</x:v>
      </x:c>
      <x:c r="O47" s="21" t="str">
        <x:f>I47&amp;"-"&amp;J47&amp;"-"&amp;K47&amp;"-"&amp;L47</x:f>
        <x:v>1-1-1-1</x:v>
      </x:c>
    </x:row>
    <x:row r="48" ht="15" hidden="0" customHeight="1">
      <x:c r="A48" s="21" t="n">
        <x:v>47</x:v>
      </x:c>
      <x:c r="B48" s="21" t="str">
        <x:v>S059</x:v>
      </x:c>
      <x:c r="C48" s="21" t="str">
        <x:v>Saroli et al. (2026)</x:v>
      </x:c>
      <x:c r="D48" s="21" t="str">
        <x:v>Primary</x:v>
      </x:c>
      <x:c r="E48" s="21" t="n">
        <x:v>1</x:v>
      </x:c>
      <x:c r="F48" s="21" t="n">
        <x:v>1</x:v>
      </x:c>
      <x:c r="G48" s="21" t="n">
        <x:v>1</x:v>
      </x:c>
      <x:c r="H48" s="21" t="n">
        <x:v>1</x:v>
      </x:c>
      <x:c r="I48" s="21" t="n">
        <x:v>1</x:v>
      </x:c>
      <x:c r="J48" s="21" t="n">
        <x:v>1</x:v>
      </x:c>
      <x:c r="K48" s="21" t="n">
        <x:v>1</x:v>
      </x:c>
      <x:c r="L48" s="21" t="n">
        <x:v>0</x:v>
      </x:c>
      <x:c r="M48" s="33" t="n">
        <x:f>SUM(E48:L48)/8</x:f>
        <x:v>0.875</x:v>
      </x:c>
      <x:c r="N48" s="21" t="n">
        <x:f>SUM(I48:L48)</x:f>
        <x:v>3</x:v>
      </x:c>
      <x:c r="O48" s="21" t="str">
        <x:f>I48&amp;"-"&amp;J48&amp;"-"&amp;K48&amp;"-"&amp;L48</x:f>
        <x:v>1-1-1-0</x:v>
      </x:c>
    </x:row>
    <x:row r="49" ht="15" hidden="0" customHeight="1">
      <x:c r="A49" s="21" t="n">
        <x:v>48</x:v>
      </x:c>
      <x:c r="B49" s="21" t="str">
        <x:v>S060</x:v>
      </x:c>
      <x:c r="C49" s="21" t="str">
        <x:v>Porfyrakis et al. (2026)</x:v>
      </x:c>
      <x:c r="D49" s="21" t="str">
        <x:v>Primary</x:v>
      </x:c>
      <x:c r="E49" s="21" t="n">
        <x:v>1</x:v>
      </x:c>
      <x:c r="F49" s="21" t="n">
        <x:v>1</x:v>
      </x:c>
      <x:c r="G49" s="21" t="n">
        <x:v>1</x:v>
      </x:c>
      <x:c r="H49" s="21" t="n">
        <x:v>1</x:v>
      </x:c>
      <x:c r="I49" s="21" t="n">
        <x:v>1</x:v>
      </x:c>
      <x:c r="J49" s="21" t="n">
        <x:v>0</x:v>
      </x:c>
      <x:c r="K49" s="21" t="n">
        <x:v>0</x:v>
      </x:c>
      <x:c r="L49" s="21" t="n">
        <x:v>0</x:v>
      </x:c>
      <x:c r="M49" s="33" t="n">
        <x:f>SUM(E49:L49)/8</x:f>
        <x:v>0.625</x:v>
      </x:c>
      <x:c r="N49" s="21" t="n">
        <x:f>SUM(I49:L49)</x:f>
        <x:v>1</x:v>
      </x:c>
      <x:c r="O49" s="21" t="str">
        <x:f>I49&amp;"-"&amp;J49&amp;"-"&amp;K49&amp;"-"&amp;L49</x:f>
        <x:v>1-0-0-0</x:v>
      </x:c>
    </x:row>
    <x:row r="50" ht="15" hidden="0" customHeight="1">
      <x:c r="A50" s="21" t="n">
        <x:v>49</x:v>
      </x:c>
      <x:c r="B50" s="21" t="str">
        <x:v>S061</x:v>
      </x:c>
      <x:c r="C50" s="21" t="str">
        <x:v>Kumar et al. (2026)</x:v>
      </x:c>
      <x:c r="D50" s="21" t="str">
        <x:v>Primary</x:v>
      </x:c>
      <x:c r="E50" s="21" t="n">
        <x:v>0</x:v>
      </x:c>
      <x:c r="F50" s="21" t="n">
        <x:v>1</x:v>
      </x:c>
      <x:c r="G50" s="21" t="n">
        <x:v>1</x:v>
      </x:c>
      <x:c r="H50" s="21" t="n">
        <x:v>1</x:v>
      </x:c>
      <x:c r="I50" s="21" t="n">
        <x:v>0</x:v>
      </x:c>
      <x:c r="J50" s="21" t="n">
        <x:v>1</x:v>
      </x:c>
      <x:c r="K50" s="21" t="n">
        <x:v>0</x:v>
      </x:c>
      <x:c r="L50" s="21" t="n">
        <x:v>0</x:v>
      </x:c>
      <x:c r="M50" s="33" t="n">
        <x:f>SUM(E50:L50)/8</x:f>
        <x:v>0.5</x:v>
      </x:c>
      <x:c r="N50" s="21" t="n">
        <x:f>SUM(I50:L50)</x:f>
        <x:v>1</x:v>
      </x:c>
      <x:c r="O50" s="21" t="str">
        <x:f>I50&amp;"-"&amp;J50&amp;"-"&amp;K50&amp;"-"&amp;L50</x:f>
        <x:v>0-1-0-0</x:v>
      </x:c>
    </x:row>
    <x:row r="51" ht="15" hidden="0" customHeight="1">
      <x:c r="A51" s="21" t="n">
        <x:v>50</x:v>
      </x:c>
      <x:c r="B51" s="21" t="str">
        <x:v>S063</x:v>
      </x:c>
      <x:c r="C51" s="21" t="str">
        <x:v>Wu et al. (2026)</x:v>
      </x:c>
      <x:c r="D51" s="21" t="str">
        <x:v>Primary</x:v>
      </x:c>
      <x:c r="E51" s="21" t="n">
        <x:v>1</x:v>
      </x:c>
      <x:c r="F51" s="21" t="n">
        <x:v>1</x:v>
      </x:c>
      <x:c r="G51" s="21" t="n">
        <x:v>1</x:v>
      </x:c>
      <x:c r="H51" s="21" t="n">
        <x:v>1</x:v>
      </x:c>
      <x:c r="I51" s="21" t="n">
        <x:v>1</x:v>
      </x:c>
      <x:c r="J51" s="21" t="n">
        <x:v>0</x:v>
      </x:c>
      <x:c r="K51" s="21" t="n">
        <x:v>0</x:v>
      </x:c>
      <x:c r="L51" s="21" t="n">
        <x:v>0</x:v>
      </x:c>
      <x:c r="M51" s="33" t="n">
        <x:f>SUM(E51:L51)/8</x:f>
        <x:v>0.625</x:v>
      </x:c>
      <x:c r="N51" s="21" t="n">
        <x:f>SUM(I51:L51)</x:f>
        <x:v>1</x:v>
      </x:c>
      <x:c r="O51" s="21" t="str">
        <x:f>I51&amp;"-"&amp;J51&amp;"-"&amp;K51&amp;"-"&amp;L51</x:f>
        <x:v>1-0-0-0</x:v>
      </x:c>
    </x:row>
    <x:row r="52" ht="15" hidden="0" customHeight="1">
      <x:c r="A52" s="21" t="n">
        <x:v>51</x:v>
      </x:c>
      <x:c r="B52" s="21" t="str">
        <x:v>S064</x:v>
      </x:c>
      <x:c r="C52" s="21" t="str">
        <x:v>Tao et al. (2026)</x:v>
      </x:c>
      <x:c r="D52" s="21" t="str">
        <x:v>Primary</x:v>
      </x:c>
      <x:c r="E52" s="21" t="n">
        <x:v>1</x:v>
      </x:c>
      <x:c r="F52" s="21" t="n">
        <x:v>1</x:v>
      </x:c>
      <x:c r="G52" s="21" t="n">
        <x:v>1</x:v>
      </x:c>
      <x:c r="H52" s="21" t="n">
        <x:v>1</x:v>
      </x:c>
      <x:c r="I52" s="21" t="n">
        <x:v>1</x:v>
      </x:c>
      <x:c r="J52" s="21" t="n">
        <x:v>0</x:v>
      </x:c>
      <x:c r="K52" s="21" t="n">
        <x:v>1</x:v>
      </x:c>
      <x:c r="L52" s="21" t="n">
        <x:v>0</x:v>
      </x:c>
      <x:c r="M52" s="33" t="n">
        <x:f>SUM(E52:L52)/8</x:f>
        <x:v>0.75</x:v>
      </x:c>
      <x:c r="N52" s="21" t="n">
        <x:f>SUM(I52:L52)</x:f>
        <x:v>2</x:v>
      </x:c>
      <x:c r="O52" s="21" t="str">
        <x:f>I52&amp;"-"&amp;J52&amp;"-"&amp;K52&amp;"-"&amp;L52</x:f>
        <x:v>1-0-1-0</x:v>
      </x:c>
    </x:row>
    <x:row r="53" ht="15" hidden="0" customHeight="1">
      <x:c r="A53" s="21" t="n">
        <x:v>52</x:v>
      </x:c>
      <x:c r="B53" s="21" t="str">
        <x:v>S065</x:v>
      </x:c>
      <x:c r="C53" s="21" t="str">
        <x:v>Han et al. (2026)</x:v>
      </x:c>
      <x:c r="D53" s="21" t="str">
        <x:v>Primary</x:v>
      </x:c>
      <x:c r="E53" s="21" t="n">
        <x:v>0</x:v>
      </x:c>
      <x:c r="F53" s="21" t="n">
        <x:v>1</x:v>
      </x:c>
      <x:c r="G53" s="21" t="n">
        <x:v>1</x:v>
      </x:c>
      <x:c r="H53" s="21" t="n">
        <x:v>1</x:v>
      </x:c>
      <x:c r="I53" s="21" t="n">
        <x:v>1</x:v>
      </x:c>
      <x:c r="J53" s="21" t="n">
        <x:v>0</x:v>
      </x:c>
      <x:c r="K53" s="21" t="n">
        <x:v>1</x:v>
      </x:c>
      <x:c r="L53" s="21" t="n">
        <x:v>1</x:v>
      </x:c>
      <x:c r="M53" s="33" t="n">
        <x:f>SUM(E53:L53)/8</x:f>
        <x:v>0.75</x:v>
      </x:c>
      <x:c r="N53" s="21" t="n">
        <x:f>SUM(I53:L53)</x:f>
        <x:v>3</x:v>
      </x:c>
      <x:c r="O53" s="21" t="str">
        <x:f>I53&amp;"-"&amp;J53&amp;"-"&amp;K53&amp;"-"&amp;L53</x:f>
        <x:v>1-0-1-1</x:v>
      </x:c>
    </x:row>
    <x:row r="54" ht="15" hidden="0" customHeight="1">
      <x:c r="A54" s="21" t="n">
        <x:v>53</x:v>
      </x:c>
      <x:c r="B54" s="21" t="str">
        <x:v>S066</x:v>
      </x:c>
      <x:c r="C54" s="21" t="str">
        <x:v>Saroli et al. (2026)</x:v>
      </x:c>
      <x:c r="D54" s="21" t="str">
        <x:v>Primary</x:v>
      </x:c>
      <x:c r="E54" s="21" t="n">
        <x:v>0</x:v>
      </x:c>
      <x:c r="F54" s="21" t="n">
        <x:v>1</x:v>
      </x:c>
      <x:c r="G54" s="21" t="n">
        <x:v>1</x:v>
      </x:c>
      <x:c r="H54" s="21" t="n">
        <x:v>1</x:v>
      </x:c>
      <x:c r="I54" s="21" t="n">
        <x:v>1</x:v>
      </x:c>
      <x:c r="J54" s="21" t="n">
        <x:v>1</x:v>
      </x:c>
      <x:c r="K54" s="21" t="n">
        <x:v>1</x:v>
      </x:c>
      <x:c r="L54" s="21" t="n">
        <x:v>0</x:v>
      </x:c>
      <x:c r="M54" s="33" t="n">
        <x:f>SUM(E54:L54)/8</x:f>
        <x:v>0.75</x:v>
      </x:c>
      <x:c r="N54" s="21" t="n">
        <x:f>SUM(I54:L54)</x:f>
        <x:v>3</x:v>
      </x:c>
      <x:c r="O54" s="21" t="str">
        <x:f>I54&amp;"-"&amp;J54&amp;"-"&amp;K54&amp;"-"&amp;L54</x:f>
        <x:v>1-1-1-0</x:v>
      </x:c>
    </x:row>
    <x:row r="55" ht="15" hidden="0" customHeight="1">
      <x:c r="A55" s="21" t="n">
        <x:v>54</x:v>
      </x:c>
      <x:c r="B55" s="21" t="str">
        <x:v>S067</x:v>
      </x:c>
      <x:c r="C55" s="21" t="str">
        <x:v>Yang et al. (2026)</x:v>
      </x:c>
      <x:c r="D55" s="21" t="str">
        <x:v>Primary</x:v>
      </x:c>
      <x:c r="E55" s="21" t="n">
        <x:v>0</x:v>
      </x:c>
      <x:c r="F55" s="21" t="n">
        <x:v>1</x:v>
      </x:c>
      <x:c r="G55" s="21" t="n">
        <x:v>1</x:v>
      </x:c>
      <x:c r="H55" s="21" t="n">
        <x:v>1</x:v>
      </x:c>
      <x:c r="I55" s="21" t="n">
        <x:v>1</x:v>
      </x:c>
      <x:c r="J55" s="21" t="n">
        <x:v>1</x:v>
      </x:c>
      <x:c r="K55" s="21" t="n">
        <x:v>0</x:v>
      </x:c>
      <x:c r="L55" s="21" t="n">
        <x:v>0</x:v>
      </x:c>
      <x:c r="M55" s="33" t="n">
        <x:f>SUM(E55:L55)/8</x:f>
        <x:v>0.625</x:v>
      </x:c>
      <x:c r="N55" s="21" t="n">
        <x:f>SUM(I55:L55)</x:f>
        <x:v>2</x:v>
      </x:c>
      <x:c r="O55" s="21" t="str">
        <x:f>I55&amp;"-"&amp;J55&amp;"-"&amp;K55&amp;"-"&amp;L55</x:f>
        <x:v>1-1-0-0</x:v>
      </x:c>
    </x:row>
    <x:row r="56" ht="15" hidden="0" customHeight="1">
      <x:c r="A56" s="21" t="n">
        <x:v>55</x:v>
      </x:c>
      <x:c r="B56" s="21" t="str">
        <x:v>S068</x:v>
      </x:c>
      <x:c r="C56" s="21" t="str">
        <x:v>Sánchez et al. (2025)</x:v>
      </x:c>
      <x:c r="D56" s="21" t="str">
        <x:v>Primary</x:v>
      </x:c>
      <x:c r="E56" s="21" t="n">
        <x:v>1</x:v>
      </x:c>
      <x:c r="F56" s="21" t="n">
        <x:v>1</x:v>
      </x:c>
      <x:c r="G56" s="21" t="n">
        <x:v>1</x:v>
      </x:c>
      <x:c r="H56" s="21" t="n">
        <x:v>1</x:v>
      </x:c>
      <x:c r="I56" s="21" t="n">
        <x:v>1</x:v>
      </x:c>
      <x:c r="J56" s="21" t="n">
        <x:v>0</x:v>
      </x:c>
      <x:c r="K56" s="21" t="n">
        <x:v>0</x:v>
      </x:c>
      <x:c r="L56" s="21" t="n">
        <x:v>0</x:v>
      </x:c>
      <x:c r="M56" s="33" t="n">
        <x:f>SUM(E56:L56)/8</x:f>
        <x:v>0.625</x:v>
      </x:c>
      <x:c r="N56" s="21" t="n">
        <x:f>SUM(I56:L56)</x:f>
        <x:v>1</x:v>
      </x:c>
      <x:c r="O56" s="21" t="str">
        <x:f>I56&amp;"-"&amp;J56&amp;"-"&amp;K56&amp;"-"&amp;L56</x:f>
        <x:v>1-0-0-0</x:v>
      </x:c>
    </x:row>
    <x:row r="57" ht="15" hidden="0" customHeight="1">
      <x:c r="A57" s="21" t="n">
        <x:v>56</x:v>
      </x:c>
      <x:c r="B57" s="21" t="str">
        <x:v>S069</x:v>
      </x:c>
      <x:c r="C57" s="21" t="str">
        <x:v>Babu et al. (2025)</x:v>
      </x:c>
      <x:c r="D57" s="21" t="str">
        <x:v>Primary</x:v>
      </x:c>
      <x:c r="E57" s="21" t="n">
        <x:v>1</x:v>
      </x:c>
      <x:c r="F57" s="21" t="n">
        <x:v>1</x:v>
      </x:c>
      <x:c r="G57" s="21" t="n">
        <x:v>1</x:v>
      </x:c>
      <x:c r="H57" s="21" t="n">
        <x:v>1</x:v>
      </x:c>
      <x:c r="I57" s="21" t="n">
        <x:v>1</x:v>
      </x:c>
      <x:c r="J57" s="21" t="n">
        <x:v>1</x:v>
      </x:c>
      <x:c r="K57" s="21" t="n">
        <x:v>1</x:v>
      </x:c>
      <x:c r="L57" s="21" t="n">
        <x:v>0</x:v>
      </x:c>
      <x:c r="M57" s="33" t="n">
        <x:f>SUM(E57:L57)/8</x:f>
        <x:v>0.875</x:v>
      </x:c>
      <x:c r="N57" s="21" t="n">
        <x:f>SUM(I57:L57)</x:f>
        <x:v>3</x:v>
      </x:c>
      <x:c r="O57" s="21" t="str">
        <x:f>I57&amp;"-"&amp;J57&amp;"-"&amp;K57&amp;"-"&amp;L57</x:f>
        <x:v>1-1-1-0</x:v>
      </x:c>
    </x:row>
    <x:row r="58" ht="15" hidden="0" customHeight="1">
      <x:c r="A58" s="21" t="n">
        <x:v>57</x:v>
      </x:c>
      <x:c r="B58" s="21" t="str">
        <x:v>S070</x:v>
      </x:c>
      <x:c r="C58" s="21" t="str">
        <x:v>Dimo et al. (2026)</x:v>
      </x:c>
      <x:c r="D58" s="21" t="str">
        <x:v>Primary</x:v>
      </x:c>
      <x:c r="E58" s="21" t="n">
        <x:v>1</x:v>
      </x:c>
      <x:c r="F58" s="21" t="n">
        <x:v>1</x:v>
      </x:c>
      <x:c r="G58" s="21" t="n">
        <x:v>1</x:v>
      </x:c>
      <x:c r="H58" s="21" t="n">
        <x:v>1</x:v>
      </x:c>
      <x:c r="I58" s="21" t="n">
        <x:v>1</x:v>
      </x:c>
      <x:c r="J58" s="21" t="n">
        <x:v>1</x:v>
      </x:c>
      <x:c r="K58" s="21" t="n">
        <x:v>0</x:v>
      </x:c>
      <x:c r="L58" s="21" t="n">
        <x:v>0</x:v>
      </x:c>
      <x:c r="M58" s="33" t="n">
        <x:f>SUM(E58:L58)/8</x:f>
        <x:v>0.75</x:v>
      </x:c>
      <x:c r="N58" s="21" t="n">
        <x:f>SUM(I58:L58)</x:f>
        <x:v>2</x:v>
      </x:c>
      <x:c r="O58" s="21" t="str">
        <x:f>I58&amp;"-"&amp;J58&amp;"-"&amp;K58&amp;"-"&amp;L58</x:f>
        <x:v>1-1-0-0</x:v>
      </x:c>
    </x:row>
    <x:row r="59" ht="15" hidden="0" customHeight="1">
      <x:c r="A59" s="21" t="n">
        <x:v>58</x:v>
      </x:c>
      <x:c r="B59" s="21" t="str">
        <x:v>S071</x:v>
      </x:c>
      <x:c r="C59" s="21" t="str">
        <x:v>Luo et al. (2025)</x:v>
      </x:c>
      <x:c r="D59" s="21" t="str">
        <x:v>Primary</x:v>
      </x:c>
      <x:c r="E59" s="21" t="n">
        <x:v>0</x:v>
      </x:c>
      <x:c r="F59" s="21" t="n">
        <x:v>1</x:v>
      </x:c>
      <x:c r="G59" s="21" t="n">
        <x:v>1</x:v>
      </x:c>
      <x:c r="H59" s="21" t="n">
        <x:v>1</x:v>
      </x:c>
      <x:c r="I59" s="21" t="n">
        <x:v>1</x:v>
      </x:c>
      <x:c r="J59" s="21" t="n">
        <x:v>0</x:v>
      </x:c>
      <x:c r="K59" s="21" t="n">
        <x:v>1</x:v>
      </x:c>
      <x:c r="L59" s="21" t="n">
        <x:v>0</x:v>
      </x:c>
      <x:c r="M59" s="33" t="n">
        <x:f>SUM(E59:L59)/8</x:f>
        <x:v>0.625</x:v>
      </x:c>
      <x:c r="N59" s="21" t="n">
        <x:f>SUM(I59:L59)</x:f>
        <x:v>2</x:v>
      </x:c>
      <x:c r="O59" s="21" t="str">
        <x:f>I59&amp;"-"&amp;J59&amp;"-"&amp;K59&amp;"-"&amp;L59</x:f>
        <x:v>1-0-1-0</x:v>
      </x:c>
    </x:row>
    <x:row r="60" ht="15" hidden="0" customHeight="1">
      <x:c r="A60" s="21" t="n">
        <x:v>59</x:v>
      </x:c>
      <x:c r="B60" s="21" t="str">
        <x:v>S073</x:v>
      </x:c>
      <x:c r="C60" s="21" t="str">
        <x:v>Han et al. (2025)</x:v>
      </x:c>
      <x:c r="D60" s="21" t="str">
        <x:v>Primary</x:v>
      </x:c>
      <x:c r="E60" s="21" t="n">
        <x:v>0</x:v>
      </x:c>
      <x:c r="F60" s="21" t="n">
        <x:v>1</x:v>
      </x:c>
      <x:c r="G60" s="21" t="n">
        <x:v>1</x:v>
      </x:c>
      <x:c r="H60" s="21" t="n">
        <x:v>1</x:v>
      </x:c>
      <x:c r="I60" s="21" t="n">
        <x:v>1</x:v>
      </x:c>
      <x:c r="J60" s="21" t="n">
        <x:v>0</x:v>
      </x:c>
      <x:c r="K60" s="21" t="n">
        <x:v>0</x:v>
      </x:c>
      <x:c r="L60" s="21" t="n">
        <x:v>0</x:v>
      </x:c>
      <x:c r="M60" s="33" t="n">
        <x:f>SUM(E60:L60)/8</x:f>
        <x:v>0.5</x:v>
      </x:c>
      <x:c r="N60" s="21" t="n">
        <x:f>SUM(I60:L60)</x:f>
        <x:v>1</x:v>
      </x:c>
      <x:c r="O60" s="21" t="str">
        <x:f>I60&amp;"-"&amp;J60&amp;"-"&amp;K60&amp;"-"&amp;L60</x:f>
        <x:v>1-0-0-0</x:v>
      </x:c>
    </x:row>
    <x:row r="61" ht="15" hidden="0" customHeight="1">
      <x:c r="A61" s="21" t="n">
        <x:v>60</x:v>
      </x:c>
      <x:c r="B61" s="21" t="str">
        <x:v>S074</x:v>
      </x:c>
      <x:c r="C61" s="21" t="str">
        <x:v>Lavorgna et al. (2025)</x:v>
      </x:c>
      <x:c r="D61" s="21" t="str">
        <x:v>Primary</x:v>
      </x:c>
      <x:c r="E61" s="21" t="n">
        <x:v>0</x:v>
      </x:c>
      <x:c r="F61" s="21" t="n">
        <x:v>1</x:v>
      </x:c>
      <x:c r="G61" s="21" t="n">
        <x:v>1</x:v>
      </x:c>
      <x:c r="H61" s="21" t="n">
        <x:v>1</x:v>
      </x:c>
      <x:c r="I61" s="21" t="n">
        <x:v>1</x:v>
      </x:c>
      <x:c r="J61" s="21" t="n">
        <x:v>1</x:v>
      </x:c>
      <x:c r="K61" s="21" t="n">
        <x:v>0</x:v>
      </x:c>
      <x:c r="L61" s="21" t="n">
        <x:v>0</x:v>
      </x:c>
      <x:c r="M61" s="33" t="n">
        <x:f>SUM(E61:L61)/8</x:f>
        <x:v>0.625</x:v>
      </x:c>
      <x:c r="N61" s="21" t="n">
        <x:f>SUM(I61:L61)</x:f>
        <x:v>2</x:v>
      </x:c>
      <x:c r="O61" s="21" t="str">
        <x:f>I61&amp;"-"&amp;J61&amp;"-"&amp;K61&amp;"-"&amp;L61</x:f>
        <x:v>1-1-0-0</x:v>
      </x:c>
    </x:row>
    <x:row r="62" ht="15" hidden="0" customHeight="1">
      <x:c r="A62" s="21" t="n">
        <x:v>61</x:v>
      </x:c>
      <x:c r="B62" s="21" t="str">
        <x:v>S075</x:v>
      </x:c>
      <x:c r="C62" s="21" t="str">
        <x:v>Saroli et al. (2025)</x:v>
      </x:c>
      <x:c r="D62" s="21" t="str">
        <x:v>Primary</x:v>
      </x:c>
      <x:c r="E62" s="21" t="n">
        <x:v>1</x:v>
      </x:c>
      <x:c r="F62" s="21" t="n">
        <x:v>1</x:v>
      </x:c>
      <x:c r="G62" s="21" t="n">
        <x:v>1</x:v>
      </x:c>
      <x:c r="H62" s="21" t="n">
        <x:v>1</x:v>
      </x:c>
      <x:c r="I62" s="21" t="n">
        <x:v>1</x:v>
      </x:c>
      <x:c r="J62" s="21" t="n">
        <x:v>1</x:v>
      </x:c>
      <x:c r="K62" s="21" t="n">
        <x:v>0</x:v>
      </x:c>
      <x:c r="L62" s="21" t="n">
        <x:v>0</x:v>
      </x:c>
      <x:c r="M62" s="33" t="n">
        <x:f>SUM(E62:L62)/8</x:f>
        <x:v>0.75</x:v>
      </x:c>
      <x:c r="N62" s="21" t="n">
        <x:f>SUM(I62:L62)</x:f>
        <x:v>2</x:v>
      </x:c>
      <x:c r="O62" s="21" t="str">
        <x:f>I62&amp;"-"&amp;J62&amp;"-"&amp;K62&amp;"-"&amp;L62</x:f>
        <x:v>1-1-0-0</x:v>
      </x:c>
    </x:row>
    <x:row r="63" ht="15" hidden="0" customHeight="1">
      <x:c r="A63" s="21" t="n">
        <x:v>62</x:v>
      </x:c>
      <x:c r="B63" s="21" t="str">
        <x:v>S076</x:v>
      </x:c>
      <x:c r="C63" s="21" t="str">
        <x:v>Meena et al. (2025)</x:v>
      </x:c>
      <x:c r="D63" s="21" t="str">
        <x:v>Primary</x:v>
      </x:c>
      <x:c r="E63" s="21" t="n">
        <x:v>1</x:v>
      </x:c>
      <x:c r="F63" s="21" t="n">
        <x:v>1</x:v>
      </x:c>
      <x:c r="G63" s="21" t="n">
        <x:v>1</x:v>
      </x:c>
      <x:c r="H63" s="21" t="n">
        <x:v>1</x:v>
      </x:c>
      <x:c r="I63" s="21" t="n">
        <x:v>1</x:v>
      </x:c>
      <x:c r="J63" s="21" t="n">
        <x:v>0</x:v>
      </x:c>
      <x:c r="K63" s="21" t="n">
        <x:v>1</x:v>
      </x:c>
      <x:c r="L63" s="21" t="n">
        <x:v>0</x:v>
      </x:c>
      <x:c r="M63" s="33" t="n">
        <x:f>SUM(E63:L63)/8</x:f>
        <x:v>0.75</x:v>
      </x:c>
      <x:c r="N63" s="21" t="n">
        <x:f>SUM(I63:L63)</x:f>
        <x:v>2</x:v>
      </x:c>
      <x:c r="O63" s="21" t="str">
        <x:f>I63&amp;"-"&amp;J63&amp;"-"&amp;K63&amp;"-"&amp;L63</x:f>
        <x:v>1-0-1-0</x:v>
      </x:c>
    </x:row>
    <x:row r="64" ht="15" hidden="0" customHeight="1">
      <x:c r="A64" s="21" t="n">
        <x:v>63</x:v>
      </x:c>
      <x:c r="B64" s="21" t="str">
        <x:v>S077</x:v>
      </x:c>
      <x:c r="C64" s="21" t="str">
        <x:v>Farid et al. (2025)</x:v>
      </x:c>
      <x:c r="D64" s="21" t="str">
        <x:v>Primary</x:v>
      </x:c>
      <x:c r="E64" s="21" t="n">
        <x:v>0</x:v>
      </x:c>
      <x:c r="F64" s="21" t="n">
        <x:v>1</x:v>
      </x:c>
      <x:c r="G64" s="21" t="n">
        <x:v>1</x:v>
      </x:c>
      <x:c r="H64" s="21" t="n">
        <x:v>1</x:v>
      </x:c>
      <x:c r="I64" s="21" t="n">
        <x:v>1</x:v>
      </x:c>
      <x:c r="J64" s="21" t="n">
        <x:v>0</x:v>
      </x:c>
      <x:c r="K64" s="21" t="n">
        <x:v>0</x:v>
      </x:c>
      <x:c r="L64" s="21" t="n">
        <x:v>0</x:v>
      </x:c>
      <x:c r="M64" s="33" t="n">
        <x:f>SUM(E64:L64)/8</x:f>
        <x:v>0.5</x:v>
      </x:c>
      <x:c r="N64" s="21" t="n">
        <x:f>SUM(I64:L64)</x:f>
        <x:v>1</x:v>
      </x:c>
      <x:c r="O64" s="21" t="str">
        <x:f>I64&amp;"-"&amp;J64&amp;"-"&amp;K64&amp;"-"&amp;L64</x:f>
        <x:v>1-0-0-0</x:v>
      </x:c>
    </x:row>
    <x:row r="65" ht="15" hidden="0" customHeight="1">
      <x:c r="A65" s="21" t="n">
        <x:v>64</x:v>
      </x:c>
      <x:c r="B65" s="21" t="str">
        <x:v>S078</x:v>
      </x:c>
      <x:c r="C65" s="21" t="str">
        <x:v>Hu et al. (2024)</x:v>
      </x:c>
      <x:c r="D65" s="21" t="str">
        <x:v>Primary</x:v>
      </x:c>
      <x:c r="E65" s="21" t="n">
        <x:v>1</x:v>
      </x:c>
      <x:c r="F65" s="21" t="n">
        <x:v>1</x:v>
      </x:c>
      <x:c r="G65" s="21" t="n">
        <x:v>1</x:v>
      </x:c>
      <x:c r="H65" s="21" t="n">
        <x:v>1</x:v>
      </x:c>
      <x:c r="I65" s="21" t="n">
        <x:v>1</x:v>
      </x:c>
      <x:c r="J65" s="21" t="n">
        <x:v>0</x:v>
      </x:c>
      <x:c r="K65" s="21" t="n">
        <x:v>0</x:v>
      </x:c>
      <x:c r="L65" s="21" t="n">
        <x:v>0</x:v>
      </x:c>
      <x:c r="M65" s="33" t="n">
        <x:f>SUM(E65:L65)/8</x:f>
        <x:v>0.625</x:v>
      </x:c>
      <x:c r="N65" s="21" t="n">
        <x:f>SUM(I65:L65)</x:f>
        <x:v>1</x:v>
      </x:c>
      <x:c r="O65" s="21" t="str">
        <x:f>I65&amp;"-"&amp;J65&amp;"-"&amp;K65&amp;"-"&amp;L65</x:f>
        <x:v>1-0-0-0</x:v>
      </x:c>
    </x:row>
    <x:row r="66" ht="15" hidden="0" customHeight="1">
      <x:c r="A66" s="21" t="n">
        <x:v>65</x:v>
      </x:c>
      <x:c r="B66" s="21" t="str">
        <x:v>S079</x:v>
      </x:c>
      <x:c r="C66" s="21" t="str">
        <x:v>Han et al. (2024)</x:v>
      </x:c>
      <x:c r="D66" s="21" t="str">
        <x:v>Primary</x:v>
      </x:c>
      <x:c r="E66" s="21" t="n">
        <x:v>0</x:v>
      </x:c>
      <x:c r="F66" s="21" t="n">
        <x:v>1</x:v>
      </x:c>
      <x:c r="G66" s="21" t="n">
        <x:v>1</x:v>
      </x:c>
      <x:c r="H66" s="21" t="n">
        <x:v>1</x:v>
      </x:c>
      <x:c r="I66" s="21" t="n">
        <x:v>1</x:v>
      </x:c>
      <x:c r="J66" s="21" t="n">
        <x:v>1</x:v>
      </x:c>
      <x:c r="K66" s="21" t="n">
        <x:v>1</x:v>
      </x:c>
      <x:c r="L66" s="21" t="n">
        <x:v>0</x:v>
      </x:c>
      <x:c r="M66" s="33" t="n">
        <x:f>SUM(E66:L66)/8</x:f>
        <x:v>0.75</x:v>
      </x:c>
      <x:c r="N66" s="21" t="n">
        <x:f>SUM(I66:L66)</x:f>
        <x:v>3</x:v>
      </x:c>
      <x:c r="O66" s="21" t="str">
        <x:f>I66&amp;"-"&amp;J66&amp;"-"&amp;K66&amp;"-"&amp;L66</x:f>
        <x:v>1-1-1-0</x:v>
      </x:c>
    </x:row>
    <x:row r="67" ht="15" hidden="0" customHeight="1">
      <x:c r="A67" s="21" t="n">
        <x:v>66</x:v>
      </x:c>
      <x:c r="B67" s="21" t="str">
        <x:v>S080</x:v>
      </x:c>
      <x:c r="C67" s="21" t="str">
        <x:v>Imanian et al. (2023)</x:v>
      </x:c>
      <x:c r="D67" s="21" t="str">
        <x:v>Primary</x:v>
      </x:c>
      <x:c r="E67" s="21" t="n">
        <x:v>0</x:v>
      </x:c>
      <x:c r="F67" s="21" t="n">
        <x:v>1</x:v>
      </x:c>
      <x:c r="G67" s="21" t="n">
        <x:v>1</x:v>
      </x:c>
      <x:c r="H67" s="21" t="n">
        <x:v>1</x:v>
      </x:c>
      <x:c r="I67" s="21" t="n">
        <x:v>1</x:v>
      </x:c>
      <x:c r="J67" s="21" t="n">
        <x:v>0</x:v>
      </x:c>
      <x:c r="K67" s="21" t="n">
        <x:v>0</x:v>
      </x:c>
      <x:c r="L67" s="21" t="n">
        <x:v>0</x:v>
      </x:c>
      <x:c r="M67" s="33" t="n">
        <x:f>SUM(E67:L67)/8</x:f>
        <x:v>0.5</x:v>
      </x:c>
      <x:c r="N67" s="21" t="n">
        <x:f>SUM(I67:L67)</x:f>
        <x:v>1</x:v>
      </x:c>
      <x:c r="O67" s="21" t="str">
        <x:f>I67&amp;"-"&amp;J67&amp;"-"&amp;K67&amp;"-"&amp;L67</x:f>
        <x:v>1-0-0-0</x:v>
      </x:c>
    </x:row>
    <x:row r="68" ht="15" hidden="0" customHeight="1">
      <x:c r="A68" s="21" t="n">
        <x:v>67</x:v>
      </x:c>
      <x:c r="B68" s="21" t="str">
        <x:v>S081</x:v>
      </x:c>
      <x:c r="C68" s="21" t="str">
        <x:v>De Tommasi et al. (2023)</x:v>
      </x:c>
      <x:c r="D68" s="21" t="str">
        <x:v>Primary</x:v>
      </x:c>
      <x:c r="E68" s="21" t="n">
        <x:v>0</x:v>
      </x:c>
      <x:c r="F68" s="21" t="n">
        <x:v>1</x:v>
      </x:c>
      <x:c r="G68" s="21" t="n">
        <x:v>1</x:v>
      </x:c>
      <x:c r="H68" s="21" t="n">
        <x:v>1</x:v>
      </x:c>
      <x:c r="I68" s="21" t="n">
        <x:v>1</x:v>
      </x:c>
      <x:c r="J68" s="21" t="n">
        <x:v>0</x:v>
      </x:c>
      <x:c r="K68" s="21" t="n">
        <x:v>0</x:v>
      </x:c>
      <x:c r="L68" s="21" t="n">
        <x:v>0</x:v>
      </x:c>
      <x:c r="M68" s="33" t="n">
        <x:f>SUM(E68:L68)/8</x:f>
        <x:v>0.5</x:v>
      </x:c>
      <x:c r="N68" s="21" t="n">
        <x:f>SUM(I68:L68)</x:f>
        <x:v>1</x:v>
      </x:c>
      <x:c r="O68" s="21" t="str">
        <x:f>I68&amp;"-"&amp;J68&amp;"-"&amp;K68&amp;"-"&amp;L68</x:f>
        <x:v>1-0-0-0</x:v>
      </x:c>
    </x:row>
    <x:row r="69" ht="15" hidden="0" customHeight="1">
      <x:c r="A69" s="21" t="n">
        <x:v>68</x:v>
      </x:c>
      <x:c r="B69" s="21" t="str">
        <x:v>S082</x:v>
      </x:c>
      <x:c r="C69" s="21" t="str">
        <x:v>Xiang et al. (2023)</x:v>
      </x:c>
      <x:c r="D69" s="21" t="str">
        <x:v>Primary</x:v>
      </x:c>
      <x:c r="E69" s="21" t="n">
        <x:v>0</x:v>
      </x:c>
      <x:c r="F69" s="21" t="n">
        <x:v>1</x:v>
      </x:c>
      <x:c r="G69" s="21" t="n">
        <x:v>1</x:v>
      </x:c>
      <x:c r="H69" s="21" t="n">
        <x:v>1</x:v>
      </x:c>
      <x:c r="I69" s="21" t="n">
        <x:v>1</x:v>
      </x:c>
      <x:c r="J69" s="21" t="n">
        <x:v>0</x:v>
      </x:c>
      <x:c r="K69" s="21" t="n">
        <x:v>0</x:v>
      </x:c>
      <x:c r="L69" s="21" t="n">
        <x:v>0</x:v>
      </x:c>
      <x:c r="M69" s="33" t="n">
        <x:f>SUM(E69:L69)/8</x:f>
        <x:v>0.5</x:v>
      </x:c>
      <x:c r="N69" s="21" t="n">
        <x:f>SUM(I69:L69)</x:f>
        <x:v>1</x:v>
      </x:c>
      <x:c r="O69" s="21" t="str">
        <x:f>I69&amp;"-"&amp;J69&amp;"-"&amp;K69&amp;"-"&amp;L69</x:f>
        <x:v>1-0-0-0</x:v>
      </x:c>
    </x:row>
    <x:row r="70" ht="15" hidden="0" customHeight="1">
      <x:c r="A70" s="21" t="n">
        <x:v>69</x:v>
      </x:c>
      <x:c r="B70" s="21" t="str">
        <x:v>S084</x:v>
      </x:c>
      <x:c r="C70" s="21" t="str">
        <x:v>Liu et al. (2023)</x:v>
      </x:c>
      <x:c r="D70" s="21" t="str">
        <x:v>Primary</x:v>
      </x:c>
      <x:c r="E70" s="21" t="n">
        <x:v>0</x:v>
      </x:c>
      <x:c r="F70" s="21" t="n">
        <x:v>1</x:v>
      </x:c>
      <x:c r="G70" s="21" t="n">
        <x:v>1</x:v>
      </x:c>
      <x:c r="H70" s="21" t="n">
        <x:v>1</x:v>
      </x:c>
      <x:c r="I70" s="21" t="n">
        <x:v>1</x:v>
      </x:c>
      <x:c r="J70" s="21" t="n">
        <x:v>0</x:v>
      </x:c>
      <x:c r="K70" s="21" t="n">
        <x:v>0</x:v>
      </x:c>
      <x:c r="L70" s="21" t="n">
        <x:v>0</x:v>
      </x:c>
      <x:c r="M70" s="33" t="n">
        <x:f>SUM(E70:L70)/8</x:f>
        <x:v>0.5</x:v>
      </x:c>
      <x:c r="N70" s="21" t="n">
        <x:f>SUM(I70:L70)</x:f>
        <x:v>1</x:v>
      </x:c>
      <x:c r="O70" s="21" t="str">
        <x:f>I70&amp;"-"&amp;J70&amp;"-"&amp;K70&amp;"-"&amp;L70</x:f>
        <x:v>1-0-0-0</x:v>
      </x:c>
    </x:row>
    <x:row r="71" ht="15" hidden="0" customHeight="1">
      <x:c r="A71" s="21" t="n">
        <x:v>70</x:v>
      </x:c>
      <x:c r="B71" s="21" t="str">
        <x:v>S085</x:v>
      </x:c>
      <x:c r="C71" s="21" t="str">
        <x:v>Li et al. (2022)</x:v>
      </x:c>
      <x:c r="D71" s="21" t="str">
        <x:v>Primary</x:v>
      </x:c>
      <x:c r="E71" s="21" t="n">
        <x:v>1</x:v>
      </x:c>
      <x:c r="F71" s="21" t="n">
        <x:v>1</x:v>
      </x:c>
      <x:c r="G71" s="21" t="n">
        <x:v>1</x:v>
      </x:c>
      <x:c r="H71" s="21" t="n">
        <x:v>1</x:v>
      </x:c>
      <x:c r="I71" s="21" t="n">
        <x:v>1</x:v>
      </x:c>
      <x:c r="J71" s="21" t="n">
        <x:v>0</x:v>
      </x:c>
      <x:c r="K71" s="21" t="n">
        <x:v>1</x:v>
      </x:c>
      <x:c r="L71" s="21" t="n">
        <x:v>0</x:v>
      </x:c>
      <x:c r="M71" s="33" t="n">
        <x:f>SUM(E71:L71)/8</x:f>
        <x:v>0.75</x:v>
      </x:c>
      <x:c r="N71" s="21" t="n">
        <x:f>SUM(I71:L71)</x:f>
        <x:v>2</x:v>
      </x:c>
      <x:c r="O71" s="21" t="str">
        <x:f>I71&amp;"-"&amp;J71&amp;"-"&amp;K71&amp;"-"&amp;L71</x:f>
        <x:v>1-0-1-0</x:v>
      </x:c>
    </x:row>
    <x:row r="72" ht="15" hidden="0" customHeight="1">
      <x:c r="A72" s="21" t="n">
        <x:v>71</x:v>
      </x:c>
      <x:c r="B72" s="21" t="str">
        <x:v>S086</x:v>
      </x:c>
      <x:c r="C72" s="21" t="str">
        <x:v>Li et al. (2022)</x:v>
      </x:c>
      <x:c r="D72" s="21" t="str">
        <x:v>Primary</x:v>
      </x:c>
      <x:c r="E72" s="21" t="n">
        <x:v>0</x:v>
      </x:c>
      <x:c r="F72" s="21" t="n">
        <x:v>1</x:v>
      </x:c>
      <x:c r="G72" s="21" t="n">
        <x:v>1</x:v>
      </x:c>
      <x:c r="H72" s="21" t="n">
        <x:v>1</x:v>
      </x:c>
      <x:c r="I72" s="21" t="n">
        <x:v>1</x:v>
      </x:c>
      <x:c r="J72" s="21" t="n">
        <x:v>0</x:v>
      </x:c>
      <x:c r="K72" s="21" t="n">
        <x:v>0</x:v>
      </x:c>
      <x:c r="L72" s="21" t="n">
        <x:v>0</x:v>
      </x:c>
      <x:c r="M72" s="33" t="n">
        <x:f>SUM(E72:L72)/8</x:f>
        <x:v>0.5</x:v>
      </x:c>
      <x:c r="N72" s="21" t="n">
        <x:f>SUM(I72:L72)</x:f>
        <x:v>1</x:v>
      </x:c>
      <x:c r="O72" s="21" t="str">
        <x:f>I72&amp;"-"&amp;J72&amp;"-"&amp;K72&amp;"-"&amp;L72</x:f>
        <x:v>1-0-0-0</x:v>
      </x:c>
    </x:row>
    <x:row r="73" ht="15" hidden="0" customHeight="1">
      <x:c r="A73" s="21" t="n">
        <x:v>72</x:v>
      </x:c>
      <x:c r="B73" s="21" t="str">
        <x:v>S087</x:v>
      </x:c>
      <x:c r="C73" s="21" t="str">
        <x:v>Ma et al. (2021)</x:v>
      </x:c>
      <x:c r="D73" s="21" t="str">
        <x:v>Primary</x:v>
      </x:c>
      <x:c r="E73" s="21" t="n">
        <x:v>0</x:v>
      </x:c>
      <x:c r="F73" s="21" t="n">
        <x:v>1</x:v>
      </x:c>
      <x:c r="G73" s="21" t="n">
        <x:v>1</x:v>
      </x:c>
      <x:c r="H73" s="21" t="n">
        <x:v>1</x:v>
      </x:c>
      <x:c r="I73" s="21" t="n">
        <x:v>1</x:v>
      </x:c>
      <x:c r="J73" s="21" t="n">
        <x:v>0</x:v>
      </x:c>
      <x:c r="K73" s="21" t="n">
        <x:v>1</x:v>
      </x:c>
      <x:c r="L73" s="21" t="n">
        <x:v>0</x:v>
      </x:c>
      <x:c r="M73" s="33" t="n">
        <x:f>SUM(E73:L73)/8</x:f>
        <x:v>0.625</x:v>
      </x:c>
      <x:c r="N73" s="21" t="n">
        <x:f>SUM(I73:L73)</x:f>
        <x:v>2</x:v>
      </x:c>
      <x:c r="O73" s="21" t="str">
        <x:f>I73&amp;"-"&amp;J73&amp;"-"&amp;K73&amp;"-"&amp;L73</x:f>
        <x:v>1-0-1-0</x:v>
      </x:c>
    </x:row>
    <x:row r="74" ht="15" hidden="0" customHeight="1">
      <x:c r="A74" s="21" t="n">
        <x:v>73</x:v>
      </x:c>
      <x:c r="B74" s="21" t="str">
        <x:v>S088</x:v>
      </x:c>
      <x:c r="C74" s="21" t="str">
        <x:v>Cheng-Yu et al. (2021)</x:v>
      </x:c>
      <x:c r="D74" s="21" t="str">
        <x:v>Primary</x:v>
      </x:c>
      <x:c r="E74" s="21" t="n">
        <x:v>0</x:v>
      </x:c>
      <x:c r="F74" s="21" t="n">
        <x:v>1</x:v>
      </x:c>
      <x:c r="G74" s="21" t="n">
        <x:v>1</x:v>
      </x:c>
      <x:c r="H74" s="21" t="n">
        <x:v>1</x:v>
      </x:c>
      <x:c r="I74" s="21" t="n">
        <x:v>1</x:v>
      </x:c>
      <x:c r="J74" s="21" t="n">
        <x:v>0</x:v>
      </x:c>
      <x:c r="K74" s="21" t="n">
        <x:v>0</x:v>
      </x:c>
      <x:c r="L74" s="21" t="n">
        <x:v>0</x:v>
      </x:c>
      <x:c r="M74" s="33" t="n">
        <x:f>SUM(E74:L74)/8</x:f>
        <x:v>0.5</x:v>
      </x:c>
      <x:c r="N74" s="21" t="n">
        <x:f>SUM(I74:L74)</x:f>
        <x:v>1</x:v>
      </x:c>
      <x:c r="O74" s="21" t="str">
        <x:f>I74&amp;"-"&amp;J74&amp;"-"&amp;K74&amp;"-"&amp;L74</x:f>
        <x:v>1-0-0-0</x:v>
      </x:c>
    </x:row>
    <x:row r="75" ht="15" hidden="0" customHeight="1">
      <x:c r="A75" s="21" t="n">
        <x:v>74</x:v>
      </x:c>
      <x:c r="B75" s="21" t="str">
        <x:v>S089</x:v>
      </x:c>
      <x:c r="C75" s="21" t="str">
        <x:v>Xiang et al. (2020)</x:v>
      </x:c>
      <x:c r="D75" s="21" t="str">
        <x:v>Primary</x:v>
      </x:c>
      <x:c r="E75" s="21" t="n">
        <x:v>1</x:v>
      </x:c>
      <x:c r="F75" s="21" t="n">
        <x:v>1</x:v>
      </x:c>
      <x:c r="G75" s="21" t="n">
        <x:v>1</x:v>
      </x:c>
      <x:c r="H75" s="21" t="n">
        <x:v>1</x:v>
      </x:c>
      <x:c r="I75" s="21" t="n">
        <x:v>1</x:v>
      </x:c>
      <x:c r="J75" s="21" t="n">
        <x:v>1</x:v>
      </x:c>
      <x:c r="K75" s="21" t="n">
        <x:v>0</x:v>
      </x:c>
      <x:c r="L75" s="21" t="n">
        <x:v>0</x:v>
      </x:c>
      <x:c r="M75" s="33" t="n">
        <x:f>SUM(E75:L75)/8</x:f>
        <x:v>0.75</x:v>
      </x:c>
      <x:c r="N75" s="21" t="n">
        <x:f>SUM(I75:L75)</x:f>
        <x:v>2</x:v>
      </x:c>
      <x:c r="O75" s="21" t="str">
        <x:f>I75&amp;"-"&amp;J75&amp;"-"&amp;K75&amp;"-"&amp;L75</x:f>
        <x:v>1-1-0-0</x:v>
      </x:c>
    </x:row>
    <x:row r="76" ht="15" hidden="0" customHeight="1">
      <x:c r="A76" s="21" t="n">
        <x:v>75</x:v>
      </x:c>
      <x:c r="B76" s="21" t="str">
        <x:v>S090</x:v>
      </x:c>
      <x:c r="C76" s="21" t="str">
        <x:v>Fan et al. (2019)</x:v>
      </x:c>
      <x:c r="D76" s="21" t="str">
        <x:v>Primary</x:v>
      </x:c>
      <x:c r="E76" s="21" t="n">
        <x:v>0</x:v>
      </x:c>
      <x:c r="F76" s="21" t="n">
        <x:v>1</x:v>
      </x:c>
      <x:c r="G76" s="21" t="n">
        <x:v>1</x:v>
      </x:c>
      <x:c r="H76" s="21" t="n">
        <x:v>1</x:v>
      </x:c>
      <x:c r="I76" s="21" t="n">
        <x:v>0</x:v>
      </x:c>
      <x:c r="J76" s="21" t="n">
        <x:v>0</x:v>
      </x:c>
      <x:c r="K76" s="21" t="n">
        <x:v>0</x:v>
      </x:c>
      <x:c r="L76" s="21" t="n">
        <x:v>1</x:v>
      </x:c>
      <x:c r="M76" s="33" t="n">
        <x:f>SUM(E76:L76)/8</x:f>
        <x:v>0.5</x:v>
      </x:c>
      <x:c r="N76" s="21" t="n">
        <x:f>SUM(I76:L76)</x:f>
        <x:v>1</x:v>
      </x:c>
      <x:c r="O76" s="21" t="str">
        <x:f>I76&amp;"-"&amp;J76&amp;"-"&amp;K76&amp;"-"&amp;L76</x:f>
        <x:v>0-0-0-1</x:v>
      </x:c>
    </x:row>
    <x:row r="77" ht="15" hidden="0" customHeight="1">
      <x:c r="A77" s="21" t="n">
        <x:v>76</x:v>
      </x:c>
      <x:c r="B77" s="21" t="str">
        <x:v>S091</x:v>
      </x:c>
      <x:c r="C77" s="21" t="str">
        <x:v>Kennedy et al. (2017)</x:v>
      </x:c>
      <x:c r="D77" s="21" t="str">
        <x:v>Primary</x:v>
      </x:c>
      <x:c r="E77" s="21" t="n">
        <x:v>1</x:v>
      </x:c>
      <x:c r="F77" s="21" t="n">
        <x:v>1</x:v>
      </x:c>
      <x:c r="G77" s="21" t="n">
        <x:v>1</x:v>
      </x:c>
      <x:c r="H77" s="21" t="n">
        <x:v>1</x:v>
      </x:c>
      <x:c r="I77" s="21" t="n">
        <x:v>1</x:v>
      </x:c>
      <x:c r="J77" s="21" t="n">
        <x:v>0</x:v>
      </x:c>
      <x:c r="K77" s="21" t="n">
        <x:v>0</x:v>
      </x:c>
      <x:c r="L77" s="21" t="n">
        <x:v>1</x:v>
      </x:c>
      <x:c r="M77" s="33" t="n">
        <x:f>SUM(E77:L77)/8</x:f>
        <x:v>0.75</x:v>
      </x:c>
      <x:c r="N77" s="21" t="n">
        <x:f>SUM(I77:L77)</x:f>
        <x:v>2</x:v>
      </x:c>
      <x:c r="O77" s="21" t="str">
        <x:f>I77&amp;"-"&amp;J77&amp;"-"&amp;K77&amp;"-"&amp;L77</x:f>
        <x:v>1-0-0-1</x:v>
      </x:c>
    </x:row>
    <x:row r="78" ht="15" hidden="0" customHeight="1">
      <x:c r="A78" s="21" t="n">
        <x:v>1</x:v>
      </x:c>
      <x:c r="B78" s="21" t="str">
        <x:v>S001</x:v>
      </x:c>
      <x:c r="C78" s="21" t="str">
        <x:v>Leal-Junior et al. (2025)</x:v>
      </x:c>
      <x:c r="D78" s="21" t="str">
        <x:v>Conservative</x:v>
      </x:c>
      <x:c r="E78" s="21" t="n">
        <x:v>0</x:v>
      </x:c>
      <x:c r="F78" s="21" t="n">
        <x:v>1</x:v>
      </x:c>
      <x:c r="G78" s="21" t="n">
        <x:v>1</x:v>
      </x:c>
      <x:c r="H78" s="21" t="n">
        <x:v>1</x:v>
      </x:c>
      <x:c r="I78" s="21" t="n">
        <x:v>1</x:v>
      </x:c>
      <x:c r="J78" s="21" t="n">
        <x:v>0</x:v>
      </x:c>
      <x:c r="K78" s="21" t="n">
        <x:v>0</x:v>
      </x:c>
      <x:c r="L78" s="21" t="n">
        <x:v>0</x:v>
      </x:c>
      <x:c r="M78" s="33" t="n">
        <x:f>SUM(E78:L78)/8</x:f>
        <x:v>0.5</x:v>
      </x:c>
      <x:c r="N78" s="21" t="n">
        <x:f>SUM(I78:L78)</x:f>
        <x:v>1</x:v>
      </x:c>
      <x:c r="O78" s="21" t="str">
        <x:f>I78&amp;"-"&amp;J78&amp;"-"&amp;K78&amp;"-"&amp;L78</x:f>
        <x:v>1-0-0-0</x:v>
      </x:c>
    </x:row>
    <x:row r="79" ht="15" hidden="0" customHeight="1">
      <x:c r="A79" s="21" t="n">
        <x:v>2</x:v>
      </x:c>
      <x:c r="B79" s="21" t="str">
        <x:v>S002</x:v>
      </x:c>
      <x:c r="C79" s="21" t="str">
        <x:v>Koukouviti et al. (2022)</x:v>
      </x:c>
      <x:c r="D79" s="21" t="str">
        <x:v>Conservative</x:v>
      </x:c>
      <x:c r="E79" s="21" t="n">
        <x:v>0</x:v>
      </x:c>
      <x:c r="F79" s="21" t="n">
        <x:v>1</x:v>
      </x:c>
      <x:c r="G79" s="21" t="n">
        <x:v>1</x:v>
      </x:c>
      <x:c r="H79" s="21" t="n">
        <x:v>1</x:v>
      </x:c>
      <x:c r="I79" s="21" t="n">
        <x:v>1</x:v>
      </x:c>
      <x:c r="J79" s="21" t="n">
        <x:v>1</x:v>
      </x:c>
      <x:c r="K79" s="21" t="n">
        <x:v>0</x:v>
      </x:c>
      <x:c r="L79" s="21" t="n">
        <x:v>1</x:v>
      </x:c>
      <x:c r="M79" s="33" t="n">
        <x:f>SUM(E79:L79)/8</x:f>
        <x:v>0.75</x:v>
      </x:c>
      <x:c r="N79" s="21" t="n">
        <x:f>SUM(I79:L79)</x:f>
        <x:v>3</x:v>
      </x:c>
      <x:c r="O79" s="21" t="str">
        <x:f>I79&amp;"-"&amp;J79&amp;"-"&amp;K79&amp;"-"&amp;L79</x:f>
        <x:v>1-1-0-1</x:v>
      </x:c>
    </x:row>
    <x:row r="80" ht="15" hidden="0" customHeight="1">
      <x:c r="A80" s="21" t="n">
        <x:v>3</x:v>
      </x:c>
      <x:c r="B80" s="21" t="str">
        <x:v>S004</x:v>
      </x:c>
      <x:c r="C80" s="21" t="str">
        <x:v>Farid et al. (2025)</x:v>
      </x:c>
      <x:c r="D80" s="21" t="str">
        <x:v>Conservative</x:v>
      </x:c>
      <x:c r="E80" s="21" t="n">
        <x:v>1</x:v>
      </x:c>
      <x:c r="F80" s="21" t="n">
        <x:v>1</x:v>
      </x:c>
      <x:c r="G80" s="21" t="n">
        <x:v>1</x:v>
      </x:c>
      <x:c r="H80" s="21" t="n">
        <x:v>1</x:v>
      </x:c>
      <x:c r="I80" s="21" t="n">
        <x:v>0</x:v>
      </x:c>
      <x:c r="J80" s="21" t="n">
        <x:v>0</x:v>
      </x:c>
      <x:c r="K80" s="21" t="n">
        <x:v>0</x:v>
      </x:c>
      <x:c r="L80" s="21" t="n">
        <x:v>0</x:v>
      </x:c>
      <x:c r="M80" s="33" t="n">
        <x:f>SUM(E80:L80)/8</x:f>
        <x:v>0.5</x:v>
      </x:c>
      <x:c r="N80" s="21" t="n">
        <x:f>SUM(I80:L80)</x:f>
        <x:v>0</x:v>
      </x:c>
      <x:c r="O80" s="21" t="str">
        <x:f>I80&amp;"-"&amp;J80&amp;"-"&amp;K80&amp;"-"&amp;L80</x:f>
        <x:v>0-0-0-0</x:v>
      </x:c>
    </x:row>
    <x:row r="81" ht="15" hidden="0" customHeight="1">
      <x:c r="A81" s="21" t="n">
        <x:v>4</x:v>
      </x:c>
      <x:c r="B81" s="21" t="str">
        <x:v>S005</x:v>
      </x:c>
      <x:c r="C81" s="21" t="str">
        <x:v>Tavares et al. (2022)</x:v>
      </x:c>
      <x:c r="D81" s="21" t="str">
        <x:v>Conservative</x:v>
      </x:c>
      <x:c r="E81" s="21" t="n">
        <x:v>0</x:v>
      </x:c>
      <x:c r="F81" s="21" t="n">
        <x:v>1</x:v>
      </x:c>
      <x:c r="G81" s="21" t="n">
        <x:v>1</x:v>
      </x:c>
      <x:c r="H81" s="21" t="n">
        <x:v>1</x:v>
      </x:c>
      <x:c r="I81" s="21" t="n">
        <x:v>0</x:v>
      </x:c>
      <x:c r="J81" s="21" t="n">
        <x:v>0</x:v>
      </x:c>
      <x:c r="K81" s="21" t="n">
        <x:v>0</x:v>
      </x:c>
      <x:c r="L81" s="21" t="n">
        <x:v>0</x:v>
      </x:c>
      <x:c r="M81" s="33" t="n">
        <x:f>SUM(E81:L81)/8</x:f>
        <x:v>0.375</x:v>
      </x:c>
      <x:c r="N81" s="21" t="n">
        <x:f>SUM(I81:L81)</x:f>
        <x:v>0</x:v>
      </x:c>
      <x:c r="O81" s="21" t="str">
        <x:f>I81&amp;"-"&amp;J81&amp;"-"&amp;K81&amp;"-"&amp;L81</x:f>
        <x:v>0-0-0-0</x:v>
      </x:c>
    </x:row>
    <x:row r="82" ht="15" hidden="0" customHeight="1">
      <x:c r="A82" s="21" t="n">
        <x:v>5</x:v>
      </x:c>
      <x:c r="B82" s="21" t="str">
        <x:v>S007</x:v>
      </x:c>
      <x:c r="C82" s="21" t="str">
        <x:v>Velcescu et al. (2019)</x:v>
      </x:c>
      <x:c r="D82" s="21" t="str">
        <x:v>Conservative</x:v>
      </x:c>
      <x:c r="E82" s="21" t="n">
        <x:v>1</x:v>
      </x:c>
      <x:c r="F82" s="21" t="n">
        <x:v>1</x:v>
      </x:c>
      <x:c r="G82" s="21" t="n">
        <x:v>1</x:v>
      </x:c>
      <x:c r="H82" s="21" t="n">
        <x:v>1</x:v>
      </x:c>
      <x:c r="I82" s="21" t="n">
        <x:v>0</x:v>
      </x:c>
      <x:c r="J82" s="21" t="n">
        <x:v>0</x:v>
      </x:c>
      <x:c r="K82" s="21" t="n">
        <x:v>0</x:v>
      </x:c>
      <x:c r="L82" s="21" t="n">
        <x:v>0</x:v>
      </x:c>
      <x:c r="M82" s="33" t="n">
        <x:f>SUM(E82:L82)/8</x:f>
        <x:v>0.5</x:v>
      </x:c>
      <x:c r="N82" s="21" t="n">
        <x:f>SUM(I82:L82)</x:f>
        <x:v>0</x:v>
      </x:c>
      <x:c r="O82" s="21" t="str">
        <x:f>I82&amp;"-"&amp;J82&amp;"-"&amp;K82&amp;"-"&amp;L82</x:f>
        <x:v>0-0-0-0</x:v>
      </x:c>
    </x:row>
    <x:row r="83" ht="15" hidden="0" customHeight="1">
      <x:c r="A83" s="21" t="n">
        <x:v>6</x:v>
      </x:c>
      <x:c r="B83" s="21" t="str">
        <x:v>S008</x:v>
      </x:c>
      <x:c r="C83" s="21" t="str">
        <x:v>Kim et al. (2022)</x:v>
      </x:c>
      <x:c r="D83" s="21" t="str">
        <x:v>Conservative</x:v>
      </x:c>
      <x:c r="E83" s="21" t="n">
        <x:v>1</x:v>
      </x:c>
      <x:c r="F83" s="21" t="n">
        <x:v>1</x:v>
      </x:c>
      <x:c r="G83" s="21" t="n">
        <x:v>1</x:v>
      </x:c>
      <x:c r="H83" s="21" t="n">
        <x:v>1</x:v>
      </x:c>
      <x:c r="I83" s="21" t="n">
        <x:v>0</x:v>
      </x:c>
      <x:c r="J83" s="21" t="n">
        <x:v>0</x:v>
      </x:c>
      <x:c r="K83" s="21" t="n">
        <x:v>0</x:v>
      </x:c>
      <x:c r="L83" s="21" t="n">
        <x:v>0</x:v>
      </x:c>
      <x:c r="M83" s="33" t="n">
        <x:f>SUM(E83:L83)/8</x:f>
        <x:v>0.5</x:v>
      </x:c>
      <x:c r="N83" s="21" t="n">
        <x:f>SUM(I83:L83)</x:f>
        <x:v>0</x:v>
      </x:c>
      <x:c r="O83" s="21" t="str">
        <x:f>I83&amp;"-"&amp;J83&amp;"-"&amp;K83&amp;"-"&amp;L83</x:f>
        <x:v>0-0-0-0</x:v>
      </x:c>
    </x:row>
    <x:row r="84" ht="15" hidden="0" customHeight="1">
      <x:c r="A84" s="21" t="n">
        <x:v>7</x:v>
      </x:c>
      <x:c r="B84" s="21" t="str">
        <x:v>S010</x:v>
      </x:c>
      <x:c r="C84" s="21" t="str">
        <x:v>Mutlu et al. (2023)</x:v>
      </x:c>
      <x:c r="D84" s="21" t="str">
        <x:v>Conservative</x:v>
      </x:c>
      <x:c r="E84" s="21" t="n">
        <x:v>1</x:v>
      </x:c>
      <x:c r="F84" s="21" t="n">
        <x:v>1</x:v>
      </x:c>
      <x:c r="G84" s="21" t="n">
        <x:v>1</x:v>
      </x:c>
      <x:c r="H84" s="21" t="n">
        <x:v>1</x:v>
      </x:c>
      <x:c r="I84" s="21" t="n">
        <x:v>1</x:v>
      </x:c>
      <x:c r="J84" s="21" t="n">
        <x:v>0</x:v>
      </x:c>
      <x:c r="K84" s="21" t="n">
        <x:v>0</x:v>
      </x:c>
      <x:c r="L84" s="21" t="n">
        <x:v>0</x:v>
      </x:c>
      <x:c r="M84" s="33" t="n">
        <x:f>SUM(E84:L84)/8</x:f>
        <x:v>0.625</x:v>
      </x:c>
      <x:c r="N84" s="21" t="n">
        <x:f>SUM(I84:L84)</x:f>
        <x:v>1</x:v>
      </x:c>
      <x:c r="O84" s="21" t="str">
        <x:f>I84&amp;"-"&amp;J84&amp;"-"&amp;K84&amp;"-"&amp;L84</x:f>
        <x:v>1-0-0-0</x:v>
      </x:c>
    </x:row>
    <x:row r="85" ht="15" hidden="0" customHeight="1">
      <x:c r="A85" s="21" t="n">
        <x:v>8</x:v>
      </x:c>
      <x:c r="B85" s="21" t="str">
        <x:v>S011</x:v>
      </x:c>
      <x:c r="C85" s="21" t="str">
        <x:v>Samarentsis et al. (2022)</x:v>
      </x:c>
      <x:c r="D85" s="21" t="str">
        <x:v>Conservative</x:v>
      </x:c>
      <x:c r="E85" s="21" t="n">
        <x:v>1</x:v>
      </x:c>
      <x:c r="F85" s="21" t="n">
        <x:v>1</x:v>
      </x:c>
      <x:c r="G85" s="21" t="n">
        <x:v>1</x:v>
      </x:c>
      <x:c r="H85" s="21" t="n">
        <x:v>1</x:v>
      </x:c>
      <x:c r="I85" s="21" t="n">
        <x:v>1</x:v>
      </x:c>
      <x:c r="J85" s="21" t="n">
        <x:v>0</x:v>
      </x:c>
      <x:c r="K85" s="21" t="n">
        <x:v>0</x:v>
      </x:c>
      <x:c r="L85" s="21" t="n">
        <x:v>0</x:v>
      </x:c>
      <x:c r="M85" s="33" t="n">
        <x:f>SUM(E85:L85)/8</x:f>
        <x:v>0.625</x:v>
      </x:c>
      <x:c r="N85" s="21" t="n">
        <x:f>SUM(I85:L85)</x:f>
        <x:v>1</x:v>
      </x:c>
      <x:c r="O85" s="21" t="str">
        <x:f>I85&amp;"-"&amp;J85&amp;"-"&amp;K85&amp;"-"&amp;L85</x:f>
        <x:v>1-0-0-0</x:v>
      </x:c>
    </x:row>
    <x:row r="86" ht="15" hidden="0" customHeight="1">
      <x:c r="A86" s="21" t="n">
        <x:v>9</x:v>
      </x:c>
      <x:c r="B86" s="21" t="str">
        <x:v>S012</x:v>
      </x:c>
      <x:c r="C86" s="21" t="str">
        <x:v>Wolterink et al. (2020)</x:v>
      </x:c>
      <x:c r="D86" s="21" t="str">
        <x:v>Conservative</x:v>
      </x:c>
      <x:c r="E86" s="21" t="n">
        <x:v>0</x:v>
      </x:c>
      <x:c r="F86" s="21" t="n">
        <x:v>1</x:v>
      </x:c>
      <x:c r="G86" s="21" t="n">
        <x:v>1</x:v>
      </x:c>
      <x:c r="H86" s="21" t="n">
        <x:v>1</x:v>
      </x:c>
      <x:c r="I86" s="21" t="n">
        <x:v>0</x:v>
      </x:c>
      <x:c r="J86" s="21" t="n">
        <x:v>1</x:v>
      </x:c>
      <x:c r="K86" s="21" t="n">
        <x:v>0</x:v>
      </x:c>
      <x:c r="L86" s="21" t="n">
        <x:v>0</x:v>
      </x:c>
      <x:c r="M86" s="33" t="n">
        <x:f>SUM(E86:L86)/8</x:f>
        <x:v>0.5</x:v>
      </x:c>
      <x:c r="N86" s="21" t="n">
        <x:f>SUM(I86:L86)</x:f>
        <x:v>1</x:v>
      </x:c>
      <x:c r="O86" s="21" t="str">
        <x:f>I86&amp;"-"&amp;J86&amp;"-"&amp;K86&amp;"-"&amp;L86</x:f>
        <x:v>0-1-0-0</x:v>
      </x:c>
    </x:row>
    <x:row r="87" ht="15" hidden="0" customHeight="1">
      <x:c r="A87" s="21" t="n">
        <x:v>10</x:v>
      </x:c>
      <x:c r="B87" s="21" t="str">
        <x:v>S013</x:v>
      </x:c>
      <x:c r="C87" s="21" t="str">
        <x:v>Poulladofonou et al. (2022)</x:v>
      </x:c>
      <x:c r="D87" s="21" t="str">
        <x:v>Conservative</x:v>
      </x:c>
      <x:c r="E87" s="21" t="n">
        <x:v>0</x:v>
      </x:c>
      <x:c r="F87" s="21" t="n">
        <x:v>1</x:v>
      </x:c>
      <x:c r="G87" s="21" t="n">
        <x:v>1</x:v>
      </x:c>
      <x:c r="H87" s="21" t="n">
        <x:v>1</x:v>
      </x:c>
      <x:c r="I87" s="21" t="n">
        <x:v>1</x:v>
      </x:c>
      <x:c r="J87" s="21" t="n">
        <x:v>1</x:v>
      </x:c>
      <x:c r="K87" s="21" t="n">
        <x:v>0</x:v>
      </x:c>
      <x:c r="L87" s="21" t="n">
        <x:v>1</x:v>
      </x:c>
      <x:c r="M87" s="33" t="n">
        <x:f>SUM(E87:L87)/8</x:f>
        <x:v>0.75</x:v>
      </x:c>
      <x:c r="N87" s="21" t="n">
        <x:f>SUM(I87:L87)</x:f>
        <x:v>3</x:v>
      </x:c>
      <x:c r="O87" s="21" t="str">
        <x:f>I87&amp;"-"&amp;J87&amp;"-"&amp;K87&amp;"-"&amp;L87</x:f>
        <x:v>1-1-0-1</x:v>
      </x:c>
    </x:row>
    <x:row r="88" ht="15" hidden="0" customHeight="1">
      <x:c r="A88" s="21" t="n">
        <x:v>11</x:v>
      </x:c>
      <x:c r="B88" s="21" t="str">
        <x:v>S014</x:v>
      </x:c>
      <x:c r="C88" s="21" t="str">
        <x:v>Dimo et al. (2025)</x:v>
      </x:c>
      <x:c r="D88" s="21" t="str">
        <x:v>Conservative</x:v>
      </x:c>
      <x:c r="E88" s="21" t="n">
        <x:v>0</x:v>
      </x:c>
      <x:c r="F88" s="21" t="n">
        <x:v>1</x:v>
      </x:c>
      <x:c r="G88" s="21" t="n">
        <x:v>1</x:v>
      </x:c>
      <x:c r="H88" s="21" t="n">
        <x:v>1</x:v>
      </x:c>
      <x:c r="I88" s="21" t="n">
        <x:v>1</x:v>
      </x:c>
      <x:c r="J88" s="21" t="n">
        <x:v>1</x:v>
      </x:c>
      <x:c r="K88" s="21" t="n">
        <x:v>1</x:v>
      </x:c>
      <x:c r="L88" s="21" t="n">
        <x:v>0</x:v>
      </x:c>
      <x:c r="M88" s="33" t="n">
        <x:f>SUM(E88:L88)/8</x:f>
        <x:v>0.75</x:v>
      </x:c>
      <x:c r="N88" s="21" t="n">
        <x:f>SUM(I88:L88)</x:f>
        <x:v>3</x:v>
      </x:c>
      <x:c r="O88" s="21" t="str">
        <x:f>I88&amp;"-"&amp;J88&amp;"-"&amp;K88&amp;"-"&amp;L88</x:f>
        <x:v>1-1-1-0</x:v>
      </x:c>
    </x:row>
    <x:row r="89" ht="15" hidden="0" customHeight="1">
      <x:c r="A89" s="21" t="n">
        <x:v>12</x:v>
      </x:c>
      <x:c r="B89" s="21" t="str">
        <x:v>S015</x:v>
      </x:c>
      <x:c r="C89" s="21" t="str">
        <x:v>Farook et al. (2023)</x:v>
      </x:c>
      <x:c r="D89" s="21" t="str">
        <x:v>Conservative</x:v>
      </x:c>
      <x:c r="E89" s="21" t="n">
        <x:v>0</x:v>
      </x:c>
      <x:c r="F89" s="21" t="n">
        <x:v>1</x:v>
      </x:c>
      <x:c r="G89" s="21" t="n">
        <x:v>1</x:v>
      </x:c>
      <x:c r="H89" s="21" t="n">
        <x:v>1</x:v>
      </x:c>
      <x:c r="I89" s="21" t="n">
        <x:v>0</x:v>
      </x:c>
      <x:c r="J89" s="21" t="n">
        <x:v>0</x:v>
      </x:c>
      <x:c r="K89" s="21" t="n">
        <x:v>0</x:v>
      </x:c>
      <x:c r="L89" s="21" t="n">
        <x:v>0</x:v>
      </x:c>
      <x:c r="M89" s="33" t="n">
        <x:f>SUM(E89:L89)/8</x:f>
        <x:v>0.375</x:v>
      </x:c>
      <x:c r="N89" s="21" t="n">
        <x:f>SUM(I89:L89)</x:f>
        <x:v>0</x:v>
      </x:c>
      <x:c r="O89" s="21" t="str">
        <x:f>I89&amp;"-"&amp;J89&amp;"-"&amp;K89&amp;"-"&amp;L89</x:f>
        <x:v>0-0-0-0</x:v>
      </x:c>
    </x:row>
    <x:row r="90" ht="15" hidden="0" customHeight="1">
      <x:c r="A90" s="21" t="n">
        <x:v>13</x:v>
      </x:c>
      <x:c r="B90" s="21" t="str">
        <x:v>S017</x:v>
      </x:c>
      <x:c r="C90" s="21" t="str">
        <x:v>Zhang and Ma (2025)</x:v>
      </x:c>
      <x:c r="D90" s="21" t="str">
        <x:v>Conservative</x:v>
      </x:c>
      <x:c r="E90" s="21" t="n">
        <x:v>0</x:v>
      </x:c>
      <x:c r="F90" s="21" t="n">
        <x:v>0</x:v>
      </x:c>
      <x:c r="G90" s="21" t="n">
        <x:v>1</x:v>
      </x:c>
      <x:c r="H90" s="21" t="n">
        <x:v>1</x:v>
      </x:c>
      <x:c r="I90" s="21" t="n">
        <x:v>1</x:v>
      </x:c>
      <x:c r="J90" s="21" t="n">
        <x:v>1</x:v>
      </x:c>
      <x:c r="K90" s="21" t="n">
        <x:v>0</x:v>
      </x:c>
      <x:c r="L90" s="21" t="n">
        <x:v>0</x:v>
      </x:c>
      <x:c r="M90" s="33" t="n">
        <x:f>SUM(E90:L90)/8</x:f>
        <x:v>0.5</x:v>
      </x:c>
      <x:c r="N90" s="21" t="n">
        <x:f>SUM(I90:L90)</x:f>
        <x:v>2</x:v>
      </x:c>
      <x:c r="O90" s="21" t="str">
        <x:f>I90&amp;"-"&amp;J90&amp;"-"&amp;K90&amp;"-"&amp;L90</x:f>
        <x:v>1-1-0-0</x:v>
      </x:c>
    </x:row>
    <x:row r="91" ht="15" hidden="0" customHeight="1">
      <x:c r="A91" s="21" t="n">
        <x:v>14</x:v>
      </x:c>
      <x:c r="B91" s="21" t="str">
        <x:v>S018</x:v>
      </x:c>
      <x:c r="C91" s="21" t="str">
        <x:v>Vu et al. (2025)</x:v>
      </x:c>
      <x:c r="D91" s="21" t="str">
        <x:v>Conservative</x:v>
      </x:c>
      <x:c r="E91" s="21" t="n">
        <x:v>0</x:v>
      </x:c>
      <x:c r="F91" s="21" t="n">
        <x:v>1</x:v>
      </x:c>
      <x:c r="G91" s="21" t="n">
        <x:v>1</x:v>
      </x:c>
      <x:c r="H91" s="21" t="n">
        <x:v>1</x:v>
      </x:c>
      <x:c r="I91" s="21" t="n">
        <x:v>0</x:v>
      </x:c>
      <x:c r="J91" s="21" t="n">
        <x:v>0</x:v>
      </x:c>
      <x:c r="K91" s="21" t="n">
        <x:v>1</x:v>
      </x:c>
      <x:c r="L91" s="21" t="n">
        <x:v>0</x:v>
      </x:c>
      <x:c r="M91" s="33" t="n">
        <x:f>SUM(E91:L91)/8</x:f>
        <x:v>0.5</x:v>
      </x:c>
      <x:c r="N91" s="21" t="n">
        <x:f>SUM(I91:L91)</x:f>
        <x:v>1</x:v>
      </x:c>
      <x:c r="O91" s="21" t="str">
        <x:f>I91&amp;"-"&amp;J91&amp;"-"&amp;K91&amp;"-"&amp;L91</x:f>
        <x:v>0-0-1-0</x:v>
      </x:c>
    </x:row>
    <x:row r="92" ht="15" hidden="0" customHeight="1">
      <x:c r="A92" s="21" t="n">
        <x:v>15</x:v>
      </x:c>
      <x:c r="B92" s="21" t="str">
        <x:v>S019</x:v>
      </x:c>
      <x:c r="C92" s="21" t="str">
        <x:v>Vu et al. (2021)</x:v>
      </x:c>
      <x:c r="D92" s="21" t="str">
        <x:v>Conservative</x:v>
      </x:c>
      <x:c r="E92" s="21" t="n">
        <x:v>1</x:v>
      </x:c>
      <x:c r="F92" s="21" t="n">
        <x:v>1</x:v>
      </x:c>
      <x:c r="G92" s="21" t="n">
        <x:v>1</x:v>
      </x:c>
      <x:c r="H92" s="21" t="n">
        <x:v>1</x:v>
      </x:c>
      <x:c r="I92" s="21" t="n">
        <x:v>1</x:v>
      </x:c>
      <x:c r="J92" s="21" t="n">
        <x:v>1</x:v>
      </x:c>
      <x:c r="K92" s="21" t="n">
        <x:v>0</x:v>
      </x:c>
      <x:c r="L92" s="21" t="n">
        <x:v>1</x:v>
      </x:c>
      <x:c r="M92" s="33" t="n">
        <x:f>SUM(E92:L92)/8</x:f>
        <x:v>0.875</x:v>
      </x:c>
      <x:c r="N92" s="21" t="n">
        <x:f>SUM(I92:L92)</x:f>
        <x:v>3</x:v>
      </x:c>
      <x:c r="O92" s="21" t="str">
        <x:f>I92&amp;"-"&amp;J92&amp;"-"&amp;K92&amp;"-"&amp;L92</x:f>
        <x:v>1-1-0-1</x:v>
      </x:c>
    </x:row>
    <x:row r="93" ht="15" hidden="0" customHeight="1">
      <x:c r="A93" s="21" t="n">
        <x:v>16</x:v>
      </x:c>
      <x:c r="B93" s="21" t="str">
        <x:v>S020</x:v>
      </x:c>
      <x:c r="C93" s="21" t="str">
        <x:v>Langlois et al. (2021)</x:v>
      </x:c>
      <x:c r="D93" s="21" t="str">
        <x:v>Conservative</x:v>
      </x:c>
      <x:c r="E93" s="21" t="n">
        <x:v>0</x:v>
      </x:c>
      <x:c r="F93" s="21" t="n">
        <x:v>1</x:v>
      </x:c>
      <x:c r="G93" s="21" t="n">
        <x:v>1</x:v>
      </x:c>
      <x:c r="H93" s="21" t="n">
        <x:v>1</x:v>
      </x:c>
      <x:c r="I93" s="21" t="n">
        <x:v>1</x:v>
      </x:c>
      <x:c r="J93" s="21" t="n">
        <x:v>0</x:v>
      </x:c>
      <x:c r="K93" s="21" t="n">
        <x:v>0</x:v>
      </x:c>
      <x:c r="L93" s="21" t="n">
        <x:v>1</x:v>
      </x:c>
      <x:c r="M93" s="33" t="n">
        <x:f>SUM(E93:L93)/8</x:f>
        <x:v>0.625</x:v>
      </x:c>
      <x:c r="N93" s="21" t="n">
        <x:f>SUM(I93:L93)</x:f>
        <x:v>2</x:v>
      </x:c>
      <x:c r="O93" s="21" t="str">
        <x:f>I93&amp;"-"&amp;J93&amp;"-"&amp;K93&amp;"-"&amp;L93</x:f>
        <x:v>1-0-0-1</x:v>
      </x:c>
    </x:row>
    <x:row r="94" ht="15" hidden="0" customHeight="1">
      <x:c r="A94" s="21" t="n">
        <x:v>17</x:v>
      </x:c>
      <x:c r="B94" s="21" t="str">
        <x:v>S021</x:v>
      </x:c>
      <x:c r="C94" s="21" t="str">
        <x:v>Li et al. (2026)</x:v>
      </x:c>
      <x:c r="D94" s="21" t="str">
        <x:v>Conservative</x:v>
      </x:c>
      <x:c r="E94" s="21" t="n">
        <x:v>0</x:v>
      </x:c>
      <x:c r="F94" s="21" t="n">
        <x:v>1</x:v>
      </x:c>
      <x:c r="G94" s="21" t="n">
        <x:v>1</x:v>
      </x:c>
      <x:c r="H94" s="21" t="n">
        <x:v>1</x:v>
      </x:c>
      <x:c r="I94" s="21" t="n">
        <x:v>0</x:v>
      </x:c>
      <x:c r="J94" s="21" t="n">
        <x:v>0</x:v>
      </x:c>
      <x:c r="K94" s="21" t="n">
        <x:v>1</x:v>
      </x:c>
      <x:c r="L94" s="21" t="n">
        <x:v>0</x:v>
      </x:c>
      <x:c r="M94" s="33" t="n">
        <x:f>SUM(E94:L94)/8</x:f>
        <x:v>0.5</x:v>
      </x:c>
      <x:c r="N94" s="21" t="n">
        <x:f>SUM(I94:L94)</x:f>
        <x:v>1</x:v>
      </x:c>
      <x:c r="O94" s="21" t="str">
        <x:f>I94&amp;"-"&amp;J94&amp;"-"&amp;K94&amp;"-"&amp;L94</x:f>
        <x:v>0-0-1-0</x:v>
      </x:c>
    </x:row>
    <x:row r="95" ht="15" hidden="0" customHeight="1">
      <x:c r="A95" s="21" t="n">
        <x:v>18</x:v>
      </x:c>
      <x:c r="B95" s="21" t="str">
        <x:v>S022</x:v>
      </x:c>
      <x:c r="C95" s="21" t="str">
        <x:v>Yan et al. (2025)</x:v>
      </x:c>
      <x:c r="D95" s="21" t="str">
        <x:v>Conservative</x:v>
      </x:c>
      <x:c r="E95" s="21" t="n">
        <x:v>0</x:v>
      </x:c>
      <x:c r="F95" s="21" t="n">
        <x:v>1</x:v>
      </x:c>
      <x:c r="G95" s="21" t="n">
        <x:v>1</x:v>
      </x:c>
      <x:c r="H95" s="21" t="n">
        <x:v>1</x:v>
      </x:c>
      <x:c r="I95" s="21" t="n">
        <x:v>1</x:v>
      </x:c>
      <x:c r="J95" s="21" t="n">
        <x:v>1</x:v>
      </x:c>
      <x:c r="K95" s="21" t="n">
        <x:v>0</x:v>
      </x:c>
      <x:c r="L95" s="21" t="n">
        <x:v>0</x:v>
      </x:c>
      <x:c r="M95" s="33" t="n">
        <x:f>SUM(E95:L95)/8</x:f>
        <x:v>0.625</x:v>
      </x:c>
      <x:c r="N95" s="21" t="n">
        <x:f>SUM(I95:L95)</x:f>
        <x:v>2</x:v>
      </x:c>
      <x:c r="O95" s="21" t="str">
        <x:f>I95&amp;"-"&amp;J95&amp;"-"&amp;K95&amp;"-"&amp;L95</x:f>
        <x:v>1-1-0-0</x:v>
      </x:c>
    </x:row>
    <x:row r="96" ht="15" hidden="0" customHeight="1">
      <x:c r="A96" s="21" t="n">
        <x:v>19</x:v>
      </x:c>
      <x:c r="B96" s="21" t="str">
        <x:v>S023</x:v>
      </x:c>
      <x:c r="C96" s="21" t="str">
        <x:v>Salo et al. (2022)</x:v>
      </x:c>
      <x:c r="D96" s="21" t="str">
        <x:v>Conservative</x:v>
      </x:c>
      <x:c r="E96" s="21" t="n">
        <x:v>1</x:v>
      </x:c>
      <x:c r="F96" s="21" t="n">
        <x:v>1</x:v>
      </x:c>
      <x:c r="G96" s="21" t="n">
        <x:v>1</x:v>
      </x:c>
      <x:c r="H96" s="21" t="n">
        <x:v>1</x:v>
      </x:c>
      <x:c r="I96" s="21" t="n">
        <x:v>1</x:v>
      </x:c>
      <x:c r="J96" s="21" t="n">
        <x:v>0</x:v>
      </x:c>
      <x:c r="K96" s="21" t="n">
        <x:v>0</x:v>
      </x:c>
      <x:c r="L96" s="21" t="n">
        <x:v>1</x:v>
      </x:c>
      <x:c r="M96" s="33" t="n">
        <x:f>SUM(E96:L96)/8</x:f>
        <x:v>0.75</x:v>
      </x:c>
      <x:c r="N96" s="21" t="n">
        <x:f>SUM(I96:L96)</x:f>
        <x:v>2</x:v>
      </x:c>
      <x:c r="O96" s="21" t="str">
        <x:f>I96&amp;"-"&amp;J96&amp;"-"&amp;K96&amp;"-"&amp;L96</x:f>
        <x:v>1-0-0-1</x:v>
      </x:c>
    </x:row>
    <x:row r="97" ht="15" hidden="0" customHeight="1">
      <x:c r="A97" s="21" t="n">
        <x:v>20</x:v>
      </x:c>
      <x:c r="B97" s="21" t="str">
        <x:v>S024</x:v>
      </x:c>
      <x:c r="C97" s="21" t="str">
        <x:v>Han et al. (2026)</x:v>
      </x:c>
      <x:c r="D97" s="21" t="str">
        <x:v>Conservative</x:v>
      </x:c>
      <x:c r="E97" s="21" t="n">
        <x:v>0</x:v>
      </x:c>
      <x:c r="F97" s="21" t="n">
        <x:v>1</x:v>
      </x:c>
      <x:c r="G97" s="21" t="n">
        <x:v>1</x:v>
      </x:c>
      <x:c r="H97" s="21" t="n">
        <x:v>1</x:v>
      </x:c>
      <x:c r="I97" s="21" t="n">
        <x:v>1</x:v>
      </x:c>
      <x:c r="J97" s="21" t="n">
        <x:v>1</x:v>
      </x:c>
      <x:c r="K97" s="21" t="n">
        <x:v>1</x:v>
      </x:c>
      <x:c r="L97" s="21" t="n">
        <x:v>0</x:v>
      </x:c>
      <x:c r="M97" s="33" t="n">
        <x:f>SUM(E97:L97)/8</x:f>
        <x:v>0.75</x:v>
      </x:c>
      <x:c r="N97" s="21" t="n">
        <x:f>SUM(I97:L97)</x:f>
        <x:v>3</x:v>
      </x:c>
      <x:c r="O97" s="21" t="str">
        <x:f>I97&amp;"-"&amp;J97&amp;"-"&amp;K97&amp;"-"&amp;L97</x:f>
        <x:v>1-1-1-0</x:v>
      </x:c>
    </x:row>
    <x:row r="98" ht="15" hidden="0" customHeight="1">
      <x:c r="A98" s="21" t="n">
        <x:v>21</x:v>
      </x:c>
      <x:c r="B98" s="21" t="str">
        <x:v>S025</x:v>
      </x:c>
      <x:c r="C98" s="21" t="str">
        <x:v>Wei et al. (2026)</x:v>
      </x:c>
      <x:c r="D98" s="21" t="str">
        <x:v>Conservative</x:v>
      </x:c>
      <x:c r="E98" s="21" t="n">
        <x:v>1</x:v>
      </x:c>
      <x:c r="F98" s="21" t="n">
        <x:v>1</x:v>
      </x:c>
      <x:c r="G98" s="21" t="n">
        <x:v>1</x:v>
      </x:c>
      <x:c r="H98" s="21" t="n">
        <x:v>1</x:v>
      </x:c>
      <x:c r="I98" s="21" t="n">
        <x:v>1</x:v>
      </x:c>
      <x:c r="J98" s="21" t="n">
        <x:v>1</x:v>
      </x:c>
      <x:c r="K98" s="21" t="n">
        <x:v>0</x:v>
      </x:c>
      <x:c r="L98" s="21" t="n">
        <x:v>1</x:v>
      </x:c>
      <x:c r="M98" s="33" t="n">
        <x:f>SUM(E98:L98)/8</x:f>
        <x:v>0.875</x:v>
      </x:c>
      <x:c r="N98" s="21" t="n">
        <x:f>SUM(I98:L98)</x:f>
        <x:v>3</x:v>
      </x:c>
      <x:c r="O98" s="21" t="str">
        <x:f>I98&amp;"-"&amp;J98&amp;"-"&amp;K98&amp;"-"&amp;L98</x:f>
        <x:v>1-1-0-1</x:v>
      </x:c>
    </x:row>
    <x:row r="99" ht="15" hidden="0" customHeight="1">
      <x:c r="A99" s="21" t="n">
        <x:v>22</x:v>
      </x:c>
      <x:c r="B99" s="21" t="str">
        <x:v>S028</x:v>
      </x:c>
      <x:c r="C99" s="21" t="str">
        <x:v>Gothard et al. (2023)</x:v>
      </x:c>
      <x:c r="D99" s="21" t="str">
        <x:v>Conservative</x:v>
      </x:c>
      <x:c r="E99" s="21" t="n">
        <x:v>1</x:v>
      </x:c>
      <x:c r="F99" s="21" t="n">
        <x:v>1</x:v>
      </x:c>
      <x:c r="G99" s="21" t="n">
        <x:v>1</x:v>
      </x:c>
      <x:c r="H99" s="21" t="n">
        <x:v>1</x:v>
      </x:c>
      <x:c r="I99" s="21" t="n">
        <x:v>1</x:v>
      </x:c>
      <x:c r="J99" s="21" t="n">
        <x:v>0</x:v>
      </x:c>
      <x:c r="K99" s="21" t="n">
        <x:v>0</x:v>
      </x:c>
      <x:c r="L99" s="21" t="n">
        <x:v>1</x:v>
      </x:c>
      <x:c r="M99" s="33" t="n">
        <x:f>SUM(E99:L99)/8</x:f>
        <x:v>0.75</x:v>
      </x:c>
      <x:c r="N99" s="21" t="n">
        <x:f>SUM(I99:L99)</x:f>
        <x:v>2</x:v>
      </x:c>
      <x:c r="O99" s="21" t="str">
        <x:f>I99&amp;"-"&amp;J99&amp;"-"&amp;K99&amp;"-"&amp;L99</x:f>
        <x:v>1-0-0-1</x:v>
      </x:c>
    </x:row>
    <x:row r="100" ht="15" hidden="0" customHeight="1">
      <x:c r="A100" s="21" t="n">
        <x:v>23</x:v>
      </x:c>
      <x:c r="B100" s="21" t="str">
        <x:v>S029</x:v>
      </x:c>
      <x:c r="C100" s="21" t="str">
        <x:v>Özkurt et al. (2026)</x:v>
      </x:c>
      <x:c r="D100" s="21" t="str">
        <x:v>Conservative</x:v>
      </x:c>
      <x:c r="E100" s="21" t="n">
        <x:v>1</x:v>
      </x:c>
      <x:c r="F100" s="21" t="n">
        <x:v>1</x:v>
      </x:c>
      <x:c r="G100" s="21" t="n">
        <x:v>1</x:v>
      </x:c>
      <x:c r="H100" s="21" t="n">
        <x:v>1</x:v>
      </x:c>
      <x:c r="I100" s="21" t="n">
        <x:v>1</x:v>
      </x:c>
      <x:c r="J100" s="21" t="n">
        <x:v>1</x:v>
      </x:c>
      <x:c r="K100" s="21" t="n">
        <x:v>0</x:v>
      </x:c>
      <x:c r="L100" s="21" t="n">
        <x:v>1</x:v>
      </x:c>
      <x:c r="M100" s="33" t="n">
        <x:f>SUM(E100:L100)/8</x:f>
        <x:v>0.875</x:v>
      </x:c>
      <x:c r="N100" s="21" t="n">
        <x:f>SUM(I100:L100)</x:f>
        <x:v>3</x:v>
      </x:c>
      <x:c r="O100" s="21" t="str">
        <x:f>I100&amp;"-"&amp;J100&amp;"-"&amp;K100&amp;"-"&amp;L100</x:f>
        <x:v>1-1-0-1</x:v>
      </x:c>
    </x:row>
    <x:row r="101" ht="15" hidden="0" customHeight="1">
      <x:c r="A101" s="21" t="n">
        <x:v>24</x:v>
      </x:c>
      <x:c r="B101" s="21" t="str">
        <x:v>S031</x:v>
      </x:c>
      <x:c r="C101" s="21" t="str">
        <x:v>Rivera et al. (2022)</x:v>
      </x:c>
      <x:c r="D101" s="21" t="str">
        <x:v>Conservative</x:v>
      </x:c>
      <x:c r="E101" s="21" t="n">
        <x:v>0</x:v>
      </x:c>
      <x:c r="F101" s="21" t="n">
        <x:v>1</x:v>
      </x:c>
      <x:c r="G101" s="21" t="n">
        <x:v>1</x:v>
      </x:c>
      <x:c r="H101" s="21" t="n">
        <x:v>1</x:v>
      </x:c>
      <x:c r="I101" s="21" t="n">
        <x:v>0</x:v>
      </x:c>
      <x:c r="J101" s="21" t="n">
        <x:v>0</x:v>
      </x:c>
      <x:c r="K101" s="21" t="n">
        <x:v>0</x:v>
      </x:c>
      <x:c r="L101" s="21" t="n">
        <x:v>0</x:v>
      </x:c>
      <x:c r="M101" s="33" t="n">
        <x:f>SUM(E101:L101)/8</x:f>
        <x:v>0.375</x:v>
      </x:c>
      <x:c r="N101" s="21" t="n">
        <x:f>SUM(I101:L101)</x:f>
        <x:v>0</x:v>
      </x:c>
      <x:c r="O101" s="21" t="str">
        <x:f>I101&amp;"-"&amp;J101&amp;"-"&amp;K101&amp;"-"&amp;L101</x:f>
        <x:v>0-0-0-0</x:v>
      </x:c>
    </x:row>
    <x:row r="102" ht="15" hidden="0" customHeight="1">
      <x:c r="A102" s="21" t="n">
        <x:v>25</x:v>
      </x:c>
      <x:c r="B102" s="21" t="str">
        <x:v>S032</x:v>
      </x:c>
      <x:c r="C102" s="21" t="str">
        <x:v>Liu et al. (2021)</x:v>
      </x:c>
      <x:c r="D102" s="21" t="str">
        <x:v>Conservative</x:v>
      </x:c>
      <x:c r="E102" s="21" t="n">
        <x:v>0</x:v>
      </x:c>
      <x:c r="F102" s="21" t="n">
        <x:v>1</x:v>
      </x:c>
      <x:c r="G102" s="21" t="n">
        <x:v>1</x:v>
      </x:c>
      <x:c r="H102" s="21" t="n">
        <x:v>1</x:v>
      </x:c>
      <x:c r="I102" s="21" t="n">
        <x:v>0</x:v>
      </x:c>
      <x:c r="J102" s="21" t="n">
        <x:v>0</x:v>
      </x:c>
      <x:c r="K102" s="21" t="n">
        <x:v>0</x:v>
      </x:c>
      <x:c r="L102" s="21" t="n">
        <x:v>0</x:v>
      </x:c>
      <x:c r="M102" s="33" t="n">
        <x:f>SUM(E102:L102)/8</x:f>
        <x:v>0.375</x:v>
      </x:c>
      <x:c r="N102" s="21" t="n">
        <x:f>SUM(I102:L102)</x:f>
        <x:v>0</x:v>
      </x:c>
      <x:c r="O102" s="21" t="str">
        <x:f>I102&amp;"-"&amp;J102&amp;"-"&amp;K102&amp;"-"&amp;L102</x:f>
        <x:v>0-0-0-0</x:v>
      </x:c>
    </x:row>
    <x:row r="103" ht="15" hidden="0" customHeight="1">
      <x:c r="A103" s="21" t="n">
        <x:v>26</x:v>
      </x:c>
      <x:c r="B103" s="21" t="str">
        <x:v>S033</x:v>
      </x:c>
      <x:c r="C103" s="21" t="str">
        <x:v>Yu et al. (2020)</x:v>
      </x:c>
      <x:c r="D103" s="21" t="str">
        <x:v>Conservative</x:v>
      </x:c>
      <x:c r="E103" s="21" t="n">
        <x:v>0</x:v>
      </x:c>
      <x:c r="F103" s="21" t="n">
        <x:v>1</x:v>
      </x:c>
      <x:c r="G103" s="21" t="n">
        <x:v>1</x:v>
      </x:c>
      <x:c r="H103" s="21" t="n">
        <x:v>1</x:v>
      </x:c>
      <x:c r="I103" s="21" t="n">
        <x:v>1</x:v>
      </x:c>
      <x:c r="J103" s="21" t="n">
        <x:v>0</x:v>
      </x:c>
      <x:c r="K103" s="21" t="n">
        <x:v>1</x:v>
      </x:c>
      <x:c r="L103" s="21" t="n">
        <x:v>0</x:v>
      </x:c>
      <x:c r="M103" s="33" t="n">
        <x:f>SUM(E103:L103)/8</x:f>
        <x:v>0.625</x:v>
      </x:c>
      <x:c r="N103" s="21" t="n">
        <x:f>SUM(I103:L103)</x:f>
        <x:v>2</x:v>
      </x:c>
      <x:c r="O103" s="21" t="str">
        <x:f>I103&amp;"-"&amp;J103&amp;"-"&amp;K103&amp;"-"&amp;L103</x:f>
        <x:v>1-0-1-0</x:v>
      </x:c>
    </x:row>
    <x:row r="104" ht="15" hidden="0" customHeight="1">
      <x:c r="A104" s="21" t="n">
        <x:v>27</x:v>
      </x:c>
      <x:c r="B104" s="21" t="str">
        <x:v>S034</x:v>
      </x:c>
      <x:c r="C104" s="21" t="str">
        <x:v>Zhang et al. (2026)</x:v>
      </x:c>
      <x:c r="D104" s="21" t="str">
        <x:v>Conservative</x:v>
      </x:c>
      <x:c r="E104" s="21" t="n">
        <x:v>0</x:v>
      </x:c>
      <x:c r="F104" s="21" t="n">
        <x:v>1</x:v>
      </x:c>
      <x:c r="G104" s="21" t="n">
        <x:v>1</x:v>
      </x:c>
      <x:c r="H104" s="21" t="n">
        <x:v>1</x:v>
      </x:c>
      <x:c r="I104" s="21" t="n">
        <x:v>1</x:v>
      </x:c>
      <x:c r="J104" s="21" t="n">
        <x:v>1</x:v>
      </x:c>
      <x:c r="K104" s="21" t="n">
        <x:v>1</x:v>
      </x:c>
      <x:c r="L104" s="21" t="n">
        <x:v>1</x:v>
      </x:c>
      <x:c r="M104" s="33" t="n">
        <x:f>SUM(E104:L104)/8</x:f>
        <x:v>0.875</x:v>
      </x:c>
      <x:c r="N104" s="21" t="n">
        <x:f>SUM(I104:L104)</x:f>
        <x:v>4</x:v>
      </x:c>
      <x:c r="O104" s="21" t="str">
        <x:f>I104&amp;"-"&amp;J104&amp;"-"&amp;K104&amp;"-"&amp;L104</x:f>
        <x:v>1-1-1-1</x:v>
      </x:c>
    </x:row>
    <x:row r="105" ht="15" hidden="0" customHeight="1">
      <x:c r="A105" s="21" t="n">
        <x:v>28</x:v>
      </x:c>
      <x:c r="B105" s="21" t="str">
        <x:v>S035</x:v>
      </x:c>
      <x:c r="C105" s="21" t="str">
        <x:v>Katseli et al. (2021)</x:v>
      </x:c>
      <x:c r="D105" s="21" t="str">
        <x:v>Conservative</x:v>
      </x:c>
      <x:c r="E105" s="21" t="n">
        <x:v>0</x:v>
      </x:c>
      <x:c r="F105" s="21" t="n">
        <x:v>1</x:v>
      </x:c>
      <x:c r="G105" s="21" t="n">
        <x:v>1</x:v>
      </x:c>
      <x:c r="H105" s="21" t="n">
        <x:v>1</x:v>
      </x:c>
      <x:c r="I105" s="21" t="n">
        <x:v>1</x:v>
      </x:c>
      <x:c r="J105" s="21" t="n">
        <x:v>1</x:v>
      </x:c>
      <x:c r="K105" s="21" t="n">
        <x:v>0</x:v>
      </x:c>
      <x:c r="L105" s="21" t="n">
        <x:v>1</x:v>
      </x:c>
      <x:c r="M105" s="33" t="n">
        <x:f>SUM(E105:L105)/8</x:f>
        <x:v>0.75</x:v>
      </x:c>
      <x:c r="N105" s="21" t="n">
        <x:f>SUM(I105:L105)</x:f>
        <x:v>3</x:v>
      </x:c>
      <x:c r="O105" s="21" t="str">
        <x:f>I105&amp;"-"&amp;J105&amp;"-"&amp;K105&amp;"-"&amp;L105</x:f>
        <x:v>1-1-0-1</x:v>
      </x:c>
    </x:row>
    <x:row r="106" ht="15" hidden="0" customHeight="1">
      <x:c r="A106" s="21" t="n">
        <x:v>29</x:v>
      </x:c>
      <x:c r="B106" s="21" t="str">
        <x:v>S036</x:v>
      </x:c>
      <x:c r="C106" s="21" t="str">
        <x:v>Xuan et al. (2026)</x:v>
      </x:c>
      <x:c r="D106" s="21" t="str">
        <x:v>Conservative</x:v>
      </x:c>
      <x:c r="E106" s="21" t="n">
        <x:v>0</x:v>
      </x:c>
      <x:c r="F106" s="21" t="n">
        <x:v>1</x:v>
      </x:c>
      <x:c r="G106" s="21" t="n">
        <x:v>1</x:v>
      </x:c>
      <x:c r="H106" s="21" t="n">
        <x:v>1</x:v>
      </x:c>
      <x:c r="I106" s="21" t="n">
        <x:v>1</x:v>
      </x:c>
      <x:c r="J106" s="21" t="n">
        <x:v>1</x:v>
      </x:c>
      <x:c r="K106" s="21" t="n">
        <x:v>1</x:v>
      </x:c>
      <x:c r="L106" s="21" t="n">
        <x:v>0</x:v>
      </x:c>
      <x:c r="M106" s="33" t="n">
        <x:f>SUM(E106:L106)/8</x:f>
        <x:v>0.75</x:v>
      </x:c>
      <x:c r="N106" s="21" t="n">
        <x:f>SUM(I106:L106)</x:f>
        <x:v>3</x:v>
      </x:c>
      <x:c r="O106" s="21" t="str">
        <x:f>I106&amp;"-"&amp;J106&amp;"-"&amp;K106&amp;"-"&amp;L106</x:f>
        <x:v>1-1-1-0</x:v>
      </x:c>
    </x:row>
    <x:row r="107" ht="15" hidden="0" customHeight="1">
      <x:c r="A107" s="21" t="n">
        <x:v>30</x:v>
      </x:c>
      <x:c r="B107" s="21" t="str">
        <x:v>S037</x:v>
      </x:c>
      <x:c r="C107" s="21" t="str">
        <x:v>Wolterink et al. (2021)</x:v>
      </x:c>
      <x:c r="D107" s="21" t="str">
        <x:v>Conservative</x:v>
      </x:c>
      <x:c r="E107" s="21" t="n">
        <x:v>0</x:v>
      </x:c>
      <x:c r="F107" s="21" t="n">
        <x:v>1</x:v>
      </x:c>
      <x:c r="G107" s="21" t="n">
        <x:v>1</x:v>
      </x:c>
      <x:c r="H107" s="21" t="n">
        <x:v>1</x:v>
      </x:c>
      <x:c r="I107" s="21" t="n">
        <x:v>1</x:v>
      </x:c>
      <x:c r="J107" s="21" t="n">
        <x:v>0</x:v>
      </x:c>
      <x:c r="K107" s="21" t="n">
        <x:v>0</x:v>
      </x:c>
      <x:c r="L107" s="21" t="n">
        <x:v>0</x:v>
      </x:c>
      <x:c r="M107" s="33" t="n">
        <x:f>SUM(E107:L107)/8</x:f>
        <x:v>0.5</x:v>
      </x:c>
      <x:c r="N107" s="21" t="n">
        <x:f>SUM(I107:L107)</x:f>
        <x:v>1</x:v>
      </x:c>
      <x:c r="O107" s="21" t="str">
        <x:f>I107&amp;"-"&amp;J107&amp;"-"&amp;K107&amp;"-"&amp;L107</x:f>
        <x:v>1-0-0-0</x:v>
      </x:c>
    </x:row>
    <x:row r="108" ht="15" hidden="0" customHeight="1">
      <x:c r="A108" s="21" t="n">
        <x:v>31</x:v>
      </x:c>
      <x:c r="B108" s="21" t="str">
        <x:v>S038</x:v>
      </x:c>
      <x:c r="C108" s="21" t="str">
        <x:v>Christ et al. (2018)</x:v>
      </x:c>
      <x:c r="D108" s="21" t="str">
        <x:v>Conservative</x:v>
      </x:c>
      <x:c r="E108" s="21" t="n">
        <x:v>1</x:v>
      </x:c>
      <x:c r="F108" s="21" t="n">
        <x:v>1</x:v>
      </x:c>
      <x:c r="G108" s="21" t="n">
        <x:v>1</x:v>
      </x:c>
      <x:c r="H108" s="21" t="n">
        <x:v>1</x:v>
      </x:c>
      <x:c r="I108" s="21" t="n">
        <x:v>1</x:v>
      </x:c>
      <x:c r="J108" s="21" t="n">
        <x:v>0</x:v>
      </x:c>
      <x:c r="K108" s="21" t="n">
        <x:v>0</x:v>
      </x:c>
      <x:c r="L108" s="21" t="n">
        <x:v>0</x:v>
      </x:c>
      <x:c r="M108" s="33" t="n">
        <x:f>SUM(E108:L108)/8</x:f>
        <x:v>0.625</x:v>
      </x:c>
      <x:c r="N108" s="21" t="n">
        <x:f>SUM(I108:L108)</x:f>
        <x:v>1</x:v>
      </x:c>
      <x:c r="O108" s="21" t="str">
        <x:f>I108&amp;"-"&amp;J108&amp;"-"&amp;K108&amp;"-"&amp;L108</x:f>
        <x:v>1-0-0-0</x:v>
      </x:c>
    </x:row>
    <x:row r="109" ht="15" hidden="0" customHeight="1">
      <x:c r="A109" s="21" t="n">
        <x:v>32</x:v>
      </x:c>
      <x:c r="B109" s="21" t="str">
        <x:v>S039</x:v>
      </x:c>
      <x:c r="C109" s="21" t="str">
        <x:v>Shin et al. (2022)</x:v>
      </x:c>
      <x:c r="D109" s="21" t="str">
        <x:v>Conservative</x:v>
      </x:c>
      <x:c r="E109" s="21" t="n">
        <x:v>1</x:v>
      </x:c>
      <x:c r="F109" s="21" t="n">
        <x:v>1</x:v>
      </x:c>
      <x:c r="G109" s="21" t="n">
        <x:v>1</x:v>
      </x:c>
      <x:c r="H109" s="21" t="n">
        <x:v>1</x:v>
      </x:c>
      <x:c r="I109" s="21" t="n">
        <x:v>1</x:v>
      </x:c>
      <x:c r="J109" s="21" t="n">
        <x:v>0</x:v>
      </x:c>
      <x:c r="K109" s="21" t="n">
        <x:v>0</x:v>
      </x:c>
      <x:c r="L109" s="21" t="n">
        <x:v>1</x:v>
      </x:c>
      <x:c r="M109" s="33" t="n">
        <x:f>SUM(E109:L109)/8</x:f>
        <x:v>0.75</x:v>
      </x:c>
      <x:c r="N109" s="21" t="n">
        <x:f>SUM(I109:L109)</x:f>
        <x:v>2</x:v>
      </x:c>
      <x:c r="O109" s="21" t="str">
        <x:f>I109&amp;"-"&amp;J109&amp;"-"&amp;K109&amp;"-"&amp;L109</x:f>
        <x:v>1-0-0-1</x:v>
      </x:c>
    </x:row>
    <x:row r="110" ht="15" hidden="0" customHeight="1">
      <x:c r="A110" s="21" t="n">
        <x:v>33</x:v>
      </x:c>
      <x:c r="B110" s="21" t="str">
        <x:v>S043</x:v>
      </x:c>
      <x:c r="C110" s="21" t="str">
        <x:v>Carvalho et al. (2025)</x:v>
      </x:c>
      <x:c r="D110" s="21" t="str">
        <x:v>Conservative</x:v>
      </x:c>
      <x:c r="E110" s="21" t="n">
        <x:v>1</x:v>
      </x:c>
      <x:c r="F110" s="21" t="n">
        <x:v>1</x:v>
      </x:c>
      <x:c r="G110" s="21" t="n">
        <x:v>1</x:v>
      </x:c>
      <x:c r="H110" s="21" t="n">
        <x:v>1</x:v>
      </x:c>
      <x:c r="I110" s="21" t="n">
        <x:v>0</x:v>
      </x:c>
      <x:c r="J110" s="21" t="n">
        <x:v>0</x:v>
      </x:c>
      <x:c r="K110" s="21" t="n">
        <x:v>0</x:v>
      </x:c>
      <x:c r="L110" s="21" t="n">
        <x:v>0</x:v>
      </x:c>
      <x:c r="M110" s="33" t="n">
        <x:f>SUM(E110:L110)/8</x:f>
        <x:v>0.5</x:v>
      </x:c>
      <x:c r="N110" s="21" t="n">
        <x:f>SUM(I110:L110)</x:f>
        <x:v>0</x:v>
      </x:c>
      <x:c r="O110" s="21" t="str">
        <x:f>I110&amp;"-"&amp;J110&amp;"-"&amp;K110&amp;"-"&amp;L110</x:f>
        <x:v>0-0-0-0</x:v>
      </x:c>
    </x:row>
    <x:row r="111" ht="15" hidden="0" customHeight="1">
      <x:c r="A111" s="21" t="n">
        <x:v>34</x:v>
      </x:c>
      <x:c r="B111" s="21" t="str">
        <x:v>S044</x:v>
      </x:c>
      <x:c r="C111" s="21" t="str">
        <x:v>Li et al. (2021)</x:v>
      </x:c>
      <x:c r="D111" s="21" t="str">
        <x:v>Conservative</x:v>
      </x:c>
      <x:c r="E111" s="21" t="n">
        <x:v>1</x:v>
      </x:c>
      <x:c r="F111" s="21" t="n">
        <x:v>1</x:v>
      </x:c>
      <x:c r="G111" s="21" t="n">
        <x:v>1</x:v>
      </x:c>
      <x:c r="H111" s="21" t="n">
        <x:v>1</x:v>
      </x:c>
      <x:c r="I111" s="21" t="n">
        <x:v>1</x:v>
      </x:c>
      <x:c r="J111" s="21" t="n">
        <x:v>0</x:v>
      </x:c>
      <x:c r="K111" s="21" t="n">
        <x:v>0</x:v>
      </x:c>
      <x:c r="L111" s="21" t="n">
        <x:v>0</x:v>
      </x:c>
      <x:c r="M111" s="33" t="n">
        <x:f>SUM(E111:L111)/8</x:f>
        <x:v>0.625</x:v>
      </x:c>
      <x:c r="N111" s="21" t="n">
        <x:f>SUM(I111:L111)</x:f>
        <x:v>1</x:v>
      </x:c>
      <x:c r="O111" s="21" t="str">
        <x:f>I111&amp;"-"&amp;J111&amp;"-"&amp;K111&amp;"-"&amp;L111</x:f>
        <x:v>1-0-0-0</x:v>
      </x:c>
    </x:row>
    <x:row r="112" ht="15" hidden="0" customHeight="1">
      <x:c r="A112" s="21" t="n">
        <x:v>35</x:v>
      </x:c>
      <x:c r="B112" s="21" t="str">
        <x:v>S046</x:v>
      </x:c>
      <x:c r="C112" s="21" t="str">
        <x:v>Zhou et al. (2024)</x:v>
      </x:c>
      <x:c r="D112" s="21" t="str">
        <x:v>Conservative</x:v>
      </x:c>
      <x:c r="E112" s="21" t="n">
        <x:v>0</x:v>
      </x:c>
      <x:c r="F112" s="21" t="n">
        <x:v>1</x:v>
      </x:c>
      <x:c r="G112" s="21" t="n">
        <x:v>1</x:v>
      </x:c>
      <x:c r="H112" s="21" t="n">
        <x:v>1</x:v>
      </x:c>
      <x:c r="I112" s="21" t="n">
        <x:v>0</x:v>
      </x:c>
      <x:c r="J112" s="21" t="n">
        <x:v>0</x:v>
      </x:c>
      <x:c r="K112" s="21" t="n">
        <x:v>0</x:v>
      </x:c>
      <x:c r="L112" s="21" t="n">
        <x:v>0</x:v>
      </x:c>
      <x:c r="M112" s="33" t="n">
        <x:f>SUM(E112:L112)/8</x:f>
        <x:v>0.375</x:v>
      </x:c>
      <x:c r="N112" s="21" t="n">
        <x:f>SUM(I112:L112)</x:f>
        <x:v>0</x:v>
      </x:c>
      <x:c r="O112" s="21" t="str">
        <x:f>I112&amp;"-"&amp;J112&amp;"-"&amp;K112&amp;"-"&amp;L112</x:f>
        <x:v>0-0-0-0</x:v>
      </x:c>
    </x:row>
    <x:row r="113" ht="15" hidden="0" customHeight="1">
      <x:c r="A113" s="21" t="n">
        <x:v>36</x:v>
      </x:c>
      <x:c r="B113" s="21" t="str">
        <x:v>S047</x:v>
      </x:c>
      <x:c r="C113" s="21" t="str">
        <x:v>Shin et al. (2025)</x:v>
      </x:c>
      <x:c r="D113" s="21" t="str">
        <x:v>Conservative</x:v>
      </x:c>
      <x:c r="E113" s="21" t="n">
        <x:v>0</x:v>
      </x:c>
      <x:c r="F113" s="21" t="n">
        <x:v>1</x:v>
      </x:c>
      <x:c r="G113" s="21" t="n">
        <x:v>1</x:v>
      </x:c>
      <x:c r="H113" s="21" t="n">
        <x:v>1</x:v>
      </x:c>
      <x:c r="I113" s="21" t="n">
        <x:v>0</x:v>
      </x:c>
      <x:c r="J113" s="21" t="n">
        <x:v>0</x:v>
      </x:c>
      <x:c r="K113" s="21" t="n">
        <x:v>1</x:v>
      </x:c>
      <x:c r="L113" s="21" t="n">
        <x:v>0</x:v>
      </x:c>
      <x:c r="M113" s="33" t="n">
        <x:f>SUM(E113:L113)/8</x:f>
        <x:v>0.5</x:v>
      </x:c>
      <x:c r="N113" s="21" t="n">
        <x:f>SUM(I113:L113)</x:f>
        <x:v>1</x:v>
      </x:c>
      <x:c r="O113" s="21" t="str">
        <x:f>I113&amp;"-"&amp;J113&amp;"-"&amp;K113&amp;"-"&amp;L113</x:f>
        <x:v>0-0-1-0</x:v>
      </x:c>
    </x:row>
    <x:row r="114" ht="15" hidden="0" customHeight="1">
      <x:c r="A114" s="21" t="n">
        <x:v>37</x:v>
      </x:c>
      <x:c r="B114" s="21" t="str">
        <x:v>S048</x:v>
      </x:c>
      <x:c r="C114" s="21" t="str">
        <x:v>Gunasekaran et al. (2022)</x:v>
      </x:c>
      <x:c r="D114" s="21" t="str">
        <x:v>Conservative</x:v>
      </x:c>
      <x:c r="E114" s="21" t="n">
        <x:v>1</x:v>
      </x:c>
      <x:c r="F114" s="21" t="n">
        <x:v>1</x:v>
      </x:c>
      <x:c r="G114" s="21" t="n">
        <x:v>1</x:v>
      </x:c>
      <x:c r="H114" s="21" t="n">
        <x:v>1</x:v>
      </x:c>
      <x:c r="I114" s="21" t="n">
        <x:v>1</x:v>
      </x:c>
      <x:c r="J114" s="21" t="n">
        <x:v>1</x:v>
      </x:c>
      <x:c r="K114" s="21" t="n">
        <x:v>1</x:v>
      </x:c>
      <x:c r="L114" s="21" t="n">
        <x:v>0</x:v>
      </x:c>
      <x:c r="M114" s="33" t="n">
        <x:f>SUM(E114:L114)/8</x:f>
        <x:v>0.875</x:v>
      </x:c>
      <x:c r="N114" s="21" t="n">
        <x:f>SUM(I114:L114)</x:f>
        <x:v>3</x:v>
      </x:c>
      <x:c r="O114" s="21" t="str">
        <x:f>I114&amp;"-"&amp;J114&amp;"-"&amp;K114&amp;"-"&amp;L114</x:f>
        <x:v>1-1-1-0</x:v>
      </x:c>
    </x:row>
    <x:row r="115" ht="15" hidden="0" customHeight="1">
      <x:c r="A115" s="21" t="n">
        <x:v>38</x:v>
      </x:c>
      <x:c r="B115" s="21" t="str">
        <x:v>S050</x:v>
      </x:c>
      <x:c r="C115" s="21" t="str">
        <x:v>Leal-Junior et al. (2018)</x:v>
      </x:c>
      <x:c r="D115" s="21" t="str">
        <x:v>Conservative</x:v>
      </x:c>
      <x:c r="E115" s="21" t="n">
        <x:v>0</x:v>
      </x:c>
      <x:c r="F115" s="21" t="n">
        <x:v>1</x:v>
      </x:c>
      <x:c r="G115" s="21" t="n">
        <x:v>1</x:v>
      </x:c>
      <x:c r="H115" s="21" t="n">
        <x:v>1</x:v>
      </x:c>
      <x:c r="I115" s="21" t="n">
        <x:v>1</x:v>
      </x:c>
      <x:c r="J115" s="21" t="n">
        <x:v>1</x:v>
      </x:c>
      <x:c r="K115" s="21" t="n">
        <x:v>0</x:v>
      </x:c>
      <x:c r="L115" s="21" t="n">
        <x:v>0</x:v>
      </x:c>
      <x:c r="M115" s="33" t="n">
        <x:f>SUM(E115:L115)/8</x:f>
        <x:v>0.625</x:v>
      </x:c>
      <x:c r="N115" s="21" t="n">
        <x:f>SUM(I115:L115)</x:f>
        <x:v>2</x:v>
      </x:c>
      <x:c r="O115" s="21" t="str">
        <x:f>I115&amp;"-"&amp;J115&amp;"-"&amp;K115&amp;"-"&amp;L115</x:f>
        <x:v>1-1-0-0</x:v>
      </x:c>
    </x:row>
    <x:row r="116" ht="15" hidden="0" customHeight="1">
      <x:c r="A116" s="21" t="n">
        <x:v>39</x:v>
      </x:c>
      <x:c r="B116" s="21" t="str">
        <x:v>S051</x:v>
      </x:c>
      <x:c r="C116" s="21" t="str">
        <x:v>Ota et al. (2017)</x:v>
      </x:c>
      <x:c r="D116" s="21" t="str">
        <x:v>Conservative</x:v>
      </x:c>
      <x:c r="E116" s="21" t="n">
        <x:v>1</x:v>
      </x:c>
      <x:c r="F116" s="21" t="n">
        <x:v>1</x:v>
      </x:c>
      <x:c r="G116" s="21" t="n">
        <x:v>1</x:v>
      </x:c>
      <x:c r="H116" s="21" t="n">
        <x:v>1</x:v>
      </x:c>
      <x:c r="I116" s="21" t="n">
        <x:v>0</x:v>
      </x:c>
      <x:c r="J116" s="21" t="n">
        <x:v>1</x:v>
      </x:c>
      <x:c r="K116" s="21" t="n">
        <x:v>0</x:v>
      </x:c>
      <x:c r="L116" s="21" t="n">
        <x:v>0</x:v>
      </x:c>
      <x:c r="M116" s="33" t="n">
        <x:f>SUM(E116:L116)/8</x:f>
        <x:v>0.625</x:v>
      </x:c>
      <x:c r="N116" s="21" t="n">
        <x:f>SUM(I116:L116)</x:f>
        <x:v>1</x:v>
      </x:c>
      <x:c r="O116" s="21" t="str">
        <x:f>I116&amp;"-"&amp;J116&amp;"-"&amp;K116&amp;"-"&amp;L116</x:f>
        <x:v>0-1-0-0</x:v>
      </x:c>
    </x:row>
    <x:row r="117" ht="15" hidden="0" customHeight="1">
      <x:c r="A117" s="21" t="n">
        <x:v>40</x:v>
      </x:c>
      <x:c r="B117" s="21" t="str">
        <x:v>S052</x:v>
      </x:c>
      <x:c r="C117" s="21" t="str">
        <x:v>Li et al. (2026)</x:v>
      </x:c>
      <x:c r="D117" s="21" t="str">
        <x:v>Conservative</x:v>
      </x:c>
      <x:c r="E117" s="21" t="n">
        <x:v>0</x:v>
      </x:c>
      <x:c r="F117" s="21" t="n">
        <x:v>1</x:v>
      </x:c>
      <x:c r="G117" s="21" t="n">
        <x:v>1</x:v>
      </x:c>
      <x:c r="H117" s="21" t="n">
        <x:v>1</x:v>
      </x:c>
      <x:c r="I117" s="21" t="n">
        <x:v>1</x:v>
      </x:c>
      <x:c r="J117" s="21" t="n">
        <x:v>1</x:v>
      </x:c>
      <x:c r="K117" s="21" t="n">
        <x:v>0</x:v>
      </x:c>
      <x:c r="L117" s="21" t="n">
        <x:v>0</x:v>
      </x:c>
      <x:c r="M117" s="33" t="n">
        <x:f>SUM(E117:L117)/8</x:f>
        <x:v>0.625</x:v>
      </x:c>
      <x:c r="N117" s="21" t="n">
        <x:f>SUM(I117:L117)</x:f>
        <x:v>2</x:v>
      </x:c>
      <x:c r="O117" s="21" t="str">
        <x:f>I117&amp;"-"&amp;J117&amp;"-"&amp;K117&amp;"-"&amp;L117</x:f>
        <x:v>1-1-0-0</x:v>
      </x:c>
    </x:row>
    <x:row r="118" ht="15" hidden="0" customHeight="1">
      <x:c r="A118" s="21" t="n">
        <x:v>41</x:v>
      </x:c>
      <x:c r="B118" s="21" t="str">
        <x:v>S053</x:v>
      </x:c>
      <x:c r="C118" s="21" t="str">
        <x:v>Li et al. (2023)</x:v>
      </x:c>
      <x:c r="D118" s="21" t="str">
        <x:v>Conservative</x:v>
      </x:c>
      <x:c r="E118" s="21" t="n">
        <x:v>0</x:v>
      </x:c>
      <x:c r="F118" s="21" t="n">
        <x:v>1</x:v>
      </x:c>
      <x:c r="G118" s="21" t="n">
        <x:v>1</x:v>
      </x:c>
      <x:c r="H118" s="21" t="n">
        <x:v>1</x:v>
      </x:c>
      <x:c r="I118" s="21" t="n">
        <x:v>1</x:v>
      </x:c>
      <x:c r="J118" s="21" t="n">
        <x:v>0</x:v>
      </x:c>
      <x:c r="K118" s="21" t="n">
        <x:v>0</x:v>
      </x:c>
      <x:c r="L118" s="21" t="n">
        <x:v>0</x:v>
      </x:c>
      <x:c r="M118" s="33" t="n">
        <x:f>SUM(E118:L118)/8</x:f>
        <x:v>0.5</x:v>
      </x:c>
      <x:c r="N118" s="21" t="n">
        <x:f>SUM(I118:L118)</x:f>
        <x:v>1</x:v>
      </x:c>
      <x:c r="O118" s="21" t="str">
        <x:f>I118&amp;"-"&amp;J118&amp;"-"&amp;K118&amp;"-"&amp;L118</x:f>
        <x:v>1-0-0-0</x:v>
      </x:c>
    </x:row>
    <x:row r="119" ht="15" hidden="0" customHeight="1">
      <x:c r="A119" s="21" t="n">
        <x:v>42</x:v>
      </x:c>
      <x:c r="B119" s="21" t="str">
        <x:v>S054</x:v>
      </x:c>
      <x:c r="C119" s="21" t="str">
        <x:v>Chatzistergos et al. (2021)</x:v>
      </x:c>
      <x:c r="D119" s="21" t="str">
        <x:v>Conservative</x:v>
      </x:c>
      <x:c r="E119" s="21" t="n">
        <x:v>0</x:v>
      </x:c>
      <x:c r="F119" s="21" t="n">
        <x:v>1</x:v>
      </x:c>
      <x:c r="G119" s="21" t="n">
        <x:v>1</x:v>
      </x:c>
      <x:c r="H119" s="21" t="n">
        <x:v>1</x:v>
      </x:c>
      <x:c r="I119" s="21" t="n">
        <x:v>1</x:v>
      </x:c>
      <x:c r="J119" s="21" t="n">
        <x:v>0</x:v>
      </x:c>
      <x:c r="K119" s="21" t="n">
        <x:v>0</x:v>
      </x:c>
      <x:c r="L119" s="21" t="n">
        <x:v>1</x:v>
      </x:c>
      <x:c r="M119" s="33" t="n">
        <x:f>SUM(E119:L119)/8</x:f>
        <x:v>0.625</x:v>
      </x:c>
      <x:c r="N119" s="21" t="n">
        <x:f>SUM(I119:L119)</x:f>
        <x:v>2</x:v>
      </x:c>
      <x:c r="O119" s="21" t="str">
        <x:f>I119&amp;"-"&amp;J119&amp;"-"&amp;K119&amp;"-"&amp;L119</x:f>
        <x:v>1-0-0-1</x:v>
      </x:c>
    </x:row>
    <x:row r="120" ht="15" hidden="0" customHeight="1">
      <x:c r="A120" s="21" t="n">
        <x:v>43</x:v>
      </x:c>
      <x:c r="B120" s="21" t="str">
        <x:v>S055</x:v>
      </x:c>
      <x:c r="C120" s="21" t="str">
        <x:v>Ben Harrath et al. (2026)</x:v>
      </x:c>
      <x:c r="D120" s="21" t="str">
        <x:v>Conservative</x:v>
      </x:c>
      <x:c r="E120" s="21" t="n">
        <x:v>1</x:v>
      </x:c>
      <x:c r="F120" s="21" t="n">
        <x:v>1</x:v>
      </x:c>
      <x:c r="G120" s="21" t="n">
        <x:v>1</x:v>
      </x:c>
      <x:c r="H120" s="21" t="n">
        <x:v>1</x:v>
      </x:c>
      <x:c r="I120" s="21" t="n">
        <x:v>1</x:v>
      </x:c>
      <x:c r="J120" s="21" t="n">
        <x:v>0</x:v>
      </x:c>
      <x:c r="K120" s="21" t="n">
        <x:v>0</x:v>
      </x:c>
      <x:c r="L120" s="21" t="n">
        <x:v>0</x:v>
      </x:c>
      <x:c r="M120" s="33" t="n">
        <x:f>SUM(E120:L120)/8</x:f>
        <x:v>0.625</x:v>
      </x:c>
      <x:c r="N120" s="21" t="n">
        <x:f>SUM(I120:L120)</x:f>
        <x:v>1</x:v>
      </x:c>
      <x:c r="O120" s="21" t="str">
        <x:f>I120&amp;"-"&amp;J120&amp;"-"&amp;K120&amp;"-"&amp;L120</x:f>
        <x:v>1-0-0-0</x:v>
      </x:c>
    </x:row>
    <x:row r="121" ht="15" hidden="0" customHeight="1">
      <x:c r="A121" s="21" t="n">
        <x:v>44</x:v>
      </x:c>
      <x:c r="B121" s="21" t="str">
        <x:v>S056</x:v>
      </x:c>
      <x:c r="C121" s="21" t="str">
        <x:v>Wei et al. (2026)</x:v>
      </x:c>
      <x:c r="D121" s="21" t="str">
        <x:v>Conservative</x:v>
      </x:c>
      <x:c r="E121" s="21" t="n">
        <x:v>1</x:v>
      </x:c>
      <x:c r="F121" s="21" t="n">
        <x:v>1</x:v>
      </x:c>
      <x:c r="G121" s="21" t="n">
        <x:v>1</x:v>
      </x:c>
      <x:c r="H121" s="21" t="n">
        <x:v>1</x:v>
      </x:c>
      <x:c r="I121" s="21" t="n">
        <x:v>1</x:v>
      </x:c>
      <x:c r="J121" s="21" t="n">
        <x:v>1</x:v>
      </x:c>
      <x:c r="K121" s="21" t="n">
        <x:v>0</x:v>
      </x:c>
      <x:c r="L121" s="21" t="n">
        <x:v>0</x:v>
      </x:c>
      <x:c r="M121" s="33" t="n">
        <x:f>SUM(E121:L121)/8</x:f>
        <x:v>0.75</x:v>
      </x:c>
      <x:c r="N121" s="21" t="n">
        <x:f>SUM(I121:L121)</x:f>
        <x:v>2</x:v>
      </x:c>
      <x:c r="O121" s="21" t="str">
        <x:f>I121&amp;"-"&amp;J121&amp;"-"&amp;K121&amp;"-"&amp;L121</x:f>
        <x:v>1-1-0-0</x:v>
      </x:c>
    </x:row>
    <x:row r="122" ht="15" hidden="0" customHeight="1">
      <x:c r="A122" s="21" t="n">
        <x:v>45</x:v>
      </x:c>
      <x:c r="B122" s="21" t="str">
        <x:v>S057</x:v>
      </x:c>
      <x:c r="C122" s="21" t="str">
        <x:v>Wei et al. (2026)</x:v>
      </x:c>
      <x:c r="D122" s="21" t="str">
        <x:v>Conservative</x:v>
      </x:c>
      <x:c r="E122" s="21" t="n">
        <x:v>1</x:v>
      </x:c>
      <x:c r="F122" s="21" t="n">
        <x:v>1</x:v>
      </x:c>
      <x:c r="G122" s="21" t="n">
        <x:v>1</x:v>
      </x:c>
      <x:c r="H122" s="21" t="n">
        <x:v>1</x:v>
      </x:c>
      <x:c r="I122" s="21" t="n">
        <x:v>1</x:v>
      </x:c>
      <x:c r="J122" s="21" t="n">
        <x:v>0</x:v>
      </x:c>
      <x:c r="K122" s="21" t="n">
        <x:v>0</x:v>
      </x:c>
      <x:c r="L122" s="21" t="n">
        <x:v>0</x:v>
      </x:c>
      <x:c r="M122" s="33" t="n">
        <x:f>SUM(E122:L122)/8</x:f>
        <x:v>0.625</x:v>
      </x:c>
      <x:c r="N122" s="21" t="n">
        <x:f>SUM(I122:L122)</x:f>
        <x:v>1</x:v>
      </x:c>
      <x:c r="O122" s="21" t="str">
        <x:f>I122&amp;"-"&amp;J122&amp;"-"&amp;K122&amp;"-"&amp;L122</x:f>
        <x:v>1-0-0-0</x:v>
      </x:c>
    </x:row>
    <x:row r="123" ht="15" hidden="0" customHeight="1">
      <x:c r="A123" s="21" t="n">
        <x:v>46</x:v>
      </x:c>
      <x:c r="B123" s="21" t="str">
        <x:v>S058</x:v>
      </x:c>
      <x:c r="C123" s="21" t="str">
        <x:v>Yang et al. (2026)</x:v>
      </x:c>
      <x:c r="D123" s="21" t="str">
        <x:v>Conservative</x:v>
      </x:c>
      <x:c r="E123" s="21" t="n">
        <x:v>1</x:v>
      </x:c>
      <x:c r="F123" s="21" t="n">
        <x:v>1</x:v>
      </x:c>
      <x:c r="G123" s="21" t="n">
        <x:v>1</x:v>
      </x:c>
      <x:c r="H123" s="21" t="n">
        <x:v>1</x:v>
      </x:c>
      <x:c r="I123" s="21" t="n">
        <x:v>1</x:v>
      </x:c>
      <x:c r="J123" s="21" t="n">
        <x:v>1</x:v>
      </x:c>
      <x:c r="K123" s="21" t="n">
        <x:v>1</x:v>
      </x:c>
      <x:c r="L123" s="21" t="n">
        <x:v>1</x:v>
      </x:c>
      <x:c r="M123" s="33" t="n">
        <x:f>SUM(E123:L123)/8</x:f>
        <x:v>1</x:v>
      </x:c>
      <x:c r="N123" s="21" t="n">
        <x:f>SUM(I123:L123)</x:f>
        <x:v>4</x:v>
      </x:c>
      <x:c r="O123" s="21" t="str">
        <x:f>I123&amp;"-"&amp;J123&amp;"-"&amp;K123&amp;"-"&amp;L123</x:f>
        <x:v>1-1-1-1</x:v>
      </x:c>
    </x:row>
    <x:row r="124" ht="15" hidden="0" customHeight="1">
      <x:c r="A124" s="21" t="n">
        <x:v>47</x:v>
      </x:c>
      <x:c r="B124" s="21" t="str">
        <x:v>S059</x:v>
      </x:c>
      <x:c r="C124" s="21" t="str">
        <x:v>Saroli et al. (2026)</x:v>
      </x:c>
      <x:c r="D124" s="21" t="str">
        <x:v>Conservative</x:v>
      </x:c>
      <x:c r="E124" s="21" t="n">
        <x:v>1</x:v>
      </x:c>
      <x:c r="F124" s="21" t="n">
        <x:v>1</x:v>
      </x:c>
      <x:c r="G124" s="21" t="n">
        <x:v>1</x:v>
      </x:c>
      <x:c r="H124" s="21" t="n">
        <x:v>1</x:v>
      </x:c>
      <x:c r="I124" s="21" t="n">
        <x:v>1</x:v>
      </x:c>
      <x:c r="J124" s="21" t="n">
        <x:v>1</x:v>
      </x:c>
      <x:c r="K124" s="21" t="n">
        <x:v>1</x:v>
      </x:c>
      <x:c r="L124" s="21" t="n">
        <x:v>0</x:v>
      </x:c>
      <x:c r="M124" s="33" t="n">
        <x:f>SUM(E124:L124)/8</x:f>
        <x:v>0.875</x:v>
      </x:c>
      <x:c r="N124" s="21" t="n">
        <x:f>SUM(I124:L124)</x:f>
        <x:v>3</x:v>
      </x:c>
      <x:c r="O124" s="21" t="str">
        <x:f>I124&amp;"-"&amp;J124&amp;"-"&amp;K124&amp;"-"&amp;L124</x:f>
        <x:v>1-1-1-0</x:v>
      </x:c>
    </x:row>
    <x:row r="125" ht="15" hidden="0" customHeight="1">
      <x:c r="A125" s="21" t="n">
        <x:v>48</x:v>
      </x:c>
      <x:c r="B125" s="21" t="str">
        <x:v>S060</x:v>
      </x:c>
      <x:c r="C125" s="21" t="str">
        <x:v>Porfyrakis et al. (2026)</x:v>
      </x:c>
      <x:c r="D125" s="21" t="str">
        <x:v>Conservative</x:v>
      </x:c>
      <x:c r="E125" s="21" t="n">
        <x:v>1</x:v>
      </x:c>
      <x:c r="F125" s="21" t="n">
        <x:v>1</x:v>
      </x:c>
      <x:c r="G125" s="21" t="n">
        <x:v>1</x:v>
      </x:c>
      <x:c r="H125" s="21" t="n">
        <x:v>1</x:v>
      </x:c>
      <x:c r="I125" s="21" t="n">
        <x:v>1</x:v>
      </x:c>
      <x:c r="J125" s="21" t="n">
        <x:v>0</x:v>
      </x:c>
      <x:c r="K125" s="21" t="n">
        <x:v>0</x:v>
      </x:c>
      <x:c r="L125" s="21" t="n">
        <x:v>0</x:v>
      </x:c>
      <x:c r="M125" s="33" t="n">
        <x:f>SUM(E125:L125)/8</x:f>
        <x:v>0.625</x:v>
      </x:c>
      <x:c r="N125" s="21" t="n">
        <x:f>SUM(I125:L125)</x:f>
        <x:v>1</x:v>
      </x:c>
      <x:c r="O125" s="21" t="str">
        <x:f>I125&amp;"-"&amp;J125&amp;"-"&amp;K125&amp;"-"&amp;L125</x:f>
        <x:v>1-0-0-0</x:v>
      </x:c>
    </x:row>
    <x:row r="126" ht="15" hidden="0" customHeight="1">
      <x:c r="A126" s="21" t="n">
        <x:v>49</x:v>
      </x:c>
      <x:c r="B126" s="21" t="str">
        <x:v>S061</x:v>
      </x:c>
      <x:c r="C126" s="21" t="str">
        <x:v>Kumar et al. (2026)</x:v>
      </x:c>
      <x:c r="D126" s="21" t="str">
        <x:v>Conservative</x:v>
      </x:c>
      <x:c r="E126" s="21" t="n">
        <x:v>0</x:v>
      </x:c>
      <x:c r="F126" s="21" t="n">
        <x:v>1</x:v>
      </x:c>
      <x:c r="G126" s="21" t="n">
        <x:v>1</x:v>
      </x:c>
      <x:c r="H126" s="21" t="n">
        <x:v>1</x:v>
      </x:c>
      <x:c r="I126" s="21" t="n">
        <x:v>0</x:v>
      </x:c>
      <x:c r="J126" s="21" t="n">
        <x:v>1</x:v>
      </x:c>
      <x:c r="K126" s="21" t="n">
        <x:v>0</x:v>
      </x:c>
      <x:c r="L126" s="21" t="n">
        <x:v>0</x:v>
      </x:c>
      <x:c r="M126" s="33" t="n">
        <x:f>SUM(E126:L126)/8</x:f>
        <x:v>0.5</x:v>
      </x:c>
      <x:c r="N126" s="21" t="n">
        <x:f>SUM(I126:L126)</x:f>
        <x:v>1</x:v>
      </x:c>
      <x:c r="O126" s="21" t="str">
        <x:f>I126&amp;"-"&amp;J126&amp;"-"&amp;K126&amp;"-"&amp;L126</x:f>
        <x:v>0-1-0-0</x:v>
      </x:c>
    </x:row>
    <x:row r="127" ht="15" hidden="0" customHeight="1">
      <x:c r="A127" s="21" t="n">
        <x:v>50</x:v>
      </x:c>
      <x:c r="B127" s="21" t="str">
        <x:v>S063</x:v>
      </x:c>
      <x:c r="C127" s="21" t="str">
        <x:v>Wu et al. (2026)</x:v>
      </x:c>
      <x:c r="D127" s="21" t="str">
        <x:v>Conservative</x:v>
      </x:c>
      <x:c r="E127" s="21" t="n">
        <x:v>1</x:v>
      </x:c>
      <x:c r="F127" s="21" t="n">
        <x:v>1</x:v>
      </x:c>
      <x:c r="G127" s="21" t="n">
        <x:v>1</x:v>
      </x:c>
      <x:c r="H127" s="21" t="n">
        <x:v>1</x:v>
      </x:c>
      <x:c r="I127" s="21" t="n">
        <x:v>1</x:v>
      </x:c>
      <x:c r="J127" s="21" t="n">
        <x:v>0</x:v>
      </x:c>
      <x:c r="K127" s="21" t="n">
        <x:v>0</x:v>
      </x:c>
      <x:c r="L127" s="21" t="n">
        <x:v>0</x:v>
      </x:c>
      <x:c r="M127" s="33" t="n">
        <x:f>SUM(E127:L127)/8</x:f>
        <x:v>0.625</x:v>
      </x:c>
      <x:c r="N127" s="21" t="n">
        <x:f>SUM(I127:L127)</x:f>
        <x:v>1</x:v>
      </x:c>
      <x:c r="O127" s="21" t="str">
        <x:f>I127&amp;"-"&amp;J127&amp;"-"&amp;K127&amp;"-"&amp;L127</x:f>
        <x:v>1-0-0-0</x:v>
      </x:c>
    </x:row>
    <x:row r="128" ht="15" hidden="0" customHeight="1">
      <x:c r="A128" s="21" t="n">
        <x:v>51</x:v>
      </x:c>
      <x:c r="B128" s="21" t="str">
        <x:v>S064</x:v>
      </x:c>
      <x:c r="C128" s="21" t="str">
        <x:v>Tao et al. (2026)</x:v>
      </x:c>
      <x:c r="D128" s="21" t="str">
        <x:v>Conservative</x:v>
      </x:c>
      <x:c r="E128" s="21" t="n">
        <x:v>1</x:v>
      </x:c>
      <x:c r="F128" s="21" t="n">
        <x:v>1</x:v>
      </x:c>
      <x:c r="G128" s="21" t="n">
        <x:v>1</x:v>
      </x:c>
      <x:c r="H128" s="21" t="n">
        <x:v>1</x:v>
      </x:c>
      <x:c r="I128" s="21" t="n">
        <x:v>1</x:v>
      </x:c>
      <x:c r="J128" s="21" t="n">
        <x:v>0</x:v>
      </x:c>
      <x:c r="K128" s="21" t="n">
        <x:v>1</x:v>
      </x:c>
      <x:c r="L128" s="21" t="n">
        <x:v>0</x:v>
      </x:c>
      <x:c r="M128" s="33" t="n">
        <x:f>SUM(E128:L128)/8</x:f>
        <x:v>0.75</x:v>
      </x:c>
      <x:c r="N128" s="21" t="n">
        <x:f>SUM(I128:L128)</x:f>
        <x:v>2</x:v>
      </x:c>
      <x:c r="O128" s="21" t="str">
        <x:f>I128&amp;"-"&amp;J128&amp;"-"&amp;K128&amp;"-"&amp;L128</x:f>
        <x:v>1-0-1-0</x:v>
      </x:c>
    </x:row>
    <x:row r="129" ht="15" hidden="0" customHeight="1">
      <x:c r="A129" s="21" t="n">
        <x:v>52</x:v>
      </x:c>
      <x:c r="B129" s="21" t="str">
        <x:v>S065</x:v>
      </x:c>
      <x:c r="C129" s="21" t="str">
        <x:v>Han et al. (2026)</x:v>
      </x:c>
      <x:c r="D129" s="21" t="str">
        <x:v>Conservative</x:v>
      </x:c>
      <x:c r="E129" s="21" t="n">
        <x:v>0</x:v>
      </x:c>
      <x:c r="F129" s="21" t="n">
        <x:v>1</x:v>
      </x:c>
      <x:c r="G129" s="21" t="n">
        <x:v>1</x:v>
      </x:c>
      <x:c r="H129" s="21" t="n">
        <x:v>1</x:v>
      </x:c>
      <x:c r="I129" s="21" t="n">
        <x:v>1</x:v>
      </x:c>
      <x:c r="J129" s="21" t="n">
        <x:v>0</x:v>
      </x:c>
      <x:c r="K129" s="21" t="n">
        <x:v>1</x:v>
      </x:c>
      <x:c r="L129" s="21" t="n">
        <x:v>1</x:v>
      </x:c>
      <x:c r="M129" s="33" t="n">
        <x:f>SUM(E129:L129)/8</x:f>
        <x:v>0.75</x:v>
      </x:c>
      <x:c r="N129" s="21" t="n">
        <x:f>SUM(I129:L129)</x:f>
        <x:v>3</x:v>
      </x:c>
      <x:c r="O129" s="21" t="str">
        <x:f>I129&amp;"-"&amp;J129&amp;"-"&amp;K129&amp;"-"&amp;L129</x:f>
        <x:v>1-0-1-1</x:v>
      </x:c>
    </x:row>
    <x:row r="130" ht="15" hidden="0" customHeight="1">
      <x:c r="A130" s="21" t="n">
        <x:v>53</x:v>
      </x:c>
      <x:c r="B130" s="21" t="str">
        <x:v>S066</x:v>
      </x:c>
      <x:c r="C130" s="21" t="str">
        <x:v>Saroli et al. (2026)</x:v>
      </x:c>
      <x:c r="D130" s="21" t="str">
        <x:v>Conservative</x:v>
      </x:c>
      <x:c r="E130" s="21" t="n">
        <x:v>0</x:v>
      </x:c>
      <x:c r="F130" s="21" t="n">
        <x:v>1</x:v>
      </x:c>
      <x:c r="G130" s="21" t="n">
        <x:v>1</x:v>
      </x:c>
      <x:c r="H130" s="21" t="n">
        <x:v>1</x:v>
      </x:c>
      <x:c r="I130" s="21" t="n">
        <x:v>1</x:v>
      </x:c>
      <x:c r="J130" s="21" t="n">
        <x:v>1</x:v>
      </x:c>
      <x:c r="K130" s="21" t="n">
        <x:v>1</x:v>
      </x:c>
      <x:c r="L130" s="21" t="n">
        <x:v>0</x:v>
      </x:c>
      <x:c r="M130" s="33" t="n">
        <x:f>SUM(E130:L130)/8</x:f>
        <x:v>0.75</x:v>
      </x:c>
      <x:c r="N130" s="21" t="n">
        <x:f>SUM(I130:L130)</x:f>
        <x:v>3</x:v>
      </x:c>
      <x:c r="O130" s="21" t="str">
        <x:f>I130&amp;"-"&amp;J130&amp;"-"&amp;K130&amp;"-"&amp;L130</x:f>
        <x:v>1-1-1-0</x:v>
      </x:c>
    </x:row>
    <x:row r="131" ht="15" hidden="0" customHeight="1">
      <x:c r="A131" s="21" t="n">
        <x:v>54</x:v>
      </x:c>
      <x:c r="B131" s="21" t="str">
        <x:v>S067</x:v>
      </x:c>
      <x:c r="C131" s="21" t="str">
        <x:v>Yang et al. (2026)</x:v>
      </x:c>
      <x:c r="D131" s="21" t="str">
        <x:v>Conservative</x:v>
      </x:c>
      <x:c r="E131" s="21" t="n">
        <x:v>0</x:v>
      </x:c>
      <x:c r="F131" s="21" t="n">
        <x:v>1</x:v>
      </x:c>
      <x:c r="G131" s="21" t="n">
        <x:v>1</x:v>
      </x:c>
      <x:c r="H131" s="21" t="n">
        <x:v>1</x:v>
      </x:c>
      <x:c r="I131" s="21" t="n">
        <x:v>1</x:v>
      </x:c>
      <x:c r="J131" s="21" t="n">
        <x:v>1</x:v>
      </x:c>
      <x:c r="K131" s="21" t="n">
        <x:v>0</x:v>
      </x:c>
      <x:c r="L131" s="21" t="n">
        <x:v>0</x:v>
      </x:c>
      <x:c r="M131" s="33" t="n">
        <x:f>SUM(E131:L131)/8</x:f>
        <x:v>0.625</x:v>
      </x:c>
      <x:c r="N131" s="21" t="n">
        <x:f>SUM(I131:L131)</x:f>
        <x:v>2</x:v>
      </x:c>
      <x:c r="O131" s="21" t="str">
        <x:f>I131&amp;"-"&amp;J131&amp;"-"&amp;K131&amp;"-"&amp;L131</x:f>
        <x:v>1-1-0-0</x:v>
      </x:c>
    </x:row>
    <x:row r="132" ht="15" hidden="0" customHeight="1">
      <x:c r="A132" s="21" t="n">
        <x:v>55</x:v>
      </x:c>
      <x:c r="B132" s="21" t="str">
        <x:v>S068</x:v>
      </x:c>
      <x:c r="C132" s="21" t="str">
        <x:v>Sánchez et al. (2025)</x:v>
      </x:c>
      <x:c r="D132" s="21" t="str">
        <x:v>Conservative</x:v>
      </x:c>
      <x:c r="E132" s="21" t="n">
        <x:v>1</x:v>
      </x:c>
      <x:c r="F132" s="21" t="n">
        <x:v>1</x:v>
      </x:c>
      <x:c r="G132" s="21" t="n">
        <x:v>1</x:v>
      </x:c>
      <x:c r="H132" s="21" t="n">
        <x:v>1</x:v>
      </x:c>
      <x:c r="I132" s="21" t="n">
        <x:v>1</x:v>
      </x:c>
      <x:c r="J132" s="21" t="n">
        <x:v>0</x:v>
      </x:c>
      <x:c r="K132" s="21" t="n">
        <x:v>0</x:v>
      </x:c>
      <x:c r="L132" s="21" t="n">
        <x:v>0</x:v>
      </x:c>
      <x:c r="M132" s="33" t="n">
        <x:f>SUM(E132:L132)/8</x:f>
        <x:v>0.625</x:v>
      </x:c>
      <x:c r="N132" s="21" t="n">
        <x:f>SUM(I132:L132)</x:f>
        <x:v>1</x:v>
      </x:c>
      <x:c r="O132" s="21" t="str">
        <x:f>I132&amp;"-"&amp;J132&amp;"-"&amp;K132&amp;"-"&amp;L132</x:f>
        <x:v>1-0-0-0</x:v>
      </x:c>
    </x:row>
    <x:row r="133" ht="15" hidden="0" customHeight="1">
      <x:c r="A133" s="21" t="n">
        <x:v>56</x:v>
      </x:c>
      <x:c r="B133" s="21" t="str">
        <x:v>S069</x:v>
      </x:c>
      <x:c r="C133" s="21" t="str">
        <x:v>Babu et al. (2025)</x:v>
      </x:c>
      <x:c r="D133" s="21" t="str">
        <x:v>Conservative</x:v>
      </x:c>
      <x:c r="E133" s="21" t="n">
        <x:v>0</x:v>
      </x:c>
      <x:c r="F133" s="21" t="n">
        <x:v>1</x:v>
      </x:c>
      <x:c r="G133" s="21" t="n">
        <x:v>1</x:v>
      </x:c>
      <x:c r="H133" s="21" t="n">
        <x:v>1</x:v>
      </x:c>
      <x:c r="I133" s="21" t="n">
        <x:v>1</x:v>
      </x:c>
      <x:c r="J133" s="21" t="n">
        <x:v>1</x:v>
      </x:c>
      <x:c r="K133" s="21" t="n">
        <x:v>1</x:v>
      </x:c>
      <x:c r="L133" s="21" t="n">
        <x:v>0</x:v>
      </x:c>
      <x:c r="M133" s="33" t="n">
        <x:f>SUM(E133:L133)/8</x:f>
        <x:v>0.75</x:v>
      </x:c>
      <x:c r="N133" s="21" t="n">
        <x:f>SUM(I133:L133)</x:f>
        <x:v>3</x:v>
      </x:c>
      <x:c r="O133" s="21" t="str">
        <x:f>I133&amp;"-"&amp;J133&amp;"-"&amp;K133&amp;"-"&amp;L133</x:f>
        <x:v>1-1-1-0</x:v>
      </x:c>
    </x:row>
    <x:row r="134" ht="15" hidden="0" customHeight="1">
      <x:c r="A134" s="21" t="n">
        <x:v>57</x:v>
      </x:c>
      <x:c r="B134" s="21" t="str">
        <x:v>S070</x:v>
      </x:c>
      <x:c r="C134" s="21" t="str">
        <x:v>Dimo et al. (2026)</x:v>
      </x:c>
      <x:c r="D134" s="21" t="str">
        <x:v>Conservative</x:v>
      </x:c>
      <x:c r="E134" s="21" t="n">
        <x:v>1</x:v>
      </x:c>
      <x:c r="F134" s="21" t="n">
        <x:v>1</x:v>
      </x:c>
      <x:c r="G134" s="21" t="n">
        <x:v>1</x:v>
      </x:c>
      <x:c r="H134" s="21" t="n">
        <x:v>1</x:v>
      </x:c>
      <x:c r="I134" s="21" t="n">
        <x:v>1</x:v>
      </x:c>
      <x:c r="J134" s="21" t="n">
        <x:v>1</x:v>
      </x:c>
      <x:c r="K134" s="21" t="n">
        <x:v>0</x:v>
      </x:c>
      <x:c r="L134" s="21" t="n">
        <x:v>0</x:v>
      </x:c>
      <x:c r="M134" s="33" t="n">
        <x:f>SUM(E134:L134)/8</x:f>
        <x:v>0.75</x:v>
      </x:c>
      <x:c r="N134" s="21" t="n">
        <x:f>SUM(I134:L134)</x:f>
        <x:v>2</x:v>
      </x:c>
      <x:c r="O134" s="21" t="str">
        <x:f>I134&amp;"-"&amp;J134&amp;"-"&amp;K134&amp;"-"&amp;L134</x:f>
        <x:v>1-1-0-0</x:v>
      </x:c>
    </x:row>
    <x:row r="135" ht="15" hidden="0" customHeight="1">
      <x:c r="A135" s="21" t="n">
        <x:v>58</x:v>
      </x:c>
      <x:c r="B135" s="21" t="str">
        <x:v>S071</x:v>
      </x:c>
      <x:c r="C135" s="21" t="str">
        <x:v>Luo et al. (2025)</x:v>
      </x:c>
      <x:c r="D135" s="21" t="str">
        <x:v>Conservative</x:v>
      </x:c>
      <x:c r="E135" s="21" t="n">
        <x:v>0</x:v>
      </x:c>
      <x:c r="F135" s="21" t="n">
        <x:v>1</x:v>
      </x:c>
      <x:c r="G135" s="21" t="n">
        <x:v>1</x:v>
      </x:c>
      <x:c r="H135" s="21" t="n">
        <x:v>1</x:v>
      </x:c>
      <x:c r="I135" s="21" t="n">
        <x:v>1</x:v>
      </x:c>
      <x:c r="J135" s="21" t="n">
        <x:v>0</x:v>
      </x:c>
      <x:c r="K135" s="21" t="n">
        <x:v>1</x:v>
      </x:c>
      <x:c r="L135" s="21" t="n">
        <x:v>0</x:v>
      </x:c>
      <x:c r="M135" s="33" t="n">
        <x:f>SUM(E135:L135)/8</x:f>
        <x:v>0.625</x:v>
      </x:c>
      <x:c r="N135" s="21" t="n">
        <x:f>SUM(I135:L135)</x:f>
        <x:v>2</x:v>
      </x:c>
      <x:c r="O135" s="21" t="str">
        <x:f>I135&amp;"-"&amp;J135&amp;"-"&amp;K135&amp;"-"&amp;L135</x:f>
        <x:v>1-0-1-0</x:v>
      </x:c>
    </x:row>
    <x:row r="136" ht="15" hidden="0" customHeight="1">
      <x:c r="A136" s="21" t="n">
        <x:v>59</x:v>
      </x:c>
      <x:c r="B136" s="21" t="str">
        <x:v>S073</x:v>
      </x:c>
      <x:c r="C136" s="21" t="str">
        <x:v>Han et al. (2025)</x:v>
      </x:c>
      <x:c r="D136" s="21" t="str">
        <x:v>Conservative</x:v>
      </x:c>
      <x:c r="E136" s="21" t="n">
        <x:v>0</x:v>
      </x:c>
      <x:c r="F136" s="21" t="n">
        <x:v>1</x:v>
      </x:c>
      <x:c r="G136" s="21" t="n">
        <x:v>1</x:v>
      </x:c>
      <x:c r="H136" s="21" t="n">
        <x:v>1</x:v>
      </x:c>
      <x:c r="I136" s="21" t="n">
        <x:v>1</x:v>
      </x:c>
      <x:c r="J136" s="21" t="n">
        <x:v>0</x:v>
      </x:c>
      <x:c r="K136" s="21" t="n">
        <x:v>0</x:v>
      </x:c>
      <x:c r="L136" s="21" t="n">
        <x:v>0</x:v>
      </x:c>
      <x:c r="M136" s="33" t="n">
        <x:f>SUM(E136:L136)/8</x:f>
        <x:v>0.5</x:v>
      </x:c>
      <x:c r="N136" s="21" t="n">
        <x:f>SUM(I136:L136)</x:f>
        <x:v>1</x:v>
      </x:c>
      <x:c r="O136" s="21" t="str">
        <x:f>I136&amp;"-"&amp;J136&amp;"-"&amp;K136&amp;"-"&amp;L136</x:f>
        <x:v>1-0-0-0</x:v>
      </x:c>
    </x:row>
    <x:row r="137" ht="15" hidden="0" customHeight="1">
      <x:c r="A137" s="21" t="n">
        <x:v>60</x:v>
      </x:c>
      <x:c r="B137" s="21" t="str">
        <x:v>S074</x:v>
      </x:c>
      <x:c r="C137" s="21" t="str">
        <x:v>Lavorgna et al. (2025)</x:v>
      </x:c>
      <x:c r="D137" s="21" t="str">
        <x:v>Conservative</x:v>
      </x:c>
      <x:c r="E137" s="21" t="n">
        <x:v>0</x:v>
      </x:c>
      <x:c r="F137" s="21" t="n">
        <x:v>1</x:v>
      </x:c>
      <x:c r="G137" s="21" t="n">
        <x:v>1</x:v>
      </x:c>
      <x:c r="H137" s="21" t="n">
        <x:v>1</x:v>
      </x:c>
      <x:c r="I137" s="21" t="n">
        <x:v>1</x:v>
      </x:c>
      <x:c r="J137" s="21" t="n">
        <x:v>1</x:v>
      </x:c>
      <x:c r="K137" s="21" t="n">
        <x:v>0</x:v>
      </x:c>
      <x:c r="L137" s="21" t="n">
        <x:v>0</x:v>
      </x:c>
      <x:c r="M137" s="33" t="n">
        <x:f>SUM(E137:L137)/8</x:f>
        <x:v>0.625</x:v>
      </x:c>
      <x:c r="N137" s="21" t="n">
        <x:f>SUM(I137:L137)</x:f>
        <x:v>2</x:v>
      </x:c>
      <x:c r="O137" s="21" t="str">
        <x:f>I137&amp;"-"&amp;J137&amp;"-"&amp;K137&amp;"-"&amp;L137</x:f>
        <x:v>1-1-0-0</x:v>
      </x:c>
    </x:row>
    <x:row r="138" ht="15" hidden="0" customHeight="1">
      <x:c r="A138" s="21" t="n">
        <x:v>61</x:v>
      </x:c>
      <x:c r="B138" s="21" t="str">
        <x:v>S075</x:v>
      </x:c>
      <x:c r="C138" s="21" t="str">
        <x:v>Saroli et al. (2025)</x:v>
      </x:c>
      <x:c r="D138" s="21" t="str">
        <x:v>Conservative</x:v>
      </x:c>
      <x:c r="E138" s="21" t="n">
        <x:v>1</x:v>
      </x:c>
      <x:c r="F138" s="21" t="n">
        <x:v>1</x:v>
      </x:c>
      <x:c r="G138" s="21" t="n">
        <x:v>1</x:v>
      </x:c>
      <x:c r="H138" s="21" t="n">
        <x:v>1</x:v>
      </x:c>
      <x:c r="I138" s="21" t="n">
        <x:v>1</x:v>
      </x:c>
      <x:c r="J138" s="21" t="n">
        <x:v>1</x:v>
      </x:c>
      <x:c r="K138" s="21" t="n">
        <x:v>0</x:v>
      </x:c>
      <x:c r="L138" s="21" t="n">
        <x:v>0</x:v>
      </x:c>
      <x:c r="M138" s="33" t="n">
        <x:f>SUM(E138:L138)/8</x:f>
        <x:v>0.75</x:v>
      </x:c>
      <x:c r="N138" s="21" t="n">
        <x:f>SUM(I138:L138)</x:f>
        <x:v>2</x:v>
      </x:c>
      <x:c r="O138" s="21" t="str">
        <x:f>I138&amp;"-"&amp;J138&amp;"-"&amp;K138&amp;"-"&amp;L138</x:f>
        <x:v>1-1-0-0</x:v>
      </x:c>
    </x:row>
    <x:row r="139" ht="15" hidden="0" customHeight="1">
      <x:c r="A139" s="21" t="n">
        <x:v>62</x:v>
      </x:c>
      <x:c r="B139" s="21" t="str">
        <x:v>S076</x:v>
      </x:c>
      <x:c r="C139" s="21" t="str">
        <x:v>Meena et al. (2025)</x:v>
      </x:c>
      <x:c r="D139" s="21" t="str">
        <x:v>Conservative</x:v>
      </x:c>
      <x:c r="E139" s="21" t="n">
        <x:v>1</x:v>
      </x:c>
      <x:c r="F139" s="21" t="n">
        <x:v>1</x:v>
      </x:c>
      <x:c r="G139" s="21" t="n">
        <x:v>1</x:v>
      </x:c>
      <x:c r="H139" s="21" t="n">
        <x:v>1</x:v>
      </x:c>
      <x:c r="I139" s="21" t="n">
        <x:v>1</x:v>
      </x:c>
      <x:c r="J139" s="21" t="n">
        <x:v>0</x:v>
      </x:c>
      <x:c r="K139" s="21" t="n">
        <x:v>1</x:v>
      </x:c>
      <x:c r="L139" s="21" t="n">
        <x:v>0</x:v>
      </x:c>
      <x:c r="M139" s="33" t="n">
        <x:f>SUM(E139:L139)/8</x:f>
        <x:v>0.75</x:v>
      </x:c>
      <x:c r="N139" s="21" t="n">
        <x:f>SUM(I139:L139)</x:f>
        <x:v>2</x:v>
      </x:c>
      <x:c r="O139" s="21" t="str">
        <x:f>I139&amp;"-"&amp;J139&amp;"-"&amp;K139&amp;"-"&amp;L139</x:f>
        <x:v>1-0-1-0</x:v>
      </x:c>
    </x:row>
    <x:row r="140" ht="15" hidden="0" customHeight="1">
      <x:c r="A140" s="21" t="n">
        <x:v>63</x:v>
      </x:c>
      <x:c r="B140" s="21" t="str">
        <x:v>S077</x:v>
      </x:c>
      <x:c r="C140" s="21" t="str">
        <x:v>Farid et al. (2025)</x:v>
      </x:c>
      <x:c r="D140" s="21" t="str">
        <x:v>Conservative</x:v>
      </x:c>
      <x:c r="E140" s="21" t="n">
        <x:v>0</x:v>
      </x:c>
      <x:c r="F140" s="21" t="n">
        <x:v>1</x:v>
      </x:c>
      <x:c r="G140" s="21" t="n">
        <x:v>1</x:v>
      </x:c>
      <x:c r="H140" s="21" t="n">
        <x:v>1</x:v>
      </x:c>
      <x:c r="I140" s="21" t="n">
        <x:v>1</x:v>
      </x:c>
      <x:c r="J140" s="21" t="n">
        <x:v>0</x:v>
      </x:c>
      <x:c r="K140" s="21" t="n">
        <x:v>0</x:v>
      </x:c>
      <x:c r="L140" s="21" t="n">
        <x:v>0</x:v>
      </x:c>
      <x:c r="M140" s="33" t="n">
        <x:f>SUM(E140:L140)/8</x:f>
        <x:v>0.5</x:v>
      </x:c>
      <x:c r="N140" s="21" t="n">
        <x:f>SUM(I140:L140)</x:f>
        <x:v>1</x:v>
      </x:c>
      <x:c r="O140" s="21" t="str">
        <x:f>I140&amp;"-"&amp;J140&amp;"-"&amp;K140&amp;"-"&amp;L140</x:f>
        <x:v>1-0-0-0</x:v>
      </x:c>
    </x:row>
    <x:row r="141" ht="15" hidden="0" customHeight="1">
      <x:c r="A141" s="21" t="n">
        <x:v>64</x:v>
      </x:c>
      <x:c r="B141" s="21" t="str">
        <x:v>S078</x:v>
      </x:c>
      <x:c r="C141" s="21" t="str">
        <x:v>Hu et al. (2024)</x:v>
      </x:c>
      <x:c r="D141" s="21" t="str">
        <x:v>Conservative</x:v>
      </x:c>
      <x:c r="E141" s="21" t="n">
        <x:v>1</x:v>
      </x:c>
      <x:c r="F141" s="21" t="n">
        <x:v>1</x:v>
      </x:c>
      <x:c r="G141" s="21" t="n">
        <x:v>1</x:v>
      </x:c>
      <x:c r="H141" s="21" t="n">
        <x:v>1</x:v>
      </x:c>
      <x:c r="I141" s="21" t="n">
        <x:v>1</x:v>
      </x:c>
      <x:c r="J141" s="21" t="n">
        <x:v>0</x:v>
      </x:c>
      <x:c r="K141" s="21" t="n">
        <x:v>0</x:v>
      </x:c>
      <x:c r="L141" s="21" t="n">
        <x:v>0</x:v>
      </x:c>
      <x:c r="M141" s="33" t="n">
        <x:f>SUM(E141:L141)/8</x:f>
        <x:v>0.625</x:v>
      </x:c>
      <x:c r="N141" s="21" t="n">
        <x:f>SUM(I141:L141)</x:f>
        <x:v>1</x:v>
      </x:c>
      <x:c r="O141" s="21" t="str">
        <x:f>I141&amp;"-"&amp;J141&amp;"-"&amp;K141&amp;"-"&amp;L141</x:f>
        <x:v>1-0-0-0</x:v>
      </x:c>
    </x:row>
    <x:row r="142" ht="15" hidden="0" customHeight="1">
      <x:c r="A142" s="21" t="n">
        <x:v>65</x:v>
      </x:c>
      <x:c r="B142" s="21" t="str">
        <x:v>S079</x:v>
      </x:c>
      <x:c r="C142" s="21" t="str">
        <x:v>Han et al. (2024)</x:v>
      </x:c>
      <x:c r="D142" s="21" t="str">
        <x:v>Conservative</x:v>
      </x:c>
      <x:c r="E142" s="21" t="n">
        <x:v>0</x:v>
      </x:c>
      <x:c r="F142" s="21" t="n">
        <x:v>1</x:v>
      </x:c>
      <x:c r="G142" s="21" t="n">
        <x:v>1</x:v>
      </x:c>
      <x:c r="H142" s="21" t="n">
        <x:v>1</x:v>
      </x:c>
      <x:c r="I142" s="21" t="n">
        <x:v>1</x:v>
      </x:c>
      <x:c r="J142" s="21" t="n">
        <x:v>1</x:v>
      </x:c>
      <x:c r="K142" s="21" t="n">
        <x:v>1</x:v>
      </x:c>
      <x:c r="L142" s="21" t="n">
        <x:v>0</x:v>
      </x:c>
      <x:c r="M142" s="33" t="n">
        <x:f>SUM(E142:L142)/8</x:f>
        <x:v>0.75</x:v>
      </x:c>
      <x:c r="N142" s="21" t="n">
        <x:f>SUM(I142:L142)</x:f>
        <x:v>3</x:v>
      </x:c>
      <x:c r="O142" s="21" t="str">
        <x:f>I142&amp;"-"&amp;J142&amp;"-"&amp;K142&amp;"-"&amp;L142</x:f>
        <x:v>1-1-1-0</x:v>
      </x:c>
    </x:row>
    <x:row r="143" ht="15" hidden="0" customHeight="1">
      <x:c r="A143" s="21" t="n">
        <x:v>66</x:v>
      </x:c>
      <x:c r="B143" s="21" t="str">
        <x:v>S080</x:v>
      </x:c>
      <x:c r="C143" s="21" t="str">
        <x:v>Imanian et al. (2023)</x:v>
      </x:c>
      <x:c r="D143" s="21" t="str">
        <x:v>Conservative</x:v>
      </x:c>
      <x:c r="E143" s="21" t="n">
        <x:v>0</x:v>
      </x:c>
      <x:c r="F143" s="21" t="n">
        <x:v>1</x:v>
      </x:c>
      <x:c r="G143" s="21" t="n">
        <x:v>1</x:v>
      </x:c>
      <x:c r="H143" s="21" t="n">
        <x:v>1</x:v>
      </x:c>
      <x:c r="I143" s="21" t="n">
        <x:v>1</x:v>
      </x:c>
      <x:c r="J143" s="21" t="n">
        <x:v>0</x:v>
      </x:c>
      <x:c r="K143" s="21" t="n">
        <x:v>0</x:v>
      </x:c>
      <x:c r="L143" s="21" t="n">
        <x:v>0</x:v>
      </x:c>
      <x:c r="M143" s="33" t="n">
        <x:f>SUM(E143:L143)/8</x:f>
        <x:v>0.5</x:v>
      </x:c>
      <x:c r="N143" s="21" t="n">
        <x:f>SUM(I143:L143)</x:f>
        <x:v>1</x:v>
      </x:c>
      <x:c r="O143" s="21" t="str">
        <x:f>I143&amp;"-"&amp;J143&amp;"-"&amp;K143&amp;"-"&amp;L143</x:f>
        <x:v>1-0-0-0</x:v>
      </x:c>
    </x:row>
    <x:row r="144" ht="15" hidden="0" customHeight="1">
      <x:c r="A144" s="21" t="n">
        <x:v>67</x:v>
      </x:c>
      <x:c r="B144" s="21" t="str">
        <x:v>S081</x:v>
      </x:c>
      <x:c r="C144" s="21" t="str">
        <x:v>De Tommasi et al. (2023)</x:v>
      </x:c>
      <x:c r="D144" s="21" t="str">
        <x:v>Conservative</x:v>
      </x:c>
      <x:c r="E144" s="21" t="n">
        <x:v>0</x:v>
      </x:c>
      <x:c r="F144" s="21" t="n">
        <x:v>1</x:v>
      </x:c>
      <x:c r="G144" s="21" t="n">
        <x:v>1</x:v>
      </x:c>
      <x:c r="H144" s="21" t="n">
        <x:v>1</x:v>
      </x:c>
      <x:c r="I144" s="21" t="n">
        <x:v>1</x:v>
      </x:c>
      <x:c r="J144" s="21" t="n">
        <x:v>0</x:v>
      </x:c>
      <x:c r="K144" s="21" t="n">
        <x:v>0</x:v>
      </x:c>
      <x:c r="L144" s="21" t="n">
        <x:v>0</x:v>
      </x:c>
      <x:c r="M144" s="33" t="n">
        <x:f>SUM(E144:L144)/8</x:f>
        <x:v>0.5</x:v>
      </x:c>
      <x:c r="N144" s="21" t="n">
        <x:f>SUM(I144:L144)</x:f>
        <x:v>1</x:v>
      </x:c>
      <x:c r="O144" s="21" t="str">
        <x:f>I144&amp;"-"&amp;J144&amp;"-"&amp;K144&amp;"-"&amp;L144</x:f>
        <x:v>1-0-0-0</x:v>
      </x:c>
    </x:row>
    <x:row r="145" ht="15" hidden="0" customHeight="1">
      <x:c r="A145" s="21" t="n">
        <x:v>68</x:v>
      </x:c>
      <x:c r="B145" s="21" t="str">
        <x:v>S082</x:v>
      </x:c>
      <x:c r="C145" s="21" t="str">
        <x:v>Xiang et al. (2023)</x:v>
      </x:c>
      <x:c r="D145" s="21" t="str">
        <x:v>Conservative</x:v>
      </x:c>
      <x:c r="E145" s="21" t="n">
        <x:v>0</x:v>
      </x:c>
      <x:c r="F145" s="21" t="n">
        <x:v>1</x:v>
      </x:c>
      <x:c r="G145" s="21" t="n">
        <x:v>1</x:v>
      </x:c>
      <x:c r="H145" s="21" t="n">
        <x:v>1</x:v>
      </x:c>
      <x:c r="I145" s="21" t="n">
        <x:v>1</x:v>
      </x:c>
      <x:c r="J145" s="21" t="n">
        <x:v>0</x:v>
      </x:c>
      <x:c r="K145" s="21" t="n">
        <x:v>0</x:v>
      </x:c>
      <x:c r="L145" s="21" t="n">
        <x:v>0</x:v>
      </x:c>
      <x:c r="M145" s="33" t="n">
        <x:f>SUM(E145:L145)/8</x:f>
        <x:v>0.5</x:v>
      </x:c>
      <x:c r="N145" s="21" t="n">
        <x:f>SUM(I145:L145)</x:f>
        <x:v>1</x:v>
      </x:c>
      <x:c r="O145" s="21" t="str">
        <x:f>I145&amp;"-"&amp;J145&amp;"-"&amp;K145&amp;"-"&amp;L145</x:f>
        <x:v>1-0-0-0</x:v>
      </x:c>
    </x:row>
    <x:row r="146" ht="15" hidden="0" customHeight="1">
      <x:c r="A146" s="21" t="n">
        <x:v>69</x:v>
      </x:c>
      <x:c r="B146" s="21" t="str">
        <x:v>S084</x:v>
      </x:c>
      <x:c r="C146" s="21" t="str">
        <x:v>Liu et al. (2023)</x:v>
      </x:c>
      <x:c r="D146" s="21" t="str">
        <x:v>Conservative</x:v>
      </x:c>
      <x:c r="E146" s="21" t="n">
        <x:v>0</x:v>
      </x:c>
      <x:c r="F146" s="21" t="n">
        <x:v>1</x:v>
      </x:c>
      <x:c r="G146" s="21" t="n">
        <x:v>1</x:v>
      </x:c>
      <x:c r="H146" s="21" t="n">
        <x:v>1</x:v>
      </x:c>
      <x:c r="I146" s="21" t="n">
        <x:v>1</x:v>
      </x:c>
      <x:c r="J146" s="21" t="n">
        <x:v>0</x:v>
      </x:c>
      <x:c r="K146" s="21" t="n">
        <x:v>0</x:v>
      </x:c>
      <x:c r="L146" s="21" t="n">
        <x:v>0</x:v>
      </x:c>
      <x:c r="M146" s="33" t="n">
        <x:f>SUM(E146:L146)/8</x:f>
        <x:v>0.5</x:v>
      </x:c>
      <x:c r="N146" s="21" t="n">
        <x:f>SUM(I146:L146)</x:f>
        <x:v>1</x:v>
      </x:c>
      <x:c r="O146" s="21" t="str">
        <x:f>I146&amp;"-"&amp;J146&amp;"-"&amp;K146&amp;"-"&amp;L146</x:f>
        <x:v>1-0-0-0</x:v>
      </x:c>
    </x:row>
    <x:row r="147" ht="15" hidden="0" customHeight="1">
      <x:c r="A147" s="21" t="n">
        <x:v>70</x:v>
      </x:c>
      <x:c r="B147" s="21" t="str">
        <x:v>S085</x:v>
      </x:c>
      <x:c r="C147" s="21" t="str">
        <x:v>Li et al. (2022)</x:v>
      </x:c>
      <x:c r="D147" s="21" t="str">
        <x:v>Conservative</x:v>
      </x:c>
      <x:c r="E147" s="21" t="n">
        <x:v>0</x:v>
      </x:c>
      <x:c r="F147" s="21" t="n">
        <x:v>1</x:v>
      </x:c>
      <x:c r="G147" s="21" t="n">
        <x:v>1</x:v>
      </x:c>
      <x:c r="H147" s="21" t="n">
        <x:v>1</x:v>
      </x:c>
      <x:c r="I147" s="21" t="n">
        <x:v>1</x:v>
      </x:c>
      <x:c r="J147" s="21" t="n">
        <x:v>0</x:v>
      </x:c>
      <x:c r="K147" s="21" t="n">
        <x:v>1</x:v>
      </x:c>
      <x:c r="L147" s="21" t="n">
        <x:v>0</x:v>
      </x:c>
      <x:c r="M147" s="33" t="n">
        <x:f>SUM(E147:L147)/8</x:f>
        <x:v>0.625</x:v>
      </x:c>
      <x:c r="N147" s="21" t="n">
        <x:f>SUM(I147:L147)</x:f>
        <x:v>2</x:v>
      </x:c>
      <x:c r="O147" s="21" t="str">
        <x:f>I147&amp;"-"&amp;J147&amp;"-"&amp;K147&amp;"-"&amp;L147</x:f>
        <x:v>1-0-1-0</x:v>
      </x:c>
    </x:row>
    <x:row r="148" ht="15" hidden="0" customHeight="1">
      <x:c r="A148" s="21" t="n">
        <x:v>71</x:v>
      </x:c>
      <x:c r="B148" s="21" t="str">
        <x:v>S086</x:v>
      </x:c>
      <x:c r="C148" s="21" t="str">
        <x:v>Li et al. (2022)</x:v>
      </x:c>
      <x:c r="D148" s="21" t="str">
        <x:v>Conservative</x:v>
      </x:c>
      <x:c r="E148" s="21" t="n">
        <x:v>0</x:v>
      </x:c>
      <x:c r="F148" s="21" t="n">
        <x:v>1</x:v>
      </x:c>
      <x:c r="G148" s="21" t="n">
        <x:v>1</x:v>
      </x:c>
      <x:c r="H148" s="21" t="n">
        <x:v>1</x:v>
      </x:c>
      <x:c r="I148" s="21" t="n">
        <x:v>1</x:v>
      </x:c>
      <x:c r="J148" s="21" t="n">
        <x:v>0</x:v>
      </x:c>
      <x:c r="K148" s="21" t="n">
        <x:v>0</x:v>
      </x:c>
      <x:c r="L148" s="21" t="n">
        <x:v>0</x:v>
      </x:c>
      <x:c r="M148" s="33" t="n">
        <x:f>SUM(E148:L148)/8</x:f>
        <x:v>0.5</x:v>
      </x:c>
      <x:c r="N148" s="21" t="n">
        <x:f>SUM(I148:L148)</x:f>
        <x:v>1</x:v>
      </x:c>
      <x:c r="O148" s="21" t="str">
        <x:f>I148&amp;"-"&amp;J148&amp;"-"&amp;K148&amp;"-"&amp;L148</x:f>
        <x:v>1-0-0-0</x:v>
      </x:c>
    </x:row>
    <x:row r="149" ht="15" hidden="0" customHeight="1">
      <x:c r="A149" s="21" t="n">
        <x:v>72</x:v>
      </x:c>
      <x:c r="B149" s="21" t="str">
        <x:v>S087</x:v>
      </x:c>
      <x:c r="C149" s="21" t="str">
        <x:v>Ma et al. (2021)</x:v>
      </x:c>
      <x:c r="D149" s="21" t="str">
        <x:v>Conservative</x:v>
      </x:c>
      <x:c r="E149" s="21" t="n">
        <x:v>0</x:v>
      </x:c>
      <x:c r="F149" s="21" t="n">
        <x:v>1</x:v>
      </x:c>
      <x:c r="G149" s="21" t="n">
        <x:v>1</x:v>
      </x:c>
      <x:c r="H149" s="21" t="n">
        <x:v>1</x:v>
      </x:c>
      <x:c r="I149" s="21" t="n">
        <x:v>1</x:v>
      </x:c>
      <x:c r="J149" s="21" t="n">
        <x:v>0</x:v>
      </x:c>
      <x:c r="K149" s="21" t="n">
        <x:v>1</x:v>
      </x:c>
      <x:c r="L149" s="21" t="n">
        <x:v>0</x:v>
      </x:c>
      <x:c r="M149" s="33" t="n">
        <x:f>SUM(E149:L149)/8</x:f>
        <x:v>0.625</x:v>
      </x:c>
      <x:c r="N149" s="21" t="n">
        <x:f>SUM(I149:L149)</x:f>
        <x:v>2</x:v>
      </x:c>
      <x:c r="O149" s="21" t="str">
        <x:f>I149&amp;"-"&amp;J149&amp;"-"&amp;K149&amp;"-"&amp;L149</x:f>
        <x:v>1-0-1-0</x:v>
      </x:c>
    </x:row>
    <x:row r="150" ht="15" hidden="0" customHeight="1">
      <x:c r="A150" s="21" t="n">
        <x:v>73</x:v>
      </x:c>
      <x:c r="B150" s="21" t="str">
        <x:v>S088</x:v>
      </x:c>
      <x:c r="C150" s="21" t="str">
        <x:v>Cheng-Yu et al. (2021)</x:v>
      </x:c>
      <x:c r="D150" s="21" t="str">
        <x:v>Conservative</x:v>
      </x:c>
      <x:c r="E150" s="21" t="n">
        <x:v>0</x:v>
      </x:c>
      <x:c r="F150" s="21" t="n">
        <x:v>1</x:v>
      </x:c>
      <x:c r="G150" s="21" t="n">
        <x:v>1</x:v>
      </x:c>
      <x:c r="H150" s="21" t="n">
        <x:v>1</x:v>
      </x:c>
      <x:c r="I150" s="21" t="n">
        <x:v>1</x:v>
      </x:c>
      <x:c r="J150" s="21" t="n">
        <x:v>0</x:v>
      </x:c>
      <x:c r="K150" s="21" t="n">
        <x:v>0</x:v>
      </x:c>
      <x:c r="L150" s="21" t="n">
        <x:v>0</x:v>
      </x:c>
      <x:c r="M150" s="33" t="n">
        <x:f>SUM(E150:L150)/8</x:f>
        <x:v>0.5</x:v>
      </x:c>
      <x:c r="N150" s="21" t="n">
        <x:f>SUM(I150:L150)</x:f>
        <x:v>1</x:v>
      </x:c>
      <x:c r="O150" s="21" t="str">
        <x:f>I150&amp;"-"&amp;J150&amp;"-"&amp;K150&amp;"-"&amp;L150</x:f>
        <x:v>1-0-0-0</x:v>
      </x:c>
    </x:row>
    <x:row r="151" ht="15" hidden="0" customHeight="1">
      <x:c r="A151" s="21" t="n">
        <x:v>74</x:v>
      </x:c>
      <x:c r="B151" s="21" t="str">
        <x:v>S089</x:v>
      </x:c>
      <x:c r="C151" s="21" t="str">
        <x:v>Xiang et al. (2020)</x:v>
      </x:c>
      <x:c r="D151" s="21" t="str">
        <x:v>Conservative</x:v>
      </x:c>
      <x:c r="E151" s="21" t="n">
        <x:v>1</x:v>
      </x:c>
      <x:c r="F151" s="21" t="n">
        <x:v>1</x:v>
      </x:c>
      <x:c r="G151" s="21" t="n">
        <x:v>1</x:v>
      </x:c>
      <x:c r="H151" s="21" t="n">
        <x:v>1</x:v>
      </x:c>
      <x:c r="I151" s="21" t="n">
        <x:v>1</x:v>
      </x:c>
      <x:c r="J151" s="21" t="n">
        <x:v>1</x:v>
      </x:c>
      <x:c r="K151" s="21" t="n">
        <x:v>0</x:v>
      </x:c>
      <x:c r="L151" s="21" t="n">
        <x:v>0</x:v>
      </x:c>
      <x:c r="M151" s="33" t="n">
        <x:f>SUM(E151:L151)/8</x:f>
        <x:v>0.75</x:v>
      </x:c>
      <x:c r="N151" s="21" t="n">
        <x:f>SUM(I151:L151)</x:f>
        <x:v>2</x:v>
      </x:c>
      <x:c r="O151" s="21" t="str">
        <x:f>I151&amp;"-"&amp;J151&amp;"-"&amp;K151&amp;"-"&amp;L151</x:f>
        <x:v>1-1-0-0</x:v>
      </x:c>
    </x:row>
    <x:row r="152" ht="15" hidden="0" customHeight="1">
      <x:c r="A152" s="21" t="n">
        <x:v>75</x:v>
      </x:c>
      <x:c r="B152" s="21" t="str">
        <x:v>S090</x:v>
      </x:c>
      <x:c r="C152" s="21" t="str">
        <x:v>Fan et al. (2019)</x:v>
      </x:c>
      <x:c r="D152" s="21" t="str">
        <x:v>Conservative</x:v>
      </x:c>
      <x:c r="E152" s="21" t="n">
        <x:v>0</x:v>
      </x:c>
      <x:c r="F152" s="21" t="n">
        <x:v>1</x:v>
      </x:c>
      <x:c r="G152" s="21" t="n">
        <x:v>1</x:v>
      </x:c>
      <x:c r="H152" s="21" t="n">
        <x:v>1</x:v>
      </x:c>
      <x:c r="I152" s="21" t="n">
        <x:v>0</x:v>
      </x:c>
      <x:c r="J152" s="21" t="n">
        <x:v>0</x:v>
      </x:c>
      <x:c r="K152" s="21" t="n">
        <x:v>0</x:v>
      </x:c>
      <x:c r="L152" s="21" t="n">
        <x:v>1</x:v>
      </x:c>
      <x:c r="M152" s="33" t="n">
        <x:f>SUM(E152:L152)/8</x:f>
        <x:v>0.5</x:v>
      </x:c>
      <x:c r="N152" s="21" t="n">
        <x:f>SUM(I152:L152)</x:f>
        <x:v>1</x:v>
      </x:c>
      <x:c r="O152" s="21" t="str">
        <x:f>I152&amp;"-"&amp;J152&amp;"-"&amp;K152&amp;"-"&amp;L152</x:f>
        <x:v>0-0-0-1</x:v>
      </x:c>
    </x:row>
    <x:row r="153" ht="15" hidden="0" customHeight="1">
      <x:c r="A153" s="21" t="n">
        <x:v>76</x:v>
      </x:c>
      <x:c r="B153" s="21" t="str">
        <x:v>S091</x:v>
      </x:c>
      <x:c r="C153" s="21" t="str">
        <x:v>Kennedy et al. (2017)</x:v>
      </x:c>
      <x:c r="D153" s="21" t="str">
        <x:v>Conservative</x:v>
      </x:c>
      <x:c r="E153" s="21" t="n">
        <x:v>1</x:v>
      </x:c>
      <x:c r="F153" s="21" t="n">
        <x:v>1</x:v>
      </x:c>
      <x:c r="G153" s="21" t="n">
        <x:v>1</x:v>
      </x:c>
      <x:c r="H153" s="21" t="n">
        <x:v>1</x:v>
      </x:c>
      <x:c r="I153" s="21" t="n">
        <x:v>1</x:v>
      </x:c>
      <x:c r="J153" s="21" t="n">
        <x:v>0</x:v>
      </x:c>
      <x:c r="K153" s="21" t="n">
        <x:v>0</x:v>
      </x:c>
      <x:c r="L153" s="21" t="n">
        <x:v>1</x:v>
      </x:c>
      <x:c r="M153" s="33" t="n">
        <x:f>SUM(E153:L153)/8</x:f>
        <x:v>0.75</x:v>
      </x:c>
      <x:c r="N153" s="21" t="n">
        <x:f>SUM(I153:L153)</x:f>
        <x:v>2</x:v>
      </x:c>
      <x:c r="O153" s="21" t="str">
        <x:f>I153&amp;"-"&amp;J153&amp;"-"&amp;K153&amp;"-"&amp;L153</x:f>
        <x:v>1-0-0-1</x:v>
      </x:c>
    </x:row>
    <x:row r="154" ht="15" hidden="0" customHeight="1">
      <x:c r="A154" s="21" t="n">
        <x:v>1</x:v>
      </x:c>
      <x:c r="B154" s="21" t="str">
        <x:v>S001</x:v>
      </x:c>
      <x:c r="C154" s="21" t="str">
        <x:v>Leal-Junior et al. (2025)</x:v>
      </x:c>
      <x:c r="D154" s="21" t="str">
        <x:v>Permissive</x:v>
      </x:c>
      <x:c r="E154" s="21" t="n">
        <x:v>0</x:v>
      </x:c>
      <x:c r="F154" s="21" t="n">
        <x:v>1</x:v>
      </x:c>
      <x:c r="G154" s="21" t="n">
        <x:v>1</x:v>
      </x:c>
      <x:c r="H154" s="21" t="n">
        <x:v>1</x:v>
      </x:c>
      <x:c r="I154" s="21" t="n">
        <x:v>1</x:v>
      </x:c>
      <x:c r="J154" s="21" t="n">
        <x:v>0</x:v>
      </x:c>
      <x:c r="K154" s="21" t="n">
        <x:v>0</x:v>
      </x:c>
      <x:c r="L154" s="21" t="n">
        <x:v>0</x:v>
      </x:c>
      <x:c r="M154" s="33" t="n">
        <x:f>SUM(E154:L154)/8</x:f>
        <x:v>0.5</x:v>
      </x:c>
      <x:c r="N154" s="21" t="n">
        <x:f>SUM(I154:L154)</x:f>
        <x:v>1</x:v>
      </x:c>
      <x:c r="O154" s="21" t="str">
        <x:f>I154&amp;"-"&amp;J154&amp;"-"&amp;K154&amp;"-"&amp;L154</x:f>
        <x:v>1-0-0-0</x:v>
      </x:c>
    </x:row>
    <x:row r="155" ht="15" hidden="0" customHeight="1">
      <x:c r="A155" s="21" t="n">
        <x:v>2</x:v>
      </x:c>
      <x:c r="B155" s="21" t="str">
        <x:v>S002</x:v>
      </x:c>
      <x:c r="C155" s="21" t="str">
        <x:v>Koukouviti et al. (2022)</x:v>
      </x:c>
      <x:c r="D155" s="21" t="str">
        <x:v>Permissive</x:v>
      </x:c>
      <x:c r="E155" s="21" t="n">
        <x:v>0</x:v>
      </x:c>
      <x:c r="F155" s="21" t="n">
        <x:v>1</x:v>
      </x:c>
      <x:c r="G155" s="21" t="n">
        <x:v>1</x:v>
      </x:c>
      <x:c r="H155" s="21" t="n">
        <x:v>1</x:v>
      </x:c>
      <x:c r="I155" s="21" t="n">
        <x:v>1</x:v>
      </x:c>
      <x:c r="J155" s="21" t="n">
        <x:v>1</x:v>
      </x:c>
      <x:c r="K155" s="21" t="n">
        <x:v>0</x:v>
      </x:c>
      <x:c r="L155" s="21" t="n">
        <x:v>1</x:v>
      </x:c>
      <x:c r="M155" s="33" t="n">
        <x:f>SUM(E155:L155)/8</x:f>
        <x:v>0.75</x:v>
      </x:c>
      <x:c r="N155" s="21" t="n">
        <x:f>SUM(I155:L155)</x:f>
        <x:v>3</x:v>
      </x:c>
      <x:c r="O155" s="21" t="str">
        <x:f>I155&amp;"-"&amp;J155&amp;"-"&amp;K155&amp;"-"&amp;L155</x:f>
        <x:v>1-1-0-1</x:v>
      </x:c>
    </x:row>
    <x:row r="156" ht="15" hidden="0" customHeight="1">
      <x:c r="A156" s="21" t="n">
        <x:v>3</x:v>
      </x:c>
      <x:c r="B156" s="21" t="str">
        <x:v>S004</x:v>
      </x:c>
      <x:c r="C156" s="21" t="str">
        <x:v>Farid et al. (2025)</x:v>
      </x:c>
      <x:c r="D156" s="21" t="str">
        <x:v>Permissive</x:v>
      </x:c>
      <x:c r="E156" s="21" t="n">
        <x:v>1</x:v>
      </x:c>
      <x:c r="F156" s="21" t="n">
        <x:v>1</x:v>
      </x:c>
      <x:c r="G156" s="21" t="n">
        <x:v>1</x:v>
      </x:c>
      <x:c r="H156" s="21" t="n">
        <x:v>1</x:v>
      </x:c>
      <x:c r="I156" s="21" t="n">
        <x:v>1</x:v>
      </x:c>
      <x:c r="J156" s="21" t="n">
        <x:v>1</x:v>
      </x:c>
      <x:c r="K156" s="21" t="n">
        <x:v>1</x:v>
      </x:c>
      <x:c r="L156" s="21" t="n">
        <x:v>0</x:v>
      </x:c>
      <x:c r="M156" s="33" t="n">
        <x:f>SUM(E156:L156)/8</x:f>
        <x:v>0.875</x:v>
      </x:c>
      <x:c r="N156" s="21" t="n">
        <x:f>SUM(I156:L156)</x:f>
        <x:v>3</x:v>
      </x:c>
      <x:c r="O156" s="21" t="str">
        <x:f>I156&amp;"-"&amp;J156&amp;"-"&amp;K156&amp;"-"&amp;L156</x:f>
        <x:v>1-1-1-0</x:v>
      </x:c>
    </x:row>
    <x:row r="157" ht="15" hidden="0" customHeight="1">
      <x:c r="A157" s="21" t="n">
        <x:v>4</x:v>
      </x:c>
      <x:c r="B157" s="21" t="str">
        <x:v>S005</x:v>
      </x:c>
      <x:c r="C157" s="21" t="str">
        <x:v>Tavares et al. (2022)</x:v>
      </x:c>
      <x:c r="D157" s="21" t="str">
        <x:v>Permissive</x:v>
      </x:c>
      <x:c r="E157" s="21" t="n">
        <x:v>0</x:v>
      </x:c>
      <x:c r="F157" s="21" t="n">
        <x:v>1</x:v>
      </x:c>
      <x:c r="G157" s="21" t="n">
        <x:v>1</x:v>
      </x:c>
      <x:c r="H157" s="21" t="n">
        <x:v>1</x:v>
      </x:c>
      <x:c r="I157" s="21" t="n">
        <x:v>0</x:v>
      </x:c>
      <x:c r="J157" s="21" t="n">
        <x:v>0</x:v>
      </x:c>
      <x:c r="K157" s="21" t="n">
        <x:v>0</x:v>
      </x:c>
      <x:c r="L157" s="21" t="n">
        <x:v>0</x:v>
      </x:c>
      <x:c r="M157" s="33" t="n">
        <x:f>SUM(E157:L157)/8</x:f>
        <x:v>0.375</x:v>
      </x:c>
      <x:c r="N157" s="21" t="n">
        <x:f>SUM(I157:L157)</x:f>
        <x:v>0</x:v>
      </x:c>
      <x:c r="O157" s="21" t="str">
        <x:f>I157&amp;"-"&amp;J157&amp;"-"&amp;K157&amp;"-"&amp;L157</x:f>
        <x:v>0-0-0-0</x:v>
      </x:c>
    </x:row>
    <x:row r="158" ht="15" hidden="0" customHeight="1">
      <x:c r="A158" s="21" t="n">
        <x:v>5</x:v>
      </x:c>
      <x:c r="B158" s="21" t="str">
        <x:v>S007</x:v>
      </x:c>
      <x:c r="C158" s="21" t="str">
        <x:v>Velcescu et al. (2019)</x:v>
      </x:c>
      <x:c r="D158" s="21" t="str">
        <x:v>Permissive</x:v>
      </x:c>
      <x:c r="E158" s="21" t="n">
        <x:v>1</x:v>
      </x:c>
      <x:c r="F158" s="21" t="n">
        <x:v>1</x:v>
      </x:c>
      <x:c r="G158" s="21" t="n">
        <x:v>1</x:v>
      </x:c>
      <x:c r="H158" s="21" t="n">
        <x:v>1</x:v>
      </x:c>
      <x:c r="I158" s="21" t="n">
        <x:v>0</x:v>
      </x:c>
      <x:c r="J158" s="21" t="n">
        <x:v>1</x:v>
      </x:c>
      <x:c r="K158" s="21" t="n">
        <x:v>0</x:v>
      </x:c>
      <x:c r="L158" s="21" t="n">
        <x:v>0</x:v>
      </x:c>
      <x:c r="M158" s="33" t="n">
        <x:f>SUM(E158:L158)/8</x:f>
        <x:v>0.625</x:v>
      </x:c>
      <x:c r="N158" s="21" t="n">
        <x:f>SUM(I158:L158)</x:f>
        <x:v>1</x:v>
      </x:c>
      <x:c r="O158" s="21" t="str">
        <x:f>I158&amp;"-"&amp;J158&amp;"-"&amp;K158&amp;"-"&amp;L158</x:f>
        <x:v>0-1-0-0</x:v>
      </x:c>
    </x:row>
    <x:row r="159" ht="15" hidden="0" customHeight="1">
      <x:c r="A159" s="21" t="n">
        <x:v>6</x:v>
      </x:c>
      <x:c r="B159" s="21" t="str">
        <x:v>S008</x:v>
      </x:c>
      <x:c r="C159" s="21" t="str">
        <x:v>Kim et al. (2022)</x:v>
      </x:c>
      <x:c r="D159" s="21" t="str">
        <x:v>Permissive</x:v>
      </x:c>
      <x:c r="E159" s="21" t="n">
        <x:v>1</x:v>
      </x:c>
      <x:c r="F159" s="21" t="n">
        <x:v>1</x:v>
      </x:c>
      <x:c r="G159" s="21" t="n">
        <x:v>1</x:v>
      </x:c>
      <x:c r="H159" s="21" t="n">
        <x:v>1</x:v>
      </x:c>
      <x:c r="I159" s="21" t="n">
        <x:v>1</x:v>
      </x:c>
      <x:c r="J159" s="21" t="n">
        <x:v>0</x:v>
      </x:c>
      <x:c r="K159" s="21" t="n">
        <x:v>0</x:v>
      </x:c>
      <x:c r="L159" s="21" t="n">
        <x:v>0</x:v>
      </x:c>
      <x:c r="M159" s="33" t="n">
        <x:f>SUM(E159:L159)/8</x:f>
        <x:v>0.625</x:v>
      </x:c>
      <x:c r="N159" s="21" t="n">
        <x:f>SUM(I159:L159)</x:f>
        <x:v>1</x:v>
      </x:c>
      <x:c r="O159" s="21" t="str">
        <x:f>I159&amp;"-"&amp;J159&amp;"-"&amp;K159&amp;"-"&amp;L159</x:f>
        <x:v>1-0-0-0</x:v>
      </x:c>
    </x:row>
    <x:row r="160" ht="15" hidden="0" customHeight="1">
      <x:c r="A160" s="21" t="n">
        <x:v>7</x:v>
      </x:c>
      <x:c r="B160" s="21" t="str">
        <x:v>S010</x:v>
      </x:c>
      <x:c r="C160" s="21" t="str">
        <x:v>Mutlu et al. (2023)</x:v>
      </x:c>
      <x:c r="D160" s="21" t="str">
        <x:v>Permissive</x:v>
      </x:c>
      <x:c r="E160" s="21" t="n">
        <x:v>1</x:v>
      </x:c>
      <x:c r="F160" s="21" t="n">
        <x:v>1</x:v>
      </x:c>
      <x:c r="G160" s="21" t="n">
        <x:v>1</x:v>
      </x:c>
      <x:c r="H160" s="21" t="n">
        <x:v>1</x:v>
      </x:c>
      <x:c r="I160" s="21" t="n">
        <x:v>1</x:v>
      </x:c>
      <x:c r="J160" s="21" t="n">
        <x:v>0</x:v>
      </x:c>
      <x:c r="K160" s="21" t="n">
        <x:v>0</x:v>
      </x:c>
      <x:c r="L160" s="21" t="n">
        <x:v>0</x:v>
      </x:c>
      <x:c r="M160" s="33" t="n">
        <x:f>SUM(E160:L160)/8</x:f>
        <x:v>0.625</x:v>
      </x:c>
      <x:c r="N160" s="21" t="n">
        <x:f>SUM(I160:L160)</x:f>
        <x:v>1</x:v>
      </x:c>
      <x:c r="O160" s="21" t="str">
        <x:f>I160&amp;"-"&amp;J160&amp;"-"&amp;K160&amp;"-"&amp;L160</x:f>
        <x:v>1-0-0-0</x:v>
      </x:c>
    </x:row>
    <x:row r="161" ht="15" hidden="0" customHeight="1">
      <x:c r="A161" s="21" t="n">
        <x:v>8</x:v>
      </x:c>
      <x:c r="B161" s="21" t="str">
        <x:v>S011</x:v>
      </x:c>
      <x:c r="C161" s="21" t="str">
        <x:v>Samarentsis et al. (2022)</x:v>
      </x:c>
      <x:c r="D161" s="21" t="str">
        <x:v>Permissive</x:v>
      </x:c>
      <x:c r="E161" s="21" t="n">
        <x:v>1</x:v>
      </x:c>
      <x:c r="F161" s="21" t="n">
        <x:v>1</x:v>
      </x:c>
      <x:c r="G161" s="21" t="n">
        <x:v>1</x:v>
      </x:c>
      <x:c r="H161" s="21" t="n">
        <x:v>1</x:v>
      </x:c>
      <x:c r="I161" s="21" t="n">
        <x:v>1</x:v>
      </x:c>
      <x:c r="J161" s="21" t="n">
        <x:v>0</x:v>
      </x:c>
      <x:c r="K161" s="21" t="n">
        <x:v>0</x:v>
      </x:c>
      <x:c r="L161" s="21" t="n">
        <x:v>1</x:v>
      </x:c>
      <x:c r="M161" s="33" t="n">
        <x:f>SUM(E161:L161)/8</x:f>
        <x:v>0.75</x:v>
      </x:c>
      <x:c r="N161" s="21" t="n">
        <x:f>SUM(I161:L161)</x:f>
        <x:v>2</x:v>
      </x:c>
      <x:c r="O161" s="21" t="str">
        <x:f>I161&amp;"-"&amp;J161&amp;"-"&amp;K161&amp;"-"&amp;L161</x:f>
        <x:v>1-0-0-1</x:v>
      </x:c>
    </x:row>
    <x:row r="162" ht="15" hidden="0" customHeight="1">
      <x:c r="A162" s="21" t="n">
        <x:v>9</x:v>
      </x:c>
      <x:c r="B162" s="21" t="str">
        <x:v>S012</x:v>
      </x:c>
      <x:c r="C162" s="21" t="str">
        <x:v>Wolterink et al. (2020)</x:v>
      </x:c>
      <x:c r="D162" s="21" t="str">
        <x:v>Permissive</x:v>
      </x:c>
      <x:c r="E162" s="21" t="n">
        <x:v>0</x:v>
      </x:c>
      <x:c r="F162" s="21" t="n">
        <x:v>1</x:v>
      </x:c>
      <x:c r="G162" s="21" t="n">
        <x:v>1</x:v>
      </x:c>
      <x:c r="H162" s="21" t="n">
        <x:v>1</x:v>
      </x:c>
      <x:c r="I162" s="21" t="n">
        <x:v>1</x:v>
      </x:c>
      <x:c r="J162" s="21" t="n">
        <x:v>1</x:v>
      </x:c>
      <x:c r="K162" s="21" t="n">
        <x:v>0</x:v>
      </x:c>
      <x:c r="L162" s="21" t="n">
        <x:v>0</x:v>
      </x:c>
      <x:c r="M162" s="33" t="n">
        <x:f>SUM(E162:L162)/8</x:f>
        <x:v>0.625</x:v>
      </x:c>
      <x:c r="N162" s="21" t="n">
        <x:f>SUM(I162:L162)</x:f>
        <x:v>2</x:v>
      </x:c>
      <x:c r="O162" s="21" t="str">
        <x:f>I162&amp;"-"&amp;J162&amp;"-"&amp;K162&amp;"-"&amp;L162</x:f>
        <x:v>1-1-0-0</x:v>
      </x:c>
    </x:row>
    <x:row r="163" ht="15" hidden="0" customHeight="1">
      <x:c r="A163" s="21" t="n">
        <x:v>10</x:v>
      </x:c>
      <x:c r="B163" s="21" t="str">
        <x:v>S013</x:v>
      </x:c>
      <x:c r="C163" s="21" t="str">
        <x:v>Poulladofonou et al. (2022)</x:v>
      </x:c>
      <x:c r="D163" s="21" t="str">
        <x:v>Permissive</x:v>
      </x:c>
      <x:c r="E163" s="21" t="n">
        <x:v>0</x:v>
      </x:c>
      <x:c r="F163" s="21" t="n">
        <x:v>1</x:v>
      </x:c>
      <x:c r="G163" s="21" t="n">
        <x:v>1</x:v>
      </x:c>
      <x:c r="H163" s="21" t="n">
        <x:v>1</x:v>
      </x:c>
      <x:c r="I163" s="21" t="n">
        <x:v>1</x:v>
      </x:c>
      <x:c r="J163" s="21" t="n">
        <x:v>1</x:v>
      </x:c>
      <x:c r="K163" s="21" t="n">
        <x:v>1</x:v>
      </x:c>
      <x:c r="L163" s="21" t="n">
        <x:v>1</x:v>
      </x:c>
      <x:c r="M163" s="33" t="n">
        <x:f>SUM(E163:L163)/8</x:f>
        <x:v>0.875</x:v>
      </x:c>
      <x:c r="N163" s="21" t="n">
        <x:f>SUM(I163:L163)</x:f>
        <x:v>4</x:v>
      </x:c>
      <x:c r="O163" s="21" t="str">
        <x:f>I163&amp;"-"&amp;J163&amp;"-"&amp;K163&amp;"-"&amp;L163</x:f>
        <x:v>1-1-1-1</x:v>
      </x:c>
    </x:row>
    <x:row r="164" ht="15" hidden="0" customHeight="1">
      <x:c r="A164" s="21" t="n">
        <x:v>11</x:v>
      </x:c>
      <x:c r="B164" s="21" t="str">
        <x:v>S014</x:v>
      </x:c>
      <x:c r="C164" s="21" t="str">
        <x:v>Dimo et al. (2025)</x:v>
      </x:c>
      <x:c r="D164" s="21" t="str">
        <x:v>Permissive</x:v>
      </x:c>
      <x:c r="E164" s="21" t="n">
        <x:v>0</x:v>
      </x:c>
      <x:c r="F164" s="21" t="n">
        <x:v>1</x:v>
      </x:c>
      <x:c r="G164" s="21" t="n">
        <x:v>1</x:v>
      </x:c>
      <x:c r="H164" s="21" t="n">
        <x:v>1</x:v>
      </x:c>
      <x:c r="I164" s="21" t="n">
        <x:v>1</x:v>
      </x:c>
      <x:c r="J164" s="21" t="n">
        <x:v>1</x:v>
      </x:c>
      <x:c r="K164" s="21" t="n">
        <x:v>1</x:v>
      </x:c>
      <x:c r="L164" s="21" t="n">
        <x:v>0</x:v>
      </x:c>
      <x:c r="M164" s="33" t="n">
        <x:f>SUM(E164:L164)/8</x:f>
        <x:v>0.75</x:v>
      </x:c>
      <x:c r="N164" s="21" t="n">
        <x:f>SUM(I164:L164)</x:f>
        <x:v>3</x:v>
      </x:c>
      <x:c r="O164" s="21" t="str">
        <x:f>I164&amp;"-"&amp;J164&amp;"-"&amp;K164&amp;"-"&amp;L164</x:f>
        <x:v>1-1-1-0</x:v>
      </x:c>
    </x:row>
    <x:row r="165" ht="15" hidden="0" customHeight="1">
      <x:c r="A165" s="21" t="n">
        <x:v>12</x:v>
      </x:c>
      <x:c r="B165" s="21" t="str">
        <x:v>S015</x:v>
      </x:c>
      <x:c r="C165" s="21" t="str">
        <x:v>Farook et al. (2023)</x:v>
      </x:c>
      <x:c r="D165" s="21" t="str">
        <x:v>Permissive</x:v>
      </x:c>
      <x:c r="E165" s="21" t="n">
        <x:v>0</x:v>
      </x:c>
      <x:c r="F165" s="21" t="n">
        <x:v>1</x:v>
      </x:c>
      <x:c r="G165" s="21" t="n">
        <x:v>1</x:v>
      </x:c>
      <x:c r="H165" s="21" t="n">
        <x:v>1</x:v>
      </x:c>
      <x:c r="I165" s="21" t="n">
        <x:v>0</x:v>
      </x:c>
      <x:c r="J165" s="21" t="n">
        <x:v>0</x:v>
      </x:c>
      <x:c r="K165" s="21" t="n">
        <x:v>0</x:v>
      </x:c>
      <x:c r="L165" s="21" t="n">
        <x:v>0</x:v>
      </x:c>
      <x:c r="M165" s="33" t="n">
        <x:f>SUM(E165:L165)/8</x:f>
        <x:v>0.375</x:v>
      </x:c>
      <x:c r="N165" s="21" t="n">
        <x:f>SUM(I165:L165)</x:f>
        <x:v>0</x:v>
      </x:c>
      <x:c r="O165" s="21" t="str">
        <x:f>I165&amp;"-"&amp;J165&amp;"-"&amp;K165&amp;"-"&amp;L165</x:f>
        <x:v>0-0-0-0</x:v>
      </x:c>
    </x:row>
    <x:row r="166" ht="15" hidden="0" customHeight="1">
      <x:c r="A166" s="21" t="n">
        <x:v>13</x:v>
      </x:c>
      <x:c r="B166" s="21" t="str">
        <x:v>S017</x:v>
      </x:c>
      <x:c r="C166" s="21" t="str">
        <x:v>Zhang and Ma (2025)</x:v>
      </x:c>
      <x:c r="D166" s="21" t="str">
        <x:v>Permissive</x:v>
      </x:c>
      <x:c r="E166" s="21" t="n">
        <x:v>0</x:v>
      </x:c>
      <x:c r="F166" s="21" t="n">
        <x:v>0</x:v>
      </x:c>
      <x:c r="G166" s="21" t="n">
        <x:v>1</x:v>
      </x:c>
      <x:c r="H166" s="21" t="n">
        <x:v>1</x:v>
      </x:c>
      <x:c r="I166" s="21" t="n">
        <x:v>1</x:v>
      </x:c>
      <x:c r="J166" s="21" t="n">
        <x:v>1</x:v>
      </x:c>
      <x:c r="K166" s="21" t="n">
        <x:v>0</x:v>
      </x:c>
      <x:c r="L166" s="21" t="n">
        <x:v>0</x:v>
      </x:c>
      <x:c r="M166" s="33" t="n">
        <x:f>SUM(E166:L166)/8</x:f>
        <x:v>0.5</x:v>
      </x:c>
      <x:c r="N166" s="21" t="n">
        <x:f>SUM(I166:L166)</x:f>
        <x:v>2</x:v>
      </x:c>
      <x:c r="O166" s="21" t="str">
        <x:f>I166&amp;"-"&amp;J166&amp;"-"&amp;K166&amp;"-"&amp;L166</x:f>
        <x:v>1-1-0-0</x:v>
      </x:c>
    </x:row>
    <x:row r="167" ht="15" hidden="0" customHeight="1">
      <x:c r="A167" s="21" t="n">
        <x:v>14</x:v>
      </x:c>
      <x:c r="B167" s="21" t="str">
        <x:v>S018</x:v>
      </x:c>
      <x:c r="C167" s="21" t="str">
        <x:v>Vu et al. (2025)</x:v>
      </x:c>
      <x:c r="D167" s="21" t="str">
        <x:v>Permissive</x:v>
      </x:c>
      <x:c r="E167" s="21" t="n">
        <x:v>0</x:v>
      </x:c>
      <x:c r="F167" s="21" t="n">
        <x:v>1</x:v>
      </x:c>
      <x:c r="G167" s="21" t="n">
        <x:v>1</x:v>
      </x:c>
      <x:c r="H167" s="21" t="n">
        <x:v>1</x:v>
      </x:c>
      <x:c r="I167" s="21" t="n">
        <x:v>0</x:v>
      </x:c>
      <x:c r="J167" s="21" t="n">
        <x:v>0</x:v>
      </x:c>
      <x:c r="K167" s="21" t="n">
        <x:v>1</x:v>
      </x:c>
      <x:c r="L167" s="21" t="n">
        <x:v>0</x:v>
      </x:c>
      <x:c r="M167" s="33" t="n">
        <x:f>SUM(E167:L167)/8</x:f>
        <x:v>0.5</x:v>
      </x:c>
      <x:c r="N167" s="21" t="n">
        <x:f>SUM(I167:L167)</x:f>
        <x:v>1</x:v>
      </x:c>
      <x:c r="O167" s="21" t="str">
        <x:f>I167&amp;"-"&amp;J167&amp;"-"&amp;K167&amp;"-"&amp;L167</x:f>
        <x:v>0-0-1-0</x:v>
      </x:c>
    </x:row>
    <x:row r="168" ht="15" hidden="0" customHeight="1">
      <x:c r="A168" s="21" t="n">
        <x:v>15</x:v>
      </x:c>
      <x:c r="B168" s="21" t="str">
        <x:v>S019</x:v>
      </x:c>
      <x:c r="C168" s="21" t="str">
        <x:v>Vu et al. (2021)</x:v>
      </x:c>
      <x:c r="D168" s="21" t="str">
        <x:v>Permissive</x:v>
      </x:c>
      <x:c r="E168" s="21" t="n">
        <x:v>1</x:v>
      </x:c>
      <x:c r="F168" s="21" t="n">
        <x:v>1</x:v>
      </x:c>
      <x:c r="G168" s="21" t="n">
        <x:v>1</x:v>
      </x:c>
      <x:c r="H168" s="21" t="n">
        <x:v>1</x:v>
      </x:c>
      <x:c r="I168" s="21" t="n">
        <x:v>1</x:v>
      </x:c>
      <x:c r="J168" s="21" t="n">
        <x:v>1</x:v>
      </x:c>
      <x:c r="K168" s="21" t="n">
        <x:v>0</x:v>
      </x:c>
      <x:c r="L168" s="21" t="n">
        <x:v>1</x:v>
      </x:c>
      <x:c r="M168" s="33" t="n">
        <x:f>SUM(E168:L168)/8</x:f>
        <x:v>0.875</x:v>
      </x:c>
      <x:c r="N168" s="21" t="n">
        <x:f>SUM(I168:L168)</x:f>
        <x:v>3</x:v>
      </x:c>
      <x:c r="O168" s="21" t="str">
        <x:f>I168&amp;"-"&amp;J168&amp;"-"&amp;K168&amp;"-"&amp;L168</x:f>
        <x:v>1-1-0-1</x:v>
      </x:c>
    </x:row>
    <x:row r="169" ht="15" hidden="0" customHeight="1">
      <x:c r="A169" s="21" t="n">
        <x:v>16</x:v>
      </x:c>
      <x:c r="B169" s="21" t="str">
        <x:v>S020</x:v>
      </x:c>
      <x:c r="C169" s="21" t="str">
        <x:v>Langlois et al. (2021)</x:v>
      </x:c>
      <x:c r="D169" s="21" t="str">
        <x:v>Permissive</x:v>
      </x:c>
      <x:c r="E169" s="21" t="n">
        <x:v>0</x:v>
      </x:c>
      <x:c r="F169" s="21" t="n">
        <x:v>1</x:v>
      </x:c>
      <x:c r="G169" s="21" t="n">
        <x:v>1</x:v>
      </x:c>
      <x:c r="H169" s="21" t="n">
        <x:v>1</x:v>
      </x:c>
      <x:c r="I169" s="21" t="n">
        <x:v>1</x:v>
      </x:c>
      <x:c r="J169" s="21" t="n">
        <x:v>0</x:v>
      </x:c>
      <x:c r="K169" s="21" t="n">
        <x:v>0</x:v>
      </x:c>
      <x:c r="L169" s="21" t="n">
        <x:v>1</x:v>
      </x:c>
      <x:c r="M169" s="33" t="n">
        <x:f>SUM(E169:L169)/8</x:f>
        <x:v>0.625</x:v>
      </x:c>
      <x:c r="N169" s="21" t="n">
        <x:f>SUM(I169:L169)</x:f>
        <x:v>2</x:v>
      </x:c>
      <x:c r="O169" s="21" t="str">
        <x:f>I169&amp;"-"&amp;J169&amp;"-"&amp;K169&amp;"-"&amp;L169</x:f>
        <x:v>1-0-0-1</x:v>
      </x:c>
    </x:row>
    <x:row r="170" ht="15" hidden="0" customHeight="1">
      <x:c r="A170" s="21" t="n">
        <x:v>17</x:v>
      </x:c>
      <x:c r="B170" s="21" t="str">
        <x:v>S021</x:v>
      </x:c>
      <x:c r="C170" s="21" t="str">
        <x:v>Li et al. (2026)</x:v>
      </x:c>
      <x:c r="D170" s="21" t="str">
        <x:v>Permissive</x:v>
      </x:c>
      <x:c r="E170" s="21" t="n">
        <x:v>0</x:v>
      </x:c>
      <x:c r="F170" s="21" t="n">
        <x:v>1</x:v>
      </x:c>
      <x:c r="G170" s="21" t="n">
        <x:v>1</x:v>
      </x:c>
      <x:c r="H170" s="21" t="n">
        <x:v>1</x:v>
      </x:c>
      <x:c r="I170" s="21" t="n">
        <x:v>0</x:v>
      </x:c>
      <x:c r="J170" s="21" t="n">
        <x:v>0</x:v>
      </x:c>
      <x:c r="K170" s="21" t="n">
        <x:v>1</x:v>
      </x:c>
      <x:c r="L170" s="21" t="n">
        <x:v>0</x:v>
      </x:c>
      <x:c r="M170" s="33" t="n">
        <x:f>SUM(E170:L170)/8</x:f>
        <x:v>0.5</x:v>
      </x:c>
      <x:c r="N170" s="21" t="n">
        <x:f>SUM(I170:L170)</x:f>
        <x:v>1</x:v>
      </x:c>
      <x:c r="O170" s="21" t="str">
        <x:f>I170&amp;"-"&amp;J170&amp;"-"&amp;K170&amp;"-"&amp;L170</x:f>
        <x:v>0-0-1-0</x:v>
      </x:c>
    </x:row>
    <x:row r="171" ht="15" hidden="0" customHeight="1">
      <x:c r="A171" s="21" t="n">
        <x:v>18</x:v>
      </x:c>
      <x:c r="B171" s="21" t="str">
        <x:v>S022</x:v>
      </x:c>
      <x:c r="C171" s="21" t="str">
        <x:v>Yan et al. (2025)</x:v>
      </x:c>
      <x:c r="D171" s="21" t="str">
        <x:v>Permissive</x:v>
      </x:c>
      <x:c r="E171" s="21" t="n">
        <x:v>0</x:v>
      </x:c>
      <x:c r="F171" s="21" t="n">
        <x:v>1</x:v>
      </x:c>
      <x:c r="G171" s="21" t="n">
        <x:v>1</x:v>
      </x:c>
      <x:c r="H171" s="21" t="n">
        <x:v>1</x:v>
      </x:c>
      <x:c r="I171" s="21" t="n">
        <x:v>1</x:v>
      </x:c>
      <x:c r="J171" s="21" t="n">
        <x:v>1</x:v>
      </x:c>
      <x:c r="K171" s="21" t="n">
        <x:v>0</x:v>
      </x:c>
      <x:c r="L171" s="21" t="n">
        <x:v>0</x:v>
      </x:c>
      <x:c r="M171" s="33" t="n">
        <x:f>SUM(E171:L171)/8</x:f>
        <x:v>0.625</x:v>
      </x:c>
      <x:c r="N171" s="21" t="n">
        <x:f>SUM(I171:L171)</x:f>
        <x:v>2</x:v>
      </x:c>
      <x:c r="O171" s="21" t="str">
        <x:f>I171&amp;"-"&amp;J171&amp;"-"&amp;K171&amp;"-"&amp;L171</x:f>
        <x:v>1-1-0-0</x:v>
      </x:c>
    </x:row>
    <x:row r="172" ht="15" hidden="0" customHeight="1">
      <x:c r="A172" s="21" t="n">
        <x:v>19</x:v>
      </x:c>
      <x:c r="B172" s="21" t="str">
        <x:v>S023</x:v>
      </x:c>
      <x:c r="C172" s="21" t="str">
        <x:v>Salo et al. (2022)</x:v>
      </x:c>
      <x:c r="D172" s="21" t="str">
        <x:v>Permissive</x:v>
      </x:c>
      <x:c r="E172" s="21" t="n">
        <x:v>1</x:v>
      </x:c>
      <x:c r="F172" s="21" t="n">
        <x:v>1</x:v>
      </x:c>
      <x:c r="G172" s="21" t="n">
        <x:v>1</x:v>
      </x:c>
      <x:c r="H172" s="21" t="n">
        <x:v>1</x:v>
      </x:c>
      <x:c r="I172" s="21" t="n">
        <x:v>1</x:v>
      </x:c>
      <x:c r="J172" s="21" t="n">
        <x:v>0</x:v>
      </x:c>
      <x:c r="K172" s="21" t="n">
        <x:v>0</x:v>
      </x:c>
      <x:c r="L172" s="21" t="n">
        <x:v>1</x:v>
      </x:c>
      <x:c r="M172" s="33" t="n">
        <x:f>SUM(E172:L172)/8</x:f>
        <x:v>0.75</x:v>
      </x:c>
      <x:c r="N172" s="21" t="n">
        <x:f>SUM(I172:L172)</x:f>
        <x:v>2</x:v>
      </x:c>
      <x:c r="O172" s="21" t="str">
        <x:f>I172&amp;"-"&amp;J172&amp;"-"&amp;K172&amp;"-"&amp;L172</x:f>
        <x:v>1-0-0-1</x:v>
      </x:c>
    </x:row>
    <x:row r="173" ht="15" hidden="0" customHeight="1">
      <x:c r="A173" s="21" t="n">
        <x:v>20</x:v>
      </x:c>
      <x:c r="B173" s="21" t="str">
        <x:v>S024</x:v>
      </x:c>
      <x:c r="C173" s="21" t="str">
        <x:v>Han et al. (2026)</x:v>
      </x:c>
      <x:c r="D173" s="21" t="str">
        <x:v>Permissive</x:v>
      </x:c>
      <x:c r="E173" s="21" t="n">
        <x:v>0</x:v>
      </x:c>
      <x:c r="F173" s="21" t="n">
        <x:v>1</x:v>
      </x:c>
      <x:c r="G173" s="21" t="n">
        <x:v>1</x:v>
      </x:c>
      <x:c r="H173" s="21" t="n">
        <x:v>1</x:v>
      </x:c>
      <x:c r="I173" s="21" t="n">
        <x:v>1</x:v>
      </x:c>
      <x:c r="J173" s="21" t="n">
        <x:v>1</x:v>
      </x:c>
      <x:c r="K173" s="21" t="n">
        <x:v>1</x:v>
      </x:c>
      <x:c r="L173" s="21" t="n">
        <x:v>0</x:v>
      </x:c>
      <x:c r="M173" s="33" t="n">
        <x:f>SUM(E173:L173)/8</x:f>
        <x:v>0.75</x:v>
      </x:c>
      <x:c r="N173" s="21" t="n">
        <x:f>SUM(I173:L173)</x:f>
        <x:v>3</x:v>
      </x:c>
      <x:c r="O173" s="21" t="str">
        <x:f>I173&amp;"-"&amp;J173&amp;"-"&amp;K173&amp;"-"&amp;L173</x:f>
        <x:v>1-1-1-0</x:v>
      </x:c>
    </x:row>
    <x:row r="174" ht="15" hidden="0" customHeight="1">
      <x:c r="A174" s="21" t="n">
        <x:v>21</x:v>
      </x:c>
      <x:c r="B174" s="21" t="str">
        <x:v>S025</x:v>
      </x:c>
      <x:c r="C174" s="21" t="str">
        <x:v>Wei et al. (2026)</x:v>
      </x:c>
      <x:c r="D174" s="21" t="str">
        <x:v>Permissive</x:v>
      </x:c>
      <x:c r="E174" s="21" t="n">
        <x:v>1</x:v>
      </x:c>
      <x:c r="F174" s="21" t="n">
        <x:v>1</x:v>
      </x:c>
      <x:c r="G174" s="21" t="n">
        <x:v>1</x:v>
      </x:c>
      <x:c r="H174" s="21" t="n">
        <x:v>1</x:v>
      </x:c>
      <x:c r="I174" s="21" t="n">
        <x:v>1</x:v>
      </x:c>
      <x:c r="J174" s="21" t="n">
        <x:v>1</x:v>
      </x:c>
      <x:c r="K174" s="21" t="n">
        <x:v>0</x:v>
      </x:c>
      <x:c r="L174" s="21" t="n">
        <x:v>1</x:v>
      </x:c>
      <x:c r="M174" s="33" t="n">
        <x:f>SUM(E174:L174)/8</x:f>
        <x:v>0.875</x:v>
      </x:c>
      <x:c r="N174" s="21" t="n">
        <x:f>SUM(I174:L174)</x:f>
        <x:v>3</x:v>
      </x:c>
      <x:c r="O174" s="21" t="str">
        <x:f>I174&amp;"-"&amp;J174&amp;"-"&amp;K174&amp;"-"&amp;L174</x:f>
        <x:v>1-1-0-1</x:v>
      </x:c>
    </x:row>
    <x:row r="175" ht="15" hidden="0" customHeight="1">
      <x:c r="A175" s="21" t="n">
        <x:v>22</x:v>
      </x:c>
      <x:c r="B175" s="21" t="str">
        <x:v>S028</x:v>
      </x:c>
      <x:c r="C175" s="21" t="str">
        <x:v>Gothard et al. (2023)</x:v>
      </x:c>
      <x:c r="D175" s="21" t="str">
        <x:v>Permissive</x:v>
      </x:c>
      <x:c r="E175" s="21" t="n">
        <x:v>1</x:v>
      </x:c>
      <x:c r="F175" s="21" t="n">
        <x:v>1</x:v>
      </x:c>
      <x:c r="G175" s="21" t="n">
        <x:v>1</x:v>
      </x:c>
      <x:c r="H175" s="21" t="n">
        <x:v>1</x:v>
      </x:c>
      <x:c r="I175" s="21" t="n">
        <x:v>1</x:v>
      </x:c>
      <x:c r="J175" s="21" t="n">
        <x:v>0</x:v>
      </x:c>
      <x:c r="K175" s="21" t="n">
        <x:v>0</x:v>
      </x:c>
      <x:c r="L175" s="21" t="n">
        <x:v>1</x:v>
      </x:c>
      <x:c r="M175" s="33" t="n">
        <x:f>SUM(E175:L175)/8</x:f>
        <x:v>0.75</x:v>
      </x:c>
      <x:c r="N175" s="21" t="n">
        <x:f>SUM(I175:L175)</x:f>
        <x:v>2</x:v>
      </x:c>
      <x:c r="O175" s="21" t="str">
        <x:f>I175&amp;"-"&amp;J175&amp;"-"&amp;K175&amp;"-"&amp;L175</x:f>
        <x:v>1-0-0-1</x:v>
      </x:c>
    </x:row>
    <x:row r="176" ht="15" hidden="0" customHeight="1">
      <x:c r="A176" s="21" t="n">
        <x:v>23</x:v>
      </x:c>
      <x:c r="B176" s="21" t="str">
        <x:v>S029</x:v>
      </x:c>
      <x:c r="C176" s="21" t="str">
        <x:v>Özkurt et al. (2026)</x:v>
      </x:c>
      <x:c r="D176" s="21" t="str">
        <x:v>Permissive</x:v>
      </x:c>
      <x:c r="E176" s="21" t="n">
        <x:v>1</x:v>
      </x:c>
      <x:c r="F176" s="21" t="n">
        <x:v>1</x:v>
      </x:c>
      <x:c r="G176" s="21" t="n">
        <x:v>1</x:v>
      </x:c>
      <x:c r="H176" s="21" t="n">
        <x:v>1</x:v>
      </x:c>
      <x:c r="I176" s="21" t="n">
        <x:v>1</x:v>
      </x:c>
      <x:c r="J176" s="21" t="n">
        <x:v>1</x:v>
      </x:c>
      <x:c r="K176" s="21" t="n">
        <x:v>0</x:v>
      </x:c>
      <x:c r="L176" s="21" t="n">
        <x:v>1</x:v>
      </x:c>
      <x:c r="M176" s="33" t="n">
        <x:f>SUM(E176:L176)/8</x:f>
        <x:v>0.875</x:v>
      </x:c>
      <x:c r="N176" s="21" t="n">
        <x:f>SUM(I176:L176)</x:f>
        <x:v>3</x:v>
      </x:c>
      <x:c r="O176" s="21" t="str">
        <x:f>I176&amp;"-"&amp;J176&amp;"-"&amp;K176&amp;"-"&amp;L176</x:f>
        <x:v>1-1-0-1</x:v>
      </x:c>
    </x:row>
    <x:row r="177" ht="15" hidden="0" customHeight="1">
      <x:c r="A177" s="21" t="n">
        <x:v>24</x:v>
      </x:c>
      <x:c r="B177" s="21" t="str">
        <x:v>S031</x:v>
      </x:c>
      <x:c r="C177" s="21" t="str">
        <x:v>Rivera et al. (2022)</x:v>
      </x:c>
      <x:c r="D177" s="21" t="str">
        <x:v>Permissive</x:v>
      </x:c>
      <x:c r="E177" s="21" t="n">
        <x:v>0</x:v>
      </x:c>
      <x:c r="F177" s="21" t="n">
        <x:v>1</x:v>
      </x:c>
      <x:c r="G177" s="21" t="n">
        <x:v>1</x:v>
      </x:c>
      <x:c r="H177" s="21" t="n">
        <x:v>1</x:v>
      </x:c>
      <x:c r="I177" s="21" t="n">
        <x:v>0</x:v>
      </x:c>
      <x:c r="J177" s="21" t="n">
        <x:v>0</x:v>
      </x:c>
      <x:c r="K177" s="21" t="n">
        <x:v>0</x:v>
      </x:c>
      <x:c r="L177" s="21" t="n">
        <x:v>0</x:v>
      </x:c>
      <x:c r="M177" s="33" t="n">
        <x:f>SUM(E177:L177)/8</x:f>
        <x:v>0.375</x:v>
      </x:c>
      <x:c r="N177" s="21" t="n">
        <x:f>SUM(I177:L177)</x:f>
        <x:v>0</x:v>
      </x:c>
      <x:c r="O177" s="21" t="str">
        <x:f>I177&amp;"-"&amp;J177&amp;"-"&amp;K177&amp;"-"&amp;L177</x:f>
        <x:v>0-0-0-0</x:v>
      </x:c>
    </x:row>
    <x:row r="178" ht="15" hidden="0" customHeight="1">
      <x:c r="A178" s="21" t="n">
        <x:v>25</x:v>
      </x:c>
      <x:c r="B178" s="21" t="str">
        <x:v>S032</x:v>
      </x:c>
      <x:c r="C178" s="21" t="str">
        <x:v>Liu et al. (2021)</x:v>
      </x:c>
      <x:c r="D178" s="21" t="str">
        <x:v>Permissive</x:v>
      </x:c>
      <x:c r="E178" s="21" t="n">
        <x:v>0</x:v>
      </x:c>
      <x:c r="F178" s="21" t="n">
        <x:v>1</x:v>
      </x:c>
      <x:c r="G178" s="21" t="n">
        <x:v>1</x:v>
      </x:c>
      <x:c r="H178" s="21" t="n">
        <x:v>1</x:v>
      </x:c>
      <x:c r="I178" s="21" t="n">
        <x:v>0</x:v>
      </x:c>
      <x:c r="J178" s="21" t="n">
        <x:v>0</x:v>
      </x:c>
      <x:c r="K178" s="21" t="n">
        <x:v>0</x:v>
      </x:c>
      <x:c r="L178" s="21" t="n">
        <x:v>0</x:v>
      </x:c>
      <x:c r="M178" s="33" t="n">
        <x:f>SUM(E178:L178)/8</x:f>
        <x:v>0.375</x:v>
      </x:c>
      <x:c r="N178" s="21" t="n">
        <x:f>SUM(I178:L178)</x:f>
        <x:v>0</x:v>
      </x:c>
      <x:c r="O178" s="21" t="str">
        <x:f>I178&amp;"-"&amp;J178&amp;"-"&amp;K178&amp;"-"&amp;L178</x:f>
        <x:v>0-0-0-0</x:v>
      </x:c>
    </x:row>
    <x:row r="179" ht="15" hidden="0" customHeight="1">
      <x:c r="A179" s="21" t="n">
        <x:v>26</x:v>
      </x:c>
      <x:c r="B179" s="21" t="str">
        <x:v>S033</x:v>
      </x:c>
      <x:c r="C179" s="21" t="str">
        <x:v>Yu et al. (2020)</x:v>
      </x:c>
      <x:c r="D179" s="21" t="str">
        <x:v>Permissive</x:v>
      </x:c>
      <x:c r="E179" s="21" t="n">
        <x:v>0</x:v>
      </x:c>
      <x:c r="F179" s="21" t="n">
        <x:v>1</x:v>
      </x:c>
      <x:c r="G179" s="21" t="n">
        <x:v>1</x:v>
      </x:c>
      <x:c r="H179" s="21" t="n">
        <x:v>1</x:v>
      </x:c>
      <x:c r="I179" s="21" t="n">
        <x:v>1</x:v>
      </x:c>
      <x:c r="J179" s="21" t="n">
        <x:v>0</x:v>
      </x:c>
      <x:c r="K179" s="21" t="n">
        <x:v>1</x:v>
      </x:c>
      <x:c r="L179" s="21" t="n">
        <x:v>0</x:v>
      </x:c>
      <x:c r="M179" s="33" t="n">
        <x:f>SUM(E179:L179)/8</x:f>
        <x:v>0.625</x:v>
      </x:c>
      <x:c r="N179" s="21" t="n">
        <x:f>SUM(I179:L179)</x:f>
        <x:v>2</x:v>
      </x:c>
      <x:c r="O179" s="21" t="str">
        <x:f>I179&amp;"-"&amp;J179&amp;"-"&amp;K179&amp;"-"&amp;L179</x:f>
        <x:v>1-0-1-0</x:v>
      </x:c>
    </x:row>
    <x:row r="180" ht="15" hidden="0" customHeight="1">
      <x:c r="A180" s="21" t="n">
        <x:v>27</x:v>
      </x:c>
      <x:c r="B180" s="21" t="str">
        <x:v>S034</x:v>
      </x:c>
      <x:c r="C180" s="21" t="str">
        <x:v>Zhang et al. (2026)</x:v>
      </x:c>
      <x:c r="D180" s="21" t="str">
        <x:v>Permissive</x:v>
      </x:c>
      <x:c r="E180" s="21" t="n">
        <x:v>0</x:v>
      </x:c>
      <x:c r="F180" s="21" t="n">
        <x:v>1</x:v>
      </x:c>
      <x:c r="G180" s="21" t="n">
        <x:v>1</x:v>
      </x:c>
      <x:c r="H180" s="21" t="n">
        <x:v>1</x:v>
      </x:c>
      <x:c r="I180" s="21" t="n">
        <x:v>1</x:v>
      </x:c>
      <x:c r="J180" s="21" t="n">
        <x:v>1</x:v>
      </x:c>
      <x:c r="K180" s="21" t="n">
        <x:v>1</x:v>
      </x:c>
      <x:c r="L180" s="21" t="n">
        <x:v>1</x:v>
      </x:c>
      <x:c r="M180" s="33" t="n">
        <x:f>SUM(E180:L180)/8</x:f>
        <x:v>0.875</x:v>
      </x:c>
      <x:c r="N180" s="21" t="n">
        <x:f>SUM(I180:L180)</x:f>
        <x:v>4</x:v>
      </x:c>
      <x:c r="O180" s="21" t="str">
        <x:f>I180&amp;"-"&amp;J180&amp;"-"&amp;K180&amp;"-"&amp;L180</x:f>
        <x:v>1-1-1-1</x:v>
      </x:c>
    </x:row>
    <x:row r="181" ht="15" hidden="0" customHeight="1">
      <x:c r="A181" s="21" t="n">
        <x:v>28</x:v>
      </x:c>
      <x:c r="B181" s="21" t="str">
        <x:v>S035</x:v>
      </x:c>
      <x:c r="C181" s="21" t="str">
        <x:v>Katseli et al. (2021)</x:v>
      </x:c>
      <x:c r="D181" s="21" t="str">
        <x:v>Permissive</x:v>
      </x:c>
      <x:c r="E181" s="21" t="n">
        <x:v>0</x:v>
      </x:c>
      <x:c r="F181" s="21" t="n">
        <x:v>1</x:v>
      </x:c>
      <x:c r="G181" s="21" t="n">
        <x:v>1</x:v>
      </x:c>
      <x:c r="H181" s="21" t="n">
        <x:v>1</x:v>
      </x:c>
      <x:c r="I181" s="21" t="n">
        <x:v>1</x:v>
      </x:c>
      <x:c r="J181" s="21" t="n">
        <x:v>1</x:v>
      </x:c>
      <x:c r="K181" s="21" t="n">
        <x:v>0</x:v>
      </x:c>
      <x:c r="L181" s="21" t="n">
        <x:v>1</x:v>
      </x:c>
      <x:c r="M181" s="33" t="n">
        <x:f>SUM(E181:L181)/8</x:f>
        <x:v>0.75</x:v>
      </x:c>
      <x:c r="N181" s="21" t="n">
        <x:f>SUM(I181:L181)</x:f>
        <x:v>3</x:v>
      </x:c>
      <x:c r="O181" s="21" t="str">
        <x:f>I181&amp;"-"&amp;J181&amp;"-"&amp;K181&amp;"-"&amp;L181</x:f>
        <x:v>1-1-0-1</x:v>
      </x:c>
    </x:row>
    <x:row r="182" ht="15" hidden="0" customHeight="1">
      <x:c r="A182" s="21" t="n">
        <x:v>29</x:v>
      </x:c>
      <x:c r="B182" s="21" t="str">
        <x:v>S036</x:v>
      </x:c>
      <x:c r="C182" s="21" t="str">
        <x:v>Xuan et al. (2026)</x:v>
      </x:c>
      <x:c r="D182" s="21" t="str">
        <x:v>Permissive</x:v>
      </x:c>
      <x:c r="E182" s="21" t="n">
        <x:v>1</x:v>
      </x:c>
      <x:c r="F182" s="21" t="n">
        <x:v>1</x:v>
      </x:c>
      <x:c r="G182" s="21" t="n">
        <x:v>1</x:v>
      </x:c>
      <x:c r="H182" s="21" t="n">
        <x:v>1</x:v>
      </x:c>
      <x:c r="I182" s="21" t="n">
        <x:v>1</x:v>
      </x:c>
      <x:c r="J182" s="21" t="n">
        <x:v>1</x:v>
      </x:c>
      <x:c r="K182" s="21" t="n">
        <x:v>1</x:v>
      </x:c>
      <x:c r="L182" s="21" t="n">
        <x:v>0</x:v>
      </x:c>
      <x:c r="M182" s="33" t="n">
        <x:f>SUM(E182:L182)/8</x:f>
        <x:v>0.875</x:v>
      </x:c>
      <x:c r="N182" s="21" t="n">
        <x:f>SUM(I182:L182)</x:f>
        <x:v>3</x:v>
      </x:c>
      <x:c r="O182" s="21" t="str">
        <x:f>I182&amp;"-"&amp;J182&amp;"-"&amp;K182&amp;"-"&amp;L182</x:f>
        <x:v>1-1-1-0</x:v>
      </x:c>
    </x:row>
    <x:row r="183" ht="15" hidden="0" customHeight="1">
      <x:c r="A183" s="21" t="n">
        <x:v>30</x:v>
      </x:c>
      <x:c r="B183" s="21" t="str">
        <x:v>S037</x:v>
      </x:c>
      <x:c r="C183" s="21" t="str">
        <x:v>Wolterink et al. (2021)</x:v>
      </x:c>
      <x:c r="D183" s="21" t="str">
        <x:v>Permissive</x:v>
      </x:c>
      <x:c r="E183" s="21" t="n">
        <x:v>0</x:v>
      </x:c>
      <x:c r="F183" s="21" t="n">
        <x:v>1</x:v>
      </x:c>
      <x:c r="G183" s="21" t="n">
        <x:v>1</x:v>
      </x:c>
      <x:c r="H183" s="21" t="n">
        <x:v>1</x:v>
      </x:c>
      <x:c r="I183" s="21" t="n">
        <x:v>1</x:v>
      </x:c>
      <x:c r="J183" s="21" t="n">
        <x:v>0</x:v>
      </x:c>
      <x:c r="K183" s="21" t="n">
        <x:v>0</x:v>
      </x:c>
      <x:c r="L183" s="21" t="n">
        <x:v>0</x:v>
      </x:c>
      <x:c r="M183" s="33" t="n">
        <x:f>SUM(E183:L183)/8</x:f>
        <x:v>0.5</x:v>
      </x:c>
      <x:c r="N183" s="21" t="n">
        <x:f>SUM(I183:L183)</x:f>
        <x:v>1</x:v>
      </x:c>
      <x:c r="O183" s="21" t="str">
        <x:f>I183&amp;"-"&amp;J183&amp;"-"&amp;K183&amp;"-"&amp;L183</x:f>
        <x:v>1-0-0-0</x:v>
      </x:c>
    </x:row>
    <x:row r="184" ht="15" hidden="0" customHeight="1">
      <x:c r="A184" s="21" t="n">
        <x:v>31</x:v>
      </x:c>
      <x:c r="B184" s="21" t="str">
        <x:v>S038</x:v>
      </x:c>
      <x:c r="C184" s="21" t="str">
        <x:v>Christ et al. (2018)</x:v>
      </x:c>
      <x:c r="D184" s="21" t="str">
        <x:v>Permissive</x:v>
      </x:c>
      <x:c r="E184" s="21" t="n">
        <x:v>1</x:v>
      </x:c>
      <x:c r="F184" s="21" t="n">
        <x:v>1</x:v>
      </x:c>
      <x:c r="G184" s="21" t="n">
        <x:v>1</x:v>
      </x:c>
      <x:c r="H184" s="21" t="n">
        <x:v>1</x:v>
      </x:c>
      <x:c r="I184" s="21" t="n">
        <x:v>1</x:v>
      </x:c>
      <x:c r="J184" s="21" t="n">
        <x:v>0</x:v>
      </x:c>
      <x:c r="K184" s="21" t="n">
        <x:v>1</x:v>
      </x:c>
      <x:c r="L184" s="21" t="n">
        <x:v>0</x:v>
      </x:c>
      <x:c r="M184" s="33" t="n">
        <x:f>SUM(E184:L184)/8</x:f>
        <x:v>0.75</x:v>
      </x:c>
      <x:c r="N184" s="21" t="n">
        <x:f>SUM(I184:L184)</x:f>
        <x:v>2</x:v>
      </x:c>
      <x:c r="O184" s="21" t="str">
        <x:f>I184&amp;"-"&amp;J184&amp;"-"&amp;K184&amp;"-"&amp;L184</x:f>
        <x:v>1-0-1-0</x:v>
      </x:c>
    </x:row>
    <x:row r="185" ht="15" hidden="0" customHeight="1">
      <x:c r="A185" s="21" t="n">
        <x:v>32</x:v>
      </x:c>
      <x:c r="B185" s="21" t="str">
        <x:v>S039</x:v>
      </x:c>
      <x:c r="C185" s="21" t="str">
        <x:v>Shin et al. (2022)</x:v>
      </x:c>
      <x:c r="D185" s="21" t="str">
        <x:v>Permissive</x:v>
      </x:c>
      <x:c r="E185" s="21" t="n">
        <x:v>1</x:v>
      </x:c>
      <x:c r="F185" s="21" t="n">
        <x:v>1</x:v>
      </x:c>
      <x:c r="G185" s="21" t="n">
        <x:v>1</x:v>
      </x:c>
      <x:c r="H185" s="21" t="n">
        <x:v>1</x:v>
      </x:c>
      <x:c r="I185" s="21" t="n">
        <x:v>1</x:v>
      </x:c>
      <x:c r="J185" s="21" t="n">
        <x:v>0</x:v>
      </x:c>
      <x:c r="K185" s="21" t="n">
        <x:v>0</x:v>
      </x:c>
      <x:c r="L185" s="21" t="n">
        <x:v>1</x:v>
      </x:c>
      <x:c r="M185" s="33" t="n">
        <x:f>SUM(E185:L185)/8</x:f>
        <x:v>0.75</x:v>
      </x:c>
      <x:c r="N185" s="21" t="n">
        <x:f>SUM(I185:L185)</x:f>
        <x:v>2</x:v>
      </x:c>
      <x:c r="O185" s="21" t="str">
        <x:f>I185&amp;"-"&amp;J185&amp;"-"&amp;K185&amp;"-"&amp;L185</x:f>
        <x:v>1-0-0-1</x:v>
      </x:c>
    </x:row>
    <x:row r="186" ht="15" hidden="0" customHeight="1">
      <x:c r="A186" s="21" t="n">
        <x:v>33</x:v>
      </x:c>
      <x:c r="B186" s="21" t="str">
        <x:v>S043</x:v>
      </x:c>
      <x:c r="C186" s="21" t="str">
        <x:v>Carvalho et al. (2025)</x:v>
      </x:c>
      <x:c r="D186" s="21" t="str">
        <x:v>Permissive</x:v>
      </x:c>
      <x:c r="E186" s="21" t="n">
        <x:v>1</x:v>
      </x:c>
      <x:c r="F186" s="21" t="n">
        <x:v>1</x:v>
      </x:c>
      <x:c r="G186" s="21" t="n">
        <x:v>1</x:v>
      </x:c>
      <x:c r="H186" s="21" t="n">
        <x:v>1</x:v>
      </x:c>
      <x:c r="I186" s="21" t="n">
        <x:v>0</x:v>
      </x:c>
      <x:c r="J186" s="21" t="n">
        <x:v>0</x:v>
      </x:c>
      <x:c r="K186" s="21" t="n">
        <x:v>0</x:v>
      </x:c>
      <x:c r="L186" s="21" t="n">
        <x:v>0</x:v>
      </x:c>
      <x:c r="M186" s="33" t="n">
        <x:f>SUM(E186:L186)/8</x:f>
        <x:v>0.5</x:v>
      </x:c>
      <x:c r="N186" s="21" t="n">
        <x:f>SUM(I186:L186)</x:f>
        <x:v>0</x:v>
      </x:c>
      <x:c r="O186" s="21" t="str">
        <x:f>I186&amp;"-"&amp;J186&amp;"-"&amp;K186&amp;"-"&amp;L186</x:f>
        <x:v>0-0-0-0</x:v>
      </x:c>
    </x:row>
    <x:row r="187" ht="15" hidden="0" customHeight="1">
      <x:c r="A187" s="21" t="n">
        <x:v>34</x:v>
      </x:c>
      <x:c r="B187" s="21" t="str">
        <x:v>S044</x:v>
      </x:c>
      <x:c r="C187" s="21" t="str">
        <x:v>Li et al. (2021)</x:v>
      </x:c>
      <x:c r="D187" s="21" t="str">
        <x:v>Permissive</x:v>
      </x:c>
      <x:c r="E187" s="21" t="n">
        <x:v>1</x:v>
      </x:c>
      <x:c r="F187" s="21" t="n">
        <x:v>1</x:v>
      </x:c>
      <x:c r="G187" s="21" t="n">
        <x:v>1</x:v>
      </x:c>
      <x:c r="H187" s="21" t="n">
        <x:v>1</x:v>
      </x:c>
      <x:c r="I187" s="21" t="n">
        <x:v>1</x:v>
      </x:c>
      <x:c r="J187" s="21" t="n">
        <x:v>0</x:v>
      </x:c>
      <x:c r="K187" s="21" t="n">
        <x:v>0</x:v>
      </x:c>
      <x:c r="L187" s="21" t="n">
        <x:v>0</x:v>
      </x:c>
      <x:c r="M187" s="33" t="n">
        <x:f>SUM(E187:L187)/8</x:f>
        <x:v>0.625</x:v>
      </x:c>
      <x:c r="N187" s="21" t="n">
        <x:f>SUM(I187:L187)</x:f>
        <x:v>1</x:v>
      </x:c>
      <x:c r="O187" s="21" t="str">
        <x:f>I187&amp;"-"&amp;J187&amp;"-"&amp;K187&amp;"-"&amp;L187</x:f>
        <x:v>1-0-0-0</x:v>
      </x:c>
    </x:row>
    <x:row r="188" ht="15" hidden="0" customHeight="1">
      <x:c r="A188" s="21" t="n">
        <x:v>35</x:v>
      </x:c>
      <x:c r="B188" s="21" t="str">
        <x:v>S046</x:v>
      </x:c>
      <x:c r="C188" s="21" t="str">
        <x:v>Zhou et al. (2024)</x:v>
      </x:c>
      <x:c r="D188" s="21" t="str">
        <x:v>Permissive</x:v>
      </x:c>
      <x:c r="E188" s="21" t="n">
        <x:v>0</x:v>
      </x:c>
      <x:c r="F188" s="21" t="n">
        <x:v>1</x:v>
      </x:c>
      <x:c r="G188" s="21" t="n">
        <x:v>1</x:v>
      </x:c>
      <x:c r="H188" s="21" t="n">
        <x:v>1</x:v>
      </x:c>
      <x:c r="I188" s="21" t="n">
        <x:v>0</x:v>
      </x:c>
      <x:c r="J188" s="21" t="n">
        <x:v>0</x:v>
      </x:c>
      <x:c r="K188" s="21" t="n">
        <x:v>0</x:v>
      </x:c>
      <x:c r="L188" s="21" t="n">
        <x:v>0</x:v>
      </x:c>
      <x:c r="M188" s="33" t="n">
        <x:f>SUM(E188:L188)/8</x:f>
        <x:v>0.375</x:v>
      </x:c>
      <x:c r="N188" s="21" t="n">
        <x:f>SUM(I188:L188)</x:f>
        <x:v>0</x:v>
      </x:c>
      <x:c r="O188" s="21" t="str">
        <x:f>I188&amp;"-"&amp;J188&amp;"-"&amp;K188&amp;"-"&amp;L188</x:f>
        <x:v>0-0-0-0</x:v>
      </x:c>
    </x:row>
    <x:row r="189" ht="15" hidden="0" customHeight="1">
      <x:c r="A189" s="21" t="n">
        <x:v>36</x:v>
      </x:c>
      <x:c r="B189" s="21" t="str">
        <x:v>S047</x:v>
      </x:c>
      <x:c r="C189" s="21" t="str">
        <x:v>Shin et al. (2025)</x:v>
      </x:c>
      <x:c r="D189" s="21" t="str">
        <x:v>Permissive</x:v>
      </x:c>
      <x:c r="E189" s="21" t="n">
        <x:v>0</x:v>
      </x:c>
      <x:c r="F189" s="21" t="n">
        <x:v>1</x:v>
      </x:c>
      <x:c r="G189" s="21" t="n">
        <x:v>1</x:v>
      </x:c>
      <x:c r="H189" s="21" t="n">
        <x:v>1</x:v>
      </x:c>
      <x:c r="I189" s="21" t="n">
        <x:v>0</x:v>
      </x:c>
      <x:c r="J189" s="21" t="n">
        <x:v>0</x:v>
      </x:c>
      <x:c r="K189" s="21" t="n">
        <x:v>1</x:v>
      </x:c>
      <x:c r="L189" s="21" t="n">
        <x:v>0</x:v>
      </x:c>
      <x:c r="M189" s="33" t="n">
        <x:f>SUM(E189:L189)/8</x:f>
        <x:v>0.5</x:v>
      </x:c>
      <x:c r="N189" s="21" t="n">
        <x:f>SUM(I189:L189)</x:f>
        <x:v>1</x:v>
      </x:c>
      <x:c r="O189" s="21" t="str">
        <x:f>I189&amp;"-"&amp;J189&amp;"-"&amp;K189&amp;"-"&amp;L189</x:f>
        <x:v>0-0-1-0</x:v>
      </x:c>
    </x:row>
    <x:row r="190" ht="15" hidden="0" customHeight="1">
      <x:c r="A190" s="21" t="n">
        <x:v>37</x:v>
      </x:c>
      <x:c r="B190" s="21" t="str">
        <x:v>S048</x:v>
      </x:c>
      <x:c r="C190" s="21" t="str">
        <x:v>Gunasekaran et al. (2022)</x:v>
      </x:c>
      <x:c r="D190" s="21" t="str">
        <x:v>Permissive</x:v>
      </x:c>
      <x:c r="E190" s="21" t="n">
        <x:v>1</x:v>
      </x:c>
      <x:c r="F190" s="21" t="n">
        <x:v>1</x:v>
      </x:c>
      <x:c r="G190" s="21" t="n">
        <x:v>1</x:v>
      </x:c>
      <x:c r="H190" s="21" t="n">
        <x:v>1</x:v>
      </x:c>
      <x:c r="I190" s="21" t="n">
        <x:v>1</x:v>
      </x:c>
      <x:c r="J190" s="21" t="n">
        <x:v>1</x:v>
      </x:c>
      <x:c r="K190" s="21" t="n">
        <x:v>1</x:v>
      </x:c>
      <x:c r="L190" s="21" t="n">
        <x:v>0</x:v>
      </x:c>
      <x:c r="M190" s="33" t="n">
        <x:f>SUM(E190:L190)/8</x:f>
        <x:v>0.875</x:v>
      </x:c>
      <x:c r="N190" s="21" t="n">
        <x:f>SUM(I190:L190)</x:f>
        <x:v>3</x:v>
      </x:c>
      <x:c r="O190" s="21" t="str">
        <x:f>I190&amp;"-"&amp;J190&amp;"-"&amp;K190&amp;"-"&amp;L190</x:f>
        <x:v>1-1-1-0</x:v>
      </x:c>
    </x:row>
    <x:row r="191" ht="15" hidden="0" customHeight="1">
      <x:c r="A191" s="21" t="n">
        <x:v>38</x:v>
      </x:c>
      <x:c r="B191" s="21" t="str">
        <x:v>S050</x:v>
      </x:c>
      <x:c r="C191" s="21" t="str">
        <x:v>Leal-Junior et al. (2018)</x:v>
      </x:c>
      <x:c r="D191" s="21" t="str">
        <x:v>Permissive</x:v>
      </x:c>
      <x:c r="E191" s="21" t="n">
        <x:v>0</x:v>
      </x:c>
      <x:c r="F191" s="21" t="n">
        <x:v>1</x:v>
      </x:c>
      <x:c r="G191" s="21" t="n">
        <x:v>1</x:v>
      </x:c>
      <x:c r="H191" s="21" t="n">
        <x:v>1</x:v>
      </x:c>
      <x:c r="I191" s="21" t="n">
        <x:v>1</x:v>
      </x:c>
      <x:c r="J191" s="21" t="n">
        <x:v>1</x:v>
      </x:c>
      <x:c r="K191" s="21" t="n">
        <x:v>0</x:v>
      </x:c>
      <x:c r="L191" s="21" t="n">
        <x:v>0</x:v>
      </x:c>
      <x:c r="M191" s="33" t="n">
        <x:f>SUM(E191:L191)/8</x:f>
        <x:v>0.625</x:v>
      </x:c>
      <x:c r="N191" s="21" t="n">
        <x:f>SUM(I191:L191)</x:f>
        <x:v>2</x:v>
      </x:c>
      <x:c r="O191" s="21" t="str">
        <x:f>I191&amp;"-"&amp;J191&amp;"-"&amp;K191&amp;"-"&amp;L191</x:f>
        <x:v>1-1-0-0</x:v>
      </x:c>
    </x:row>
    <x:row r="192" ht="15" hidden="0" customHeight="1">
      <x:c r="A192" s="21" t="n">
        <x:v>39</x:v>
      </x:c>
      <x:c r="B192" s="21" t="str">
        <x:v>S051</x:v>
      </x:c>
      <x:c r="C192" s="21" t="str">
        <x:v>Ota et al. (2017)</x:v>
      </x:c>
      <x:c r="D192" s="21" t="str">
        <x:v>Permissive</x:v>
      </x:c>
      <x:c r="E192" s="21" t="n">
        <x:v>1</x:v>
      </x:c>
      <x:c r="F192" s="21" t="n">
        <x:v>1</x:v>
      </x:c>
      <x:c r="G192" s="21" t="n">
        <x:v>1</x:v>
      </x:c>
      <x:c r="H192" s="21" t="n">
        <x:v>1</x:v>
      </x:c>
      <x:c r="I192" s="21" t="n">
        <x:v>0</x:v>
      </x:c>
      <x:c r="J192" s="21" t="n">
        <x:v>1</x:v>
      </x:c>
      <x:c r="K192" s="21" t="n">
        <x:v>0</x:v>
      </x:c>
      <x:c r="L192" s="21" t="n">
        <x:v>0</x:v>
      </x:c>
      <x:c r="M192" s="33" t="n">
        <x:f>SUM(E192:L192)/8</x:f>
        <x:v>0.625</x:v>
      </x:c>
      <x:c r="N192" s="21" t="n">
        <x:f>SUM(I192:L192)</x:f>
        <x:v>1</x:v>
      </x:c>
      <x:c r="O192" s="21" t="str">
        <x:f>I192&amp;"-"&amp;J192&amp;"-"&amp;K192&amp;"-"&amp;L192</x:f>
        <x:v>0-1-0-0</x:v>
      </x:c>
    </x:row>
    <x:row r="193" ht="15" hidden="0" customHeight="1">
      <x:c r="A193" s="21" t="n">
        <x:v>40</x:v>
      </x:c>
      <x:c r="B193" s="21" t="str">
        <x:v>S052</x:v>
      </x:c>
      <x:c r="C193" s="21" t="str">
        <x:v>Li et al. (2026)</x:v>
      </x:c>
      <x:c r="D193" s="21" t="str">
        <x:v>Permissive</x:v>
      </x:c>
      <x:c r="E193" s="21" t="n">
        <x:v>0</x:v>
      </x:c>
      <x:c r="F193" s="21" t="n">
        <x:v>1</x:v>
      </x:c>
      <x:c r="G193" s="21" t="n">
        <x:v>1</x:v>
      </x:c>
      <x:c r="H193" s="21" t="n">
        <x:v>1</x:v>
      </x:c>
      <x:c r="I193" s="21" t="n">
        <x:v>1</x:v>
      </x:c>
      <x:c r="J193" s="21" t="n">
        <x:v>1</x:v>
      </x:c>
      <x:c r="K193" s="21" t="n">
        <x:v>1</x:v>
      </x:c>
      <x:c r="L193" s="21" t="n">
        <x:v>1</x:v>
      </x:c>
      <x:c r="M193" s="33" t="n">
        <x:f>SUM(E193:L193)/8</x:f>
        <x:v>0.875</x:v>
      </x:c>
      <x:c r="N193" s="21" t="n">
        <x:f>SUM(I193:L193)</x:f>
        <x:v>4</x:v>
      </x:c>
      <x:c r="O193" s="21" t="str">
        <x:f>I193&amp;"-"&amp;J193&amp;"-"&amp;K193&amp;"-"&amp;L193</x:f>
        <x:v>1-1-1-1</x:v>
      </x:c>
    </x:row>
    <x:row r="194" ht="15" hidden="0" customHeight="1">
      <x:c r="A194" s="21" t="n">
        <x:v>41</x:v>
      </x:c>
      <x:c r="B194" s="21" t="str">
        <x:v>S053</x:v>
      </x:c>
      <x:c r="C194" s="21" t="str">
        <x:v>Li et al. (2023)</x:v>
      </x:c>
      <x:c r="D194" s="21" t="str">
        <x:v>Permissive</x:v>
      </x:c>
      <x:c r="E194" s="21" t="n">
        <x:v>0</x:v>
      </x:c>
      <x:c r="F194" s="21" t="n">
        <x:v>1</x:v>
      </x:c>
      <x:c r="G194" s="21" t="n">
        <x:v>1</x:v>
      </x:c>
      <x:c r="H194" s="21" t="n">
        <x:v>1</x:v>
      </x:c>
      <x:c r="I194" s="21" t="n">
        <x:v>1</x:v>
      </x:c>
      <x:c r="J194" s="21" t="n">
        <x:v>0</x:v>
      </x:c>
      <x:c r="K194" s="21" t="n">
        <x:v>0</x:v>
      </x:c>
      <x:c r="L194" s="21" t="n">
        <x:v>0</x:v>
      </x:c>
      <x:c r="M194" s="33" t="n">
        <x:f>SUM(E194:L194)/8</x:f>
        <x:v>0.5</x:v>
      </x:c>
      <x:c r="N194" s="21" t="n">
        <x:f>SUM(I194:L194)</x:f>
        <x:v>1</x:v>
      </x:c>
      <x:c r="O194" s="21" t="str">
        <x:f>I194&amp;"-"&amp;J194&amp;"-"&amp;K194&amp;"-"&amp;L194</x:f>
        <x:v>1-0-0-0</x:v>
      </x:c>
    </x:row>
    <x:row r="195" ht="15" hidden="0" customHeight="1">
      <x:c r="A195" s="21" t="n">
        <x:v>42</x:v>
      </x:c>
      <x:c r="B195" s="21" t="str">
        <x:v>S054</x:v>
      </x:c>
      <x:c r="C195" s="21" t="str">
        <x:v>Chatzistergos et al. (2021)</x:v>
      </x:c>
      <x:c r="D195" s="21" t="str">
        <x:v>Permissive</x:v>
      </x:c>
      <x:c r="E195" s="21" t="n">
        <x:v>0</x:v>
      </x:c>
      <x:c r="F195" s="21" t="n">
        <x:v>1</x:v>
      </x:c>
      <x:c r="G195" s="21" t="n">
        <x:v>1</x:v>
      </x:c>
      <x:c r="H195" s="21" t="n">
        <x:v>1</x:v>
      </x:c>
      <x:c r="I195" s="21" t="n">
        <x:v>1</x:v>
      </x:c>
      <x:c r="J195" s="21" t="n">
        <x:v>0</x:v>
      </x:c>
      <x:c r="K195" s="21" t="n">
        <x:v>0</x:v>
      </x:c>
      <x:c r="L195" s="21" t="n">
        <x:v>1</x:v>
      </x:c>
      <x:c r="M195" s="33" t="n">
        <x:f>SUM(E195:L195)/8</x:f>
        <x:v>0.625</x:v>
      </x:c>
      <x:c r="N195" s="21" t="n">
        <x:f>SUM(I195:L195)</x:f>
        <x:v>2</x:v>
      </x:c>
      <x:c r="O195" s="21" t="str">
        <x:f>I195&amp;"-"&amp;J195&amp;"-"&amp;K195&amp;"-"&amp;L195</x:f>
        <x:v>1-0-0-1</x:v>
      </x:c>
    </x:row>
    <x:row r="196" ht="15" hidden="0" customHeight="1">
      <x:c r="A196" s="21" t="n">
        <x:v>43</x:v>
      </x:c>
      <x:c r="B196" s="21" t="str">
        <x:v>S055</x:v>
      </x:c>
      <x:c r="C196" s="21" t="str">
        <x:v>Ben Harrath et al. (2026)</x:v>
      </x:c>
      <x:c r="D196" s="21" t="str">
        <x:v>Permissive</x:v>
      </x:c>
      <x:c r="E196" s="21" t="n">
        <x:v>1</x:v>
      </x:c>
      <x:c r="F196" s="21" t="n">
        <x:v>1</x:v>
      </x:c>
      <x:c r="G196" s="21" t="n">
        <x:v>1</x:v>
      </x:c>
      <x:c r="H196" s="21" t="n">
        <x:v>1</x:v>
      </x:c>
      <x:c r="I196" s="21" t="n">
        <x:v>1</x:v>
      </x:c>
      <x:c r="J196" s="21" t="n">
        <x:v>0</x:v>
      </x:c>
      <x:c r="K196" s="21" t="n">
        <x:v>0</x:v>
      </x:c>
      <x:c r="L196" s="21" t="n">
        <x:v>0</x:v>
      </x:c>
      <x:c r="M196" s="33" t="n">
        <x:f>SUM(E196:L196)/8</x:f>
        <x:v>0.625</x:v>
      </x:c>
      <x:c r="N196" s="21" t="n">
        <x:f>SUM(I196:L196)</x:f>
        <x:v>1</x:v>
      </x:c>
      <x:c r="O196" s="21" t="str">
        <x:f>I196&amp;"-"&amp;J196&amp;"-"&amp;K196&amp;"-"&amp;L196</x:f>
        <x:v>1-0-0-0</x:v>
      </x:c>
    </x:row>
    <x:row r="197" ht="15" hidden="0" customHeight="1">
      <x:c r="A197" s="21" t="n">
        <x:v>44</x:v>
      </x:c>
      <x:c r="B197" s="21" t="str">
        <x:v>S056</x:v>
      </x:c>
      <x:c r="C197" s="21" t="str">
        <x:v>Wei et al. (2026)</x:v>
      </x:c>
      <x:c r="D197" s="21" t="str">
        <x:v>Permissive</x:v>
      </x:c>
      <x:c r="E197" s="21" t="n">
        <x:v>1</x:v>
      </x:c>
      <x:c r="F197" s="21" t="n">
        <x:v>1</x:v>
      </x:c>
      <x:c r="G197" s="21" t="n">
        <x:v>1</x:v>
      </x:c>
      <x:c r="H197" s="21" t="n">
        <x:v>1</x:v>
      </x:c>
      <x:c r="I197" s="21" t="n">
        <x:v>1</x:v>
      </x:c>
      <x:c r="J197" s="21" t="n">
        <x:v>1</x:v>
      </x:c>
      <x:c r="K197" s="21" t="n">
        <x:v>0</x:v>
      </x:c>
      <x:c r="L197" s="21" t="n">
        <x:v>0</x:v>
      </x:c>
      <x:c r="M197" s="33" t="n">
        <x:f>SUM(E197:L197)/8</x:f>
        <x:v>0.75</x:v>
      </x:c>
      <x:c r="N197" s="21" t="n">
        <x:f>SUM(I197:L197)</x:f>
        <x:v>2</x:v>
      </x:c>
      <x:c r="O197" s="21" t="str">
        <x:f>I197&amp;"-"&amp;J197&amp;"-"&amp;K197&amp;"-"&amp;L197</x:f>
        <x:v>1-1-0-0</x:v>
      </x:c>
    </x:row>
    <x:row r="198" ht="15" hidden="0" customHeight="1">
      <x:c r="A198" s="21" t="n">
        <x:v>45</x:v>
      </x:c>
      <x:c r="B198" s="21" t="str">
        <x:v>S057</x:v>
      </x:c>
      <x:c r="C198" s="21" t="str">
        <x:v>Wei et al. (2026)</x:v>
      </x:c>
      <x:c r="D198" s="21" t="str">
        <x:v>Permissive</x:v>
      </x:c>
      <x:c r="E198" s="21" t="n">
        <x:v>1</x:v>
      </x:c>
      <x:c r="F198" s="21" t="n">
        <x:v>1</x:v>
      </x:c>
      <x:c r="G198" s="21" t="n">
        <x:v>1</x:v>
      </x:c>
      <x:c r="H198" s="21" t="n">
        <x:v>1</x:v>
      </x:c>
      <x:c r="I198" s="21" t="n">
        <x:v>1</x:v>
      </x:c>
      <x:c r="J198" s="21" t="n">
        <x:v>0</x:v>
      </x:c>
      <x:c r="K198" s="21" t="n">
        <x:v>0</x:v>
      </x:c>
      <x:c r="L198" s="21" t="n">
        <x:v>0</x:v>
      </x:c>
      <x:c r="M198" s="33" t="n">
        <x:f>SUM(E198:L198)/8</x:f>
        <x:v>0.625</x:v>
      </x:c>
      <x:c r="N198" s="21" t="n">
        <x:f>SUM(I198:L198)</x:f>
        <x:v>1</x:v>
      </x:c>
      <x:c r="O198" s="21" t="str">
        <x:f>I198&amp;"-"&amp;J198&amp;"-"&amp;K198&amp;"-"&amp;L198</x:f>
        <x:v>1-0-0-0</x:v>
      </x:c>
    </x:row>
    <x:row r="199" ht="15" hidden="0" customHeight="1">
      <x:c r="A199" s="21" t="n">
        <x:v>46</x:v>
      </x:c>
      <x:c r="B199" s="21" t="str">
        <x:v>S058</x:v>
      </x:c>
      <x:c r="C199" s="21" t="str">
        <x:v>Yang et al. (2026)</x:v>
      </x:c>
      <x:c r="D199" s="21" t="str">
        <x:v>Permissive</x:v>
      </x:c>
      <x:c r="E199" s="21" t="n">
        <x:v>1</x:v>
      </x:c>
      <x:c r="F199" s="21" t="n">
        <x:v>1</x:v>
      </x:c>
      <x:c r="G199" s="21" t="n">
        <x:v>1</x:v>
      </x:c>
      <x:c r="H199" s="21" t="n">
        <x:v>1</x:v>
      </x:c>
      <x:c r="I199" s="21" t="n">
        <x:v>1</x:v>
      </x:c>
      <x:c r="J199" s="21" t="n">
        <x:v>1</x:v>
      </x:c>
      <x:c r="K199" s="21" t="n">
        <x:v>1</x:v>
      </x:c>
      <x:c r="L199" s="21" t="n">
        <x:v>1</x:v>
      </x:c>
      <x:c r="M199" s="33" t="n">
        <x:f>SUM(E199:L199)/8</x:f>
        <x:v>1</x:v>
      </x:c>
      <x:c r="N199" s="21" t="n">
        <x:f>SUM(I199:L199)</x:f>
        <x:v>4</x:v>
      </x:c>
      <x:c r="O199" s="21" t="str">
        <x:f>I199&amp;"-"&amp;J199&amp;"-"&amp;K199&amp;"-"&amp;L199</x:f>
        <x:v>1-1-1-1</x:v>
      </x:c>
    </x:row>
    <x:row r="200" ht="15" hidden="0" customHeight="1">
      <x:c r="A200" s="21" t="n">
        <x:v>47</x:v>
      </x:c>
      <x:c r="B200" s="21" t="str">
        <x:v>S059</x:v>
      </x:c>
      <x:c r="C200" s="21" t="str">
        <x:v>Saroli et al. (2026)</x:v>
      </x:c>
      <x:c r="D200" s="21" t="str">
        <x:v>Permissive</x:v>
      </x:c>
      <x:c r="E200" s="21" t="n">
        <x:v>1</x:v>
      </x:c>
      <x:c r="F200" s="21" t="n">
        <x:v>1</x:v>
      </x:c>
      <x:c r="G200" s="21" t="n">
        <x:v>1</x:v>
      </x:c>
      <x:c r="H200" s="21" t="n">
        <x:v>1</x:v>
      </x:c>
      <x:c r="I200" s="21" t="n">
        <x:v>1</x:v>
      </x:c>
      <x:c r="J200" s="21" t="n">
        <x:v>1</x:v>
      </x:c>
      <x:c r="K200" s="21" t="n">
        <x:v>1</x:v>
      </x:c>
      <x:c r="L200" s="21" t="n">
        <x:v>0</x:v>
      </x:c>
      <x:c r="M200" s="33" t="n">
        <x:f>SUM(E200:L200)/8</x:f>
        <x:v>0.875</x:v>
      </x:c>
      <x:c r="N200" s="21" t="n">
        <x:f>SUM(I200:L200)</x:f>
        <x:v>3</x:v>
      </x:c>
      <x:c r="O200" s="21" t="str">
        <x:f>I200&amp;"-"&amp;J200&amp;"-"&amp;K200&amp;"-"&amp;L200</x:f>
        <x:v>1-1-1-0</x:v>
      </x:c>
    </x:row>
    <x:row r="201" ht="15" hidden="0" customHeight="1">
      <x:c r="A201" s="21" t="n">
        <x:v>48</x:v>
      </x:c>
      <x:c r="B201" s="21" t="str">
        <x:v>S060</x:v>
      </x:c>
      <x:c r="C201" s="21" t="str">
        <x:v>Porfyrakis et al. (2026)</x:v>
      </x:c>
      <x:c r="D201" s="21" t="str">
        <x:v>Permissive</x:v>
      </x:c>
      <x:c r="E201" s="21" t="n">
        <x:v>1</x:v>
      </x:c>
      <x:c r="F201" s="21" t="n">
        <x:v>1</x:v>
      </x:c>
      <x:c r="G201" s="21" t="n">
        <x:v>1</x:v>
      </x:c>
      <x:c r="H201" s="21" t="n">
        <x:v>1</x:v>
      </x:c>
      <x:c r="I201" s="21" t="n">
        <x:v>1</x:v>
      </x:c>
      <x:c r="J201" s="21" t="n">
        <x:v>0</x:v>
      </x:c>
      <x:c r="K201" s="21" t="n">
        <x:v>0</x:v>
      </x:c>
      <x:c r="L201" s="21" t="n">
        <x:v>0</x:v>
      </x:c>
      <x:c r="M201" s="33" t="n">
        <x:f>SUM(E201:L201)/8</x:f>
        <x:v>0.625</x:v>
      </x:c>
      <x:c r="N201" s="21" t="n">
        <x:f>SUM(I201:L201)</x:f>
        <x:v>1</x:v>
      </x:c>
      <x:c r="O201" s="21" t="str">
        <x:f>I201&amp;"-"&amp;J201&amp;"-"&amp;K201&amp;"-"&amp;L201</x:f>
        <x:v>1-0-0-0</x:v>
      </x:c>
    </x:row>
    <x:row r="202" ht="15" hidden="0" customHeight="1">
      <x:c r="A202" s="21" t="n">
        <x:v>49</x:v>
      </x:c>
      <x:c r="B202" s="21" t="str">
        <x:v>S061</x:v>
      </x:c>
      <x:c r="C202" s="21" t="str">
        <x:v>Kumar et al. (2026)</x:v>
      </x:c>
      <x:c r="D202" s="21" t="str">
        <x:v>Permissive</x:v>
      </x:c>
      <x:c r="E202" s="21" t="n">
        <x:v>0</x:v>
      </x:c>
      <x:c r="F202" s="21" t="n">
        <x:v>1</x:v>
      </x:c>
      <x:c r="G202" s="21" t="n">
        <x:v>1</x:v>
      </x:c>
      <x:c r="H202" s="21" t="n">
        <x:v>1</x:v>
      </x:c>
      <x:c r="I202" s="21" t="n">
        <x:v>0</x:v>
      </x:c>
      <x:c r="J202" s="21" t="n">
        <x:v>1</x:v>
      </x:c>
      <x:c r="K202" s="21" t="n">
        <x:v>0</x:v>
      </x:c>
      <x:c r="L202" s="21" t="n">
        <x:v>0</x:v>
      </x:c>
      <x:c r="M202" s="33" t="n">
        <x:f>SUM(E202:L202)/8</x:f>
        <x:v>0.5</x:v>
      </x:c>
      <x:c r="N202" s="21" t="n">
        <x:f>SUM(I202:L202)</x:f>
        <x:v>1</x:v>
      </x:c>
      <x:c r="O202" s="21" t="str">
        <x:f>I202&amp;"-"&amp;J202&amp;"-"&amp;K202&amp;"-"&amp;L202</x:f>
        <x:v>0-1-0-0</x:v>
      </x:c>
    </x:row>
    <x:row r="203" ht="15" hidden="0" customHeight="1">
      <x:c r="A203" s="21" t="n">
        <x:v>50</x:v>
      </x:c>
      <x:c r="B203" s="21" t="str">
        <x:v>S063</x:v>
      </x:c>
      <x:c r="C203" s="21" t="str">
        <x:v>Wu et al. (2026)</x:v>
      </x:c>
      <x:c r="D203" s="21" t="str">
        <x:v>Permissive</x:v>
      </x:c>
      <x:c r="E203" s="21" t="n">
        <x:v>1</x:v>
      </x:c>
      <x:c r="F203" s="21" t="n">
        <x:v>1</x:v>
      </x:c>
      <x:c r="G203" s="21" t="n">
        <x:v>1</x:v>
      </x:c>
      <x:c r="H203" s="21" t="n">
        <x:v>1</x:v>
      </x:c>
      <x:c r="I203" s="21" t="n">
        <x:v>1</x:v>
      </x:c>
      <x:c r="J203" s="21" t="n">
        <x:v>0</x:v>
      </x:c>
      <x:c r="K203" s="21" t="n">
        <x:v>0</x:v>
      </x:c>
      <x:c r="L203" s="21" t="n">
        <x:v>0</x:v>
      </x:c>
      <x:c r="M203" s="33" t="n">
        <x:f>SUM(E203:L203)/8</x:f>
        <x:v>0.625</x:v>
      </x:c>
      <x:c r="N203" s="21" t="n">
        <x:f>SUM(I203:L203)</x:f>
        <x:v>1</x:v>
      </x:c>
      <x:c r="O203" s="21" t="str">
        <x:f>I203&amp;"-"&amp;J203&amp;"-"&amp;K203&amp;"-"&amp;L203</x:f>
        <x:v>1-0-0-0</x:v>
      </x:c>
    </x:row>
    <x:row r="204" ht="15" hidden="0" customHeight="1">
      <x:c r="A204" s="21" t="n">
        <x:v>51</x:v>
      </x:c>
      <x:c r="B204" s="21" t="str">
        <x:v>S064</x:v>
      </x:c>
      <x:c r="C204" s="21" t="str">
        <x:v>Tao et al. (2026)</x:v>
      </x:c>
      <x:c r="D204" s="21" t="str">
        <x:v>Permissive</x:v>
      </x:c>
      <x:c r="E204" s="21" t="n">
        <x:v>1</x:v>
      </x:c>
      <x:c r="F204" s="21" t="n">
        <x:v>1</x:v>
      </x:c>
      <x:c r="G204" s="21" t="n">
        <x:v>1</x:v>
      </x:c>
      <x:c r="H204" s="21" t="n">
        <x:v>1</x:v>
      </x:c>
      <x:c r="I204" s="21" t="n">
        <x:v>1</x:v>
      </x:c>
      <x:c r="J204" s="21" t="n">
        <x:v>0</x:v>
      </x:c>
      <x:c r="K204" s="21" t="n">
        <x:v>1</x:v>
      </x:c>
      <x:c r="L204" s="21" t="n">
        <x:v>0</x:v>
      </x:c>
      <x:c r="M204" s="33" t="n">
        <x:f>SUM(E204:L204)/8</x:f>
        <x:v>0.75</x:v>
      </x:c>
      <x:c r="N204" s="21" t="n">
        <x:f>SUM(I204:L204)</x:f>
        <x:v>2</x:v>
      </x:c>
      <x:c r="O204" s="21" t="str">
        <x:f>I204&amp;"-"&amp;J204&amp;"-"&amp;K204&amp;"-"&amp;L204</x:f>
        <x:v>1-0-1-0</x:v>
      </x:c>
    </x:row>
    <x:row r="205" ht="15" hidden="0" customHeight="1">
      <x:c r="A205" s="21" t="n">
        <x:v>52</x:v>
      </x:c>
      <x:c r="B205" s="21" t="str">
        <x:v>S065</x:v>
      </x:c>
      <x:c r="C205" s="21" t="str">
        <x:v>Han et al. (2026)</x:v>
      </x:c>
      <x:c r="D205" s="21" t="str">
        <x:v>Permissive</x:v>
      </x:c>
      <x:c r="E205" s="21" t="n">
        <x:v>0</x:v>
      </x:c>
      <x:c r="F205" s="21" t="n">
        <x:v>1</x:v>
      </x:c>
      <x:c r="G205" s="21" t="n">
        <x:v>1</x:v>
      </x:c>
      <x:c r="H205" s="21" t="n">
        <x:v>1</x:v>
      </x:c>
      <x:c r="I205" s="21" t="n">
        <x:v>1</x:v>
      </x:c>
      <x:c r="J205" s="21" t="n">
        <x:v>0</x:v>
      </x:c>
      <x:c r="K205" s="21" t="n">
        <x:v>1</x:v>
      </x:c>
      <x:c r="L205" s="21" t="n">
        <x:v>1</x:v>
      </x:c>
      <x:c r="M205" s="33" t="n">
        <x:f>SUM(E205:L205)/8</x:f>
        <x:v>0.75</x:v>
      </x:c>
      <x:c r="N205" s="21" t="n">
        <x:f>SUM(I205:L205)</x:f>
        <x:v>3</x:v>
      </x:c>
      <x:c r="O205" s="21" t="str">
        <x:f>I205&amp;"-"&amp;J205&amp;"-"&amp;K205&amp;"-"&amp;L205</x:f>
        <x:v>1-0-1-1</x:v>
      </x:c>
    </x:row>
    <x:row r="206" ht="15" hidden="0" customHeight="1">
      <x:c r="A206" s="21" t="n">
        <x:v>53</x:v>
      </x:c>
      <x:c r="B206" s="21" t="str">
        <x:v>S066</x:v>
      </x:c>
      <x:c r="C206" s="21" t="str">
        <x:v>Saroli et al. (2026)</x:v>
      </x:c>
      <x:c r="D206" s="21" t="str">
        <x:v>Permissive</x:v>
      </x:c>
      <x:c r="E206" s="21" t="n">
        <x:v>0</x:v>
      </x:c>
      <x:c r="F206" s="21" t="n">
        <x:v>1</x:v>
      </x:c>
      <x:c r="G206" s="21" t="n">
        <x:v>1</x:v>
      </x:c>
      <x:c r="H206" s="21" t="n">
        <x:v>1</x:v>
      </x:c>
      <x:c r="I206" s="21" t="n">
        <x:v>1</x:v>
      </x:c>
      <x:c r="J206" s="21" t="n">
        <x:v>1</x:v>
      </x:c>
      <x:c r="K206" s="21" t="n">
        <x:v>1</x:v>
      </x:c>
      <x:c r="L206" s="21" t="n">
        <x:v>0</x:v>
      </x:c>
      <x:c r="M206" s="33" t="n">
        <x:f>SUM(E206:L206)/8</x:f>
        <x:v>0.75</x:v>
      </x:c>
      <x:c r="N206" s="21" t="n">
        <x:f>SUM(I206:L206)</x:f>
        <x:v>3</x:v>
      </x:c>
      <x:c r="O206" s="21" t="str">
        <x:f>I206&amp;"-"&amp;J206&amp;"-"&amp;K206&amp;"-"&amp;L206</x:f>
        <x:v>1-1-1-0</x:v>
      </x:c>
    </x:row>
    <x:row r="207" ht="15" hidden="0" customHeight="1">
      <x:c r="A207" s="21" t="n">
        <x:v>54</x:v>
      </x:c>
      <x:c r="B207" s="21" t="str">
        <x:v>S067</x:v>
      </x:c>
      <x:c r="C207" s="21" t="str">
        <x:v>Yang et al. (2026)</x:v>
      </x:c>
      <x:c r="D207" s="21" t="str">
        <x:v>Permissive</x:v>
      </x:c>
      <x:c r="E207" s="21" t="n">
        <x:v>0</x:v>
      </x:c>
      <x:c r="F207" s="21" t="n">
        <x:v>1</x:v>
      </x:c>
      <x:c r="G207" s="21" t="n">
        <x:v>1</x:v>
      </x:c>
      <x:c r="H207" s="21" t="n">
        <x:v>1</x:v>
      </x:c>
      <x:c r="I207" s="21" t="n">
        <x:v>1</x:v>
      </x:c>
      <x:c r="J207" s="21" t="n">
        <x:v>1</x:v>
      </x:c>
      <x:c r="K207" s="21" t="n">
        <x:v>0</x:v>
      </x:c>
      <x:c r="L207" s="21" t="n">
        <x:v>0</x:v>
      </x:c>
      <x:c r="M207" s="33" t="n">
        <x:f>SUM(E207:L207)/8</x:f>
        <x:v>0.625</x:v>
      </x:c>
      <x:c r="N207" s="21" t="n">
        <x:f>SUM(I207:L207)</x:f>
        <x:v>2</x:v>
      </x:c>
      <x:c r="O207" s="21" t="str">
        <x:f>I207&amp;"-"&amp;J207&amp;"-"&amp;K207&amp;"-"&amp;L207</x:f>
        <x:v>1-1-0-0</x:v>
      </x:c>
    </x:row>
    <x:row r="208" ht="15" hidden="0" customHeight="1">
      <x:c r="A208" s="21" t="n">
        <x:v>55</x:v>
      </x:c>
      <x:c r="B208" s="21" t="str">
        <x:v>S068</x:v>
      </x:c>
      <x:c r="C208" s="21" t="str">
        <x:v>Sánchez et al. (2025)</x:v>
      </x:c>
      <x:c r="D208" s="21" t="str">
        <x:v>Permissive</x:v>
      </x:c>
      <x:c r="E208" s="21" t="n">
        <x:v>1</x:v>
      </x:c>
      <x:c r="F208" s="21" t="n">
        <x:v>1</x:v>
      </x:c>
      <x:c r="G208" s="21" t="n">
        <x:v>1</x:v>
      </x:c>
      <x:c r="H208" s="21" t="n">
        <x:v>1</x:v>
      </x:c>
      <x:c r="I208" s="21" t="n">
        <x:v>1</x:v>
      </x:c>
      <x:c r="J208" s="21" t="n">
        <x:v>0</x:v>
      </x:c>
      <x:c r="K208" s="21" t="n">
        <x:v>0</x:v>
      </x:c>
      <x:c r="L208" s="21" t="n">
        <x:v>0</x:v>
      </x:c>
      <x:c r="M208" s="33" t="n">
        <x:f>SUM(E208:L208)/8</x:f>
        <x:v>0.625</x:v>
      </x:c>
      <x:c r="N208" s="21" t="n">
        <x:f>SUM(I208:L208)</x:f>
        <x:v>1</x:v>
      </x:c>
      <x:c r="O208" s="21" t="str">
        <x:f>I208&amp;"-"&amp;J208&amp;"-"&amp;K208&amp;"-"&amp;L208</x:f>
        <x:v>1-0-0-0</x:v>
      </x:c>
    </x:row>
    <x:row r="209" ht="15" hidden="0" customHeight="1">
      <x:c r="A209" s="21" t="n">
        <x:v>56</x:v>
      </x:c>
      <x:c r="B209" s="21" t="str">
        <x:v>S069</x:v>
      </x:c>
      <x:c r="C209" s="21" t="str">
        <x:v>Babu et al. (2025)</x:v>
      </x:c>
      <x:c r="D209" s="21" t="str">
        <x:v>Permissive</x:v>
      </x:c>
      <x:c r="E209" s="21" t="n">
        <x:v>1</x:v>
      </x:c>
      <x:c r="F209" s="21" t="n">
        <x:v>1</x:v>
      </x:c>
      <x:c r="G209" s="21" t="n">
        <x:v>1</x:v>
      </x:c>
      <x:c r="H209" s="21" t="n">
        <x:v>1</x:v>
      </x:c>
      <x:c r="I209" s="21" t="n">
        <x:v>1</x:v>
      </x:c>
      <x:c r="J209" s="21" t="n">
        <x:v>1</x:v>
      </x:c>
      <x:c r="K209" s="21" t="n">
        <x:v>1</x:v>
      </x:c>
      <x:c r="L209" s="21" t="n">
        <x:v>0</x:v>
      </x:c>
      <x:c r="M209" s="33" t="n">
        <x:f>SUM(E209:L209)/8</x:f>
        <x:v>0.875</x:v>
      </x:c>
      <x:c r="N209" s="21" t="n">
        <x:f>SUM(I209:L209)</x:f>
        <x:v>3</x:v>
      </x:c>
      <x:c r="O209" s="21" t="str">
        <x:f>I209&amp;"-"&amp;J209&amp;"-"&amp;K209&amp;"-"&amp;L209</x:f>
        <x:v>1-1-1-0</x:v>
      </x:c>
    </x:row>
    <x:row r="210" ht="15" hidden="0" customHeight="1">
      <x:c r="A210" s="21" t="n">
        <x:v>57</x:v>
      </x:c>
      <x:c r="B210" s="21" t="str">
        <x:v>S070</x:v>
      </x:c>
      <x:c r="C210" s="21" t="str">
        <x:v>Dimo et al. (2026)</x:v>
      </x:c>
      <x:c r="D210" s="21" t="str">
        <x:v>Permissive</x:v>
      </x:c>
      <x:c r="E210" s="21" t="n">
        <x:v>1</x:v>
      </x:c>
      <x:c r="F210" s="21" t="n">
        <x:v>1</x:v>
      </x:c>
      <x:c r="G210" s="21" t="n">
        <x:v>1</x:v>
      </x:c>
      <x:c r="H210" s="21" t="n">
        <x:v>1</x:v>
      </x:c>
      <x:c r="I210" s="21" t="n">
        <x:v>1</x:v>
      </x:c>
      <x:c r="J210" s="21" t="n">
        <x:v>1</x:v>
      </x:c>
      <x:c r="K210" s="21" t="n">
        <x:v>0</x:v>
      </x:c>
      <x:c r="L210" s="21" t="n">
        <x:v>0</x:v>
      </x:c>
      <x:c r="M210" s="33" t="n">
        <x:f>SUM(E210:L210)/8</x:f>
        <x:v>0.75</x:v>
      </x:c>
      <x:c r="N210" s="21" t="n">
        <x:f>SUM(I210:L210)</x:f>
        <x:v>2</x:v>
      </x:c>
      <x:c r="O210" s="21" t="str">
        <x:f>I210&amp;"-"&amp;J210&amp;"-"&amp;K210&amp;"-"&amp;L210</x:f>
        <x:v>1-1-0-0</x:v>
      </x:c>
    </x:row>
    <x:row r="211" ht="15" hidden="0" customHeight="1">
      <x:c r="A211" s="21" t="n">
        <x:v>58</x:v>
      </x:c>
      <x:c r="B211" s="21" t="str">
        <x:v>S071</x:v>
      </x:c>
      <x:c r="C211" s="21" t="str">
        <x:v>Luo et al. (2025)</x:v>
      </x:c>
      <x:c r="D211" s="21" t="str">
        <x:v>Permissive</x:v>
      </x:c>
      <x:c r="E211" s="21" t="n">
        <x:v>0</x:v>
      </x:c>
      <x:c r="F211" s="21" t="n">
        <x:v>1</x:v>
      </x:c>
      <x:c r="G211" s="21" t="n">
        <x:v>1</x:v>
      </x:c>
      <x:c r="H211" s="21" t="n">
        <x:v>1</x:v>
      </x:c>
      <x:c r="I211" s="21" t="n">
        <x:v>1</x:v>
      </x:c>
      <x:c r="J211" s="21" t="n">
        <x:v>0</x:v>
      </x:c>
      <x:c r="K211" s="21" t="n">
        <x:v>1</x:v>
      </x:c>
      <x:c r="L211" s="21" t="n">
        <x:v>0</x:v>
      </x:c>
      <x:c r="M211" s="33" t="n">
        <x:f>SUM(E211:L211)/8</x:f>
        <x:v>0.625</x:v>
      </x:c>
      <x:c r="N211" s="21" t="n">
        <x:f>SUM(I211:L211)</x:f>
        <x:v>2</x:v>
      </x:c>
      <x:c r="O211" s="21" t="str">
        <x:f>I211&amp;"-"&amp;J211&amp;"-"&amp;K211&amp;"-"&amp;L211</x:f>
        <x:v>1-0-1-0</x:v>
      </x:c>
    </x:row>
    <x:row r="212" ht="15" hidden="0" customHeight="1">
      <x:c r="A212" s="21" t="n">
        <x:v>59</x:v>
      </x:c>
      <x:c r="B212" s="21" t="str">
        <x:v>S073</x:v>
      </x:c>
      <x:c r="C212" s="21" t="str">
        <x:v>Han et al. (2025)</x:v>
      </x:c>
      <x:c r="D212" s="21" t="str">
        <x:v>Permissive</x:v>
      </x:c>
      <x:c r="E212" s="21" t="n">
        <x:v>0</x:v>
      </x:c>
      <x:c r="F212" s="21" t="n">
        <x:v>1</x:v>
      </x:c>
      <x:c r="G212" s="21" t="n">
        <x:v>1</x:v>
      </x:c>
      <x:c r="H212" s="21" t="n">
        <x:v>1</x:v>
      </x:c>
      <x:c r="I212" s="21" t="n">
        <x:v>1</x:v>
      </x:c>
      <x:c r="J212" s="21" t="n">
        <x:v>0</x:v>
      </x:c>
      <x:c r="K212" s="21" t="n">
        <x:v>0</x:v>
      </x:c>
      <x:c r="L212" s="21" t="n">
        <x:v>0</x:v>
      </x:c>
      <x:c r="M212" s="33" t="n">
        <x:f>SUM(E212:L212)/8</x:f>
        <x:v>0.5</x:v>
      </x:c>
      <x:c r="N212" s="21" t="n">
        <x:f>SUM(I212:L212)</x:f>
        <x:v>1</x:v>
      </x:c>
      <x:c r="O212" s="21" t="str">
        <x:f>I212&amp;"-"&amp;J212&amp;"-"&amp;K212&amp;"-"&amp;L212</x:f>
        <x:v>1-0-0-0</x:v>
      </x:c>
    </x:row>
    <x:row r="213" ht="15" hidden="0" customHeight="1">
      <x:c r="A213" s="21" t="n">
        <x:v>60</x:v>
      </x:c>
      <x:c r="B213" s="21" t="str">
        <x:v>S074</x:v>
      </x:c>
      <x:c r="C213" s="21" t="str">
        <x:v>Lavorgna et al. (2025)</x:v>
      </x:c>
      <x:c r="D213" s="21" t="str">
        <x:v>Permissive</x:v>
      </x:c>
      <x:c r="E213" s="21" t="n">
        <x:v>0</x:v>
      </x:c>
      <x:c r="F213" s="21" t="n">
        <x:v>1</x:v>
      </x:c>
      <x:c r="G213" s="21" t="n">
        <x:v>1</x:v>
      </x:c>
      <x:c r="H213" s="21" t="n">
        <x:v>1</x:v>
      </x:c>
      <x:c r="I213" s="21" t="n">
        <x:v>1</x:v>
      </x:c>
      <x:c r="J213" s="21" t="n">
        <x:v>1</x:v>
      </x:c>
      <x:c r="K213" s="21" t="n">
        <x:v>1</x:v>
      </x:c>
      <x:c r="L213" s="21" t="n">
        <x:v>0</x:v>
      </x:c>
      <x:c r="M213" s="33" t="n">
        <x:f>SUM(E213:L213)/8</x:f>
        <x:v>0.75</x:v>
      </x:c>
      <x:c r="N213" s="21" t="n">
        <x:f>SUM(I213:L213)</x:f>
        <x:v>3</x:v>
      </x:c>
      <x:c r="O213" s="21" t="str">
        <x:f>I213&amp;"-"&amp;J213&amp;"-"&amp;K213&amp;"-"&amp;L213</x:f>
        <x:v>1-1-1-0</x:v>
      </x:c>
    </x:row>
    <x:row r="214" ht="15" hidden="0" customHeight="1">
      <x:c r="A214" s="21" t="n">
        <x:v>61</x:v>
      </x:c>
      <x:c r="B214" s="21" t="str">
        <x:v>S075</x:v>
      </x:c>
      <x:c r="C214" s="21" t="str">
        <x:v>Saroli et al. (2025)</x:v>
      </x:c>
      <x:c r="D214" s="21" t="str">
        <x:v>Permissive</x:v>
      </x:c>
      <x:c r="E214" s="21" t="n">
        <x:v>1</x:v>
      </x:c>
      <x:c r="F214" s="21" t="n">
        <x:v>1</x:v>
      </x:c>
      <x:c r="G214" s="21" t="n">
        <x:v>1</x:v>
      </x:c>
      <x:c r="H214" s="21" t="n">
        <x:v>1</x:v>
      </x:c>
      <x:c r="I214" s="21" t="n">
        <x:v>1</x:v>
      </x:c>
      <x:c r="J214" s="21" t="n">
        <x:v>1</x:v>
      </x:c>
      <x:c r="K214" s="21" t="n">
        <x:v>0</x:v>
      </x:c>
      <x:c r="L214" s="21" t="n">
        <x:v>0</x:v>
      </x:c>
      <x:c r="M214" s="33" t="n">
        <x:f>SUM(E214:L214)/8</x:f>
        <x:v>0.75</x:v>
      </x:c>
      <x:c r="N214" s="21" t="n">
        <x:f>SUM(I214:L214)</x:f>
        <x:v>2</x:v>
      </x:c>
      <x:c r="O214" s="21" t="str">
        <x:f>I214&amp;"-"&amp;J214&amp;"-"&amp;K214&amp;"-"&amp;L214</x:f>
        <x:v>1-1-0-0</x:v>
      </x:c>
    </x:row>
    <x:row r="215" ht="15" hidden="0" customHeight="1">
      <x:c r="A215" s="21" t="n">
        <x:v>62</x:v>
      </x:c>
      <x:c r="B215" s="21" t="str">
        <x:v>S076</x:v>
      </x:c>
      <x:c r="C215" s="21" t="str">
        <x:v>Meena et al. (2025)</x:v>
      </x:c>
      <x:c r="D215" s="21" t="str">
        <x:v>Permissive</x:v>
      </x:c>
      <x:c r="E215" s="21" t="n">
        <x:v>1</x:v>
      </x:c>
      <x:c r="F215" s="21" t="n">
        <x:v>1</x:v>
      </x:c>
      <x:c r="G215" s="21" t="n">
        <x:v>1</x:v>
      </x:c>
      <x:c r="H215" s="21" t="n">
        <x:v>1</x:v>
      </x:c>
      <x:c r="I215" s="21" t="n">
        <x:v>1</x:v>
      </x:c>
      <x:c r="J215" s="21" t="n">
        <x:v>0</x:v>
      </x:c>
      <x:c r="K215" s="21" t="n">
        <x:v>1</x:v>
      </x:c>
      <x:c r="L215" s="21" t="n">
        <x:v>0</x:v>
      </x:c>
      <x:c r="M215" s="33" t="n">
        <x:f>SUM(E215:L215)/8</x:f>
        <x:v>0.75</x:v>
      </x:c>
      <x:c r="N215" s="21" t="n">
        <x:f>SUM(I215:L215)</x:f>
        <x:v>2</x:v>
      </x:c>
      <x:c r="O215" s="21" t="str">
        <x:f>I215&amp;"-"&amp;J215&amp;"-"&amp;K215&amp;"-"&amp;L215</x:f>
        <x:v>1-0-1-0</x:v>
      </x:c>
    </x:row>
    <x:row r="216" ht="15" hidden="0" customHeight="1">
      <x:c r="A216" s="21" t="n">
        <x:v>63</x:v>
      </x:c>
      <x:c r="B216" s="21" t="str">
        <x:v>S077</x:v>
      </x:c>
      <x:c r="C216" s="21" t="str">
        <x:v>Farid et al. (2025)</x:v>
      </x:c>
      <x:c r="D216" s="21" t="str">
        <x:v>Permissive</x:v>
      </x:c>
      <x:c r="E216" s="21" t="n">
        <x:v>0</x:v>
      </x:c>
      <x:c r="F216" s="21" t="n">
        <x:v>1</x:v>
      </x:c>
      <x:c r="G216" s="21" t="n">
        <x:v>1</x:v>
      </x:c>
      <x:c r="H216" s="21" t="n">
        <x:v>1</x:v>
      </x:c>
      <x:c r="I216" s="21" t="n">
        <x:v>1</x:v>
      </x:c>
      <x:c r="J216" s="21" t="n">
        <x:v>0</x:v>
      </x:c>
      <x:c r="K216" s="21" t="n">
        <x:v>0</x:v>
      </x:c>
      <x:c r="L216" s="21" t="n">
        <x:v>1</x:v>
      </x:c>
      <x:c r="M216" s="33" t="n">
        <x:f>SUM(E216:L216)/8</x:f>
        <x:v>0.625</x:v>
      </x:c>
      <x:c r="N216" s="21" t="n">
        <x:f>SUM(I216:L216)</x:f>
        <x:v>2</x:v>
      </x:c>
      <x:c r="O216" s="21" t="str">
        <x:f>I216&amp;"-"&amp;J216&amp;"-"&amp;K216&amp;"-"&amp;L216</x:f>
        <x:v>1-0-0-1</x:v>
      </x:c>
    </x:row>
    <x:row r="217" ht="15" hidden="0" customHeight="1">
      <x:c r="A217" s="21" t="n">
        <x:v>64</x:v>
      </x:c>
      <x:c r="B217" s="21" t="str">
        <x:v>S078</x:v>
      </x:c>
      <x:c r="C217" s="21" t="str">
        <x:v>Hu et al. (2024)</x:v>
      </x:c>
      <x:c r="D217" s="21" t="str">
        <x:v>Permissive</x:v>
      </x:c>
      <x:c r="E217" s="21" t="n">
        <x:v>1</x:v>
      </x:c>
      <x:c r="F217" s="21" t="n">
        <x:v>1</x:v>
      </x:c>
      <x:c r="G217" s="21" t="n">
        <x:v>1</x:v>
      </x:c>
      <x:c r="H217" s="21" t="n">
        <x:v>1</x:v>
      </x:c>
      <x:c r="I217" s="21" t="n">
        <x:v>1</x:v>
      </x:c>
      <x:c r="J217" s="21" t="n">
        <x:v>0</x:v>
      </x:c>
      <x:c r="K217" s="21" t="n">
        <x:v>0</x:v>
      </x:c>
      <x:c r="L217" s="21" t="n">
        <x:v>0</x:v>
      </x:c>
      <x:c r="M217" s="33" t="n">
        <x:f>SUM(E217:L217)/8</x:f>
        <x:v>0.625</x:v>
      </x:c>
      <x:c r="N217" s="21" t="n">
        <x:f>SUM(I217:L217)</x:f>
        <x:v>1</x:v>
      </x:c>
      <x:c r="O217" s="21" t="str">
        <x:f>I217&amp;"-"&amp;J217&amp;"-"&amp;K217&amp;"-"&amp;L217</x:f>
        <x:v>1-0-0-0</x:v>
      </x:c>
    </x:row>
    <x:row r="218" ht="15" hidden="0" customHeight="1">
      <x:c r="A218" s="21" t="n">
        <x:v>65</x:v>
      </x:c>
      <x:c r="B218" s="21" t="str">
        <x:v>S079</x:v>
      </x:c>
      <x:c r="C218" s="21" t="str">
        <x:v>Han et al. (2024)</x:v>
      </x:c>
      <x:c r="D218" s="21" t="str">
        <x:v>Permissive</x:v>
      </x:c>
      <x:c r="E218" s="21" t="n">
        <x:v>0</x:v>
      </x:c>
      <x:c r="F218" s="21" t="n">
        <x:v>1</x:v>
      </x:c>
      <x:c r="G218" s="21" t="n">
        <x:v>1</x:v>
      </x:c>
      <x:c r="H218" s="21" t="n">
        <x:v>1</x:v>
      </x:c>
      <x:c r="I218" s="21" t="n">
        <x:v>1</x:v>
      </x:c>
      <x:c r="J218" s="21" t="n">
        <x:v>1</x:v>
      </x:c>
      <x:c r="K218" s="21" t="n">
        <x:v>1</x:v>
      </x:c>
      <x:c r="L218" s="21" t="n">
        <x:v>1</x:v>
      </x:c>
      <x:c r="M218" s="33" t="n">
        <x:f>SUM(E218:L218)/8</x:f>
        <x:v>0.875</x:v>
      </x:c>
      <x:c r="N218" s="21" t="n">
        <x:f>SUM(I218:L218)</x:f>
        <x:v>4</x:v>
      </x:c>
      <x:c r="O218" s="21" t="str">
        <x:f>I218&amp;"-"&amp;J218&amp;"-"&amp;K218&amp;"-"&amp;L218</x:f>
        <x:v>1-1-1-1</x:v>
      </x:c>
    </x:row>
    <x:row r="219" ht="15" hidden="0" customHeight="1">
      <x:c r="A219" s="21" t="n">
        <x:v>66</x:v>
      </x:c>
      <x:c r="B219" s="21" t="str">
        <x:v>S080</x:v>
      </x:c>
      <x:c r="C219" s="21" t="str">
        <x:v>Imanian et al. (2023)</x:v>
      </x:c>
      <x:c r="D219" s="21" t="str">
        <x:v>Permissive</x:v>
      </x:c>
      <x:c r="E219" s="21" t="n">
        <x:v>0</x:v>
      </x:c>
      <x:c r="F219" s="21" t="n">
        <x:v>1</x:v>
      </x:c>
      <x:c r="G219" s="21" t="n">
        <x:v>1</x:v>
      </x:c>
      <x:c r="H219" s="21" t="n">
        <x:v>1</x:v>
      </x:c>
      <x:c r="I219" s="21" t="n">
        <x:v>1</x:v>
      </x:c>
      <x:c r="J219" s="21" t="n">
        <x:v>0</x:v>
      </x:c>
      <x:c r="K219" s="21" t="n">
        <x:v>0</x:v>
      </x:c>
      <x:c r="L219" s="21" t="n">
        <x:v>0</x:v>
      </x:c>
      <x:c r="M219" s="33" t="n">
        <x:f>SUM(E219:L219)/8</x:f>
        <x:v>0.5</x:v>
      </x:c>
      <x:c r="N219" s="21" t="n">
        <x:f>SUM(I219:L219)</x:f>
        <x:v>1</x:v>
      </x:c>
      <x:c r="O219" s="21" t="str">
        <x:f>I219&amp;"-"&amp;J219&amp;"-"&amp;K219&amp;"-"&amp;L219</x:f>
        <x:v>1-0-0-0</x:v>
      </x:c>
    </x:row>
    <x:row r="220" ht="15" hidden="0" customHeight="1">
      <x:c r="A220" s="21" t="n">
        <x:v>67</x:v>
      </x:c>
      <x:c r="B220" s="21" t="str">
        <x:v>S081</x:v>
      </x:c>
      <x:c r="C220" s="21" t="str">
        <x:v>De Tommasi et al. (2023)</x:v>
      </x:c>
      <x:c r="D220" s="21" t="str">
        <x:v>Permissive</x:v>
      </x:c>
      <x:c r="E220" s="21" t="n">
        <x:v>0</x:v>
      </x:c>
      <x:c r="F220" s="21" t="n">
        <x:v>1</x:v>
      </x:c>
      <x:c r="G220" s="21" t="n">
        <x:v>1</x:v>
      </x:c>
      <x:c r="H220" s="21" t="n">
        <x:v>1</x:v>
      </x:c>
      <x:c r="I220" s="21" t="n">
        <x:v>1</x:v>
      </x:c>
      <x:c r="J220" s="21" t="n">
        <x:v>0</x:v>
      </x:c>
      <x:c r="K220" s="21" t="n">
        <x:v>0</x:v>
      </x:c>
      <x:c r="L220" s="21" t="n">
        <x:v>0</x:v>
      </x:c>
      <x:c r="M220" s="33" t="n">
        <x:f>SUM(E220:L220)/8</x:f>
        <x:v>0.5</x:v>
      </x:c>
      <x:c r="N220" s="21" t="n">
        <x:f>SUM(I220:L220)</x:f>
        <x:v>1</x:v>
      </x:c>
      <x:c r="O220" s="21" t="str">
        <x:f>I220&amp;"-"&amp;J220&amp;"-"&amp;K220&amp;"-"&amp;L220</x:f>
        <x:v>1-0-0-0</x:v>
      </x:c>
    </x:row>
    <x:row r="221" ht="15" hidden="0" customHeight="1">
      <x:c r="A221" s="21" t="n">
        <x:v>68</x:v>
      </x:c>
      <x:c r="B221" s="21" t="str">
        <x:v>S082</x:v>
      </x:c>
      <x:c r="C221" s="21" t="str">
        <x:v>Xiang et al. (2023)</x:v>
      </x:c>
      <x:c r="D221" s="21" t="str">
        <x:v>Permissive</x:v>
      </x:c>
      <x:c r="E221" s="21" t="n">
        <x:v>0</x:v>
      </x:c>
      <x:c r="F221" s="21" t="n">
        <x:v>1</x:v>
      </x:c>
      <x:c r="G221" s="21" t="n">
        <x:v>1</x:v>
      </x:c>
      <x:c r="H221" s="21" t="n">
        <x:v>1</x:v>
      </x:c>
      <x:c r="I221" s="21" t="n">
        <x:v>1</x:v>
      </x:c>
      <x:c r="J221" s="21" t="n">
        <x:v>0</x:v>
      </x:c>
      <x:c r="K221" s="21" t="n">
        <x:v>0</x:v>
      </x:c>
      <x:c r="L221" s="21" t="n">
        <x:v>0</x:v>
      </x:c>
      <x:c r="M221" s="33" t="n">
        <x:f>SUM(E221:L221)/8</x:f>
        <x:v>0.5</x:v>
      </x:c>
      <x:c r="N221" s="21" t="n">
        <x:f>SUM(I221:L221)</x:f>
        <x:v>1</x:v>
      </x:c>
      <x:c r="O221" s="21" t="str">
        <x:f>I221&amp;"-"&amp;J221&amp;"-"&amp;K221&amp;"-"&amp;L221</x:f>
        <x:v>1-0-0-0</x:v>
      </x:c>
    </x:row>
    <x:row r="222" ht="15" hidden="0" customHeight="1">
      <x:c r="A222" s="21" t="n">
        <x:v>69</x:v>
      </x:c>
      <x:c r="B222" s="21" t="str">
        <x:v>S084</x:v>
      </x:c>
      <x:c r="C222" s="21" t="str">
        <x:v>Liu et al. (2023)</x:v>
      </x:c>
      <x:c r="D222" s="21" t="str">
        <x:v>Permissive</x:v>
      </x:c>
      <x:c r="E222" s="21" t="n">
        <x:v>0</x:v>
      </x:c>
      <x:c r="F222" s="21" t="n">
        <x:v>1</x:v>
      </x:c>
      <x:c r="G222" s="21" t="n">
        <x:v>1</x:v>
      </x:c>
      <x:c r="H222" s="21" t="n">
        <x:v>1</x:v>
      </x:c>
      <x:c r="I222" s="21" t="n">
        <x:v>1</x:v>
      </x:c>
      <x:c r="J222" s="21" t="n">
        <x:v>0</x:v>
      </x:c>
      <x:c r="K222" s="21" t="n">
        <x:v>0</x:v>
      </x:c>
      <x:c r="L222" s="21" t="n">
        <x:v>0</x:v>
      </x:c>
      <x:c r="M222" s="33" t="n">
        <x:f>SUM(E222:L222)/8</x:f>
        <x:v>0.5</x:v>
      </x:c>
      <x:c r="N222" s="21" t="n">
        <x:f>SUM(I222:L222)</x:f>
        <x:v>1</x:v>
      </x:c>
      <x:c r="O222" s="21" t="str">
        <x:f>I222&amp;"-"&amp;J222&amp;"-"&amp;K222&amp;"-"&amp;L222</x:f>
        <x:v>1-0-0-0</x:v>
      </x:c>
    </x:row>
    <x:row r="223" ht="15" hidden="0" customHeight="1">
      <x:c r="A223" s="21" t="n">
        <x:v>70</x:v>
      </x:c>
      <x:c r="B223" s="21" t="str">
        <x:v>S085</x:v>
      </x:c>
      <x:c r="C223" s="21" t="str">
        <x:v>Li et al. (2022)</x:v>
      </x:c>
      <x:c r="D223" s="21" t="str">
        <x:v>Permissive</x:v>
      </x:c>
      <x:c r="E223" s="21" t="n">
        <x:v>1</x:v>
      </x:c>
      <x:c r="F223" s="21" t="n">
        <x:v>1</x:v>
      </x:c>
      <x:c r="G223" s="21" t="n">
        <x:v>1</x:v>
      </x:c>
      <x:c r="H223" s="21" t="n">
        <x:v>1</x:v>
      </x:c>
      <x:c r="I223" s="21" t="n">
        <x:v>1</x:v>
      </x:c>
      <x:c r="J223" s="21" t="n">
        <x:v>0</x:v>
      </x:c>
      <x:c r="K223" s="21" t="n">
        <x:v>1</x:v>
      </x:c>
      <x:c r="L223" s="21" t="n">
        <x:v>0</x:v>
      </x:c>
      <x:c r="M223" s="33" t="n">
        <x:f>SUM(E223:L223)/8</x:f>
        <x:v>0.75</x:v>
      </x:c>
      <x:c r="N223" s="21" t="n">
        <x:f>SUM(I223:L223)</x:f>
        <x:v>2</x:v>
      </x:c>
      <x:c r="O223" s="21" t="str">
        <x:f>I223&amp;"-"&amp;J223&amp;"-"&amp;K223&amp;"-"&amp;L223</x:f>
        <x:v>1-0-1-0</x:v>
      </x:c>
    </x:row>
    <x:row r="224" ht="15" hidden="0" customHeight="1">
      <x:c r="A224" s="21" t="n">
        <x:v>71</x:v>
      </x:c>
      <x:c r="B224" s="21" t="str">
        <x:v>S086</x:v>
      </x:c>
      <x:c r="C224" s="21" t="str">
        <x:v>Li et al. (2022)</x:v>
      </x:c>
      <x:c r="D224" s="21" t="str">
        <x:v>Permissive</x:v>
      </x:c>
      <x:c r="E224" s="21" t="n">
        <x:v>0</x:v>
      </x:c>
      <x:c r="F224" s="21" t="n">
        <x:v>1</x:v>
      </x:c>
      <x:c r="G224" s="21" t="n">
        <x:v>1</x:v>
      </x:c>
      <x:c r="H224" s="21" t="n">
        <x:v>1</x:v>
      </x:c>
      <x:c r="I224" s="21" t="n">
        <x:v>1</x:v>
      </x:c>
      <x:c r="J224" s="21" t="n">
        <x:v>0</x:v>
      </x:c>
      <x:c r="K224" s="21" t="n">
        <x:v>0</x:v>
      </x:c>
      <x:c r="L224" s="21" t="n">
        <x:v>0</x:v>
      </x:c>
      <x:c r="M224" s="33" t="n">
        <x:f>SUM(E224:L224)/8</x:f>
        <x:v>0.5</x:v>
      </x:c>
      <x:c r="N224" s="21" t="n">
        <x:f>SUM(I224:L224)</x:f>
        <x:v>1</x:v>
      </x:c>
      <x:c r="O224" s="21" t="str">
        <x:f>I224&amp;"-"&amp;J224&amp;"-"&amp;K224&amp;"-"&amp;L224</x:f>
        <x:v>1-0-0-0</x:v>
      </x:c>
    </x:row>
    <x:row r="225" ht="15" hidden="0" customHeight="1">
      <x:c r="A225" s="21" t="n">
        <x:v>72</x:v>
      </x:c>
      <x:c r="B225" s="21" t="str">
        <x:v>S087</x:v>
      </x:c>
      <x:c r="C225" s="21" t="str">
        <x:v>Ma et al. (2021)</x:v>
      </x:c>
      <x:c r="D225" s="21" t="str">
        <x:v>Permissive</x:v>
      </x:c>
      <x:c r="E225" s="21" t="n">
        <x:v>0</x:v>
      </x:c>
      <x:c r="F225" s="21" t="n">
        <x:v>1</x:v>
      </x:c>
      <x:c r="G225" s="21" t="n">
        <x:v>1</x:v>
      </x:c>
      <x:c r="H225" s="21" t="n">
        <x:v>1</x:v>
      </x:c>
      <x:c r="I225" s="21" t="n">
        <x:v>1</x:v>
      </x:c>
      <x:c r="J225" s="21" t="n">
        <x:v>0</x:v>
      </x:c>
      <x:c r="K225" s="21" t="n">
        <x:v>1</x:v>
      </x:c>
      <x:c r="L225" s="21" t="n">
        <x:v>0</x:v>
      </x:c>
      <x:c r="M225" s="33" t="n">
        <x:f>SUM(E225:L225)/8</x:f>
        <x:v>0.625</x:v>
      </x:c>
      <x:c r="N225" s="21" t="n">
        <x:f>SUM(I225:L225)</x:f>
        <x:v>2</x:v>
      </x:c>
      <x:c r="O225" s="21" t="str">
        <x:f>I225&amp;"-"&amp;J225&amp;"-"&amp;K225&amp;"-"&amp;L225</x:f>
        <x:v>1-0-1-0</x:v>
      </x:c>
    </x:row>
    <x:row r="226" ht="15" hidden="0" customHeight="1">
      <x:c r="A226" s="21" t="n">
        <x:v>73</x:v>
      </x:c>
      <x:c r="B226" s="21" t="str">
        <x:v>S088</x:v>
      </x:c>
      <x:c r="C226" s="21" t="str">
        <x:v>Cheng-Yu et al. (2021)</x:v>
      </x:c>
      <x:c r="D226" s="21" t="str">
        <x:v>Permissive</x:v>
      </x:c>
      <x:c r="E226" s="21" t="n">
        <x:v>0</x:v>
      </x:c>
      <x:c r="F226" s="21" t="n">
        <x:v>1</x:v>
      </x:c>
      <x:c r="G226" s="21" t="n">
        <x:v>1</x:v>
      </x:c>
      <x:c r="H226" s="21" t="n">
        <x:v>1</x:v>
      </x:c>
      <x:c r="I226" s="21" t="n">
        <x:v>1</x:v>
      </x:c>
      <x:c r="J226" s="21" t="n">
        <x:v>0</x:v>
      </x:c>
      <x:c r="K226" s="21" t="n">
        <x:v>0</x:v>
      </x:c>
      <x:c r="L226" s="21" t="n">
        <x:v>0</x:v>
      </x:c>
      <x:c r="M226" s="33" t="n">
        <x:f>SUM(E226:L226)/8</x:f>
        <x:v>0.5</x:v>
      </x:c>
      <x:c r="N226" s="21" t="n">
        <x:f>SUM(I226:L226)</x:f>
        <x:v>1</x:v>
      </x:c>
      <x:c r="O226" s="21" t="str">
        <x:f>I226&amp;"-"&amp;J226&amp;"-"&amp;K226&amp;"-"&amp;L226</x:f>
        <x:v>1-0-0-0</x:v>
      </x:c>
    </x:row>
    <x:row r="227" ht="15" hidden="0" customHeight="1">
      <x:c r="A227" s="21" t="n">
        <x:v>74</x:v>
      </x:c>
      <x:c r="B227" s="21" t="str">
        <x:v>S089</x:v>
      </x:c>
      <x:c r="C227" s="21" t="str">
        <x:v>Xiang et al. (2020)</x:v>
      </x:c>
      <x:c r="D227" s="21" t="str">
        <x:v>Permissive</x:v>
      </x:c>
      <x:c r="E227" s="21" t="n">
        <x:v>1</x:v>
      </x:c>
      <x:c r="F227" s="21" t="n">
        <x:v>1</x:v>
      </x:c>
      <x:c r="G227" s="21" t="n">
        <x:v>1</x:v>
      </x:c>
      <x:c r="H227" s="21" t="n">
        <x:v>1</x:v>
      </x:c>
      <x:c r="I227" s="21" t="n">
        <x:v>1</x:v>
      </x:c>
      <x:c r="J227" s="21" t="n">
        <x:v>1</x:v>
      </x:c>
      <x:c r="K227" s="21" t="n">
        <x:v>0</x:v>
      </x:c>
      <x:c r="L227" s="21" t="n">
        <x:v>0</x:v>
      </x:c>
      <x:c r="M227" s="33" t="n">
        <x:f>SUM(E227:L227)/8</x:f>
        <x:v>0.75</x:v>
      </x:c>
      <x:c r="N227" s="21" t="n">
        <x:f>SUM(I227:L227)</x:f>
        <x:v>2</x:v>
      </x:c>
      <x:c r="O227" s="21" t="str">
        <x:f>I227&amp;"-"&amp;J227&amp;"-"&amp;K227&amp;"-"&amp;L227</x:f>
        <x:v>1-1-0-0</x:v>
      </x:c>
    </x:row>
    <x:row r="228" ht="15" hidden="0" customHeight="1">
      <x:c r="A228" s="21" t="n">
        <x:v>75</x:v>
      </x:c>
      <x:c r="B228" s="21" t="str">
        <x:v>S090</x:v>
      </x:c>
      <x:c r="C228" s="21" t="str">
        <x:v>Fan et al. (2019)</x:v>
      </x:c>
      <x:c r="D228" s="21" t="str">
        <x:v>Permissive</x:v>
      </x:c>
      <x:c r="E228" s="21" t="n">
        <x:v>0</x:v>
      </x:c>
      <x:c r="F228" s="21" t="n">
        <x:v>1</x:v>
      </x:c>
      <x:c r="G228" s="21" t="n">
        <x:v>1</x:v>
      </x:c>
      <x:c r="H228" s="21" t="n">
        <x:v>1</x:v>
      </x:c>
      <x:c r="I228" s="21" t="n">
        <x:v>1</x:v>
      </x:c>
      <x:c r="J228" s="21" t="n">
        <x:v>0</x:v>
      </x:c>
      <x:c r="K228" s="21" t="n">
        <x:v>0</x:v>
      </x:c>
      <x:c r="L228" s="21" t="n">
        <x:v>1</x:v>
      </x:c>
      <x:c r="M228" s="33" t="n">
        <x:f>SUM(E228:L228)/8</x:f>
        <x:v>0.625</x:v>
      </x:c>
      <x:c r="N228" s="21" t="n">
        <x:f>SUM(I228:L228)</x:f>
        <x:v>2</x:v>
      </x:c>
      <x:c r="O228" s="21" t="str">
        <x:f>I228&amp;"-"&amp;J228&amp;"-"&amp;K228&amp;"-"&amp;L228</x:f>
        <x:v>1-0-0-1</x:v>
      </x:c>
    </x:row>
    <x:row r="229" ht="15" hidden="0" customHeight="1">
      <x:c r="A229" s="21" t="n">
        <x:v>76</x:v>
      </x:c>
      <x:c r="B229" s="21" t="str">
        <x:v>S091</x:v>
      </x:c>
      <x:c r="C229" s="21" t="str">
        <x:v>Kennedy et al. (2017)</x:v>
      </x:c>
      <x:c r="D229" s="21" t="str">
        <x:v>Permissive</x:v>
      </x:c>
      <x:c r="E229" s="21" t="n">
        <x:v>1</x:v>
      </x:c>
      <x:c r="F229" s="21" t="n">
        <x:v>1</x:v>
      </x:c>
      <x:c r="G229" s="21" t="n">
        <x:v>1</x:v>
      </x:c>
      <x:c r="H229" s="21" t="n">
        <x:v>1</x:v>
      </x:c>
      <x:c r="I229" s="21" t="n">
        <x:v>1</x:v>
      </x:c>
      <x:c r="J229" s="21" t="n">
        <x:v>0</x:v>
      </x:c>
      <x:c r="K229" s="21" t="n">
        <x:v>0</x:v>
      </x:c>
      <x:c r="L229" s="21" t="n">
        <x:v>1</x:v>
      </x:c>
      <x:c r="M229" s="33" t="n">
        <x:f>SUM(E229:L229)/8</x:f>
        <x:v>0.75</x:v>
      </x:c>
      <x:c r="N229" s="21" t="n">
        <x:f>SUM(I229:L229)</x:f>
        <x:v>2</x:v>
      </x:c>
      <x:c r="O229" s="21" t="str">
        <x:f>I229&amp;"-"&amp;J229&amp;"-"&amp;K229&amp;"-"&amp;L229</x:f>
        <x:v>1-0-0-1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16" hidden="0" customWidth="1"/>
    <x:col min="3" max="3" width="16" hidden="0" customWidth="1"/>
    <x:col min="4" max="4" width="16" hidden="0" customWidth="1"/>
    <x:col min="5" max="5" width="58" hidden="0" customWidth="1"/>
    <x:col min="6" max="6" width="10" hidden="0" customWidth="1"/>
    <x:col min="7" max="7" width="88" hidden="0" customWidth="1"/>
    <x:col min="8" max="8" width="42" hidden="0" customWidth="1"/>
  </x:cols>
  <x:sheetData>
    <x:row r="1" ht="15" hidden="0" customHeight="1">
      <x:c r="A1" s="40" t="str">
        <x:v>Metric</x:v>
      </x:c>
      <x:c r="B1" s="40" t="str">
        <x:v>Primary</x:v>
      </x:c>
      <x:c r="C1" s="40" t="str">
        <x:v>Conservative</x:v>
      </x:c>
      <x:c r="D1" s="40" t="str">
        <x:v>Permissive</x:v>
      </x:c>
      <x:c r="E1" s="40" t="str">
        <x:v>Interpretation</x:v>
      </x:c>
      <x:c r="F1" s="21"/>
      <x:c r="G1" s="21"/>
      <x:c r="H1" s="21"/>
    </x:row>
    <x:row r="2" ht="15" hidden="0" customHeight="1">
      <x:c r="A2" s="21" t="str">
        <x:v>Study count</x:v>
      </x:c>
      <x:c r="B2" s="21" t="n">
        <x:f>COUNTIF('REB Scenario Profiles'!$D$2:$D$229,"Primary")</x:f>
        <x:v>76</x:v>
      </x:c>
      <x:c r="C2" s="21" t="n">
        <x:f>COUNTIF('REB Scenario Profiles'!$D$2:$D$229,"Conservative")</x:f>
        <x:v>76</x:v>
      </x:c>
      <x:c r="D2" s="21" t="n">
        <x:f>COUNTIF('REB Scenario Profiles'!$D$2:$D$229,"Permissive")</x:f>
        <x:v>76</x:v>
      </x:c>
      <x:c r="E2" s="21" t="str">
        <x:v>Same 76-study corpus in all scenarios.</x:v>
      </x:c>
      <x:c r="F2" s="21"/>
      <x:c r="G2" s="21"/>
      <x:c r="H2" s="21"/>
    </x:row>
    <x:row r="3" ht="15" hidden="0" customHeight="1">
      <x:c r="A3" s="21" t="str">
        <x:v>L1</x:v>
      </x:c>
      <x:c r="B3" s="21" t="n">
        <x:f>SUMIF('REB Scenario Profiles'!$D$2:$D$229,"Primary",'REB Scenario Profiles'!$E$2:$E$229)</x:f>
        <x:v>33</x:v>
      </x:c>
      <x:c r="C3" s="21" t="n">
        <x:f>SUMIF('REB Scenario Profiles'!$D$2:$D$229,"Conservative",'REB Scenario Profiles'!$E$2:$E$229)</x:f>
        <x:v>31</x:v>
      </x:c>
      <x:c r="D3" s="21" t="n">
        <x:f>SUMIF('REB Scenario Profiles'!$D$2:$D$229,"Permissive",'REB Scenario Profiles'!$E$2:$E$229)</x:f>
        <x:v>34</x:v>
      </x:c>
      <x:c r="E3" s="21" t="str">
        <x:v>Count of studies meeting the dimension.</x:v>
      </x:c>
      <x:c r="F3" s="21"/>
      <x:c r="G3" s="21"/>
      <x:c r="H3" s="21"/>
    </x:row>
    <x:row r="4" ht="15" hidden="0" customHeight="1">
      <x:c r="A4" s="21" t="str">
        <x:v>L2</x:v>
      </x:c>
      <x:c r="B4" s="21" t="n">
        <x:f>SUMIF('REB Scenario Profiles'!$D$2:$D$229,"Primary",'REB Scenario Profiles'!$F$2:$F$229)</x:f>
        <x:v>75</x:v>
      </x:c>
      <x:c r="C4" s="21" t="n">
        <x:f>SUMIF('REB Scenario Profiles'!$D$2:$D$229,"Conservative",'REB Scenario Profiles'!$F$2:$F$229)</x:f>
        <x:v>75</x:v>
      </x:c>
      <x:c r="D4" s="21" t="n">
        <x:f>SUMIF('REB Scenario Profiles'!$D$2:$D$229,"Permissive",'REB Scenario Profiles'!$F$2:$F$229)</x:f>
        <x:v>75</x:v>
      </x:c>
      <x:c r="E4" s="21" t="str">
        <x:v>Count of studies meeting the dimension.</x:v>
      </x:c>
      <x:c r="F4" s="21"/>
      <x:c r="G4" s="21"/>
      <x:c r="H4" s="21"/>
    </x:row>
    <x:row r="5" ht="15" hidden="0" customHeight="1">
      <x:c r="A5" s="21" t="str">
        <x:v>L3</x:v>
      </x:c>
      <x:c r="B5" s="21" t="n">
        <x:f>SUMIF('REB Scenario Profiles'!$D$2:$D$229,"Primary",'REB Scenario Profiles'!$G$2:$G$229)</x:f>
        <x:v>76</x:v>
      </x:c>
      <x:c r="C5" s="21" t="n">
        <x:f>SUMIF('REB Scenario Profiles'!$D$2:$D$229,"Conservative",'REB Scenario Profiles'!$G$2:$G$229)</x:f>
        <x:v>76</x:v>
      </x:c>
      <x:c r="D5" s="21" t="n">
        <x:f>SUMIF('REB Scenario Profiles'!$D$2:$D$229,"Permissive",'REB Scenario Profiles'!$G$2:$G$229)</x:f>
        <x:v>76</x:v>
      </x:c>
      <x:c r="E5" s="21" t="str">
        <x:v>Count of studies meeting the dimension.</x:v>
      </x:c>
      <x:c r="F5" s="21"/>
      <x:c r="G5" s="21"/>
      <x:c r="H5" s="21"/>
    </x:row>
    <x:row r="6" ht="15" hidden="0" customHeight="1">
      <x:c r="A6" s="21" t="str">
        <x:v>L4</x:v>
      </x:c>
      <x:c r="B6" s="21" t="n">
        <x:f>SUMIF('REB Scenario Profiles'!$D$2:$D$229,"Primary",'REB Scenario Profiles'!$H$2:$H$229)</x:f>
        <x:v>76</x:v>
      </x:c>
      <x:c r="C6" s="21" t="n">
        <x:f>SUMIF('REB Scenario Profiles'!$D$2:$D$229,"Conservative",'REB Scenario Profiles'!$H$2:$H$229)</x:f>
        <x:v>76</x:v>
      </x:c>
      <x:c r="D6" s="21" t="n">
        <x:f>SUMIF('REB Scenario Profiles'!$D$2:$D$229,"Permissive",'REB Scenario Profiles'!$H$2:$H$229)</x:f>
        <x:v>76</x:v>
      </x:c>
      <x:c r="E6" s="21" t="str">
        <x:v>Count of studies meeting the dimension.</x:v>
      </x:c>
      <x:c r="F6" s="21"/>
      <x:c r="G6" s="21"/>
      <x:c r="H6" s="21"/>
    </x:row>
    <x:row r="7" ht="15" hidden="0" customHeight="1">
      <x:c r="A7" s="21" t="str">
        <x:v>L5</x:v>
      </x:c>
      <x:c r="B7" s="21" t="n">
        <x:f>SUMIF('REB Scenario Profiles'!$D$2:$D$229,"Primary",'REB Scenario Profiles'!$I$2:$I$229)</x:f>
        <x:v>62</x:v>
      </x:c>
      <x:c r="C7" s="21" t="n">
        <x:f>SUMIF('REB Scenario Profiles'!$D$2:$D$229,"Conservative",'REB Scenario Profiles'!$I$2:$I$229)</x:f>
        <x:v>60</x:v>
      </x:c>
      <x:c r="D7" s="21" t="n">
        <x:f>SUMIF('REB Scenario Profiles'!$D$2:$D$229,"Permissive",'REB Scenario Profiles'!$I$2:$I$229)</x:f>
        <x:v>64</x:v>
      </x:c>
      <x:c r="E7" s="21" t="str">
        <x:v>Count of studies meeting the dimension.</x:v>
      </x:c>
      <x:c r="F7" s="21"/>
      <x:c r="G7" s="21"/>
      <x:c r="H7" s="21"/>
    </x:row>
    <x:row r="8" ht="15" hidden="0" customHeight="1">
      <x:c r="A8" s="21" t="str">
        <x:v>L6</x:v>
      </x:c>
      <x:c r="B8" s="21" t="n">
        <x:f>SUMIF('REB Scenario Profiles'!$D$2:$D$229,"Primary",'REB Scenario Profiles'!$J$2:$J$229)</x:f>
        <x:v>30</x:v>
      </x:c>
      <x:c r="C8" s="21" t="n">
        <x:f>SUMIF('REB Scenario Profiles'!$D$2:$D$229,"Conservative",'REB Scenario Profiles'!$J$2:$J$229)</x:f>
        <x:v>29</x:v>
      </x:c>
      <x:c r="D8" s="21" t="n">
        <x:f>SUMIF('REB Scenario Profiles'!$D$2:$D$229,"Permissive",'REB Scenario Profiles'!$J$2:$J$229)</x:f>
        <x:v>31</x:v>
      </x:c>
      <x:c r="E8" s="21" t="str">
        <x:v>Count of studies meeting the dimension.</x:v>
      </x:c>
      <x:c r="F8" s="21"/>
      <x:c r="G8" s="21"/>
      <x:c r="H8" s="21"/>
    </x:row>
    <x:row r="9" ht="15" hidden="0" customHeight="1">
      <x:c r="A9" s="21" t="str">
        <x:v>L7</x:v>
      </x:c>
      <x:c r="B9" s="21" t="n">
        <x:f>SUMIF('REB Scenario Profiles'!$D$2:$D$229,"Primary",'REB Scenario Profiles'!$K$2:$K$229)</x:f>
        <x:v>20</x:v>
      </x:c>
      <x:c r="C9" s="21" t="n">
        <x:f>SUMIF('REB Scenario Profiles'!$D$2:$D$229,"Conservative",'REB Scenario Profiles'!$K$2:$K$229)</x:f>
        <x:v>20</x:v>
      </x:c>
      <x:c r="D9" s="21" t="n">
        <x:f>SUMIF('REB Scenario Profiles'!$D$2:$D$229,"Permissive",'REB Scenario Profiles'!$K$2:$K$229)</x:f>
        <x:v>25</x:v>
      </x:c>
      <x:c r="E9" s="21" t="str">
        <x:v>Count of studies meeting the dimension.</x:v>
      </x:c>
      <x:c r="F9" s="21"/>
      <x:c r="G9" s="21"/>
      <x:c r="H9" s="21"/>
    </x:row>
    <x:row r="10" ht="15" hidden="0" customHeight="1">
      <x:c r="A10" s="21" t="str">
        <x:v>L8</x:v>
      </x:c>
      <x:c r="B10" s="21" t="n">
        <x:f>SUMIF('REB Scenario Profiles'!$D$2:$D$229,"Primary",'REB Scenario Profiles'!$L$2:$L$229)</x:f>
        <x:v>17</x:v>
      </x:c>
      <x:c r="C10" s="21" t="n">
        <x:f>SUMIF('REB Scenario Profiles'!$D$2:$D$229,"Conservative",'REB Scenario Profiles'!$L$2:$L$229)</x:f>
        <x:v>16</x:v>
      </x:c>
      <x:c r="D10" s="21" t="n">
        <x:f>SUMIF('REB Scenario Profiles'!$D$2:$D$229,"Permissive",'REB Scenario Profiles'!$L$2:$L$229)</x:f>
        <x:v>20</x:v>
      </x:c>
      <x:c r="E10" s="21" t="str">
        <x:v>Count of studies meeting the dimension.</x:v>
      </x:c>
      <x:c r="F10" s="21"/>
      <x:c r="G10" s="21"/>
      <x:c r="H10" s="21"/>
    </x:row>
    <x:row r="11" ht="15" hidden="0" customHeight="1">
      <x:c r="A11" s="21" t="str">
        <x:v>Mean R</x:v>
      </x:c>
      <x:c r="B11" s="33" t="n">
        <x:f>AVERAGEIF('REB Scenario Profiles'!$D$2:$D$229,"Primary",'REB Scenario Profiles'!$M$2:$M$229)</x:f>
        <x:v>0.6398026315789473</x:v>
      </x:c>
      <x:c r="C11" s="33" t="n">
        <x:f>AVERAGEIF('REB Scenario Profiles'!$D$2:$D$229,"Conservative",'REB Scenario Profiles'!$M$2:$M$229)</x:f>
        <x:v>0.6299342105263158</x:v>
      </x:c>
      <x:c r="D11" s="33" t="n">
        <x:f>AVERAGEIF('REB Scenario Profiles'!$D$2:$D$229,"Permissive",'REB Scenario Profiles'!$M$2:$M$229)</x:f>
        <x:v>0.6595394736842105</x:v>
      </x:c>
      <x:c r="E11" s="21" t="str">
        <x:v>Secondary unweighted descriptive score.</x:v>
      </x:c>
      <x:c r="F11" s="21"/>
      <x:c r="G11" s="21"/>
      <x:c r="H11" s="21"/>
    </x:row>
    <x:row r="12" ht="15" hidden="0" customHeight="1">
      <x:c r="A12" s="21" t="str">
        <x:v>Most frequent L5-L8 pattern</x:v>
      </x:c>
      <x:c r="B12" s="21" t="str">
        <x:f>INDEX($A$15:$A$30,MATCH(MAX(B15:B30),B15:B30,0))&amp;" ("&amp;MAX(B15:B30)&amp;")"</x:f>
        <x:v>1-0-0-0 (21)</x:v>
      </x:c>
      <x:c r="C12" s="21" t="str">
        <x:f>INDEX($A$15:$A$30,MATCH(MAX(C15:C30),C15:C30,0))&amp;" ("&amp;MAX(C15:C30)&amp;")"</x:f>
        <x:v>1-0-0-0 (21)</x:v>
      </x:c>
      <x:c r="D12" s="21" t="str">
        <x:f>INDEX($A$15:$A$30,MATCH(MAX(D15:D30),D15:D30,0))&amp;" ("&amp;MAX(D15:D30)&amp;")"</x:f>
        <x:v>1-0-0-0 (19)</x:v>
      </x:c>
      <x:c r="E12" s="21" t="str">
        <x:v>Pattern and study count; the profile remains the primary result.</x:v>
      </x:c>
      <x:c r="F12" s="21"/>
      <x:c r="G12" s="21"/>
      <x:c r="H12" s="21"/>
    </x:row>
    <x:row r="13" ht="15" hidden="0" customHeight="1">
      <x:c r="A13" s="21"/>
      <x:c r="B13" s="21"/>
      <x:c r="C13" s="21"/>
      <x:c r="D13" s="21"/>
      <x:c r="E13" s="21"/>
      <x:c r="F13" s="21"/>
      <x:c r="G13" s="21"/>
      <x:c r="H13" s="21"/>
    </x:row>
    <x:row r="14" ht="15" hidden="0" customHeight="1">
      <x:c r="A14" s="46" t="str">
        <x:v>L5-L8 pattern</x:v>
      </x:c>
      <x:c r="B14" s="46" t="str">
        <x:v>Primary</x:v>
      </x:c>
      <x:c r="C14" s="46" t="str">
        <x:v>Conservative</x:v>
      </x:c>
      <x:c r="D14" s="46" t="str">
        <x:v>Permissive</x:v>
      </x:c>
      <x:c r="E14" s="46" t="str">
        <x:v>Pattern counts used to identify the most frequent profile</x:v>
      </x:c>
      <x:c r="F14" s="21"/>
      <x:c r="G14" s="21"/>
      <x:c r="H14" s="21"/>
    </x:row>
    <x:row r="15" ht="15" hidden="0" customHeight="1">
      <x:c r="A15" s="21" t="str">
        <x:v>0-0-0-0</x:v>
      </x:c>
      <x:c r="B15" s="21" t="n">
        <x:f>COUNTIFS('REB Scenario Profiles'!$D$2:$D$229,"Primary",'REB Scenario Profiles'!$O$2:$O$229,$A15)</x:f>
        <x:v>7</x:v>
      </x:c>
      <x:c r="C15" s="21" t="n">
        <x:f>COUNTIFS('REB Scenario Profiles'!$D$2:$D$229,"Conservative",'REB Scenario Profiles'!$O$2:$O$229,$A15)</x:f>
        <x:v>9</x:v>
      </x:c>
      <x:c r="D15" s="21" t="n">
        <x:f>COUNTIFS('REB Scenario Profiles'!$D$2:$D$229,"Permissive",'REB Scenario Profiles'!$O$2:$O$229,$A15)</x:f>
        <x:v>6</x:v>
      </x:c>
      <x:c r="E15" s="21"/>
      <x:c r="F15" s="21"/>
      <x:c r="G15" s="21"/>
      <x:c r="H15" s="21"/>
    </x:row>
    <x:row r="16" ht="15" hidden="0" customHeight="1">
      <x:c r="A16" s="21" t="str">
        <x:v>0-0-0-1</x:v>
      </x:c>
      <x:c r="B16" s="21" t="n">
        <x:f>COUNTIFS('REB Scenario Profiles'!$D$2:$D$229,"Primary",'REB Scenario Profiles'!$O$2:$O$229,$A16)</x:f>
        <x:v>1</x:v>
      </x:c>
      <x:c r="C16" s="21" t="n">
        <x:f>COUNTIFS('REB Scenario Profiles'!$D$2:$D$229,"Conservative",'REB Scenario Profiles'!$O$2:$O$229,$A16)</x:f>
        <x:v>1</x:v>
      </x:c>
      <x:c r="D16" s="21" t="n">
        <x:f>COUNTIFS('REB Scenario Profiles'!$D$2:$D$229,"Permissive",'REB Scenario Profiles'!$O$2:$O$229,$A16)</x:f>
        <x:v>0</x:v>
      </x:c>
      <x:c r="E16" s="21"/>
      <x:c r="F16" s="21"/>
      <x:c r="G16" s="21"/>
      <x:c r="H16" s="21"/>
    </x:row>
    <x:row r="17" ht="15" hidden="0" customHeight="1">
      <x:c r="A17" s="21" t="str">
        <x:v>0-0-1-0</x:v>
      </x:c>
      <x:c r="B17" s="21" t="n">
        <x:f>COUNTIFS('REB Scenario Profiles'!$D$2:$D$229,"Primary",'REB Scenario Profiles'!$O$2:$O$229,$A17)</x:f>
        <x:v>3</x:v>
      </x:c>
      <x:c r="C17" s="21" t="n">
        <x:f>COUNTIFS('REB Scenario Profiles'!$D$2:$D$229,"Conservative",'REB Scenario Profiles'!$O$2:$O$229,$A17)</x:f>
        <x:v>3</x:v>
      </x:c>
      <x:c r="D17" s="21" t="n">
        <x:f>COUNTIFS('REB Scenario Profiles'!$D$2:$D$229,"Permissive",'REB Scenario Profiles'!$O$2:$O$229,$A17)</x:f>
        <x:v>3</x:v>
      </x:c>
      <x:c r="E17" s="21"/>
      <x:c r="F17" s="21"/>
      <x:c r="G17" s="21"/>
      <x:c r="H17" s="21"/>
    </x:row>
    <x:row r="18" ht="15" hidden="0" customHeight="1">
      <x:c r="A18" s="21" t="str">
        <x:v>0-0-1-1</x:v>
      </x:c>
      <x:c r="B18" s="21" t="n">
        <x:f>COUNTIFS('REB Scenario Profiles'!$D$2:$D$229,"Primary",'REB Scenario Profiles'!$O$2:$O$229,$A18)</x:f>
        <x:v>0</x:v>
      </x:c>
      <x:c r="C18" s="21" t="n">
        <x:f>COUNTIFS('REB Scenario Profiles'!$D$2:$D$229,"Conservative",'REB Scenario Profiles'!$O$2:$O$229,$A18)</x:f>
        <x:v>0</x:v>
      </x:c>
      <x:c r="D18" s="21" t="n">
        <x:f>COUNTIFS('REB Scenario Profiles'!$D$2:$D$229,"Permissive",'REB Scenario Profiles'!$O$2:$O$229,$A18)</x:f>
        <x:v>0</x:v>
      </x:c>
      <x:c r="E18" s="21"/>
      <x:c r="F18" s="21"/>
      <x:c r="G18" s="21"/>
      <x:c r="H18" s="21"/>
    </x:row>
    <x:row r="19" ht="15" hidden="0" customHeight="1">
      <x:c r="A19" s="21" t="str">
        <x:v>0-1-0-0</x:v>
      </x:c>
      <x:c r="B19" s="21" t="n">
        <x:f>COUNTIFS('REB Scenario Profiles'!$D$2:$D$229,"Primary",'REB Scenario Profiles'!$O$2:$O$229,$A19)</x:f>
        <x:v>3</x:v>
      </x:c>
      <x:c r="C19" s="21" t="n">
        <x:f>COUNTIFS('REB Scenario Profiles'!$D$2:$D$229,"Conservative",'REB Scenario Profiles'!$O$2:$O$229,$A19)</x:f>
        <x:v>3</x:v>
      </x:c>
      <x:c r="D19" s="21" t="n">
        <x:f>COUNTIFS('REB Scenario Profiles'!$D$2:$D$229,"Permissive",'REB Scenario Profiles'!$O$2:$O$229,$A19)</x:f>
        <x:v>3</x:v>
      </x:c>
      <x:c r="E19" s="21"/>
      <x:c r="F19" s="21"/>
      <x:c r="G19" s="21"/>
      <x:c r="H19" s="21"/>
    </x:row>
    <x:row r="20" ht="15" hidden="0" customHeight="1">
      <x:c r="A20" s="21" t="str">
        <x:v>0-1-0-1</x:v>
      </x:c>
      <x:c r="B20" s="21" t="n">
        <x:f>COUNTIFS('REB Scenario Profiles'!$D$2:$D$229,"Primary",'REB Scenario Profiles'!$O$2:$O$229,$A20)</x:f>
        <x:v>0</x:v>
      </x:c>
      <x:c r="C20" s="21" t="n">
        <x:f>COUNTIFS('REB Scenario Profiles'!$D$2:$D$229,"Conservative",'REB Scenario Profiles'!$O$2:$O$229,$A20)</x:f>
        <x:v>0</x:v>
      </x:c>
      <x:c r="D20" s="21" t="n">
        <x:f>COUNTIFS('REB Scenario Profiles'!$D$2:$D$229,"Permissive",'REB Scenario Profiles'!$O$2:$O$229,$A20)</x:f>
        <x:v>0</x:v>
      </x:c>
      <x:c r="E20" s="21"/>
      <x:c r="F20" s="21"/>
      <x:c r="G20" s="21"/>
      <x:c r="H20" s="21"/>
    </x:row>
    <x:row r="21" ht="15" hidden="0" customHeight="1">
      <x:c r="A21" s="21" t="str">
        <x:v>0-1-1-0</x:v>
      </x:c>
      <x:c r="B21" s="21" t="n">
        <x:f>COUNTIFS('REB Scenario Profiles'!$D$2:$D$229,"Primary",'REB Scenario Profiles'!$O$2:$O$229,$A21)</x:f>
        <x:v>0</x:v>
      </x:c>
      <x:c r="C21" s="21" t="n">
        <x:f>COUNTIFS('REB Scenario Profiles'!$D$2:$D$229,"Conservative",'REB Scenario Profiles'!$O$2:$O$229,$A21)</x:f>
        <x:v>0</x:v>
      </x:c>
      <x:c r="D21" s="21" t="n">
        <x:f>COUNTIFS('REB Scenario Profiles'!$D$2:$D$229,"Permissive",'REB Scenario Profiles'!$O$2:$O$229,$A21)</x:f>
        <x:v>0</x:v>
      </x:c>
      <x:c r="E21" s="21"/>
      <x:c r="F21" s="21"/>
      <x:c r="G21" s="21"/>
      <x:c r="H21" s="21"/>
    </x:row>
    <x:row r="22" ht="15" hidden="0" customHeight="1">
      <x:c r="A22" s="21" t="str">
        <x:v>0-1-1-1</x:v>
      </x:c>
      <x:c r="B22" s="21" t="n">
        <x:f>COUNTIFS('REB Scenario Profiles'!$D$2:$D$229,"Primary",'REB Scenario Profiles'!$O$2:$O$229,$A22)</x:f>
        <x:v>0</x:v>
      </x:c>
      <x:c r="C22" s="21" t="n">
        <x:f>COUNTIFS('REB Scenario Profiles'!$D$2:$D$229,"Conservative",'REB Scenario Profiles'!$O$2:$O$229,$A22)</x:f>
        <x:v>0</x:v>
      </x:c>
      <x:c r="D22" s="21" t="n">
        <x:f>COUNTIFS('REB Scenario Profiles'!$D$2:$D$229,"Permissive",'REB Scenario Profiles'!$O$2:$O$229,$A22)</x:f>
        <x:v>0</x:v>
      </x:c>
      <x:c r="E22" s="21"/>
      <x:c r="F22" s="21"/>
      <x:c r="G22" s="21"/>
      <x:c r="H22" s="21"/>
    </x:row>
    <x:row r="23" ht="15" hidden="0" customHeight="1">
      <x:c r="A23" s="21" t="str">
        <x:v>1-0-0-0</x:v>
      </x:c>
      <x:c r="B23" s="21" t="n">
        <x:f>COUNTIFS('REB Scenario Profiles'!$D$2:$D$229,"Primary",'REB Scenario Profiles'!$O$2:$O$229,$A23)</x:f>
        <x:v>21</x:v>
      </x:c>
      <x:c r="C23" s="21" t="n">
        <x:f>COUNTIFS('REB Scenario Profiles'!$D$2:$D$229,"Conservative",'REB Scenario Profiles'!$O$2:$O$229,$A23)</x:f>
        <x:v>21</x:v>
      </x:c>
      <x:c r="D23" s="21" t="n">
        <x:f>COUNTIFS('REB Scenario Profiles'!$D$2:$D$229,"Permissive",'REB Scenario Profiles'!$O$2:$O$229,$A23)</x:f>
        <x:v>19</x:v>
      </x:c>
      <x:c r="E23" s="21"/>
      <x:c r="F23" s="21"/>
      <x:c r="G23" s="21"/>
      <x:c r="H23" s="21"/>
    </x:row>
    <x:row r="24" ht="15" hidden="0" customHeight="1">
      <x:c r="A24" s="21" t="str">
        <x:v>1-0-0-1</x:v>
      </x:c>
      <x:c r="B24" s="21" t="n">
        <x:f>COUNTIFS('REB Scenario Profiles'!$D$2:$D$229,"Primary",'REB Scenario Profiles'!$O$2:$O$229,$A24)</x:f>
        <x:v>7</x:v>
      </x:c>
      <x:c r="C24" s="21" t="n">
        <x:f>COUNTIFS('REB Scenario Profiles'!$D$2:$D$229,"Conservative",'REB Scenario Profiles'!$O$2:$O$229,$A24)</x:f>
        <x:v>6</x:v>
      </x:c>
      <x:c r="D24" s="21" t="n">
        <x:f>COUNTIFS('REB Scenario Profiles'!$D$2:$D$229,"Permissive",'REB Scenario Profiles'!$O$2:$O$229,$A24)</x:f>
        <x:v>9</x:v>
      </x:c>
      <x:c r="E24" s="21"/>
      <x:c r="F24" s="21"/>
      <x:c r="G24" s="21"/>
      <x:c r="H24" s="21"/>
    </x:row>
    <x:row r="25" ht="15" hidden="0" customHeight="1">
      <x:c r="A25" s="21" t="str">
        <x:v>1-0-1-0</x:v>
      </x:c>
      <x:c r="B25" s="21" t="n">
        <x:f>COUNTIFS('REB Scenario Profiles'!$D$2:$D$229,"Primary",'REB Scenario Profiles'!$O$2:$O$229,$A25)</x:f>
        <x:v>6</x:v>
      </x:c>
      <x:c r="C25" s="21" t="n">
        <x:f>COUNTIFS('REB Scenario Profiles'!$D$2:$D$229,"Conservative",'REB Scenario Profiles'!$O$2:$O$229,$A25)</x:f>
        <x:v>6</x:v>
      </x:c>
      <x:c r="D25" s="21" t="n">
        <x:f>COUNTIFS('REB Scenario Profiles'!$D$2:$D$229,"Permissive",'REB Scenario Profiles'!$O$2:$O$229,$A25)</x:f>
        <x:v>7</x:v>
      </x:c>
      <x:c r="E25" s="21"/>
      <x:c r="F25" s="21"/>
      <x:c r="G25" s="21"/>
      <x:c r="H25" s="21"/>
    </x:row>
    <x:row r="26" ht="15" hidden="0" customHeight="1">
      <x:c r="A26" s="21" t="str">
        <x:v>1-0-1-1</x:v>
      </x:c>
      <x:c r="B26" s="21" t="n">
        <x:f>COUNTIFS('REB Scenario Profiles'!$D$2:$D$229,"Primary",'REB Scenario Profiles'!$O$2:$O$229,$A26)</x:f>
        <x:v>1</x:v>
      </x:c>
      <x:c r="C26" s="21" t="n">
        <x:f>COUNTIFS('REB Scenario Profiles'!$D$2:$D$229,"Conservative",'REB Scenario Profiles'!$O$2:$O$229,$A26)</x:f>
        <x:v>1</x:v>
      </x:c>
      <x:c r="D26" s="21" t="n">
        <x:f>COUNTIFS('REB Scenario Profiles'!$D$2:$D$229,"Permissive",'REB Scenario Profiles'!$O$2:$O$229,$A26)</x:f>
        <x:v>1</x:v>
      </x:c>
      <x:c r="E26" s="21"/>
      <x:c r="F26" s="21"/>
      <x:c r="G26" s="21"/>
      <x:c r="H26" s="21"/>
    </x:row>
    <x:row r="27" ht="15" hidden="0" customHeight="1">
      <x:c r="A27" s="21" t="str">
        <x:v>1-1-0-0</x:v>
      </x:c>
      <x:c r="B27" s="21" t="n">
        <x:f>COUNTIFS('REB Scenario Profiles'!$D$2:$D$229,"Primary",'REB Scenario Profiles'!$O$2:$O$229,$A27)</x:f>
        <x:v>11</x:v>
      </x:c>
      <x:c r="C27" s="21" t="n">
        <x:f>COUNTIFS('REB Scenario Profiles'!$D$2:$D$229,"Conservative",'REB Scenario Profiles'!$O$2:$O$229,$A27)</x:f>
        <x:v>10</x:v>
      </x:c>
      <x:c r="D27" s="21" t="n">
        <x:f>COUNTIFS('REB Scenario Profiles'!$D$2:$D$229,"Permissive",'REB Scenario Profiles'!$O$2:$O$229,$A27)</x:f>
        <x:v>9</x:v>
      </x:c>
      <x:c r="E27" s="21"/>
      <x:c r="F27" s="21"/>
      <x:c r="G27" s="21"/>
      <x:c r="H27" s="21"/>
    </x:row>
    <x:row r="28" ht="15" hidden="0" customHeight="1">
      <x:c r="A28" s="21" t="str">
        <x:v>1-1-0-1</x:v>
      </x:c>
      <x:c r="B28" s="21" t="n">
        <x:f>COUNTIFS('REB Scenario Profiles'!$D$2:$D$229,"Primary",'REB Scenario Profiles'!$O$2:$O$229,$A28)</x:f>
        <x:v>6</x:v>
      </x:c>
      <x:c r="C28" s="21" t="n">
        <x:f>COUNTIFS('REB Scenario Profiles'!$D$2:$D$229,"Conservative",'REB Scenario Profiles'!$O$2:$O$229,$A28)</x:f>
        <x:v>6</x:v>
      </x:c>
      <x:c r="D28" s="21" t="n">
        <x:f>COUNTIFS('REB Scenario Profiles'!$D$2:$D$229,"Permissive",'REB Scenario Profiles'!$O$2:$O$229,$A28)</x:f>
        <x:v>5</x:v>
      </x:c>
      <x:c r="E28" s="21"/>
      <x:c r="F28" s="21"/>
      <x:c r="G28" s="21"/>
      <x:c r="H28" s="21"/>
    </x:row>
    <x:row r="29" ht="15" hidden="0" customHeight="1">
      <x:c r="A29" s="21" t="str">
        <x:v>1-1-1-0</x:v>
      </x:c>
      <x:c r="B29" s="21" t="n">
        <x:f>COUNTIFS('REB Scenario Profiles'!$D$2:$D$229,"Primary",'REB Scenario Profiles'!$O$2:$O$229,$A29)</x:f>
        <x:v>8</x:v>
      </x:c>
      <x:c r="C29" s="21" t="n">
        <x:f>COUNTIFS('REB Scenario Profiles'!$D$2:$D$229,"Conservative",'REB Scenario Profiles'!$O$2:$O$229,$A29)</x:f>
        <x:v>8</x:v>
      </x:c>
      <x:c r="D29" s="21" t="n">
        <x:f>COUNTIFS('REB Scenario Profiles'!$D$2:$D$229,"Permissive",'REB Scenario Profiles'!$O$2:$O$229,$A29)</x:f>
        <x:v>9</x:v>
      </x:c>
      <x:c r="E29" s="21"/>
      <x:c r="F29" s="21"/>
      <x:c r="G29" s="21"/>
      <x:c r="H29" s="21"/>
    </x:row>
    <x:row r="30" ht="15" hidden="0" customHeight="1">
      <x:c r="A30" s="21" t="str">
        <x:v>1-1-1-1</x:v>
      </x:c>
      <x:c r="B30" s="21" t="n">
        <x:f>COUNTIFS('REB Scenario Profiles'!$D$2:$D$229,"Primary",'REB Scenario Profiles'!$O$2:$O$229,$A30)</x:f>
        <x:v>2</x:v>
      </x:c>
      <x:c r="C30" s="21" t="n">
        <x:f>COUNTIFS('REB Scenario Profiles'!$D$2:$D$229,"Conservative",'REB Scenario Profiles'!$O$2:$O$229,$A30)</x:f>
        <x:v>2</x:v>
      </x:c>
      <x:c r="D30" s="21" t="n">
        <x:f>COUNTIFS('REB Scenario Profiles'!$D$2:$D$229,"Permissive",'REB Scenario Profiles'!$O$2:$O$229,$A30)</x:f>
        <x:v>5</x:v>
      </x:c>
      <x:c r="E30" s="21"/>
      <x:c r="F30" s="21"/>
      <x:c r="G30" s="21"/>
      <x:c r="H30" s="21"/>
    </x:row>
    <x:row r="31" ht="15" hidden="0" customHeight="1">
      <x:c r="A31" s="21"/>
      <x:c r="B31" s="21"/>
      <x:c r="C31" s="21"/>
      <x:c r="D31" s="21"/>
      <x:c r="E31" s="21"/>
      <x:c r="F31" s="21"/>
      <x:c r="G31" s="21"/>
      <x:c r="H31" s="21"/>
    </x:row>
    <x:row r="32" ht="15" hidden="0" customHeight="1">
      <x:c r="A32" s="46" t="str">
        <x:v>Conclusion</x:v>
      </x:c>
      <x:c r="B32" s="46" t="str"/>
      <x:c r="C32" s="46" t="str"/>
      <x:c r="D32" s="46" t="str"/>
      <x:c r="E32" s="46" t="str"/>
      <x:c r="F32" s="21"/>
      <x:c r="G32" s="21"/>
      <x:c r="H32" s="21"/>
    </x:row>
    <x:row r="33" ht="24" hidden="0" customHeight="1">
      <x:c r="A33" s="21" t="str">
        <x:v>Principal interpretation</x:v>
      </x:c>
      <x:c r="B33" s="21" t="str">
        <x:v>L5 is substantially more frequent than L6-L8.</x:v>
      </x:c>
      <x:c r="C33" s="21" t="str">
        <x:v>The same ordering and evidence gap remain.</x:v>
      </x:c>
      <x:c r="D33" s="21" t="str">
        <x:v>The same ordering and evidence gap remain.</x:v>
      </x:c>
      <x:c r="E33" s="21" t="str">
        <x:v>Independent-device evidence remains uncommon under both alternative rule sets.</x:v>
      </x:c>
      <x:c r="F33" s="21"/>
      <x:c r="G33" s="21"/>
      <x:c r="H33" s="21"/>
    </x:row>
    <x:row r="34" ht="15" hidden="0" customHeight="1">
      <x:c r="A34" s="21"/>
      <x:c r="B34" s="21"/>
      <x:c r="C34" s="21"/>
      <x:c r="D34" s="21"/>
      <x:c r="E34" s="21"/>
      <x:c r="F34" s="21"/>
      <x:c r="G34" s="21"/>
      <x:c r="H34" s="21"/>
    </x:row>
    <x:row r="35" ht="15" hidden="0" customHeight="1">
      <x:c r="A35" s="42" t="str">
        <x:v>Scenario</x:v>
      </x:c>
      <x:c r="B35" s="42" t="str">
        <x:v>Study ID</x:v>
      </x:c>
      <x:c r="C35" s="42" t="str">
        <x:v>REB item</x:v>
      </x:c>
      <x:c r="D35" s="42" t="str">
        <x:v>Primary decision</x:v>
      </x:c>
      <x:c r="E35" s="42" t="str">
        <x:v>Alternative decision</x:v>
      </x:c>
      <x:c r="F35" s="42" t="str">
        <x:v>Delta</x:v>
      </x:c>
      <x:c r="G35" s="42" t="str">
        <x:v>Reasonable alternative rule</x:v>
      </x:c>
      <x:c r="H35" s="42" t="str">
        <x:v>Primary evidence locator</x:v>
      </x:c>
    </x:row>
    <x:row r="36" ht="15" hidden="0" customHeight="1">
      <x:c r="A36" s="21" t="str">
        <x:v>Conservative</x:v>
      </x:c>
      <x:c r="B36" s="21" t="str">
        <x:v>S069</x:v>
      </x:c>
      <x:c r="C36" s="21" t="str">
        <x:v>L1</x:v>
      </x:c>
      <x:c r="D36" s="21" t="n">
        <x:v>1</x:v>
      </x:c>
      <x:c r="E36" s="21" t="n">
        <x:v>0</x:v>
      </x:c>
      <x:c r="F36" s="21" t="n">
        <x:v>-1</x:v>
      </x:c>
      <x:c r="G36" s="21" t="str">
        <x:v>Require every core L1 field to be explicitly available; do not rely on an unavailable cited supplement for a remaining process field.</x:v>
      </x:c>
      <x:c r="H36" s="21" t="str">
        <x:v>PDF pp. 2–12; Figs. 1–11; Table 1; cited SI</x:v>
      </x:c>
    </x:row>
    <x:row r="37" ht="15" hidden="0" customHeight="1">
      <x:c r="A37" s="21" t="str">
        <x:v>Conservative</x:v>
      </x:c>
      <x:c r="B37" s="21" t="str">
        <x:v>S085</x:v>
      </x:c>
      <x:c r="C37" s="21" t="str">
        <x:v>L1</x:v>
      </x:c>
      <x:c r="D37" s="21" t="n">
        <x:v>1</x:v>
      </x:c>
      <x:c r="E37" s="21" t="n">
        <x:v>0</x:v>
      </x:c>
      <x:c r="F37" s="21" t="n">
        <x:v>-1</x:v>
      </x:c>
      <x:c r="G37" s="21" t="str">
        <x:v>Require either a commercial printer identifier or a complete custom-platform build specification.</x:v>
      </x:c>
      <x:c r="H37" s="21" t="str">
        <x:v>PDF pp. 2–4, 8–12; Figs. 1–18; Tables 1–2</x:v>
      </x:c>
    </x:row>
    <x:row r="38" ht="15" hidden="0" customHeight="1">
      <x:c r="A38" s="21" t="str">
        <x:v>Conservative</x:v>
      </x:c>
      <x:c r="B38" s="21" t="str">
        <x:v>S004</x:v>
      </x:c>
      <x:c r="C38" s="21" t="str">
        <x:v>L5</x:v>
      </x:c>
      <x:c r="D38" s="21" t="n">
        <x:v>1</x:v>
      </x:c>
      <x:c r="E38" s="21" t="n">
        <x:v>0</x:v>
      </x:c>
      <x:c r="F38" s="21" t="n">
        <x:v>-1</x:v>
      </x:c>
      <x:c r="G38" s="21" t="str">
        <x:v>Require a numerical repetition count rather than inferring the minimum from a resolved multi-cycle trace.</x:v>
      </x:c>
      <x:c r="H38" s="21" t="str">
        <x:v>PDF pp. 2–13; Figs. 1–8</x:v>
      </x:c>
    </x:row>
    <x:row r="39" ht="15" hidden="0" customHeight="1">
      <x:c r="A39" s="21" t="str">
        <x:v>Conservative</x:v>
      </x:c>
      <x:c r="B39" s="21" t="str">
        <x:v>S012</x:v>
      </x:c>
      <x:c r="C39" s="21" t="str">
        <x:v>L5</x:v>
      </x:c>
      <x:c r="D39" s="21" t="n">
        <x:v>1</x:v>
      </x:c>
      <x:c r="E39" s="21" t="n">
        <x:v>0</x:v>
      </x:c>
      <x:c r="F39" s="21" t="n">
        <x:v>-1</x:v>
      </x:c>
      <x:c r="G39" s="21" t="str">
        <x:v>Treat repeated human contractions as task repetitions rather than a same-device stability sequence.</x:v>
      </x:c>
      <x:c r="H39" s="21" t="str">
        <x:v>PDF pp. 4–14; Figs. 1–17; Tables 2–3</x:v>
      </x:c>
    </x:row>
    <x:row r="40" ht="15" hidden="0" customHeight="1">
      <x:c r="A40" s="21" t="str">
        <x:v>Conservative</x:v>
      </x:c>
      <x:c r="B40" s="21" t="str">
        <x:v>S007</x:v>
      </x:c>
      <x:c r="C40" s="21" t="str">
        <x:v>L6</x:v>
      </x:c>
      <x:c r="D40" s="21" t="n">
        <x:v>1</x:v>
      </x:c>
      <x:c r="E40" s="21" t="n">
        <x:v>0</x:v>
      </x:c>
      <x:c r="F40" s="21" t="n">
        <x:v>-1</x:v>
      </x:c>
      <x:c r="G40" s="21" t="str">
        <x:v>Treat scalp contact pressure as part of the measurement setup rather than an extrinsic use-condition challenge.</x:v>
      </x:c>
      <x:c r="H40" s="21" t="str">
        <x:v>PDF pp. 5-6, 9-10; Fig. 5</x:v>
      </x:c>
    </x:row>
    <x:row r="41" ht="15" hidden="0" customHeight="1">
      <x:c r="A41" s="21" t="str">
        <x:v>Conservative</x:v>
      </x:c>
      <x:c r="B41" s="21" t="str">
        <x:v>S011</x:v>
      </x:c>
      <x:c r="C41" s="21" t="str">
        <x:v>L8</x:v>
      </x:c>
      <x:c r="D41" s="21" t="n">
        <x:v>1</x:v>
      </x:c>
      <x:c r="E41" s="21" t="n">
        <x:v>0</x:v>
      </x:c>
      <x:c r="F41" s="21" t="n">
        <x:v>-1</x:v>
      </x:c>
      <x:c r="G41" s="21" t="str">
        <x:v>Require explicit fabrication or batch independence rather than inferring it from separate sensor units.</x:v>
      </x:c>
      <x:c r="H41" s="21" t="str">
        <x:v>PDF pp. 8-9, Fig. 4</x:v>
      </x:c>
    </x:row>
    <x:row r="42" ht="15" hidden="0" customHeight="1">
      <x:c r="A42" s="21" t="str">
        <x:v>Permissive</x:v>
      </x:c>
      <x:c r="B42" s="21" t="str">
        <x:v>S036</x:v>
      </x:c>
      <x:c r="C42" s="21" t="str">
        <x:v>L1</x:v>
      </x:c>
      <x:c r="D42" s="21" t="n">
        <x:v>0</x:v>
      </x:c>
      <x:c r="E42" s="21" t="n">
        <x:v>1</x:v>
      </x:c>
      <x:c r="F42" s="21" t="n">
        <x:v>1</x:v>
      </x:c>
      <x:c r="G42" s="21" t="str">
        <x:v>Accept the reported process settings and geometry despite omission of printer model and nozzle diameter.</x:v>
      </x:c>
      <x:c r="H42" s="21" t="str">
        <x:v>PDF pp. 2–11; Figs. 1–6; cited SI</x:v>
      </x:c>
    </x:row>
    <x:row r="43" ht="15" hidden="0" customHeight="1">
      <x:c r="A43" s="21" t="str">
        <x:v>Permissive</x:v>
      </x:c>
      <x:c r="B43" s="21" t="str">
        <x:v>S008</x:v>
      </x:c>
      <x:c r="C43" s="21" t="str">
        <x:v>L5</x:v>
      </x:c>
      <x:c r="D43" s="21" t="n">
        <x:v>0</x:v>
      </x:c>
      <x:c r="E43" s="21" t="n">
        <x:v>1</x:v>
      </x:c>
      <x:c r="F43" s="21" t="n">
        <x:v>1</x:v>
      </x:c>
      <x:c r="G43" s="21" t="str">
        <x:v>Accept a reported repeatability standard deviation without an explicit repetition count or device basis.</x:v>
      </x:c>
      <x:c r="H43" s="21" t="str">
        <x:v>PDF pp. 5–10; Figs. 3–5</x:v>
      </x:c>
    </x:row>
    <x:row r="44" ht="15" hidden="0" customHeight="1">
      <x:c r="A44" s="21" t="str">
        <x:v>Permissive</x:v>
      </x:c>
      <x:c r="B44" s="21" t="str">
        <x:v>S090</x:v>
      </x:c>
      <x:c r="C44" s="21" t="str">
        <x:v>L5</x:v>
      </x:c>
      <x:c r="D44" s="21" t="n">
        <x:v>0</x:v>
      </x:c>
      <x:c r="E44" s="21" t="n">
        <x:v>1</x:v>
      </x:c>
      <x:c r="F44" s="21" t="n">
        <x:v>1</x:v>
      </x:c>
      <x:c r="G44" s="21" t="str">
        <x:v>Accept stated measurement cycles and repeatability without an explicit count of at least three or a resolved trace.</x:v>
      </x:c>
      <x:c r="H44" s="21" t="str">
        <x:v>PDF pp. 2–7; Figs. 1, 3–4; Tables 1–2</x:v>
      </x:c>
    </x:row>
    <x:row r="45" ht="15" hidden="0" customHeight="1">
      <x:c r="A45" s="21" t="str">
        <x:v>Permissive</x:v>
      </x:c>
      <x:c r="B45" s="21" t="str">
        <x:v>S004</x:v>
      </x:c>
      <x:c r="C45" s="21" t="str">
        <x:v>L6</x:v>
      </x:c>
      <x:c r="D45" s="21" t="n">
        <x:v>0</x:v>
      </x:c>
      <x:c r="E45" s="21" t="n">
        <x:v>1</x:v>
      </x:c>
      <x:c r="F45" s="21" t="n">
        <x:v>1</x:v>
      </x:c>
      <x:c r="G45" s="21" t="str">
        <x:v>Treat loading-rate variation as a use-related exposure even though rate is part of the intended tensile input.</x:v>
      </x:c>
      <x:c r="H45" s="21" t="str">
        <x:v>PDF pp. 10-11; Fig. 6h</x:v>
      </x:c>
    </x:row>
    <x:row r="46" ht="15" hidden="0" customHeight="1">
      <x:c r="A46" s="21" t="str">
        <x:v>Permissive</x:v>
      </x:c>
      <x:c r="B46" s="21" t="str">
        <x:v>S004</x:v>
      </x:c>
      <x:c r="C46" s="21" t="str">
        <x:v>L7</x:v>
      </x:c>
      <x:c r="D46" s="21" t="n">
        <x:v>0</x:v>
      </x:c>
      <x:c r="E46" s="21" t="n">
        <x:v>1</x:v>
      </x:c>
      <x:c r="F46" s="21" t="n">
        <x:v>1</x:v>
      </x:c>
      <x:c r="G46" s="21" t="str">
        <x:v>Accept repeated final-assembly waveforms without a predefined retention or failure endpoint.</x:v>
      </x:c>
      <x:c r="H46" s="21" t="str">
        <x:v>S004_Main.pdf, physical pp. 11-12, section 3.3/Fig. 7a-e.</x:v>
      </x:c>
    </x:row>
    <x:row r="47" ht="15" hidden="0" customHeight="1">
      <x:c r="A47" s="21" t="str">
        <x:v>Permissive</x:v>
      </x:c>
      <x:c r="B47" s="21" t="str">
        <x:v>S013</x:v>
      </x:c>
      <x:c r="C47" s="21" t="str">
        <x:v>L7</x:v>
      </x:c>
      <x:c r="D47" s="21" t="n">
        <x:v>0</x:v>
      </x:c>
      <x:c r="E47" s="21" t="n">
        <x:v>1</x:v>
      </x:c>
      <x:c r="F47" s="21" t="n">
        <x:v>1</x:v>
      </x:c>
      <x:c r="G47" s="21" t="str">
        <x:v>Accept a wearable demonstration without a quantified interface or final-assembly retention endpoint.</x:v>
      </x:c>
      <x:c r="H47" s="21" t="str">
        <x:v>PDF pp. 3–7; Figs. 1–6; Table 1; cited SI</x:v>
      </x:c>
    </x:row>
    <x:row r="48" ht="15" hidden="0" customHeight="1">
      <x:c r="A48" s="21" t="str">
        <x:v>Permissive</x:v>
      </x:c>
      <x:c r="B48" s="21" t="str">
        <x:v>S038</x:v>
      </x:c>
      <x:c r="C48" s="21" t="str">
        <x:v>L7</x:v>
      </x:c>
      <x:c r="D48" s="21" t="n">
        <x:v>0</x:v>
      </x:c>
      <x:c r="E48" s="21" t="n">
        <x:v>1</x:v>
      </x:c>
      <x:c r="F48" s="21" t="n">
        <x:v>1</x:v>
      </x:c>
      <x:c r="G48" s="21" t="str">
        <x:v>Accept qualitative repeated final-assembly waveforms as integration evidence.</x:v>
      </x:c>
      <x:c r="H48" s="21" t="str">
        <x:v>S038_Main.pdf, physical p. 12, section 3.5 and Fig. 11b-c.</x:v>
      </x:c>
    </x:row>
    <x:row r="49" ht="15" hidden="0" customHeight="1">
      <x:c r="A49" s="21" t="str">
        <x:v>Permissive</x:v>
      </x:c>
      <x:c r="B49" s="21" t="str">
        <x:v>S052</x:v>
      </x:c>
      <x:c r="C49" s="21" t="str">
        <x:v>L7</x:v>
      </x:c>
      <x:c r="D49" s="21" t="n">
        <x:v>0</x:v>
      </x:c>
      <x:c r="E49" s="21" t="n">
        <x:v>1</x:v>
      </x:c>
      <x:c r="F49" s="21" t="n">
        <x:v>1</x:v>
      </x:c>
      <x:c r="G49" s="21" t="str">
        <x:v>Accept qualitative repeated final-assembly waveforms as integration evidence.</x:v>
      </x:c>
      <x:c r="H49" s="21" t="str">
        <x:v>PDF pp. 10-12; Fig. 6</x:v>
      </x:c>
    </x:row>
    <x:row r="50" ht="15" hidden="0" customHeight="1">
      <x:c r="A50" s="21" t="str">
        <x:v>Permissive</x:v>
      </x:c>
      <x:c r="B50" s="21" t="str">
        <x:v>S074</x:v>
      </x:c>
      <x:c r="C50" s="21" t="str">
        <x:v>L7</x:v>
      </x:c>
      <x:c r="D50" s="21" t="n">
        <x:v>0</x:v>
      </x:c>
      <x:c r="E50" s="21" t="n">
        <x:v>1</x:v>
      </x:c>
      <x:c r="F50" s="21" t="n">
        <x:v>1</x:v>
      </x:c>
      <x:c r="G50" s="21" t="str">
        <x:v>Accept a short final-assembly demonstration without a defined retention or failure endpoint.</x:v>
      </x:c>
      <x:c r="H50" s="21" t="str">
        <x:v>PDF pp. 3–9; Figs. 1–13</x:v>
      </x:c>
    </x:row>
    <x:row r="51" ht="24" hidden="0" customHeight="1">
      <x:c r="A51" s="21" t="str">
        <x:v>Permissive</x:v>
      </x:c>
      <x:c r="B51" s="21" t="str">
        <x:v>S052</x:v>
      </x:c>
      <x:c r="C51" s="21" t="str">
        <x:v>L8</x:v>
      </x:c>
      <x:c r="D51" s="21" t="n">
        <x:v>0</x:v>
      </x:c>
      <x:c r="E51" s="21" t="n">
        <x:v>1</x:v>
      </x:c>
      <x:c r="F51" s="21" t="n">
        <x:v>1</x:v>
      </x:c>
      <x:c r="G51" s="21" t="str">
        <x:v>Infer at least three complete devices from the reported batch-variation statement.</x:v>
      </x:c>
      <x:c r="H51" s="21" t="str">
        <x:v>PDF pp. 2–12; Figs. 1–6; cited Supplementary Table S1 and Figs. S1–S21</x:v>
      </x:c>
    </x:row>
    <x:row r="52" ht="15" hidden="0" customHeight="1">
      <x:c r="A52" s="21" t="str">
        <x:v>Permissive</x:v>
      </x:c>
      <x:c r="B52" s="21" t="str">
        <x:v>S077</x:v>
      </x:c>
      <x:c r="C52" s="21" t="str">
        <x:v>L8</x:v>
      </x:c>
      <x:c r="D52" s="21" t="n">
        <x:v>0</x:v>
      </x:c>
      <x:c r="E52" s="21" t="n">
        <x:v>1</x:v>
      </x:c>
      <x:c r="F52" s="21" t="n">
        <x:v>1</x:v>
      </x:c>
      <x:c r="G52" s="21" t="str">
        <x:v>Treat three repeated measurements as three devices despite unreported fabrication independence.</x:v>
      </x:c>
      <x:c r="H52" s="21" t="str">
        <x:v>PDF pp. 3–15; Figs. 1–7; Table 1</x:v>
      </x:c>
    </x:row>
    <x:row r="53" ht="15" hidden="0" customHeight="1">
      <x:c r="A53" s="21" t="str">
        <x:v>Permissive</x:v>
      </x:c>
      <x:c r="B53" s="21" t="str">
        <x:v>S079</x:v>
      </x:c>
      <x:c r="C53" s="21" t="str">
        <x:v>L8</x:v>
      </x:c>
      <x:c r="D53" s="21" t="n">
        <x:v>0</x:v>
      </x:c>
      <x:c r="E53" s="21" t="n">
        <x:v>1</x:v>
      </x:c>
      <x:c r="F53" s="21" t="n">
        <x:v>1</x:v>
      </x:c>
      <x:c r="G53" s="21" t="str">
        <x:v>Accept repeated-sample wording without a reported device count or between-device dispersion.</x:v>
      </x:c>
      <x:c r="H53" s="21" t="str">
        <x:v>PDF pp. 2–12; Figs. 1–8; Supplementary Figs. S1–S15 cited</x:v>
      </x:c>
    </x:row>
  </x:sheetData>
  <x:pageMargins left="0.7" right="0.7" top="0.75" bottom="0.75" header="0.3" footer="0.3"/>
</x:worksheet>
</file>