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439f394b8547a0" /></Relationships>
</file>

<file path=xl/workbook.xml><?xml version="1.0" encoding="utf-8"?>
<x:workbook xmlns:x="http://schemas.openxmlformats.org/spreadsheetml/2006/main">
  <x:sheets>
    <x:sheet xmlns:r="http://schemas.openxmlformats.org/officeDocument/2006/relationships" name="README" sheetId="1" r:id="R5181c451aa8a40d8"/>
    <x:sheet xmlns:r="http://schemas.openxmlformats.org/officeDocument/2006/relationships" name="Study Register" sheetId="2" r:id="R16d1eff36c7d4f9c"/>
    <x:sheet xmlns:r="http://schemas.openxmlformats.org/officeDocument/2006/relationships" name="Eligibility" sheetId="3" r:id="Rb20a4e0399af4464"/>
    <x:sheet xmlns:r="http://schemas.openxmlformats.org/officeDocument/2006/relationships" name="Sensor Configurations" sheetId="4" r:id="R4ebc4b0db83545c8"/>
    <x:sheet xmlns:r="http://schemas.openxmlformats.org/officeDocument/2006/relationships" name="Materials" sheetId="5" r:id="R9cf9c1a4231d4152"/>
    <x:sheet xmlns:r="http://schemas.openxmlformats.org/officeDocument/2006/relationships" name="Printing" sheetId="6" r:id="Rb8d3fb0501074c12"/>
    <x:sheet xmlns:r="http://schemas.openxmlformats.org/officeDocument/2006/relationships" name="Integration" sheetId="7" r:id="R1ea4bdab68944a15"/>
    <x:sheet xmlns:r="http://schemas.openxmlformats.org/officeDocument/2006/relationships" name="Experiments" sheetId="8" r:id="R4f2497922b114e44"/>
    <x:sheet xmlns:r="http://schemas.openxmlformats.org/officeDocument/2006/relationships" name="Quantitative Outcomes" sheetId="9" r:id="R934dd511b4a0471a"/>
    <x:sheet xmlns:r="http://schemas.openxmlformats.org/officeDocument/2006/relationships" name="REB Coding" sheetId="10" r:id="Ra781194e57ca4971"/>
    <x:sheet xmlns:r="http://schemas.openxmlformats.org/officeDocument/2006/relationships" name="Risk of Bias" sheetId="11" r:id="R1f0430fdb9e44f14"/>
    <x:sheet xmlns:r="http://schemas.openxmlformats.org/officeDocument/2006/relationships" name="Ambiguity Log" sheetId="12" r:id="Raacae2bfa7394fe9"/>
    <x:sheet xmlns:r="http://schemas.openxmlformats.org/officeDocument/2006/relationships" name="Supplement Verification" sheetId="13" r:id="R452ae651b6084fc4"/>
    <x:sheet xmlns:r="http://schemas.openxmlformats.org/officeDocument/2006/relationships" name="Exclusion Log" sheetId="14" r:id="Ra4b15a5c701e4f57"/>
    <x:sheet xmlns:r="http://schemas.openxmlformats.org/officeDocument/2006/relationships" name="Study REB Profile" sheetId="15" r:id="R87b1a01e702a4873"/>
    <x:sheet xmlns:r="http://schemas.openxmlformats.org/officeDocument/2006/relationships" name="Data Completeness" sheetId="16" r:id="R238275a0779d44a2"/>
    <x:sheet xmlns:r="http://schemas.openxmlformats.org/officeDocument/2006/relationships" name="Synthesis Summary" sheetId="17" r:id="R50df982993af4caa"/>
    <x:sheet xmlns:r="http://schemas.openxmlformats.org/officeDocument/2006/relationships" name="Audit Findings" sheetId="18" r:id="R4640b4caff464e2d"/>
    <x:sheet xmlns:r="http://schemas.openxmlformats.org/officeDocument/2006/relationships" name="Structural QA" sheetId="19" r:id="R2b24428a42c042dc"/>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
    <x:numFmt numFmtId="202" formatCode="0.0%"/>
  </x:numFmts>
  <x:fonts count="4">
    <x:font>
      <x:sz val="11"/>
      <x:name val="Carlito"/>
    </x:font>
    <x:font>
      <x:b/>
      <x:sz val="14"/>
      <x:color rgb="FF000000"/>
      <x:name val="Arial"/>
    </x:font>
    <x:font>
      <x:b/>
      <x:sz val="10"/>
      <x:color rgb="FF000000"/>
      <x:name val="Arial"/>
    </x:font>
    <x:font>
      <x:sz val="10"/>
      <x:color rgb="FF000000"/>
      <x:name val="Arial"/>
    </x:font>
  </x:fonts>
  <x:fills count="4">
    <x:fill>
      <x:patternFill patternType="none"/>
    </x:fill>
    <x:fill>
      <x:patternFill patternType="gray125"/>
    </x:fill>
    <x:fill>
      <x:patternFill patternType="solid">
        <x:fgColor rgb="FFE7E6E6"/>
      </x:patternFill>
    </x:fill>
    <x:fill>
      <x:patternFill patternType="solid">
        <x:fgColor rgb="FFF2F2F2"/>
      </x:patternFill>
    </x:fill>
  </x:fills>
  <x:borders count="2">
    <x:border/>
    <x:border>
      <x:left style="thin">
        <x:color rgb="FFB7B7B7"/>
      </x:left>
      <x:right style="thin">
        <x:color rgb="FFB7B7B7"/>
      </x:right>
      <x:top style="thin">
        <x:color rgb="FFB7B7B7"/>
      </x:top>
      <x:bottom style="thin">
        <x:color rgb="FFB7B7B7"/>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201" fontId="3" fillId="0" borderId="0" xfId="0" applyNumberFormat="1" applyFont="1" applyFill="1" applyBorder="1" applyAlignment="1">
      <x:alignment vertical="top" wrapText="1"/>
    </x:xf>
    <x:xf numFmtId="0" fontId="2" fillId="2" borderId="1" xfId="0" applyNumberFormat="1" applyFont="1" applyFill="1" applyBorder="1" applyAlignment="1">
      <x:alignment vertical="top"/>
    </x:xf>
    <x:xf numFmtId="0" fontId="3" fillId="0" borderId="0" xfId="0" applyNumberFormat="1" applyFont="1" applyFill="1" applyBorder="1" applyAlignment="1">
      <x:alignment vertical="top"/>
    </x:xf>
    <x:xf numFmtId="202"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6701ae79364bad" /><Relationship Type="http://schemas.openxmlformats.org/officeDocument/2006/relationships/theme" Target="/xl/theme/theme1.xml" Id="R4c48bd2cf5ca4482" /><Relationship Type="http://schemas.openxmlformats.org/officeDocument/2006/relationships/sharedStrings" Target="/xl/sharedStrings.xml" Id="R1ef46c1448a545d7" /><Relationship Type="http://schemas.openxmlformats.org/officeDocument/2006/relationships/worksheet" Target="/xl/worksheets/sheet1.xml" Id="R5181c451aa8a40d8" /><Relationship Type="http://schemas.openxmlformats.org/officeDocument/2006/relationships/worksheet" Target="/xl/worksheets/sheet2.xml" Id="R16d1eff36c7d4f9c" /><Relationship Type="http://schemas.openxmlformats.org/officeDocument/2006/relationships/worksheet" Target="/xl/worksheets/sheet3.xml" Id="Rb20a4e0399af4464" /><Relationship Type="http://schemas.openxmlformats.org/officeDocument/2006/relationships/worksheet" Target="/xl/worksheets/sheet4.xml" Id="R4ebc4b0db83545c8" /><Relationship Type="http://schemas.openxmlformats.org/officeDocument/2006/relationships/worksheet" Target="/xl/worksheets/sheet5.xml" Id="R9cf9c1a4231d4152" /><Relationship Type="http://schemas.openxmlformats.org/officeDocument/2006/relationships/worksheet" Target="/xl/worksheets/sheet6.xml" Id="Rb8d3fb0501074c12" /><Relationship Type="http://schemas.openxmlformats.org/officeDocument/2006/relationships/worksheet" Target="/xl/worksheets/sheet7.xml" Id="R1ea4bdab68944a15" /><Relationship Type="http://schemas.openxmlformats.org/officeDocument/2006/relationships/worksheet" Target="/xl/worksheets/sheet8.xml" Id="R4f2497922b114e44" /><Relationship Type="http://schemas.openxmlformats.org/officeDocument/2006/relationships/worksheet" Target="/xl/worksheets/sheet9.xml" Id="R934dd511b4a0471a" /><Relationship Type="http://schemas.openxmlformats.org/officeDocument/2006/relationships/worksheet" Target="/xl/worksheets/sheet10.xml" Id="Ra781194e57ca4971" /><Relationship Type="http://schemas.openxmlformats.org/officeDocument/2006/relationships/worksheet" Target="/xl/worksheets/sheet11.xml" Id="R1f0430fdb9e44f14" /><Relationship Type="http://schemas.openxmlformats.org/officeDocument/2006/relationships/worksheet" Target="/xl/worksheets/sheet12.xml" Id="Raacae2bfa7394fe9" /><Relationship Type="http://schemas.openxmlformats.org/officeDocument/2006/relationships/worksheet" Target="/xl/worksheets/sheet13.xml" Id="R452ae651b6084fc4" /><Relationship Type="http://schemas.openxmlformats.org/officeDocument/2006/relationships/worksheet" Target="/xl/worksheets/sheet14.xml" Id="Ra4b15a5c701e4f57" /><Relationship Type="http://schemas.openxmlformats.org/officeDocument/2006/relationships/worksheet" Target="/xl/worksheets/sheet15.xml" Id="R87b1a01e702a4873" /><Relationship Type="http://schemas.openxmlformats.org/officeDocument/2006/relationships/worksheet" Target="/xl/worksheets/sheet16.xml" Id="R238275a0779d44a2" /><Relationship Type="http://schemas.openxmlformats.org/officeDocument/2006/relationships/worksheet" Target="/xl/worksheets/sheet17.xml" Id="R50df982993af4caa" /><Relationship Type="http://schemas.openxmlformats.org/officeDocument/2006/relationships/worksheet" Target="/xl/worksheets/sheet18.xml" Id="R4640b4caff464e2d" /><Relationship Type="http://schemas.openxmlformats.org/officeDocument/2006/relationships/worksheet" Target="/xl/worksheets/sheet19.xml" Id="R2b24428a42c042dc"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2.220001220703125" hidden="0" customWidth="1"/>
    <x:col min="2" max="2" width="100" hidden="0" customWidth="1"/>
  </x:cols>
  <x:sheetData>
    <x:row r="1" ht="16.799999237060547" hidden="0" customHeight="1">
      <x:c r="A1" s="2" t="str">
        <x:v>Master structured extraction</x:v>
      </x:c>
      <x:c r="B1" s="2" t="str">
        <x:v>76 eligible FDM/FFF wearable-sensor studies</x:v>
      </x:c>
    </x:row>
    <x:row r="2">
      <x:c r="A2"/>
      <x:c r="B2"/>
    </x:row>
    <x:row r="3" ht="34" hidden="0" customHeight="1">
      <x:c r="A3" s="5" t="str">
        <x:v>Purpose</x:v>
      </x:c>
      <x:c r="B3" s="7" t="str">
        <x:v>Structured extraction and source locators for 76 studies. REB Coding, Study REB Profile and Synthesis Summary use the final consensus decisions from Supplementary Data 4.</x:v>
      </x:c>
    </x:row>
    <x:row r="4" ht="15" hidden="0" customHeight="1">
      <x:c r="A4" s="5" t="str">
        <x:v>Included studies</x:v>
      </x:c>
      <x:c r="B4" s="7" t="str">
        <x:v>76</x:v>
      </x:c>
    </x:row>
    <x:row r="5" ht="15" hidden="0" customHeight="1">
      <x:c r="A5" s="5" t="str">
        <x:v>Extraction-stage exclusions</x:v>
      </x:c>
      <x:c r="B5" s="7" t="str">
        <x:v>13</x:v>
      </x:c>
    </x:row>
    <x:row r="6" ht="15" hidden="0" customHeight="1">
      <x:c r="A6" s="5" t="str">
        <x:v>Identifiers</x:v>
      </x:c>
      <x:c r="B6" s="7" t="str">
        <x:v>Synthesis ID 1-76 is consecutive for manuscript use. Stable Study ID preserves traceability to screening files and source PDFs.</x:v>
      </x:c>
    </x:row>
    <x:row r="7" ht="15" hidden="0" customHeight="1">
      <x:c r="A7" s="5" t="str">
        <x:v>Source precedence</x:v>
      </x:c>
      <x:c r="B7" s="7" t="str">
        <x:v>S050 and S069 occurred in both pilot and later batch files. The later locked-manual batch records are authoritative and are included once.</x:v>
      </x:c>
    </x:row>
    <x:row r="8" ht="15" hidden="0" customHeight="1">
      <x:c r="A8" s="5" t="str">
        <x:v>Missing data</x:v>
      </x:c>
      <x:c r="B8" s="7" t="str">
        <x:v>NR = not reported; NA = not applicable. All REB decisions are resolved; no U values remain.</x:v>
      </x:c>
    </x:row>
    <x:row r="9" ht="15" hidden="0" customHeight="1">
      <x:c r="A9" s="5" t="str">
        <x:v>REB boundary</x:v>
      </x:c>
      <x:c r="B9" s="7" t="str">
        <x:v>REB records study-level evidence completeness; it does not measure intrinsic device quality or predict lifetime.</x:v>
      </x:c>
    </x:row>
    <x:row r="10" ht="34" hidden="0" customHeight="1">
      <x:c r="A10" s="5" t="str">
        <x:v>Assessment terminology</x:v>
      </x:c>
      <x:c r="B10" s="7" t="str">
        <x:v>Methodological concerns (D1-D7) and wearable applicability (D8) are assessed separately from REB. Historical source-tab identifiers are retained for traceability.</x:v>
      </x:c>
    </x:row>
    <x:row r="11" ht="34" hidden="0" customHeight="1">
      <x:c r="A11" s="5" t="str">
        <x:v>Configuration rule</x:v>
      </x:c>
      <x:c r="B11" s="7" t="str">
        <x:v>There are 81 recorded configurations: 80 eligible FDM/FFF configurations and the non-FDM comparator S090-C02, retained to prevent misattribution.</x:v>
      </x:c>
    </x:row>
    <x:row r="12" ht="15" hidden="0" customHeight="1">
      <x:c r="A12" s="5" t="str">
        <x:v>Important cautions</x:v>
      </x:c>
      <x:c r="B12" s="7" t="str">
        <x:v>S082/S084 may contain non-independent evidence. S090 contains FDM and non-FDM configurations. S091 cites ESI that is not in the current archive.</x:v>
      </x:c>
    </x:row>
    <x:row r="13" ht="15" hidden="0" customHeight="1">
      <x:c r="A13" s="5" t="str">
        <x:v>Workbook status</x:v>
      </x:c>
      <x:c r="B13" s="7" t="str">
        <x:v>Structural validation passed: 76 studies, 608 resolved REB decisions, 608 risk judgments and 13 exclusions.</x:v>
      </x:c>
    </x:row>
    <x:row r="14" ht="46" hidden="0" customHeight="1">
      <x:c r="A14" s="5" t="str">
        <x:v>Consensus provenance</x:v>
      </x:c>
      <x:c r="B14" s="7" t="str">
        <x:v>The final profiles use the finalized L7 decisions in Supplementary Data 4. Article-specific reasons and locators are retained in REB Coding.</x:v>
      </x:c>
    </x:row>
    <x:row r="15" ht="15" hidden="0" customHeight="1">
      <x:c r="A15" s="5"/>
      <x:c r="B15" s="7"/>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11.670000076293945" hidden="0" customWidth="1"/>
    <x:col min="3" max="3" width="21.110000610351562" hidden="0" customWidth="1"/>
    <x:col min="4" max="4" width="52.220001220703125" hidden="0" customWidth="1"/>
    <x:col min="5" max="5" width="7.21999979019165" hidden="0" customWidth="1"/>
    <x:col min="6" max="6" width="25.559999465942383" hidden="0" customWidth="1"/>
    <x:col min="7" max="7" width="22.780000686645508" hidden="0" customWidth="1"/>
    <x:col min="8" max="8" width="10" hidden="0" customWidth="1"/>
    <x:col min="9" max="9" width="68.88999938964844" hidden="0" customWidth="1"/>
    <x:col min="10" max="10" width="32.220001220703125" hidden="0" customWidth="1"/>
    <x:col min="11" max="11" width="13.329999923706055" hidden="0" customWidth="1"/>
  </x:cols>
  <x:sheetData>
    <x:row r="1" ht="24" hidden="0" customHeight="1">
      <x:c r="A1" s="11" t="str">
        <x:v>Synthesis ID</x:v>
      </x:c>
      <x:c r="B1" s="11" t="str">
        <x:v>Stable Study ID</x:v>
      </x:c>
      <x:c r="C1" s="11" t="str">
        <x:v>Citation</x:v>
      </x:c>
      <x:c r="D1" s="11" t="str">
        <x:v>Title</x:v>
      </x:c>
      <x:c r="E1" s="11" t="str">
        <x:v>Year</x:v>
      </x:c>
      <x:c r="F1" s="11" t="str">
        <x:v>Journal</x:v>
      </x:c>
      <x:c r="G1" s="11" t="str">
        <x:v>DOI</x:v>
      </x:c>
      <x:c r="H1" s="11" t="str">
        <x:v>Eligibility</x:v>
      </x:c>
      <x:c r="I1" s="11" t="str">
        <x:v>Study-level interpretation</x:v>
      </x:c>
      <x:c r="J1" s="11" t="str">
        <x:v>Evidence locator</x:v>
      </x:c>
      <x:c r="K1" s="11" t="str">
        <x:v>Authoritative source</x:v>
      </x:c>
    </x:row>
    <x:row r="2" ht="24" hidden="0" customHeight="1">
      <x:c r="A2" s="12" t="n">
        <x:v>1</x:v>
      </x:c>
      <x:c r="B2" s="12" t="str">
        <x:v>S001</x:v>
      </x:c>
      <x:c r="C2" s="12" t="str">
        <x:v>Leal-Junior et al. (2025)</x:v>
      </x:c>
      <x:c r="D2" s="12" t="str">
        <x:v>Fiber Bragg Grating Embedded 3D-Printed Insole with Commercial and Portable Reader for Stance Phase Determination</x:v>
      </x:c>
      <x:c r="E2" s="12" t="n">
        <x:v>2025</x:v>
      </x:c>
      <x:c r="F2" s="12" t="str">
        <x:v>Biosensors</x:v>
      </x:c>
      <x:c r="G2" s="12" t="str">
        <x:v>10.3390/bios15090623</x:v>
      </x:c>
      <x:c r="H2" s="12" t="str">
        <x:v>Include</x:v>
      </x:c>
      <x:c r="I2" s="12" t="str">
        <x:v>FFF TPU insole houses five silica FBGs for plantar-force and stance-phase measurement.</x:v>
      </x:c>
      <x:c r="J2" s="12" t="str">
        <x:v>PDF pp. 1-17</x:v>
      </x:c>
      <x:c r="K2" s="12" t="str">
        <x:v>Pilot</x:v>
      </x:c>
    </x:row>
    <x:row r="3" ht="24" hidden="0" customHeight="1">
      <x:c r="A3" s="12" t="n">
        <x:v>2</x:v>
      </x:c>
      <x:c r="B3" s="12" t="str">
        <x:v>S002</x:v>
      </x:c>
      <x:c r="C3" s="12" t="str">
        <x:v>Koukouviti et al. (2022)</x:v>
      </x:c>
      <x:c r="D3" s="12" t="str">
        <x:v>3D Printed Voltammetric Sensor Modified with an Fe(III)-Cluster for the Enzyme-Free Determination of Glucose in Sweat</x:v>
      </x:c>
      <x:c r="E3" s="12" t="n">
        <x:v>2022</x:v>
      </x:c>
      <x:c r="F3" s="12" t="str">
        <x:v>Biosensors</x:v>
      </x:c>
      <x:c r="G3" s="12" t="str">
        <x:v>10.3390/bios12121156</x:v>
      </x:c>
      <x:c r="H3" s="12" t="str">
        <x:v>Include</x:v>
      </x:c>
      <x:c r="I3" s="12" t="str">
        <x:v>CB-PLA FFF electrode modified with an Fe(III) cluster and Nafion for sweat-glucose voltammetry.</x:v>
      </x:c>
      <x:c r="J3" s="12" t="str">
        <x:v>Main PDF pp. 1-13; Supplement pp. 1-13</x:v>
      </x:c>
      <x:c r="K3" s="12" t="str">
        <x:v>Pilot</x:v>
      </x:c>
    </x:row>
    <x:row r="4" ht="24" hidden="0" customHeight="1">
      <x:c r="A4" s="12" t="n">
        <x:v>3</x:v>
      </x:c>
      <x:c r="B4" s="12" t="str">
        <x:v>S004</x:v>
      </x:c>
      <x:c r="C4" s="12" t="str">
        <x:v>Farid et al. (2025)</x:v>
      </x:c>
      <x:c r="D4" s="12" t="str">
        <x:v>High-Performance 3D Printed Thermoplastic Polyurethane Composite Resistive Flexible Strain Sensor</x:v>
      </x:c>
      <x:c r="E4" s="12" t="n">
        <x:v>2025</x:v>
      </x:c>
      <x:c r="F4" s="12" t="str">
        <x:v>Journal of Applied Polymer Science</x:v>
      </x:c>
      <x:c r="G4" s="12" t="str">
        <x:v>10.1002/app.56859</x:v>
      </x:c>
      <x:c r="H4" s="12" t="str">
        <x:v>Include</x:v>
      </x:c>
      <x:c r="I4" s="12" t="str">
        <x:v>Dual-material FDM TPU/E-TPU strain sensor tested on the body for hand, wrist, respiration, gait and squat signals.</x:v>
      </x:c>
      <x:c r="J4" s="12" t="str">
        <x:v>PDF pp. 2–13; Figs. 1–8</x:v>
      </x:c>
      <x:c r="K4" s="12" t="str">
        <x:v>Batch 01</x:v>
      </x:c>
    </x:row>
    <x:row r="5" ht="24" hidden="0" customHeight="1">
      <x:c r="A5" s="12" t="n">
        <x:v>4</x:v>
      </x:c>
      <x:c r="B5" s="12" t="str">
        <x:v>S005</x:v>
      </x:c>
      <x:c r="C5" s="12" t="str">
        <x:v>Tavares et al. (2022)</x:v>
      </x:c>
      <x:c r="D5" s="12" t="str">
        <x:v>Respiratory and heart rate monitoring using an FBG 3D-printed wearable system</x:v>
      </x:c>
      <x:c r="E5" s="12" t="n">
        <x:v>2022</x:v>
      </x:c>
      <x:c r="F5" s="12" t="str">
        <x:v>Biomedical Optics Express</x:v>
      </x:c>
      <x:c r="G5" s="12" t="str">
        <x:v>10.1364/BOE.452115</x:v>
      </x:c>
      <x:c r="H5" s="12" t="str">
        <x:v>Include</x:v>
      </x:c>
      <x:c r="I5" s="12" t="str">
        <x:v>FBG embedded during filament printing in a flexible chest-worn sensor; bench characterized and tested on three users.</x:v>
      </x:c>
      <x:c r="J5" s="12" t="str">
        <x:v>PDF pp. 3–11; Figs. 1–9; Tables 1–3</x:v>
      </x:c>
      <x:c r="K5" s="12" t="str">
        <x:v>Batch 01</x:v>
      </x:c>
    </x:row>
    <x:row r="6" ht="24" hidden="0" customHeight="1">
      <x:c r="A6" s="12" t="n">
        <x:v>5</x:v>
      </x:c>
      <x:c r="B6" s="12" t="str">
        <x:v>S007</x:v>
      </x:c>
      <x:c r="C6" s="12" t="str">
        <x:v>Velcescu et al. (2019)</x:v>
      </x:c>
      <x:c r="D6" s="12" t="str">
        <x:v>Flexible 3D-Printed EEG Electrodes</x:v>
      </x:c>
      <x:c r="E6" s="12" t="n">
        <x:v>2019</x:v>
      </x:c>
      <x:c r="F6" s="12" t="str">
        <x:v>Sensors</x:v>
      </x:c>
      <x:c r="G6" s="12" t="str">
        <x:v>10.3390/s19071650</x:v>
      </x:c>
      <x:c r="H6" s="12" t="str">
        <x:v>Include</x:v>
      </x:c>
      <x:c r="I6" s="12" t="str">
        <x:v>Nine FFF electrode geometries were compared for dry-EEG contact impedance, noise, and signal acquisition.</x:v>
      </x:c>
      <x:c r="J6" s="12" t="str">
        <x:v>PDF pp. 1-14</x:v>
      </x:c>
      <x:c r="K6" s="12" t="str">
        <x:v>Pilot</x:v>
      </x:c>
    </x:row>
    <x:row r="7" ht="24" hidden="0" customHeight="1">
      <x:c r="A7" s="12" t="n">
        <x:v>6</x:v>
      </x:c>
      <x:c r="B7" s="12" t="str">
        <x:v>S008</x:v>
      </x:c>
      <x:c r="C7" s="12" t="str">
        <x:v>Kim et al. (2022)</x:v>
      </x:c>
      <x:c r="D7" s="12" t="str">
        <x:v>3D designed battery-free wireless origami pressure sensor</x:v>
      </x:c>
      <x:c r="E7" s="12" t="n">
        <x:v>2022</x:v>
      </x:c>
      <x:c r="F7" s="12" t="str">
        <x:v>Microsystems &amp; Nanoengineering</x:v>
      </x:c>
      <x:c r="G7" s="12" t="str">
        <x:v>10.1038/s41378-022-00465-0</x:v>
      </x:c>
      <x:c r="H7" s="12" t="str">
        <x:v>Include</x:v>
      </x:c>
      <x:c r="I7" s="12" t="str">
        <x:v>FFF TPU insole architecture is an essential load-transfer element of a wireless plantar-pressure sensor tested as a complete insole.</x:v>
      </x:c>
      <x:c r="J7" s="12" t="str">
        <x:v>PDF pp. 5–10; Figs. 3–5</x:v>
      </x:c>
      <x:c r="K7" s="12" t="str">
        <x:v>Batch 01</x:v>
      </x:c>
    </x:row>
    <x:row r="8" ht="24" hidden="0" customHeight="1">
      <x:c r="A8" s="12" t="n">
        <x:v>7</x:v>
      </x:c>
      <x:c r="B8" s="12" t="str">
        <x:v>S010</x:v>
      </x:c>
      <x:c r="C8" s="12" t="str">
        <x:v>Mutlu et al. (2023)</x:v>
      </x:c>
      <x:c r="D8" s="12" t="str">
        <x:v>A 3D-Printed Soft Haptic Device with Built-in Force Sensing Delivering Bio-Mimicked Feedback</x:v>
      </x:c>
      <x:c r="E8" s="12" t="n">
        <x:v>2023</x:v>
      </x:c>
      <x:c r="F8" s="12" t="str">
        <x:v>Biomimetics</x:v>
      </x:c>
      <x:c r="G8" s="12" t="str">
        <x:v>10.3390/biomimetics8010127</x:v>
      </x:c>
      <x:c r="H8" s="12" t="str">
        <x:v>Include</x:v>
      </x:c>
      <x:c r="I8" s="12" t="str">
        <x:v>Monolithic FDM soft actuator and resistive force sensor were characterized and worn on the wrist in two-person feedback tasks.</x:v>
      </x:c>
      <x:c r="J8" s="12" t="str">
        <x:v>PDF pp. 3–16; Figs. 1–13; Appendix A</x:v>
      </x:c>
      <x:c r="K8" s="12" t="str">
        <x:v>Batch 01</x:v>
      </x:c>
    </x:row>
    <x:row r="9" ht="24" hidden="0" customHeight="1">
      <x:c r="A9" s="12" t="n">
        <x:v>8</x:v>
      </x:c>
      <x:c r="B9" s="12" t="str">
        <x:v>S011</x:v>
      </x:c>
      <x:c r="C9" s="12" t="str">
        <x:v>Samarentsis et al. (2022)</x:v>
      </x:c>
      <x:c r="D9" s="12" t="str">
        <x:v>A 3D-Printed Capacitive Smart Insole for Plantar Pressure Monitoring</x:v>
      </x:c>
      <x:c r="E9" s="12" t="n">
        <x:v>2022</x:v>
      </x:c>
      <x:c r="F9" s="12" t="str">
        <x:v>Sensors</x:v>
      </x:c>
      <x:c r="G9" s="12" t="str">
        <x:v>10.3390/s22249725</x:v>
      </x:c>
      <x:c r="H9" s="12" t="str">
        <x:v>Include</x:v>
      </x:c>
      <x:c r="I9" s="12" t="str">
        <x:v>Sixteen FFF capacitive sensors were integrated into a flexible insole and evaluated on bench and on one participant.</x:v>
      </x:c>
      <x:c r="J9" s="12" t="str">
        <x:v>PDF pp. 1-18</x:v>
      </x:c>
      <x:c r="K9" s="12" t="str">
        <x:v>Pilot</x:v>
      </x:c>
    </x:row>
    <x:row r="10" ht="24" hidden="0" customHeight="1">
      <x:c r="A10" s="12" t="n">
        <x:v>9</x:v>
      </x:c>
      <x:c r="B10" s="12" t="str">
        <x:v>S012</x:v>
      </x:c>
      <x:c r="C10" s="12" t="str">
        <x:v>Wolterink et al. (2020)</x:v>
      </x:c>
      <x:c r="D10" s="12" t="str">
        <x:v>Development of Soft sEMG Sensing Structures Using 3D-Printing Technologies</x:v>
      </x:c>
      <x:c r="E10" s="12" t="n">
        <x:v>2020</x:v>
      </x:c>
      <x:c r="F10" s="12" t="str">
        <x:v>Sensors</x:v>
      </x:c>
      <x:c r="G10" s="12" t="str">
        <x:v>10.3390/s20154292</x:v>
      </x:c>
      <x:c r="H10" s="12" t="str">
        <x:v>Include</x:v>
      </x:c>
      <x:c r="I10" s="12" t="str">
        <x:v>FDM carbon-black/TPU dry electrodes and an eight-electrode band were compared with Ag/AgCl electrodes on volunteers.</x:v>
      </x:c>
      <x:c r="J10" s="12" t="str">
        <x:v>PDF pp. 4–14; Figs. 1–17; Tables 2–3</x:v>
      </x:c>
      <x:c r="K10" s="12" t="str">
        <x:v>Batch 01</x:v>
      </x:c>
    </x:row>
    <x:row r="11" ht="24" hidden="0" customHeight="1">
      <x:c r="A11" s="12" t="n">
        <x:v>10</x:v>
      </x:c>
      <x:c r="B11" s="12" t="str">
        <x:v>S013</x:v>
      </x:c>
      <x:c r="C11" s="12" t="str">
        <x:v>Poulladofonou et al. (2022)</x:v>
      </x:c>
      <x:c r="D11" s="12" t="str">
        <x:v>Wearable Electronic Finger for Date Rape Drugs Screening: From Do-It-Yourself Fabrication to Self-Testing</x:v>
      </x:c>
      <x:c r="E11" s="12" t="n">
        <x:v>2022</x:v>
      </x:c>
      <x:c r="F11" s="12" t="str">
        <x:v>Analytical Chemistry</x:v>
      </x:c>
      <x:c r="G11" s="12" t="str">
        <x:v>10.1021/acs.analchem.2c00015</x:v>
      </x:c>
      <x:c r="H11" s="12" t="str">
        <x:v>Include</x:v>
      </x:c>
      <x:c r="I11" s="12" t="str">
        <x:v>Dual-extrusion wearable e-finger integrates printed electrodes and a TPU holder and was worn during beverage measurements.</x:v>
      </x:c>
      <x:c r="J11" s="12" t="str">
        <x:v>PDF pp. 3–7; Figs. 1–6; Table 1; cited SI</x:v>
      </x:c>
      <x:c r="K11" s="12" t="str">
        <x:v>Batch 01</x:v>
      </x:c>
    </x:row>
    <x:row r="12" ht="24" hidden="0" customHeight="1">
      <x:c r="A12" s="12" t="n">
        <x:v>11</x:v>
      </x:c>
      <x:c r="B12" s="12" t="str">
        <x:v>S014</x:v>
      </x:c>
      <x:c r="C12" s="12" t="str">
        <x:v>Dimo et al. (2025)</x:v>
      </x:c>
      <x:c r="D12" s="12" t="str">
        <x:v>3D-Printed Wearable Sensors for the Identification of Shoulder Movement Planes</x:v>
      </x:c>
      <x:c r="E12" s="12" t="n">
        <x:v>2025</x:v>
      </x:c>
      <x:c r="F12" s="12" t="str">
        <x:v>Sensors</x:v>
      </x:c>
      <x:c r="G12" s="12" t="str">
        <x:v>10.3390/s25185853</x:v>
      </x:c>
      <x:c r="H12" s="12" t="str">
        <x:v>Include</x:v>
      </x:c>
      <x:c r="I12" s="12" t="str">
        <x:v>FBGs embedded in filament-printed TPU sensors were characterized and applied to eight volunteers for shoulder-motion tests.</x:v>
      </x:c>
      <x:c r="J12" s="12" t="str">
        <x:v>PDF pp. 4–15; Figs. 1–10; Tables 1–2</x:v>
      </x:c>
      <x:c r="K12" s="12" t="str">
        <x:v>Batch 01</x:v>
      </x:c>
    </x:row>
    <x:row r="13" ht="24" hidden="0" customHeight="1">
      <x:c r="A13" s="12" t="n">
        <x:v>12</x:v>
      </x:c>
      <x:c r="B13" s="12" t="str">
        <x:v>S015</x:v>
      </x:c>
      <x:c r="C13" s="12" t="str">
        <x:v>Farook et al. (2023)</x:v>
      </x:c>
      <x:c r="D13" s="12" t="str">
        <x:v>A 3D printed electronic wearable device to generate vertical, horizontal and phono-articulatory jaw movement parameters</x:v>
      </x:c>
      <x:c r="E13" s="12" t="n">
        <x:v>2023</x:v>
      </x:c>
      <x:c r="F13" s="12" t="str">
        <x:v>PLOS ONE</x:v>
      </x:c>
      <x:c r="G13" s="12" t="str">
        <x:v>10.1371/journal.pone.0290497</x:v>
      </x:c>
      <x:c r="H13" s="12" t="str">
        <x:v>Include</x:v>
      </x:c>
      <x:c r="I13" s="12" t="str">
        <x:v>FDM PLA headgear provides the geometry and load transfer for flex and inertial sensors and was tested on two volunteers.</x:v>
      </x:c>
      <x:c r="J13" s="12" t="str">
        <x:v>PDF pp. 3–11; Figs. 1–6; Table 1</x:v>
      </x:c>
      <x:c r="K13" s="12" t="str">
        <x:v>Batch 01</x:v>
      </x:c>
    </x:row>
    <x:row r="14" ht="24" hidden="0" customHeight="1">
      <x:c r="A14" s="12" t="n">
        <x:v>13</x:v>
      </x:c>
      <x:c r="B14" s="12" t="str">
        <x:v>S017</x:v>
      </x:c>
      <x:c r="C14" s="12" t="str">
        <x:v>Zhang and Ma (2025)</x:v>
      </x:c>
      <x:c r="D14" s="12" t="str">
        <x:v>A Triboelectric Nanogenerator Based on TPU/PLA for Basketball Motion Monitoring</x:v>
      </x:c>
      <x:c r="E14" s="12" t="n">
        <x:v>2025</x:v>
      </x:c>
      <x:c r="F14" s="12" t="str">
        <x:v>ChemistryOpen</x:v>
      </x:c>
      <x:c r="G14" s="12" t="str">
        <x:v>10.1002/open.202400241</x:v>
      </x:c>
      <x:c r="H14" s="12" t="str">
        <x:v>Include</x:v>
      </x:c>
      <x:c r="I14" s="12" t="str">
        <x:v>TPU/PLA/carbon triboelectric film used for motion-related signal demonstrations.</x:v>
      </x:c>
      <x:c r="J14" s="12" t="str">
        <x:v>PDF pp. 1-6</x:v>
      </x:c>
      <x:c r="K14" s="12" t="str">
        <x:v>Pilot</x:v>
      </x:c>
    </x:row>
    <x:row r="15" ht="24" hidden="0" customHeight="1">
      <x:c r="A15" s="12" t="n">
        <x:v>14</x:v>
      </x:c>
      <x:c r="B15" s="12" t="str">
        <x:v>S018</x:v>
      </x:c>
      <x:c r="C15" s="12" t="str">
        <x:v>Vu et al. (2025)</x:v>
      </x:c>
      <x:c r="D15" s="12" t="str">
        <x:v>3D-Printed Insole for Measuring Ground Reaction Force and Center of Pressure During Walking</x:v>
      </x:c>
      <x:c r="E15" s="12" t="n">
        <x:v>2025</x:v>
      </x:c>
      <x:c r="F15" s="12" t="str">
        <x:v>Sensors</x:v>
      </x:c>
      <x:c r="G15" s="12" t="str">
        <x:v>10.3390/s25082524</x:v>
      </x:c>
      <x:c r="H15" s="12" t="str">
        <x:v>Include</x:v>
      </x:c>
      <x:c r="I15" s="12" t="str">
        <x:v>FDM TPU pneumatic chambers and conduits form the essential load-responsive insole structure; the complete insole was worn during force-plate walking tests.</x:v>
      </x:c>
      <x:c r="J15" s="12" t="str">
        <x:v>PDF pp. 3–11; Figs. 1–6; Table 1</x:v>
      </x:c>
      <x:c r="K15" s="12" t="str">
        <x:v>Batch 02</x:v>
      </x:c>
    </x:row>
    <x:row r="16" ht="24" hidden="0" customHeight="1">
      <x:c r="A16" s="12" t="n">
        <x:v>15</x:v>
      </x:c>
      <x:c r="B16" s="12" t="str">
        <x:v>S019</x:v>
      </x:c>
      <x:c r="C16" s="12" t="str">
        <x:v>Vu et al. (2021)</x:v>
      </x:c>
      <x:c r="D16" s="12" t="str">
        <x:v>Effects of 3D Printing-Line Directions for Stretchable Sensor Performances</x:v>
      </x:c>
      <x:c r="E16" s="12" t="n">
        <x:v>2021</x:v>
      </x:c>
      <x:c r="F16" s="12" t="str">
        <x:v>Materials</x:v>
      </x:c>
      <x:c r="G16" s="12" t="str">
        <x:v>10.3390/ma14071791</x:v>
      </x:c>
      <x:c r="H16" s="12" t="str">
        <x:v>Include</x:v>
      </x:c>
      <x:c r="I16" s="12" t="str">
        <x:v>CNT/TPU is directly FDM printed as the resistive sensing element and demonstrated in a finger-motion wearable system.</x:v>
      </x:c>
      <x:c r="J16" s="12" t="str">
        <x:v>PDF pp. 2–8; Figs. 1–7</x:v>
      </x:c>
      <x:c r="K16" s="12" t="str">
        <x:v>Batch 02</x:v>
      </x:c>
    </x:row>
    <x:row r="17" ht="24" hidden="0" customHeight="1">
      <x:c r="A17" s="12" t="n">
        <x:v>16</x:v>
      </x:c>
      <x:c r="B17" s="12" t="str">
        <x:v>S020</x:v>
      </x:c>
      <x:c r="C17" s="12" t="str">
        <x:v>Langlois et al. (2021)</x:v>
      </x:c>
      <x:c r="D17" s="12" t="str">
        <x:v>Integration of 3D Printed Flexible Pressure Sensors into Physical Interfaces for Wearable Robots</x:v>
      </x:c>
      <x:c r="E17" s="12" t="n">
        <x:v>2021</x:v>
      </x:c>
      <x:c r="F17" s="12" t="str">
        <x:v>Sensors</x:v>
      </x:c>
      <x:c r="G17" s="12" t="str">
        <x:v>10.3390/s21062157</x:v>
      </x:c>
      <x:c r="H17" s="12" t="str">
        <x:v>Include</x:v>
      </x:c>
      <x:c r="I17" s="12" t="str">
        <x:v>FFF TPU capacitive pressure sensors were bench characterized, integrated into an upper-arm robot interface, and calibrated on seven participants.</x:v>
      </x:c>
      <x:c r="J17" s="12" t="str">
        <x:v>PDF pp. 5–14; Figs. 5–12</x:v>
      </x:c>
      <x:c r="K17" s="12" t="str">
        <x:v>Batch 02</x:v>
      </x:c>
    </x:row>
    <x:row r="18" ht="24" hidden="0" customHeight="1">
      <x:c r="A18" s="12" t="n">
        <x:v>17</x:v>
      </x:c>
      <x:c r="B18" s="12" t="str">
        <x:v>S021</x:v>
      </x:c>
      <x:c r="C18" s="12" t="str">
        <x:v>Li et al. (2026)</x:v>
      </x:c>
      <x:c r="D18" s="12" t="str">
        <x:v>A Flexible Wearable Data Glove Based on Hybrid Fiber-Optic Sensing for Hand Motion Monitoring</x:v>
      </x:c>
      <x:c r="E18" s="12" t="n">
        <x:v>2026</x:v>
      </x:c>
      <x:c r="F18" s="12" t="str">
        <x:v>Materials</x:v>
      </x:c>
      <x:c r="G18" s="12" t="str">
        <x:v>10.3390/ma19081525</x:v>
      </x:c>
      <x:c r="H18" s="12" t="str">
        <x:v>Include</x:v>
      </x:c>
      <x:c r="I18" s="12" t="str">
        <x:v>The FDM TPU skeleton is an essential mechanical carrier that fixes and decouples the optical sensors from skin strain; the assembled glove was tested after removal and re-wearing.</x:v>
      </x:c>
      <x:c r="J18" s="12" t="str">
        <x:v>PDF pp. 3–12; Figs. 1–8; Table 1</x:v>
      </x:c>
      <x:c r="K18" s="12" t="str">
        <x:v>Batch 02</x:v>
      </x:c>
    </x:row>
    <x:row r="19" ht="24" hidden="0" customHeight="1">
      <x:c r="A19" s="12" t="n">
        <x:v>18</x:v>
      </x:c>
      <x:c r="B19" s="12" t="str">
        <x:v>S022</x:v>
      </x:c>
      <x:c r="C19" s="12" t="str">
        <x:v>Yan et al. (2025)</x:v>
      </x:c>
      <x:c r="D19" s="12" t="str">
        <x:v>Additive Manufactured Programmable Scaffold Sensor Based on Triply Periodic Minimal Surfaces for Broad-Spectrum Pressure Detection</x:v>
      </x:c>
      <x:c r="E19" s="12" t="n">
        <x:v>2025</x:v>
      </x:c>
      <x:c r="F19" s="12" t="str">
        <x:v>ACS Applied Materials &amp; Interfaces</x:v>
      </x:c>
      <x:c r="G19" s="12" t="str">
        <x:v>10.1021/acsami.5c11880</x:v>
      </x:c>
      <x:c r="H19" s="12" t="str">
        <x:v>Include</x:v>
      </x:c>
      <x:c r="I19" s="12" t="str">
        <x:v>FDM TPU TPMS scaffolds were carbon-black impregnated to form piezoresistive sensors and demonstrated for body motion, plantar pressure, and gait.</x:v>
      </x:c>
      <x:c r="J19" s="12" t="str">
        <x:v>PDF pp. 1–9; Figs. 1–6; cited SI</x:v>
      </x:c>
      <x:c r="K19" s="12" t="str">
        <x:v>Batch 02</x:v>
      </x:c>
    </x:row>
    <x:row r="20" ht="24" hidden="0" customHeight="1">
      <x:c r="A20" s="12" t="n">
        <x:v>19</x:v>
      </x:c>
      <x:c r="B20" s="12" t="str">
        <x:v>S023</x:v>
      </x:c>
      <x:c r="C20" s="12" t="str">
        <x:v>Salo et al. (2022)</x:v>
      </x:c>
      <x:c r="D20" s="12" t="str">
        <x:v>Electromechanical Properties of 3D-Printed Stretchable Carbon Fiber Composites</x:v>
      </x:c>
      <x:c r="E20" s="12" t="n">
        <x:v>2022</x:v>
      </x:c>
      <x:c r="F20" s="12" t="str">
        <x:v>Micromachines</x:v>
      </x:c>
      <x:c r="G20" s="12" t="str">
        <x:v>10.3390/mi13101732</x:v>
      </x:c>
      <x:c r="H20" s="12" t="str">
        <x:v>Include</x:v>
      </x:c>
      <x:c r="I20" s="12" t="str">
        <x:v>FFF TPU matrices with embedded carbon-fibre cloth were tested as strain-sensing components under a protocol explicitly designed for clothing-integrated wearable components.</x:v>
      </x:c>
      <x:c r="J20" s="12" t="str">
        <x:v>PDF pp. 3–16; Figs. 2–10; Tables 1–2</x:v>
      </x:c>
      <x:c r="K20" s="12" t="str">
        <x:v>Batch 02</x:v>
      </x:c>
    </x:row>
    <x:row r="21" ht="24" hidden="0" customHeight="1">
      <x:c r="A21" s="12" t="n">
        <x:v>20</x:v>
      </x:c>
      <x:c r="B21" s="12" t="str">
        <x:v>S024</x:v>
      </x:c>
      <x:c r="C21" s="12" t="str">
        <x:v>Han et al. (2026)</x:v>
      </x:c>
      <x:c r="D21" s="12" t="str">
        <x:v>Geometry-engineered hourglass-shaped cracks enable wide-linearity wearable strain sensors</x:v>
      </x:c>
      <x:c r="E21" s="12" t="n">
        <x:v>2026</x:v>
      </x:c>
      <x:c r="F21" s="12" t="str">
        <x:v>Materials Horizons</x:v>
      </x:c>
      <x:c r="G21" s="12" t="str">
        <x:v>10.1039/d6mh00123h</x:v>
      </x:c>
      <x:c r="H21" s="12" t="str">
        <x:v>Include</x:v>
      </x:c>
      <x:c r="I21" s="12" t="str">
        <x:v>Conductive TPU precursor films were FDM printed, patterned and encapsulated as strain sensors, then tested on multiple body sites.</x:v>
      </x:c>
      <x:c r="J21" s="12" t="str">
        <x:v>PDF pp. 2–11; Figs. 1–6; cited SI</x:v>
      </x:c>
      <x:c r="K21" s="12" t="str">
        <x:v>Batch 02</x:v>
      </x:c>
    </x:row>
    <x:row r="22" ht="24" hidden="0" customHeight="1">
      <x:c r="A22" s="12" t="n">
        <x:v>21</x:v>
      </x:c>
      <x:c r="B22" s="12" t="str">
        <x:v>S025</x:v>
      </x:c>
      <x:c r="C22" s="12" t="str">
        <x:v>Wei et al. (2026)</x:v>
      </x:c>
      <x:c r="D22" s="12" t="str">
        <x:v>3D-Printed Hollow Microneedle Potentiometric Sensors: A Modular Approach</x:v>
      </x:c>
      <x:c r="E22" s="12" t="n">
        <x:v>2026</x:v>
      </x:c>
      <x:c r="F22" s="12" t="str">
        <x:v>ACS Sensors</x:v>
      </x:c>
      <x:c r="G22" s="12" t="str">
        <x:v>10.1021/acssensors.6c01291</x:v>
      </x:c>
      <x:c r="H22" s="12" t="str">
        <x:v>Include</x:v>
      </x:c>
      <x:c r="I22" s="12" t="str">
        <x:v>Conductive CB-PLA pillar electrodes were FFF printed and integrated into a wearable hollow-microneedle pH patch with in-vitro and ex-vivo validation.</x:v>
      </x:c>
      <x:c r="J22" s="12" t="str">
        <x:v>PDF pp. 2–10; Figs. 1–6; Table 1; cited SI</x:v>
      </x:c>
      <x:c r="K22" s="12" t="str">
        <x:v>Batch 02</x:v>
      </x:c>
    </x:row>
    <x:row r="23" ht="36" hidden="0" customHeight="1">
      <x:c r="A23" s="12" t="n">
        <x:v>22</x:v>
      </x:c>
      <x:c r="B23" s="12" t="str">
        <x:v>S028</x:v>
      </x:c>
      <x:c r="C23" s="12" t="str">
        <x:v>Gothard et al. (2023)</x:v>
      </x:c>
      <x:c r="D23" s="12" t="str">
        <x:v>Dynamic Characterization of a Low-Cost Fully and Continuously 3D Printed Capacitive Pressure-Sensing System for Plantar Pressure Measurements</x:v>
      </x:c>
      <x:c r="E23" s="12" t="n">
        <x:v>2023</x:v>
      </x:c>
      <x:c r="F23" s="12" t="str">
        <x:v>Sensors</x:v>
      </x:c>
      <x:c r="G23" s="12" t="str">
        <x:v>10.3390/s23198209</x:v>
      </x:c>
      <x:c r="H23" s="12" t="str">
        <x:v>Include</x:v>
      </x:c>
      <x:c r="I23" s="12" t="str">
        <x:v>The conductive plates and TPU dielectric are continuously FDM printed as the capacitive sensing element. The device is specifically designed and dynamically tested over pressure and frequency ranges selected for plantar-pressure insoles; no complete insole was tested.</x:v>
      </x:c>
      <x:c r="J23" s="12" t="str">
        <x:v>PDF pp. 4–17; Figs. 1–10; Tables 1–4</x:v>
      </x:c>
      <x:c r="K23" s="12" t="str">
        <x:v>Batch 03</x:v>
      </x:c>
    </x:row>
    <x:row r="24" ht="24" hidden="0" customHeight="1">
      <x:c r="A24" s="12" t="n">
        <x:v>23</x:v>
      </x:c>
      <x:c r="B24" s="12" t="str">
        <x:v>S029</x:v>
      </x:c>
      <x:c r="C24" s="12" t="str">
        <x:v>Özkurt et al. (2026)</x:v>
      </x:c>
      <x:c r="D24" s="12" t="str">
        <x:v>Geometrically Optimized FDM-Printed Conductive TPU Bend Sensors for Hand Rehabilitation</x:v>
      </x:c>
      <x:c r="E24" s="12" t="n">
        <x:v>2026</x:v>
      </x:c>
      <x:c r="F24" s="12" t="str">
        <x:v>Sensors</x:v>
      </x:c>
      <x:c r="G24" s="12" t="str">
        <x:v>10.3390/s26082309</x:v>
      </x:c>
      <x:c r="H24" s="12" t="str">
        <x:v>Include</x:v>
      </x:c>
      <x:c r="I24" s="12" t="str">
        <x:v>Conductive TPU is directly FDM printed as the bend-sensing element. Bench tests include manufacturing consistency, cyclic response and a prototype rehabilitation glove demonstration.</x:v>
      </x:c>
      <x:c r="J24" s="12" t="str">
        <x:v>PDF pp. 4–23; Figs. 3–17; Tables 2–7</x:v>
      </x:c>
      <x:c r="K24" s="12" t="str">
        <x:v>Batch 03</x:v>
      </x:c>
    </x:row>
    <x:row r="25" ht="36" hidden="0" customHeight="1">
      <x:c r="A25" s="12" t="n">
        <x:v>24</x:v>
      </x:c>
      <x:c r="B25" s="12" t="str">
        <x:v>S031</x:v>
      </x:c>
      <x:c r="C25" s="12" t="str">
        <x:v>Rivera et al. (2022)</x:v>
      </x:c>
      <x:c r="D25" s="12" t="str">
        <x:v>A 3D-Printed Knee Wearable Goniometer with a Mobile-App Interface for Measuring Range of Motion and Monitoring Activities</x:v>
      </x:c>
      <x:c r="E25" s="12" t="n">
        <x:v>2022</x:v>
      </x:c>
      <x:c r="F25" s="12" t="str">
        <x:v>Sensors</x:v>
      </x:c>
      <x:c r="G25" s="12" t="str">
        <x:v>10.3390/s22030763</x:v>
      </x:c>
      <x:c r="H25" s="12" t="str">
        <x:v>Include</x:v>
      </x:c>
      <x:c r="I25" s="12" t="str">
        <x:v>The FDM ABS structure is an essential alignment and load-transfer frame for the Hall-effect knee goniometer. The complete strapped wearable was compared with reference systems in nine participants.</x:v>
      </x:c>
      <x:c r="J25" s="12" t="str">
        <x:v>PDF pp. 3–12; Figs. 1–9; Tables 1–3; Appendix A</x:v>
      </x:c>
      <x:c r="K25" s="12" t="str">
        <x:v>Batch 03</x:v>
      </x:c>
    </x:row>
    <x:row r="26" ht="24" hidden="0" customHeight="1">
      <x:c r="A26" s="12" t="n">
        <x:v>25</x:v>
      </x:c>
      <x:c r="B26" s="12" t="str">
        <x:v>S032</x:v>
      </x:c>
      <x:c r="C26" s="12" t="str">
        <x:v>Liu et al. (2021)</x:v>
      </x:c>
      <x:c r="D26" s="12" t="str">
        <x:v>Simultaneous Measurements of Tissue Blood Flow and Oxygenation Using a Wearable Fiber-Free Optical Sensor</x:v>
      </x:c>
      <x:c r="E26" s="12" t="n">
        <x:v>2021</x:v>
      </x:c>
      <x:c r="F26" s="12" t="str">
        <x:v>Journal of Biomedical Optics</x:v>
      </x:c>
      <x:c r="G26" s="12" t="str">
        <x:v>10.1117/1.JBO.26.1.012705</x:v>
      </x:c>
      <x:c r="H26" s="12" t="str">
        <x:v>Include</x:v>
      </x:c>
      <x:c r="I26" s="12" t="str">
        <x:v>A 3D-printed opaque PLA probe fixes two laser diodes, a camera and source–detector geometry essential to optical transduction. The probe was taped to the forearm and tested in five adults.</x:v>
      </x:c>
      <x:c r="J26" s="12" t="str">
        <x:v>PDF pp. 3–10; Figs. 1–8</x:v>
      </x:c>
      <x:c r="K26" s="12" t="str">
        <x:v>Batch 03</x:v>
      </x:c>
    </x:row>
    <x:row r="27" ht="24" hidden="0" customHeight="1">
      <x:c r="A27" s="12" t="n">
        <x:v>26</x:v>
      </x:c>
      <x:c r="B27" s="12" t="str">
        <x:v>S033</x:v>
      </x:c>
      <x:c r="C27" s="12" t="str">
        <x:v>Yu et al. (2020)</x:v>
      </x:c>
      <x:c r="D27" s="12" t="str">
        <x:v>Highly Sensitive Flexible Piezoresistive Sensor with 3D Conductive Network</x:v>
      </x:c>
      <x:c r="E27" s="12" t="n">
        <x:v>2020</x:v>
      </x:c>
      <x:c r="F27" s="12" t="str">
        <x:v>ACS Applied Materials &amp; Interfaces</x:v>
      </x:c>
      <x:c r="G27" s="12" t="str">
        <x:v>10.1021/acsami.0c09552</x:v>
      </x:c>
      <x:c r="H27" s="12" t="str">
        <x:v>Include</x:v>
      </x:c>
      <x:c r="I27" s="12" t="str">
        <x:v>The TPE network is directly FDM printed, coated with CNTs and thermally treated to form the active piezoresistive structure. Sensors were demonstrated on the elbow, throat and face.</x:v>
      </x:c>
      <x:c r="J27" s="12" t="str">
        <x:v>PDF pp. 2–7; Figs. 1–5; cited SI</x:v>
      </x:c>
      <x:c r="K27" s="12" t="str">
        <x:v>Batch 03</x:v>
      </x:c>
    </x:row>
    <x:row r="28" ht="24" hidden="0" customHeight="1">
      <x:c r="A28" s="12" t="n">
        <x:v>27</x:v>
      </x:c>
      <x:c r="B28" s="12" t="str">
        <x:v>S034</x:v>
      </x:c>
      <x:c r="C28" s="12" t="str">
        <x:v>Zhang et al. (2026)</x:v>
      </x:c>
      <x:c r="D28" s="12" t="str">
        <x:v>Reusable 3D-Printed Microfluidic-on-Fabric with Modular Electrodes for Point-of-Care Na+ and K+ Detection in Various Biofluids</x:v>
      </x:c>
      <x:c r="E28" s="12" t="n">
        <x:v>2026</x:v>
      </x:c>
      <x:c r="F28" s="12" t="str">
        <x:v>Analytical and Bioanalytical Chemistry</x:v>
      </x:c>
      <x:c r="G28" s="12" t="str">
        <x:v>10.1007/s00216-026-06569-0</x:v>
      </x:c>
      <x:c r="H28" s="12" t="str">
        <x:v>Include</x:v>
      </x:c>
      <x:c r="I28" s="12" t="str">
        <x:v>The FDM ABS microfluidic-on-fabric component performs essential sample collection and delivery to modular ion-selective electrodes. The complete platform was tested with sweat and repeated washing.</x:v>
      </x:c>
      <x:c r="J28" s="12" t="str">
        <x:v>PDF pp. 2–9; Figs. 1–5; cited SI</x:v>
      </x:c>
      <x:c r="K28" s="12" t="str">
        <x:v>Batch 03</x:v>
      </x:c>
    </x:row>
    <x:row r="29" ht="24" hidden="0" customHeight="1">
      <x:c r="A29" s="12" t="n">
        <x:v>28</x:v>
      </x:c>
      <x:c r="B29" s="12" t="str">
        <x:v>S035</x:v>
      </x:c>
      <x:c r="C29" s="12" t="str">
        <x:v>Katseli et al. (2021)</x:v>
      </x:c>
      <x:c r="D29" s="12" t="str">
        <x:v>Smartphone-Addressable 3D-Printed Electrochemical Ring for Nonenzymatic Self-Monitoring of Glucose in Human Sweat</x:v>
      </x:c>
      <x:c r="E29" s="12" t="n">
        <x:v>2021</x:v>
      </x:c>
      <x:c r="F29" s="12" t="str">
        <x:v>Analytical Chemistry</x:v>
      </x:c>
      <x:c r="G29" s="12" t="str">
        <x:v>10.1021/acs.analchem.0c05057</x:v>
      </x:c>
      <x:c r="H29" s="12" t="str">
        <x:v>Include</x:v>
      </x:c>
      <x:c r="I29" s="12" t="str">
        <x:v>Carbon-loaded electrodes and a flexible TPU ring holder are produced in one dual-extrusion FDM process. The complete ring was characterized across devices and used on one volunteer.</x:v>
      </x:c>
      <x:c r="J29" s="12" t="str">
        <x:v>PDF pp. 1–5; Figs. 1–4; cited SI</x:v>
      </x:c>
      <x:c r="K29" s="12" t="str">
        <x:v>Batch 03</x:v>
      </x:c>
    </x:row>
    <x:row r="30" ht="36" hidden="0" customHeight="1">
      <x:c r="A30" s="12" t="n">
        <x:v>29</x:v>
      </x:c>
      <x:c r="B30" s="12" t="str">
        <x:v>S036</x:v>
      </x:c>
      <x:c r="C30" s="12" t="str">
        <x:v>Xuan et al. (2026)</x:v>
      </x:c>
      <x:c r="D30" s="12" t="str">
        <x:v>Fully 3D-Printed Analytical Device Based on a Novel Floating Electrode Mechanism for Sweat Rate Acquisition</x:v>
      </x:c>
      <x:c r="E30" s="12" t="n">
        <x:v>2026</x:v>
      </x:c>
      <x:c r="F30" s="12" t="str">
        <x:v>ACS Measurement Science Au</x:v>
      </x:c>
      <x:c r="G30" s="12" t="str">
        <x:v>10.1021/acsmeasuresciau.6c00056</x:v>
      </x:c>
      <x:c r="H30" s="12" t="str">
        <x:v>Include</x:v>
      </x:c>
      <x:c r="I30" s="12" t="str">
        <x:v>Conductive CB-PLA electrodes, insulating PLA and the microfluidic channel are fabricated in a single multimaterial FFF process. The device was validated off-body and on two participants during iontophoresis and cycling.</x:v>
      </x:c>
      <x:c r="J30" s="12" t="str">
        <x:v>PDF pp. 2–11; Figs. 1–6; cited SI</x:v>
      </x:c>
      <x:c r="K30" s="12" t="str">
        <x:v>Batch 03</x:v>
      </x:c>
    </x:row>
    <x:row r="31" ht="36" hidden="0" customHeight="1">
      <x:c r="A31" s="12" t="n">
        <x:v>30</x:v>
      </x:c>
      <x:c r="B31" s="12" t="str">
        <x:v>S037</x:v>
      </x:c>
      <x:c r="C31" s="12" t="str">
        <x:v>Wolterink et al. (2021)</x:v>
      </x:c>
      <x:c r="D31" s="12" t="str">
        <x:v>A 3D-Printed Soft Fingertip Sensor for Providing Information about Normal and Shear Components of Interaction Forces</x:v>
      </x:c>
      <x:c r="E31" s="12" t="n">
        <x:v>2021</x:v>
      </x:c>
      <x:c r="F31" s="12" t="str">
        <x:v>Sensors</x:v>
      </x:c>
      <x:c r="G31" s="12" t="str">
        <x:v>10.3390/s21134271</x:v>
      </x:c>
      <x:c r="H31" s="12" t="str">
        <x:v>Include</x:v>
      </x:c>
      <x:c r="I31" s="12" t="str">
        <x:v>Conductive and insulating TPU plus PETG are printed together as a fingertip force-sensing structure. Two configurations were tested on an anatomically motivated fingertip phantom; no human-worn test was performed.</x:v>
      </x:c>
      <x:c r="J31" s="12" t="str">
        <x:v>PDF pp. 1–10; Figs. 1–16</x:v>
      </x:c>
      <x:c r="K31" s="12" t="str">
        <x:v>Batch 03</x:v>
      </x:c>
    </x:row>
    <x:row r="32" ht="24" hidden="0" customHeight="1">
      <x:c r="A32" s="12" t="n">
        <x:v>31</x:v>
      </x:c>
      <x:c r="B32" s="12" t="str">
        <x:v>S038</x:v>
      </x:c>
      <x:c r="C32" s="12" t="str">
        <x:v>Christ et al. (2018)</x:v>
      </x:c>
      <x:c r="D32" s="12" t="str">
        <x:v>Bidirectional and Stretchable Piezoresistive Sensors Enabled by Multimaterial 3D Printing of Carbon Nanotube/Thermoplastic Polyurethane Nanocomposites</x:v>
      </x:c>
      <x:c r="E32" s="12" t="n">
        <x:v>2018</x:v>
      </x:c>
      <x:c r="F32" s="12" t="str">
        <x:v>Polymers</x:v>
      </x:c>
      <x:c r="G32" s="12" t="str">
        <x:v>10.3390/polym11010011</x:v>
      </x:c>
      <x:c r="H32" s="12" t="str">
        <x:v>Include</x:v>
      </x:c>
      <x:c r="I32" s="12" t="str">
        <x:v>TPU/MWCNT conductive traces and an insulating TPU body were printed together by dual-nozzle FFF. Cyclic strain characterization and a hand-worn glove prototype were reported.</x:v>
      </x:c>
      <x:c r="J32" s="12" t="str">
        <x:v>PDF pp. 3–12; Figs. 1–11; Table 1</x:v>
      </x:c>
      <x:c r="K32" s="12" t="str">
        <x:v>Batch 04</x:v>
      </x:c>
    </x:row>
    <x:row r="33" ht="36" hidden="0" customHeight="1">
      <x:c r="A33" s="12" t="n">
        <x:v>32</x:v>
      </x:c>
      <x:c r="B33" s="12" t="str">
        <x:v>S039</x:v>
      </x:c>
      <x:c r="C33" s="12" t="str">
        <x:v>Shin et al. (2022)</x:v>
      </x:c>
      <x:c r="D33" s="12" t="str">
        <x:v>Structural effects of 3D printing resolution on the gauge factor of microcrack-based strain gauges for health care monitoring</x:v>
      </x:c>
      <x:c r="E33" s="12" t="n">
        <x:v>2022</x:v>
      </x:c>
      <x:c r="F33" s="12" t="str">
        <x:v>Microsystems &amp; Nanoengineering</x:v>
      </x:c>
      <x:c r="G33" s="12" t="str">
        <x:v>10.1038/s41378-021-00347-x</x:v>
      </x:c>
      <x:c r="H33" s="12" t="str">
        <x:v>Include</x:v>
      </x:c>
      <x:c r="I33" s="12" t="str">
        <x:v>FDM-printed TPU groove structures form the essential strain-concentrating substrate beneath a sputtered Pt sensing layer. Four-device comparisons, 500 cycles and several human-worn demonstrations were reported.</x:v>
      </x:c>
      <x:c r="J33" s="12" t="str">
        <x:v>PDF pp. 3–9; Figs. 2–10</x:v>
      </x:c>
      <x:c r="K33" s="12" t="str">
        <x:v>Batch 04</x:v>
      </x:c>
    </x:row>
    <x:row r="34" ht="24" hidden="0" customHeight="1">
      <x:c r="A34" s="12" t="n">
        <x:v>33</x:v>
      </x:c>
      <x:c r="B34" s="12" t="str">
        <x:v>S043</x:v>
      </x:c>
      <x:c r="C34" s="12" t="str">
        <x:v>Carvalho et al. (2025)</x:v>
      </x:c>
      <x:c r="D34" s="12" t="str">
        <x:v>Additive Manufacturing of Customized Flexible Wearable Sensors for Sweat Analysis with Bespoke, Low-Cost Conductive TPU</x:v>
      </x:c>
      <x:c r="E34" s="12" t="n">
        <x:v>2025</x:v>
      </x:c>
      <x:c r="F34" s="12" t="str">
        <x:v>ACS Measurement Science Au</x:v>
      </x:c>
      <x:c r="G34" s="12" t="str">
        <x:v>10.1021/acsmeasuresciau.5c00095</x:v>
      </x:c>
      <x:c r="H34" s="12" t="str">
        <x:v>Include</x:v>
      </x:c>
      <x:c r="I34" s="12" t="str">
        <x:v>Conductive CB/GRT/TPU electrodes and a nonconductive TPU wristband were fabricated by material extrusion and assembled into a three-electrode wearable platform evaluated with artificial sweat.</x:v>
      </x:c>
      <x:c r="J34" s="12" t="str">
        <x:v>PDF pp. 2–12; Figs. 1–8; Tables 1–4; cited SI</x:v>
      </x:c>
      <x:c r="K34" s="12" t="str">
        <x:v>Batch 04</x:v>
      </x:c>
    </x:row>
    <x:row r="35" ht="24" hidden="0" customHeight="1">
      <x:c r="A35" s="12" t="n">
        <x:v>34</x:v>
      </x:c>
      <x:c r="B35" s="12" t="str">
        <x:v>S044</x:v>
      </x:c>
      <x:c r="C35" s="12" t="str">
        <x:v>Li et al. (2021)</x:v>
      </x:c>
      <x:c r="D35" s="12" t="str">
        <x:v>3D printed graphene/polyurethane wearable pressure sensor for motion fitness monitoring</x:v>
      </x:c>
      <x:c r="E35" s="12" t="n">
        <x:v>2021</x:v>
      </x:c>
      <x:c r="F35" s="12" t="str">
        <x:v>Nanotechnology</x:v>
      </x:c>
      <x:c r="G35" s="12" t="str">
        <x:v>10.1088/1361-6528/ac0b1b</x:v>
      </x:c>
      <x:c r="H35" s="12" t="str">
        <x:v>Include</x:v>
      </x:c>
      <x:c r="I35" s="12" t="str">
        <x:v>GNP/TPU composite filaments were FDM printed into honeycomb pressure sensors, tested for 500 compression cycles and attached to the neck and foot for human-motion monitoring.</x:v>
      </x:c>
      <x:c r="J35" s="12" t="str">
        <x:v>PDF pp. 4–11; Figs. 1, 5–6; cited SI</x:v>
      </x:c>
      <x:c r="K35" s="12" t="str">
        <x:v>Batch 04</x:v>
      </x:c>
    </x:row>
    <x:row r="36" ht="24" hidden="0" customHeight="1">
      <x:c r="A36" s="12" t="n">
        <x:v>35</x:v>
      </x:c>
      <x:c r="B36" s="12" t="str">
        <x:v>S046</x:v>
      </x:c>
      <x:c r="C36" s="12" t="str">
        <x:v>Zhou et al. (2024)</x:v>
      </x:c>
      <x:c r="D36" s="12" t="str">
        <x:v>3D Printed Magnetoelectric Composites for Personalized Wearable Multifunctional Sensors</x:v>
      </x:c>
      <x:c r="E36" s="12" t="n">
        <x:v>2024</x:v>
      </x:c>
      <x:c r="F36" s="12" t="str">
        <x:v>3D Printing and Additive Manufacturing</x:v>
      </x:c>
      <x:c r="G36" s="12" t="str">
        <x:v>10.1089/3dp.2022.0396</x:v>
      </x:c>
      <x:c r="H36" s="12" t="str">
        <x:v>Include</x:v>
      </x:c>
      <x:c r="I36" s="12" t="str">
        <x:v>PVDF/CFO composite filament was FDM printed into a personalized finger sleeve and an insole-embedded Z spring. Both produced electrical signals during human-worn demonstrations.</x:v>
      </x:c>
      <x:c r="J36" s="12" t="str">
        <x:v>PDF pp. 2–7; Figs. 3–5; cited Supplementary Figs. S1–S5</x:v>
      </x:c>
      <x:c r="K36" s="12" t="str">
        <x:v>Batch 04</x:v>
      </x:c>
    </x:row>
    <x:row r="37" ht="36" hidden="0" customHeight="1">
      <x:c r="A37" s="12" t="n">
        <x:v>36</x:v>
      </x:c>
      <x:c r="B37" s="12" t="str">
        <x:v>S047</x:v>
      </x:c>
      <x:c r="C37" s="12" t="str">
        <x:v>Shin et al. (2025)</x:v>
      </x:c>
      <x:c r="D37" s="12" t="str">
        <x:v>Preliminary Study on the Development of a Real-Time Pressure-Monitoring Facial Mask for Burn Rehabilitation</x:v>
      </x:c>
      <x:c r="E37" s="12" t="n">
        <x:v>2025</x:v>
      </x:c>
      <x:c r="F37" s="12" t="str">
        <x:v>European Burn Journal</x:v>
      </x:c>
      <x:c r="G37" s="12" t="str">
        <x:v>10.3390/ebj6010012</x:v>
      </x:c>
      <x:c r="H37" s="12" t="str">
        <x:v>Include</x:v>
      </x:c>
      <x:c r="I37" s="12" t="str">
        <x:v>The FDM patient-specific mask provides the load-transfer, sensor-positioning and skin-interface structure for commercial FSR modules. The complete system was calibrated and worn by two patients for four weeks.</x:v>
      </x:c>
      <x:c r="J37" s="12" t="str">
        <x:v>PDF pp. 3–13; Figs. 2–12; Table 1</x:v>
      </x:c>
      <x:c r="K37" s="12" t="str">
        <x:v>Batch 04</x:v>
      </x:c>
    </x:row>
    <x:row r="38" ht="36" hidden="0" customHeight="1">
      <x:c r="A38" s="12" t="n">
        <x:v>37</x:v>
      </x:c>
      <x:c r="B38" s="12" t="str">
        <x:v>S048</x:v>
      </x:c>
      <x:c r="C38" s="12" t="str">
        <x:v>Gunasekaran et al. (2022)</x:v>
      </x:c>
      <x:c r="D38" s="12" t="str">
        <x:v>Facile Fabrication of Highly Sensitive Thermoplastic Polyurethane Sensors with Surface- and Interface-Impregnated 3D Conductive Networks</x:v>
      </x:c>
      <x:c r="E38" s="12" t="n">
        <x:v>2022</x:v>
      </x:c>
      <x:c r="F38" s="12" t="str">
        <x:v>ACS Applied Materials &amp; Interfaces</x:v>
      </x:c>
      <x:c r="G38" s="12" t="str">
        <x:v>10.1021/acsami.2c03351</x:v>
      </x:c>
      <x:c r="H38" s="12" t="str">
        <x:v>Include</x:v>
      </x:c>
      <x:c r="I38" s="12" t="str">
        <x:v>FDM TPU structures were converted into active graphene/TPU piezoresistive sensors by in-process spraying and foaming. Solvent exposure, cyclic loading and several body-mounted motion demonstrations were reported.</x:v>
      </x:c>
      <x:c r="J38" s="12" t="str">
        <x:v>PDF pp. 3–9; Figs. 1, 4–9; cited SI</x:v>
      </x:c>
      <x:c r="K38" s="12" t="str">
        <x:v>Batch 04</x:v>
      </x:c>
    </x:row>
    <x:row r="39" ht="24" hidden="0" customHeight="1">
      <x:c r="A39" s="12" t="n">
        <x:v>38</x:v>
      </x:c>
      <x:c r="B39" s="12" t="str">
        <x:v>S050</x:v>
      </x:c>
      <x:c r="C39" s="12" t="str">
        <x:v>Leal-Junior et al. (2018)</x:v>
      </x:c>
      <x:c r="D39" s="12" t="str">
        <x:v>Fiber Bragg Gratings in CYTOP Fibers Embedded in a 3D-Printed Flexible Support for Assessment of Human–Robot Interaction Forces</x:v>
      </x:c>
      <x:c r="E39" s="12" t="n">
        <x:v>2018</x:v>
      </x:c>
      <x:c r="F39" s="12" t="str">
        <x:v>Materials</x:v>
      </x:c>
      <x:c r="G39" s="12" t="str">
        <x:v>10.3390/ma11112305</x:v>
      </x:c>
      <x:c r="H39" s="12" t="str">
        <x:v>Include</x:v>
      </x:c>
      <x:c r="I39" s="12" t="str">
        <x:v>FDM ABS/TPU shank supports embed polymer FBGs and are characterized for force, temperature, creep and exoskeleton loading.</x:v>
      </x:c>
      <x:c r="J39" s="12" t="str">
        <x:v>PDF pp. 3–10; Figs. 1–8</x:v>
      </x:c>
      <x:c r="K39" s="12" t="str">
        <x:v>Batch 05</x:v>
      </x:c>
    </x:row>
    <x:row r="40" ht="24" hidden="0" customHeight="1">
      <x:c r="A40" s="12" t="n">
        <x:v>39</x:v>
      </x:c>
      <x:c r="B40" s="12" t="str">
        <x:v>S051</x:v>
      </x:c>
      <x:c r="C40" s="12" t="str">
        <x:v>Ota et al. (2017)</x:v>
      </x:c>
      <x:c r="D40" s="12" t="str">
        <x:v>3D Printed ‘Earable’ Smart Devices for Real-Time Detection of Core Body Temperature</x:v>
      </x:c>
      <x:c r="E40" s="12" t="n">
        <x:v>2017</x:v>
      </x:c>
      <x:c r="F40" s="12" t="str">
        <x:v>ACS Sensors</x:v>
      </x:c>
      <x:c r="G40" s="12" t="str">
        <x:v>10.1021/acssensors.7b00247</x:v>
      </x:c>
      <x:c r="H40" s="12" t="str">
        <x:v>Include</x:v>
      </x:c>
      <x:c r="I40" s="12" t="str">
        <x:v>A customized FDM earable contains printed microchannels and support layers essential to thermopile alignment, liquid-metal interconnection and body-worn operation.</x:v>
      </x:c>
      <x:c r="J40" s="12" t="str">
        <x:v>PDF pp. 2–7; Figs. 1–5</x:v>
      </x:c>
      <x:c r="K40" s="12" t="str">
        <x:v>Batch 05</x:v>
      </x:c>
    </x:row>
    <x:row r="41" ht="24" hidden="0" customHeight="1">
      <x:c r="A41" s="12" t="n">
        <x:v>40</x:v>
      </x:c>
      <x:c r="B41" s="12" t="str">
        <x:v>S052</x:v>
      </x:c>
      <x:c r="C41" s="12" t="str">
        <x:v>Li et al. (2026)</x:v>
      </x:c>
      <x:c r="D41" s="12" t="str">
        <x:v>Arch-Bridge-Inspired Auxetic Piezoelectric Nanogenerators for Machine Learning-Assisted Object Recognition</x:v>
      </x:c>
      <x:c r="E41" s="12" t="n">
        <x:v>2026</x:v>
      </x:c>
      <x:c r="F41" s="12" t="str">
        <x:v>Small</x:v>
      </x:c>
      <x:c r="G41" s="12" t="str">
        <x:v>10.1002/smll.75137</x:v>
      </x:c>
      <x:c r="H41" s="12" t="str">
        <x:v>Include</x:v>
      </x:c>
      <x:c r="I41" s="12" t="str">
        <x:v>FDM PVDF/MMT lattice sensors are mechanically and electrically characterized, cycled and worn on the hand for object recognition.</x:v>
      </x:c>
      <x:c r="J41" s="12" t="str">
        <x:v>PDF pp. 2–12; Figs. 1–6; cited Supplementary Table S1 and Figs. S1–S21</x:v>
      </x:c>
      <x:c r="K41" s="12" t="str">
        <x:v>Batch 05</x:v>
      </x:c>
    </x:row>
    <x:row r="42" ht="24" hidden="0" customHeight="1">
      <x:c r="A42" s="12" t="n">
        <x:v>41</x:v>
      </x:c>
      <x:c r="B42" s="12" t="str">
        <x:v>S053</x:v>
      </x:c>
      <x:c r="C42" s="12" t="str">
        <x:v>Li et al. (2023)</x:v>
      </x:c>
      <x:c r="D42" s="12" t="str">
        <x:v>Ultra-Wide Range, High Sensitivity Piezoresistive Sensor Based on Triple Periodic Minimum Surface Construction</x:v>
      </x:c>
      <x:c r="E42" s="12" t="n">
        <x:v>2023</x:v>
      </x:c>
      <x:c r="F42" s="12" t="str">
        <x:v>Small</x:v>
      </x:c>
      <x:c r="G42" s="12" t="str">
        <x:v>10.1002/smll.202301378</x:v>
      </x:c>
      <x:c r="H42" s="12" t="str">
        <x:v>Include</x:v>
      </x:c>
      <x:c r="I42" s="12" t="str">
        <x:v>FDM MXene/MWCNT/TPU TPMS pressure sensors are characterized across porosities and used for several body-motion demonstrations.</x:v>
      </x:c>
      <x:c r="J42" s="12" t="str">
        <x:v>PDF pp. 3–13; Figs. 1–9</x:v>
      </x:c>
      <x:c r="K42" s="12" t="str">
        <x:v>Batch 05</x:v>
      </x:c>
    </x:row>
    <x:row r="43" ht="24" hidden="0" customHeight="1">
      <x:c r="A43" s="12" t="n">
        <x:v>42</x:v>
      </x:c>
      <x:c r="B43" s="12" t="str">
        <x:v>S054</x:v>
      </x:c>
      <x:c r="C43" s="12" t="str">
        <x:v>Chatzistergos et al. (2021)</x:v>
      </x:c>
      <x:c r="D43" s="12" t="str">
        <x:v>A Novel Concept for Low-Cost Non-Electronic Detection of Overloading in the Foot during Activities of Daily Living</x:v>
      </x:c>
      <x:c r="E43" s="12" t="n">
        <x:v>2021</x:v>
      </x:c>
      <x:c r="F43" s="12" t="str">
        <x:v>Royal Society Open Science</x:v>
      </x:c>
      <x:c r="G43" s="12" t="str">
        <x:v>10.1098/rsos.202035</x:v>
      </x:c>
      <x:c r="H43" s="12" t="str">
        <x:v>Include</x:v>
      </x:c>
      <x:c r="I43" s="12" t="str">
        <x:v>FDM Filaflex thin-wall elements are engineered and tested as non-electronic overload-history sensing structures for therapeutic footwear.</x:v>
      </x:c>
      <x:c r="J43" s="12" t="str">
        <x:v>PDF pp. 3–9; Figs. 1–7; Appendix 1</x:v>
      </x:c>
      <x:c r="K43" s="12" t="str">
        <x:v>Batch 05</x:v>
      </x:c>
    </x:row>
    <x:row r="44" ht="24" hidden="0" customHeight="1">
      <x:c r="A44" s="12" t="n">
        <x:v>43</x:v>
      </x:c>
      <x:c r="B44" s="12" t="str">
        <x:v>S055</x:v>
      </x:c>
      <x:c r="C44" s="12" t="str">
        <x:v>Ben Harrath et al. (2026)</x:v>
      </x:c>
      <x:c r="D44" s="12" t="str">
        <x:v>In-Situ Electrically Polarized Fused Deposition Modeling of PVDF for High-Performance Flexible Piezoelectric Sensors</x:v>
      </x:c>
      <x:c r="E44" s="12" t="n">
        <x:v>2026</x:v>
      </x:c>
      <x:c r="F44" s="12" t="str">
        <x:v>Sensors and Actuators A: Physical</x:v>
      </x:c>
      <x:c r="G44" s="12" t="str">
        <x:v>10.1016/j.sna.2026.118324</x:v>
      </x:c>
      <x:c r="H44" s="12" t="str">
        <x:v>Include</x:v>
      </x:c>
      <x:c r="I44" s="12" t="str">
        <x:v>FDM PVDF films are assembled as piezoelectric sensors, subjected to more than 11,600 cycles and worn during walking, running and jumping.</x:v>
      </x:c>
      <x:c r="J44" s="12" t="str">
        <x:v>PDF pp. 3–9; Figs. 1–10</x:v>
      </x:c>
      <x:c r="K44" s="12" t="str">
        <x:v>Batch 05</x:v>
      </x:c>
    </x:row>
    <x:row r="45" ht="24" hidden="0" customHeight="1">
      <x:c r="A45" s="12" t="n">
        <x:v>44</x:v>
      </x:c>
      <x:c r="B45" s="12" t="str">
        <x:v>S056</x:v>
      </x:c>
      <x:c r="C45" s="12" t="str">
        <x:v>Wei et al. (2026)</x:v>
      </x:c>
      <x:c r="D45" s="12" t="str">
        <x:v>A 3D-Printable Polymer Composite with Synergistic Electromechanical Properties for Ubiquitous Sensing</x:v>
      </x:c>
      <x:c r="E45" s="12" t="n">
        <x:v>2026</x:v>
      </x:c>
      <x:c r="F45" s="12" t="str">
        <x:v>Chemical Engineering Journal</x:v>
      </x:c>
      <x:c r="G45" s="12" t="str">
        <x:v>10.1016/j.cej.2026.172761</x:v>
      </x:c>
      <x:c r="H45" s="12" t="str">
        <x:v>Include</x:v>
      </x:c>
      <x:c r="I45" s="12" t="str">
        <x:v>FDM MWCNT/CB/TPU structures provide capacitive, pressure and strain sensing and are tested in body-worn and human–machine-interface configurations.</x:v>
      </x:c>
      <x:c r="J45" s="12" t="str">
        <x:v>PDF pp. 3–15; Figs. 1–9; Tables 1–2</x:v>
      </x:c>
      <x:c r="K45" s="12" t="str">
        <x:v>Batch 05</x:v>
      </x:c>
    </x:row>
    <x:row r="46" ht="24" hidden="0" customHeight="1">
      <x:c r="A46" s="12" t="n">
        <x:v>45</x:v>
      </x:c>
      <x:c r="B46" s="12" t="str">
        <x:v>S057</x:v>
      </x:c>
      <x:c r="C46" s="12" t="str">
        <x:v>Wei et al. (2026)</x:v>
      </x:c>
      <x:c r="D46" s="12" t="str">
        <x:v>Synergistic Design of TPU/CNT Composite-Based Flexible Sensors with TPMS Porous Structures for Full-Range Human Motion Monitoring</x:v>
      </x:c>
      <x:c r="E46" s="12" t="n">
        <x:v>2026</x:v>
      </x:c>
      <x:c r="F46" s="12" t="str">
        <x:v>Composite Structures</x:v>
      </x:c>
      <x:c r="G46" s="12" t="str">
        <x:v>10.1016/j.compstruct.2026.120786</x:v>
      </x:c>
      <x:c r="H46" s="12" t="str">
        <x:v>Include</x:v>
      </x:c>
      <x:c r="I46" s="12" t="str">
        <x:v>FDM CNT/TPU TPMS strain sensors are compared across structures, cycled 500 times and demonstrated on an insole, finger, wrist and throat.</x:v>
      </x:c>
      <x:c r="J46" s="12" t="str">
        <x:v>PDF pp. 3–15; Figs. 1–10</x:v>
      </x:c>
      <x:c r="K46" s="12" t="str">
        <x:v>Batch 05</x:v>
      </x:c>
    </x:row>
    <x:row r="47" ht="24" hidden="0" customHeight="1">
      <x:c r="A47" s="12" t="n">
        <x:v>46</x:v>
      </x:c>
      <x:c r="B47" s="12" t="str">
        <x:v>S058</x:v>
      </x:c>
      <x:c r="C47" s="12" t="str">
        <x:v>Yang et al. (2026)</x:v>
      </x:c>
      <x:c r="D47" s="12" t="str">
        <x:v>Standardized Batch-Manufacturable Triboelectric Sensor Arrays for Deep Learning-Enabled Race-Walking State Recognition</x:v>
      </x:c>
      <x:c r="E47" s="12" t="n">
        <x:v>2026</x:v>
      </x:c>
      <x:c r="F47" s="12" t="str">
        <x:v>Chemical Engineering Journal</x:v>
      </x:c>
      <x:c r="G47" s="12" t="str">
        <x:v>10.1016/j.cej.2026.178259</x:v>
      </x:c>
      <x:c r="H47" s="12" t="str">
        <x:v>Include</x:v>
      </x:c>
      <x:c r="I47" s="12" t="str">
        <x:v>FDM TPE pressure sensors are evaluated across 25 devices from five batches, under environmental exposures and in a six-participant instrumented insole study.</x:v>
      </x:c>
      <x:c r="J47" s="12" t="str">
        <x:v>PDF pp. 3–13; Figs. 1–8; cited Supplementary Table S1</x:v>
      </x:c>
      <x:c r="K47" s="12" t="str">
        <x:v>Batch 05</x:v>
      </x:c>
    </x:row>
    <x:row r="48" ht="24" hidden="0" customHeight="1">
      <x:c r="A48" s="12" t="n">
        <x:v>47</x:v>
      </x:c>
      <x:c r="B48" s="12" t="str">
        <x:v>S059</x:v>
      </x:c>
      <x:c r="C48" s="12" t="str">
        <x:v>Saroli et al. (2026)</x:v>
      </x:c>
      <x:c r="D48" s="12" t="str">
        <x:v>3D-Printed Flexible Multimaterial Wearable System Based on Auxetic Strain Sensors and Dry Electrodes for Cardiorespiratory Monitoring</x:v>
      </x:c>
      <x:c r="E48" s="12" t="n">
        <x:v>2026</x:v>
      </x:c>
      <x:c r="F48" s="12" t="str">
        <x:v>Advanced Sensor Research</x:v>
      </x:c>
      <x:c r="G48" s="12" t="str">
        <x:v>10.1002/adsr.70169</x:v>
      </x:c>
      <x:c r="H48" s="12" t="str">
        <x:v>Include</x:v>
      </x:c>
      <x:c r="I48" s="12" t="str">
        <x:v>A multimaterial FDM system integrates a CB–TPU strain sensor and dry electrodes and is evaluated in five volunteers against a commercial reference.</x:v>
      </x:c>
      <x:c r="J48" s="12" t="str">
        <x:v>PDF pp. 3–15; Figs. 1–9; cited Supplementary Table S1</x:v>
      </x:c>
      <x:c r="K48" s="12" t="str">
        <x:v>Batch 05</x:v>
      </x:c>
    </x:row>
    <x:row r="49" ht="36" hidden="0" customHeight="1">
      <x:c r="A49" s="12" t="n">
        <x:v>48</x:v>
      </x:c>
      <x:c r="B49" s="12" t="str">
        <x:v>S060</x:v>
      </x:c>
      <x:c r="C49" s="12" t="str">
        <x:v>Porfyrakis et al. (2026)</x:v>
      </x:c>
      <x:c r="D49" s="12" t="str">
        <x:v>Fused filament fabrication of gyroid TPU/MWCNT nanocomposite sensors with tunable piezoresistive response: Proof-of-concept integration into a 3D-printed smart midsole</x:v>
      </x:c>
      <x:c r="E49" s="12" t="n">
        <x:v>2026</x:v>
      </x:c>
      <x:c r="F49" s="12" t="str">
        <x:v>Materials Today Communications</x:v>
      </x:c>
      <x:c r="G49" s="12" t="str">
        <x:v>10.1016/j.mtcomm.2026.115990</x:v>
      </x:c>
      <x:c r="H49" s="12" t="str">
        <x:v>Include</x:v>
      </x:c>
      <x:c r="I49" s="12" t="str">
        <x:v>FFF prints the active TPU/MWCNT gyroid sensors; nine configurations were bench-tested and four elements were integrated into a shoe for a controlled-step demonstration.</x:v>
      </x:c>
      <x:c r="J49" s="12" t="str">
        <x:v>PDF pp. 2–15; Figs. 1–10; Tables 1–4</x:v>
      </x:c>
      <x:c r="K49" s="12" t="str">
        <x:v>Batch 06</x:v>
      </x:c>
    </x:row>
    <x:row r="50" ht="24" hidden="0" customHeight="1">
      <x:c r="A50" s="12" t="n">
        <x:v>49</x:v>
      </x:c>
      <x:c r="B50" s="12" t="str">
        <x:v>S061</x:v>
      </x:c>
      <x:c r="C50" s="12" t="str">
        <x:v>Kumar et al. (2026)</x:v>
      </x:c>
      <x:c r="D50" s="12" t="str">
        <x:v>Design and 3D printing of high-frequency micro-strip patch antenna-based pressure sensor for burn rehabilitation monitoring</x:v>
      </x:c>
      <x:c r="E50" s="12" t="n">
        <x:v>2026</x:v>
      </x:c>
      <x:c r="F50" s="12" t="str">
        <x:v>Rapid Prototyping Journal</x:v>
      </x:c>
      <x:c r="G50" s="12" t="str">
        <x:v>10.1108/RPJ-05-2025-0170</x:v>
      </x:c>
      <x:c r="H50" s="12" t="str">
        <x:v>Include</x:v>
      </x:c>
      <x:c r="I50" s="12" t="str">
        <x:v>An FFF PLA microstrip substrate was integrated with a rehabilitation splint and quantitatively tested under controlled loads and assembled-use conditions.</x:v>
      </x:c>
      <x:c r="J50" s="12" t="str">
        <x:v>PDF pp. 2–11; Figs. 1–13; Table 1</x:v>
      </x:c>
      <x:c r="K50" s="12" t="str">
        <x:v>Batch 06</x:v>
      </x:c>
    </x:row>
    <x:row r="51" ht="36" hidden="0" customHeight="1">
      <x:c r="A51" s="12" t="n">
        <x:v>50</x:v>
      </x:c>
      <x:c r="B51" s="12" t="str">
        <x:v>S063</x:v>
      </x:c>
      <x:c r="C51" s="12" t="str">
        <x:v>Wu et al. (2026)</x:v>
      </x:c>
      <x:c r="D51" s="12" t="str">
        <x:v>Tailored carbon nanotubes (CNTs)/ thermoplastic polyurethane (TPU) composite pressure sensors via optimized 3D printing for smart wearable electronics</x:v>
      </x:c>
      <x:c r="E51" s="12" t="n">
        <x:v>2026</x:v>
      </x:c>
      <x:c r="F51" s="12" t="str">
        <x:v>Journal of Materials Research and Technology</x:v>
      </x:c>
      <x:c r="G51" s="12" t="str">
        <x:v>10.1016/j.jmrt.2026.05.158</x:v>
      </x:c>
      <x:c r="H51" s="12" t="str">
        <x:v>Include</x:v>
      </x:c>
      <x:c r="I51" s="12" t="str">
        <x:v>FFF TPU structures were post-embedded with CNTs, quantitatively tested under compression and 1000 cycles, and placed beneath the foot for walking and running signals.</x:v>
      </x:c>
      <x:c r="J51" s="12" t="str">
        <x:v>PDF pp. 2–12; Figs. 1–9; Tables 1–2</x:v>
      </x:c>
      <x:c r="K51" s="12" t="str">
        <x:v>Batch 06</x:v>
      </x:c>
    </x:row>
    <x:row r="52" ht="24" hidden="0" customHeight="1">
      <x:c r="A52" s="12" t="n">
        <x:v>51</x:v>
      </x:c>
      <x:c r="B52" s="12" t="str">
        <x:v>S064</x:v>
      </x:c>
      <x:c r="C52" s="12" t="str">
        <x:v>Tao et al. (2026)</x:v>
      </x:c>
      <x:c r="D52" s="12" t="str">
        <x:v>Real-time impact strain monitoring in soft structures via hybrid 3D printing</x:v>
      </x:c>
      <x:c r="E52" s="12" t="n">
        <x:v>2026</x:v>
      </x:c>
      <x:c r="F52" s="12" t="str">
        <x:v>Measurement</x:v>
      </x:c>
      <x:c r="G52" s="12" t="str">
        <x:v>10.1016/j.measurement.2026.120673</x:v>
      </x:c>
      <x:c r="H52" s="12" t="str">
        <x:v>Include</x:v>
      </x:c>
      <x:c r="I52" s="12" t="str">
        <x:v>Hybrid FFF/DIW fabrication embeds conductive strain paths in TPE structures; controlled impacts and helmet, finger and soft-structure demonstrations were reported.</x:v>
      </x:c>
      <x:c r="J52" s="12" t="str">
        <x:v>PDF pp. 2–12; Figs. 1–10; Table 1</x:v>
      </x:c>
      <x:c r="K52" s="12" t="str">
        <x:v>Batch 06</x:v>
      </x:c>
    </x:row>
    <x:row r="53" ht="24" hidden="0" customHeight="1">
      <x:c r="A53" s="12" t="n">
        <x:v>52</x:v>
      </x:c>
      <x:c r="B53" s="12" t="str">
        <x:v>S065</x:v>
      </x:c>
      <x:c r="C53" s="12" t="str">
        <x:v>Han et al. (2026)</x:v>
      </x:c>
      <x:c r="D53" s="12" t="str">
        <x:v>Flexible pressure sensors with microstructured surfaces fabricated via direct fused deposition modeling</x:v>
      </x:c>
      <x:c r="E53" s="12" t="n">
        <x:v>2026</x:v>
      </x:c>
      <x:c r="F53" s="12" t="str">
        <x:v>Sensors and Actuators A: Physical</x:v>
      </x:c>
      <x:c r="G53" s="12" t="str">
        <x:v>10.1016/j.sna.2026.117712</x:v>
      </x:c>
      <x:c r="H53" s="12" t="str">
        <x:v>Include</x:v>
      </x:c>
      <x:c r="I53" s="12" t="str">
        <x:v>Direct FDM creates microstructured TPE substrates subsequently coated with PEDOT:PSS; pressure tests, cyclic response, four-device comparison and body-motion demonstrations were reported.</x:v>
      </x:c>
      <x:c r="J53" s="12" t="str">
        <x:v>PDF pp. 2–9; Figs. 1–7</x:v>
      </x:c>
      <x:c r="K53" s="12" t="str">
        <x:v>Batch 06</x:v>
      </x:c>
    </x:row>
    <x:row r="54" ht="24" hidden="0" customHeight="1">
      <x:c r="A54" s="12" t="n">
        <x:v>53</x:v>
      </x:c>
      <x:c r="B54" s="12" t="str">
        <x:v>S066</x:v>
      </x:c>
      <x:c r="C54" s="12" t="str">
        <x:v>Saroli et al. (2026)</x:v>
      </x:c>
      <x:c r="D54" s="12" t="str">
        <x:v>Development and Validation of a Wearable Respiratory Monitoring System Based on a 3D-Printed CB-TPU Strain Sensor</x:v>
      </x:c>
      <x:c r="E54" s="12" t="n">
        <x:v>2026</x:v>
      </x:c>
      <x:c r="F54" s="12" t="str">
        <x:v>IEEE Sensors Journal</x:v>
      </x:c>
      <x:c r="G54" s="12" t="str">
        <x:v>10.1109/JSEN.2026.3711835</x:v>
      </x:c>
      <x:c r="H54" s="12" t="str">
        <x:v>Include</x:v>
      </x:c>
      <x:c r="I54" s="12" t="str">
        <x:v>An FDM CB-TPU strain sensor was integrated into a wearable respiratory system and compared with a commercial reference in 13 volunteers under static and dynamic activities.</x:v>
      </x:c>
      <x:c r="J54" s="12" t="str">
        <x:v>PDF pp. 2–8; Figs. 1–8; Table I</x:v>
      </x:c>
      <x:c r="K54" s="12" t="str">
        <x:v>Batch 06</x:v>
      </x:c>
    </x:row>
    <x:row r="55" ht="24" hidden="0" customHeight="1">
      <x:c r="A55" s="12" t="n">
        <x:v>54</x:v>
      </x:c>
      <x:c r="B55" s="12" t="str">
        <x:v>S067</x:v>
      </x:c>
      <x:c r="C55" s="12" t="str">
        <x:v>Yang et al. (2026)</x:v>
      </x:c>
      <x:c r="D55" s="12" t="str">
        <x:v>A comfortable, FDM 3D-printed triboelectric insole for motion recognition and energy harvesting</x:v>
      </x:c>
      <x:c r="E55" s="12" t="n">
        <x:v>2026</x:v>
      </x:c>
      <x:c r="F55" s="12" t="str">
        <x:v>AIP Advances</x:v>
      </x:c>
      <x:c r="G55" s="12" t="str">
        <x:v>10.1063/5.0312715</x:v>
      </x:c>
      <x:c r="H55" s="12" t="str">
        <x:v>Include</x:v>
      </x:c>
      <x:c r="I55" s="12" t="str">
        <x:v>FDM prints the TPE insole structure and triboelectric units; force, frequency, endurance, temperature/humidity and worn-activity measurements were reported.</x:v>
      </x:c>
      <x:c r="J55" s="12" t="str">
        <x:v>PDF pp. 2–9; Figs. 1–8</x:v>
      </x:c>
      <x:c r="K55" s="12" t="str">
        <x:v>Batch 06</x:v>
      </x:c>
    </x:row>
    <x:row r="56" ht="24" hidden="0" customHeight="1">
      <x:c r="A56" s="12" t="n">
        <x:v>55</x:v>
      </x:c>
      <x:c r="B56" s="12" t="str">
        <x:v>S068</x:v>
      </x:c>
      <x:c r="C56" s="12" t="str">
        <x:v>Sánchez et al. (2025)</x:v>
      </x:c>
      <x:c r="D56" s="12" t="str">
        <x:v>Enhancing sensing performance of 3D-printed TPU/CB piezoresistive strain sensors through integration of silver ink IDE</x:v>
      </x:c>
      <x:c r="E56" s="12" t="n">
        <x:v>2025</x:v>
      </x:c>
      <x:c r="F56" s="12" t="str">
        <x:v>Sensors and Actuators A: Physical</x:v>
      </x:c>
      <x:c r="G56" s="12" t="str">
        <x:v>10.1016/j.sna.2025.116757</x:v>
      </x:c>
      <x:c r="H56" s="12" t="str">
        <x:v>Include</x:v>
      </x:c>
      <x:c r="I56" s="12" t="str">
        <x:v>FFF TPU/CB sensors with printed silver IDEs were quantitatively characterized, cycled 500 times and demonstrated on a volunteer and a soft robotic link.</x:v>
      </x:c>
      <x:c r="J56" s="12" t="str">
        <x:v>PDF pp. 2–10; Figs. 1–7; Table 1</x:v>
      </x:c>
      <x:c r="K56" s="12" t="str">
        <x:v>Batch 06</x:v>
      </x:c>
    </x:row>
    <x:row r="57" ht="24" hidden="0" customHeight="1">
      <x:c r="A57" s="12" t="n">
        <x:v>56</x:v>
      </x:c>
      <x:c r="B57" s="12" t="str">
        <x:v>S069</x:v>
      </x:c>
      <x:c r="C57" s="12" t="str">
        <x:v>Babu et al. (2025)</x:v>
      </x:c>
      <x:c r="D57" s="12" t="str">
        <x:v>Direct 3D-printed triboactive polymer layers on stretchable conductive fabric for high-performance T-TENGs</x:v>
      </x:c>
      <x:c r="E57" s="12" t="n">
        <x:v>2025</x:v>
      </x:c>
      <x:c r="F57" s="12" t="str">
        <x:v>Nano Energy</x:v>
      </x:c>
      <x:c r="G57" s="12" t="str">
        <x:v>10.1016/j.nanoen.2025.111218</x:v>
      </x:c>
      <x:c r="H57" s="12" t="str">
        <x:v>Include</x:v>
      </x:c>
      <x:c r="I57" s="12" t="str">
        <x:v>FFF directly prints PP triboactive layers onto stretchable conductive fabric; the textile TENG was tested for output, 20,000 cycles, washing, adhesion and human-touch sensing.</x:v>
      </x:c>
      <x:c r="J57" s="12" t="str">
        <x:v>PDF pp. 2–12; Figs. 1–11; Table 1; cited SI</x:v>
      </x:c>
      <x:c r="K57" s="12" t="str">
        <x:v>Batch 06</x:v>
      </x:c>
    </x:row>
    <x:row r="58" ht="24" hidden="0" customHeight="1">
      <x:c r="A58" s="12" t="n">
        <x:v>57</x:v>
      </x:c>
      <x:c r="B58" s="12" t="str">
        <x:v>S070</x:v>
      </x:c>
      <x:c r="C58" s="12" t="str">
        <x:v>Dimo et al. (2026)</x:v>
      </x:c>
      <x:c r="D58" s="12" t="str">
        <x:v>Effect of Printing Material and Speed on the Response of Flexible 3-D-Printed FBG-Based Sensors</x:v>
      </x:c>
      <x:c r="E58" s="12" t="n">
        <x:v>2026</x:v>
      </x:c>
      <x:c r="F58" s="12" t="str">
        <x:v>IEEE Sensors Journal</x:v>
      </x:c>
      <x:c r="G58" s="12" t="str">
        <x:v>10.1109/JSEN.2026.3710574</x:v>
      </x:c>
      <x:c r="H58" s="12" t="str">
        <x:v>Include</x:v>
      </x:c>
      <x:c r="I58" s="12" t="str">
        <x:v>FDM creates the deformable TPU body that transfers strain, temperature and humidity effects to an embedded FBG; controlled characterization and body-worn demonstrations are reported.</x:v>
      </x:c>
      <x:c r="J58" s="12" t="str">
        <x:v>PDF pp. 3–9; Figs. 1–12; Tables I–III</x:v>
      </x:c>
      <x:c r="K58" s="12" t="str">
        <x:v>Batch 07</x:v>
      </x:c>
    </x:row>
    <x:row r="59" ht="24" hidden="0" customHeight="1">
      <x:c r="A59" s="12" t="n">
        <x:v>58</x:v>
      </x:c>
      <x:c r="B59" s="12" t="str">
        <x:v>S071</x:v>
      </x:c>
      <x:c r="C59" s="12" t="str">
        <x:v>Luo et al. (2025)</x:v>
      </x:c>
      <x:c r="D59" s="12" t="str">
        <x:v>Research on the mechanical properties and piezoresistive characteristics of sensor based on TPMS lattice structure</x:v>
      </x:c>
      <x:c r="E59" s="12" t="n">
        <x:v>2025</x:v>
      </x:c>
      <x:c r="F59" s="12" t="str">
        <x:v>Sensors and Actuators A: Physical</x:v>
      </x:c>
      <x:c r="G59" s="12" t="str">
        <x:v>10.1016/j.sna.2025.116940</x:v>
      </x:c>
      <x:c r="H59" s="12" t="str">
        <x:v>Include</x:v>
      </x:c>
      <x:c r="I59" s="12" t="str">
        <x:v>FDM creates the TPMS TPU substrate, which is converted into a graphene-coated piezoresistive pressure sensor and evaluated under compression, cycling and gait loading.</x:v>
      </x:c>
      <x:c r="J59" s="12" t="str">
        <x:v>PDF pp. 2–10; Figs. 1–12; Tables 1–2</x:v>
      </x:c>
      <x:c r="K59" s="12" t="str">
        <x:v>Batch 07</x:v>
      </x:c>
    </x:row>
    <x:row r="60" ht="24" hidden="0" customHeight="1">
      <x:c r="A60" s="12" t="n">
        <x:v>59</x:v>
      </x:c>
      <x:c r="B60" s="12" t="str">
        <x:v>S073</x:v>
      </x:c>
      <x:c r="C60" s="12" t="str">
        <x:v>Han et al. (2025)</x:v>
      </x:c>
      <x:c r="D60" s="12" t="str">
        <x:v>3D printed continuous carbon fiber reinforced TPU metamaterials for flexible multifunctional sensors</x:v>
      </x:c>
      <x:c r="E60" s="12" t="n">
        <x:v>2025</x:v>
      </x:c>
      <x:c r="F60" s="12" t="str">
        <x:v>Chemical Engineering Journal</x:v>
      </x:c>
      <x:c r="G60" s="12" t="str">
        <x:v>10.1016/j.cej.2025.162767</x:v>
      </x:c>
      <x:c r="H60" s="12" t="str">
        <x:v>Include</x:v>
      </x:c>
      <x:c r="I60" s="12" t="str">
        <x:v>Continuous-carbon-fiber/TPU sensing paths and star-shaped structures are produced by FDM and evaluated for strain, stress, temperature and wearable human–machine interaction.</x:v>
      </x:c>
      <x:c r="J60" s="12" t="str">
        <x:v>PDF pp. 2–13; Figs. 1–10; Tables 1–2</x:v>
      </x:c>
      <x:c r="K60" s="12" t="str">
        <x:v>Batch 07</x:v>
      </x:c>
    </x:row>
    <x:row r="61" ht="24" hidden="0" customHeight="1">
      <x:c r="A61" s="12" t="n">
        <x:v>60</x:v>
      </x:c>
      <x:c r="B61" s="12" t="str">
        <x:v>S074</x:v>
      </x:c>
      <x:c r="C61" s="12" t="str">
        <x:v>Lavorgna et al. (2025)</x:v>
      </x:c>
      <x:c r="D61" s="12" t="str">
        <x:v>Dual-Material 3-D-Printed Wearable Sensors Based on FBG Technology for Physiological and Biomechanical Monitoring in Back Pain Assessment</x:v>
      </x:c>
      <x:c r="E61" s="12" t="n">
        <x:v>2025</x:v>
      </x:c>
      <x:c r="F61" s="12" t="str">
        <x:v>IEEE Sensors Journal</x:v>
      </x:c>
      <x:c r="G61" s="12" t="str">
        <x:v>10.1109/JSEN.2025.3557470</x:v>
      </x:c>
      <x:c r="H61" s="12" t="str">
        <x:v>Include</x:v>
      </x:c>
      <x:c r="I61" s="12" t="str">
        <x:v>Dual-material FDM produces an FBG-containing wearable sensor that is characterized for strain and temperature and compared with reference instruments in eight volunteers.</x:v>
      </x:c>
      <x:c r="J61" s="12" t="str">
        <x:v>PDF pp. 3–9; Figs. 1–13</x:v>
      </x:c>
      <x:c r="K61" s="12" t="str">
        <x:v>Batch 07</x:v>
      </x:c>
    </x:row>
    <x:row r="62" ht="36" hidden="0" customHeight="1">
      <x:c r="A62" s="12" t="n">
        <x:v>61</x:v>
      </x:c>
      <x:c r="B62" s="12" t="str">
        <x:v>S075</x:v>
      </x:c>
      <x:c r="C62" s="12" t="str">
        <x:v>Saroli et al. (2025)</x:v>
      </x:c>
      <x:c r="D62" s="12" t="str">
        <x:v>Fabrication and Metrological Characterization of Bare and Integrated 3-D-Printed Single-Layer CB-TPU Strain Sensors</x:v>
      </x:c>
      <x:c r="E62" s="12" t="n">
        <x:v>2025</x:v>
      </x:c>
      <x:c r="F62" s="12" t="str">
        <x:v>IEEE Sensors Journal</x:v>
      </x:c>
      <x:c r="G62" s="12" t="str">
        <x:v>10.1109/JSEN.2025.3628211</x:v>
      </x:c>
      <x:c r="H62" s="12" t="str">
        <x:v>Include</x:v>
      </x:c>
      <x:c r="I62" s="12" t="str">
        <x:v>FDM directly prints the CB-TPU strain element; bare, tape-integrated and silicone-integrated configurations are quantitatively characterized under strain, cycling, temperature, humidity and body motion.</x:v>
      </x:c>
      <x:c r="J62" s="12" t="str">
        <x:v>PDF pp. 2–8; Figs. 1–7</x:v>
      </x:c>
      <x:c r="K62" s="12" t="str">
        <x:v>Batch 07</x:v>
      </x:c>
    </x:row>
    <x:row r="63" ht="24" hidden="0" customHeight="1">
      <x:c r="A63" s="12" t="n">
        <x:v>62</x:v>
      </x:c>
      <x:c r="B63" s="12" t="str">
        <x:v>S076</x:v>
      </x:c>
      <x:c r="C63" s="12" t="str">
        <x:v>Meena et al. (2025)</x:v>
      </x:c>
      <x:c r="D63" s="12" t="str">
        <x:v>3D-Printed PVDF-Based Hybrid Nanogenerators with Dominant Triboelectric Output for High-Sensitivity Force Sensing</x:v>
      </x:c>
      <x:c r="E63" s="12" t="n">
        <x:v>2025</x:v>
      </x:c>
      <x:c r="F63" s="12" t="str">
        <x:v>IEEE Sensors Journal</x:v>
      </x:c>
      <x:c r="G63" s="12" t="str">
        <x:v>10.1109/JSEN.2025.3572337</x:v>
      </x:c>
      <x:c r="H63" s="12" t="str">
        <x:v>Include</x:v>
      </x:c>
      <x:c r="I63" s="12" t="str">
        <x:v>FFF prints the active PVDF film used in a hybrid nanogenerator; controlled force/frequency tests, endurance and tactile/wearable demonstrations are reported.</x:v>
      </x:c>
      <x:c r="J63" s="12" t="str">
        <x:v>PDF pp. 3–8; Figs. 1–6; cited Supplementary Figs. S1–S10</x:v>
      </x:c>
      <x:c r="K63" s="12" t="str">
        <x:v>Batch 07</x:v>
      </x:c>
    </x:row>
    <x:row r="64" ht="24" hidden="0" customHeight="1">
      <x:c r="A64" s="12" t="n">
        <x:v>63</x:v>
      </x:c>
      <x:c r="B64" s="12" t="str">
        <x:v>S077</x:v>
      </x:c>
      <x:c r="C64" s="12" t="str">
        <x:v>Farid et al. (2025)</x:v>
      </x:c>
      <x:c r="D64" s="12" t="str">
        <x:v>Bio-inspired hybrid composite fabrication 3D-printing approach for multifunctional flexible wearable sensors applications</x:v>
      </x:c>
      <x:c r="E64" s="12" t="n">
        <x:v>2025</x:v>
      </x:c>
      <x:c r="F64" s="12" t="str">
        <x:v>Composite Structures</x:v>
      </x:c>
      <x:c r="G64" s="12" t="str">
        <x:v>10.1016/j.compstruct.2025.119046</x:v>
      </x:c>
      <x:c r="H64" s="12" t="str">
        <x:v>Include</x:v>
      </x:c>
      <x:c r="I64" s="12" t="str">
        <x:v>FDM prints the TPU sensing body during a graphene/PEDOT:PSS layer-integration sequence; strain, pressure, temperature and body-motion responses are reported.</x:v>
      </x:c>
      <x:c r="J64" s="12" t="str">
        <x:v>PDF pp. 3–15; Figs. 1–7; Table 1</x:v>
      </x:c>
      <x:c r="K64" s="12" t="str">
        <x:v>Batch 07</x:v>
      </x:c>
    </x:row>
    <x:row r="65" ht="24" hidden="0" customHeight="1">
      <x:c r="A65" s="12" t="n">
        <x:v>64</x:v>
      </x:c>
      <x:c r="B65" s="12" t="str">
        <x:v>S078</x:v>
      </x:c>
      <x:c r="C65" s="12" t="str">
        <x:v>Hu et al. (2024)</x:v>
      </x:c>
      <x:c r="D65" s="12" t="str">
        <x:v>Microwave Radiation Assisted Construction of Fused Deposition Modeling 3D Printing Flexible Sensors</x:v>
      </x:c>
      <x:c r="E65" s="12" t="n">
        <x:v>2024</x:v>
      </x:c>
      <x:c r="F65" s="12" t="str">
        <x:v>Macromolecular Chemistry and Physics</x:v>
      </x:c>
      <x:c r="G65" s="12" t="str">
        <x:v>10.1002/macp.202400284</x:v>
      </x:c>
      <x:c r="H65" s="12" t="str">
        <x:v>Include</x:v>
      </x:c>
      <x:c r="I65" s="12" t="str">
        <x:v>FDM TPU structures are surface-loaded with CNTs and microwave-treated to form conductive sensing layers; pressure/strain cycling and insole/finger-cover demonstrations are reported.</x:v>
      </x:c>
      <x:c r="J65" s="12" t="str">
        <x:v>PDF pp. 3–8; Figs. 1–6; Supporting Table S1 cited</x:v>
      </x:c>
      <x:c r="K65" s="12" t="str">
        <x:v>Batch 07</x:v>
      </x:c>
    </x:row>
    <x:row r="66" ht="36" hidden="0" customHeight="1">
      <x:c r="A66" s="12" t="n">
        <x:v>65</x:v>
      </x:c>
      <x:c r="B66" s="12" t="str">
        <x:v>S079</x:v>
      </x:c>
      <x:c r="C66" s="12" t="str">
        <x:v>Han et al. (2024)</x:v>
      </x:c>
      <x:c r="D66" s="12" t="str">
        <x:v>Wide-response-range and high-sensitivity piezoresistive sensors with triple periodic minimal surface (TPMS) structures for wearable human-computer interaction systems</x:v>
      </x:c>
      <x:c r="E66" s="12" t="n">
        <x:v>2024</x:v>
      </x:c>
      <x:c r="F66" s="12" t="str">
        <x:v>Composites Part B: Engineering</x:v>
      </x:c>
      <x:c r="G66" s="12" t="str">
        <x:v>10.1016/j.compositesb.2024.111840</x:v>
      </x:c>
      <x:c r="H66" s="12" t="str">
        <x:v>Include</x:v>
      </x:c>
      <x:c r="I66" s="12" t="str">
        <x:v>FDM fabricates active conductive TPMS pressure sensors that are evaluated over controlled pressure, cycling and environmental exposures and in body-motion and foot-array demonstrations.</x:v>
      </x:c>
      <x:c r="J66" s="12" t="str">
        <x:v>PDF pp. 2–12; Figs. 1–8; Supplementary Figs. S1–S15 cited</x:v>
      </x:c>
      <x:c r="K66" s="12" t="str">
        <x:v>Batch 07</x:v>
      </x:c>
    </x:row>
    <x:row r="67" ht="24" hidden="0" customHeight="1">
      <x:c r="A67" s="12" t="n">
        <x:v>66</x:v>
      </x:c>
      <x:c r="B67" s="12" t="str">
        <x:v>S080</x:v>
      </x:c>
      <x:c r="C67" s="12" t="str">
        <x:v>Imanian et al. (2023)</x:v>
      </x:c>
      <x:c r="D67" s="12" t="str">
        <x:v>3D printed flexible wearable sensors based on triply periodic minimal surface structures for biomonitoring applications</x:v>
      </x:c>
      <x:c r="E67" s="12" t="n">
        <x:v>2023</x:v>
      </x:c>
      <x:c r="F67" s="12" t="str">
        <x:v>Smart Materials and Structures</x:v>
      </x:c>
      <x:c r="G67" s="12" t="str">
        <x:v>10.1088/1361-665X/aca6bc</x:v>
      </x:c>
      <x:c r="H67" s="12" t="str">
        <x:v>Include</x:v>
      </x:c>
      <x:c r="I67" s="12" t="str">
        <x:v>FDM fabricates TPU TPMS structures that are graphene-coated to form piezoresistive sensors; controlled compression, 300-cycle testing, respiration and gait signals are reported.</x:v>
      </x:c>
      <x:c r="J67" s="12" t="str">
        <x:v>PDF pp. 2, 4–12; Figs. 1–8</x:v>
      </x:c>
      <x:c r="K67" s="12" t="str">
        <x:v>Batch 08</x:v>
      </x:c>
    </x:row>
    <x:row r="68" ht="24" hidden="0" customHeight="1">
      <x:c r="A68" s="12" t="n">
        <x:v>67</x:v>
      </x:c>
      <x:c r="B68" s="12" t="str">
        <x:v>S081</x:v>
      </x:c>
      <x:c r="C68" s="12" t="str">
        <x:v>De Tommasi et al. (2023)</x:v>
      </x:c>
      <x:c r="D68" s="12" t="str">
        <x:v>Wearable 3D-Printed Thumb-Shaped Device Based on Fiber Bragg Grating Sensor for Epidural Space Detection</x:v>
      </x:c>
      <x:c r="E68" s="12" t="n">
        <x:v>2023</x:v>
      </x:c>
      <x:c r="F68" s="12" t="str">
        <x:v>IEEE Sensors Journal</x:v>
      </x:c>
      <x:c r="G68" s="12" t="str">
        <x:v>10.1109/JSEN.2023.3286284</x:v>
      </x:c>
      <x:c r="H68" s="12" t="str">
        <x:v>Include</x:v>
      </x:c>
      <x:c r="I68" s="12" t="str">
        <x:v>FDM fabricates the TPU thumb body and embeds the FBG that measures force loss during epidural-space detection; seven compression tests and two clinical procedures are reported.</x:v>
      </x:c>
      <x:c r="J68" s="12" t="str">
        <x:v>PDF pp. 3–7; Figs. 1–8; Table I</x:v>
      </x:c>
      <x:c r="K68" s="12" t="str">
        <x:v>Batch 08</x:v>
      </x:c>
    </x:row>
    <x:row r="69" ht="48" hidden="0" customHeight="1">
      <x:c r="A69" s="12" t="n">
        <x:v>68</x:v>
      </x:c>
      <x:c r="B69" s="12" t="str">
        <x:v>S082</x:v>
      </x:c>
      <x:c r="C69" s="12" t="str">
        <x:v>Xiang et al. (2023)</x:v>
      </x:c>
      <x:c r="D69" s="12" t="str">
        <x:v>Highly Sensitive Flexible Strain Sensor Based on a Double-percolation Structured Elastic Fiber of Carbon Nanotube (CNT)/Styrene Butadiene Styrene (SBS) @ Thermoplastic Polyurethane (TPU) for Human Motion and Tactile Recognition</x:v>
      </x:c>
      <x:c r="E69" s="12" t="n">
        <x:v>2023</x:v>
      </x:c>
      <x:c r="F69" s="12" t="str">
        <x:v>Applied Composite Materials</x:v>
      </x:c>
      <x:c r="G69" s="12" t="str">
        <x:v>10.1007/s10443-022-10084-7</x:v>
      </x:c>
      <x:c r="H69" s="12" t="str">
        <x:v>Include</x:v>
      </x:c>
      <x:c r="I69" s="12" t="str">
        <x:v>FFF directly extrudes CNT/SBS@TPU sensing fibres; SBS:TPU-ratio comparisons, 2000-cycle strain testing and body-motion/tactile demonstrations are reported.</x:v>
      </x:c>
      <x:c r="J69" s="12" t="str">
        <x:v>PDF pp. 4–12; Figs. 1–7; Supplementary Figs. S1–S5 cited</x:v>
      </x:c>
      <x:c r="K69" s="12" t="str">
        <x:v>Batch 08</x:v>
      </x:c>
    </x:row>
    <x:row r="70" ht="36" hidden="0" customHeight="1">
      <x:c r="A70" s="12" t="n">
        <x:v>69</x:v>
      </x:c>
      <x:c r="B70" s="12" t="str">
        <x:v>S084</x:v>
      </x:c>
      <x:c r="C70" s="12" t="str">
        <x:v>Liu et al. (2023)</x:v>
      </x:c>
      <x:c r="D70" s="12" t="str">
        <x:v>Highly sensitive flexible strain sensor based on carbon nanotube/styrene butadiene styrene@ thermoplastic polyurethane fiber with a double percolated structure</x:v>
      </x:c>
      <x:c r="E70" s="12" t="n">
        <x:v>2023</x:v>
      </x:c>
      <x:c r="F70" s="12" t="str">
        <x:v>Polymer Engineering and Science</x:v>
      </x:c>
      <x:c r="G70" s="12" t="str">
        <x:v>10.1002/pen.26198</x:v>
      </x:c>
      <x:c r="H70" s="12" t="str">
        <x:v>Include</x:v>
      </x:c>
      <x:c r="I70" s="12" t="str">
        <x:v>FFF directly extrudes CNT/SBS@TPU sensing fibres; CNT-loading comparisons, 2000-cycle strain testing and human-motion/tactile demonstrations are reported.</x:v>
      </x:c>
      <x:c r="J70" s="12" t="str">
        <x:v>PDF pp. 4–11; Figs. 1–8; Supplementary Figs. S1–S5 cited</x:v>
      </x:c>
      <x:c r="K70" s="12" t="str">
        <x:v>Batch 08</x:v>
      </x:c>
    </x:row>
    <x:row r="71" ht="24" hidden="0" customHeight="1">
      <x:c r="A71" s="12" t="n">
        <x:v>70</x:v>
      </x:c>
      <x:c r="B71" s="12" t="str">
        <x:v>S085</x:v>
      </x:c>
      <x:c r="C71" s="12" t="str">
        <x:v>Li et al. (2022)</x:v>
      </x:c>
      <x:c r="D71" s="12" t="str">
        <x:v>Strain sensing behavior of FDM 3D printed carbon black filled TPU with periodic configurations and flexible substrates</x:v>
      </x:c>
      <x:c r="E71" s="12" t="n">
        <x:v>2022</x:v>
      </x:c>
      <x:c r="F71" s="12" t="str">
        <x:v>Journal of Manufacturing Processes</x:v>
      </x:c>
      <x:c r="G71" s="12" t="str">
        <x:v>10.1016/j.jmapro.2021.12.020</x:v>
      </x:c>
      <x:c r="H71" s="12" t="str">
        <x:v>Include</x:v>
      </x:c>
      <x:c r="I71" s="12" t="str">
        <x:v>FDM deposits CB/TPU sensing paths onto TPU film; configuration-dependent response, static/dynamic tests, 3000 cycles and a lumbar-motion demonstration are reported.</x:v>
      </x:c>
      <x:c r="J71" s="12" t="str">
        <x:v>PDF pp. 2–4, 8–12; Figs. 1–18; Tables 1–2</x:v>
      </x:c>
      <x:c r="K71" s="12" t="str">
        <x:v>Batch 08</x:v>
      </x:c>
    </x:row>
    <x:row r="72" ht="36" hidden="0" customHeight="1">
      <x:c r="A72" s="12" t="n">
        <x:v>71</x:v>
      </x:c>
      <x:c r="B72" s="12" t="str">
        <x:v>S086</x:v>
      </x:c>
      <x:c r="C72" s="12" t="str">
        <x:v>Li et al. (2022)</x:v>
      </x:c>
      <x:c r="D72" s="12" t="str">
        <x:v>Fabrication and Properties of Thermoplastic Polyurethane/Silver Parts via Fused Deposition Modeling for Electromagnetic Interference Shielding and Wearable Sensors</x:v>
      </x:c>
      <x:c r="E72" s="12" t="n">
        <x:v>2022</x:v>
      </x:c>
      <x:c r="F72" s="12" t="str">
        <x:v>Advanced Engineering Materials</x:v>
      </x:c>
      <x:c r="G72" s="12" t="str">
        <x:v>10.1002/adem.202101392</x:v>
      </x:c>
      <x:c r="H72" s="12" t="str">
        <x:v>Include</x:v>
      </x:c>
      <x:c r="I72" s="12" t="str">
        <x:v>FDM and layerwise silver-paste deposition create TPU/Ag sensing parts that are microwave-sintered; tensile response, repeated cycling and human-motion signals are reported.</x:v>
      </x:c>
      <x:c r="J72" s="12" t="str">
        <x:v>PDF pp. 2–9; Figs. 1–6; Supporting Figs. S1–S3 and Table S1 cited</x:v>
      </x:c>
      <x:c r="K72" s="12" t="str">
        <x:v>Batch 08</x:v>
      </x:c>
    </x:row>
    <x:row r="73" ht="24" hidden="0" customHeight="1">
      <x:c r="A73" s="12" t="n">
        <x:v>72</x:v>
      </x:c>
      <x:c r="B73" s="12" t="str">
        <x:v>S087</x:v>
      </x:c>
      <x:c r="C73" s="12" t="str">
        <x:v>Ma et al. (2021)</x:v>
      </x:c>
      <x:c r="D73" s="12" t="str">
        <x:v>A 3D flexible piezoresistive sensor based on surface-filled graphene nanosheets conductive layer</x:v>
      </x:c>
      <x:c r="E73" s="12" t="n">
        <x:v>2021</x:v>
      </x:c>
      <x:c r="F73" s="12" t="str">
        <x:v>Sensors and Actuators A: Physical</x:v>
      </x:c>
      <x:c r="G73" s="12" t="str">
        <x:v>10.1016/j.sna.2021.113144</x:v>
      </x:c>
      <x:c r="H73" s="12" t="str">
        <x:v>Include</x:v>
      </x:c>
      <x:c r="I73" s="12" t="str">
        <x:v>FDM fabricates SEBS network substrates that are converted into surface-filled graphene piezoresistive sensors; tensile, pressure, 2000-cycle and body-motion tests are reported.</x:v>
      </x:c>
      <x:c r="J73" s="12" t="str">
        <x:v>PDF pp. 2–7; Figs. 1–5; Supplementary Figs. S1–S7 cited</x:v>
      </x:c>
      <x:c r="K73" s="12" t="str">
        <x:v>Batch 08</x:v>
      </x:c>
    </x:row>
    <x:row r="74" ht="24" hidden="0" customHeight="1">
      <x:c r="A74" s="12" t="n">
        <x:v>73</x:v>
      </x:c>
      <x:c r="B74" s="12" t="str">
        <x:v>S088</x:v>
      </x:c>
      <x:c r="C74" s="12" t="str">
        <x:v>Cheng-Yu et al. (2021)</x:v>
      </x:c>
      <x:c r="D74" s="12" t="str">
        <x:v>An FBG-based smart wearable ring fabricated using FDM for monitoring body joint motion</x:v>
      </x:c>
      <x:c r="E74" s="12" t="n">
        <x:v>2021</x:v>
      </x:c>
      <x:c r="F74" s="12" t="str">
        <x:v>Journal of Industrial Textiles</x:v>
      </x:c>
      <x:c r="G74" s="12" t="str">
        <x:v>10.1177/1528083719870204</x:v>
      </x:c>
      <x:c r="H74" s="12" t="str">
        <x:v>Include</x:v>
      </x:c>
      <x:c r="I74" s="12" t="str">
        <x:v>FDM embeds an FBG in a flexible PLA ring; three-repeat elbow calibration, cyclic elbow tests and knee-motion measurements in one participant are reported.</x:v>
      </x:c>
      <x:c r="J74" s="12" t="str">
        <x:v>PDF pp. 4–12; Figs. 1–10; Table 1</x:v>
      </x:c>
      <x:c r="K74" s="12" t="str">
        <x:v>Batch 08</x:v>
      </x:c>
    </x:row>
    <x:row r="75" ht="36" hidden="0" customHeight="1">
      <x:c r="A75" s="12" t="n">
        <x:v>74</x:v>
      </x:c>
      <x:c r="B75" s="12" t="str">
        <x:v>S089</x:v>
      </x:c>
      <x:c r="C75" s="12" t="str">
        <x:v>Xiang et al. (2020)</x:v>
      </x:c>
      <x:c r="D75" s="12" t="str">
        <x:v>3D printed high-performance flexible strain sensors based on carbon nanotube and graphene nanoplatelet filled polymer composites</x:v>
      </x:c>
      <x:c r="E75" s="12" t="n">
        <x:v>2020</x:v>
      </x:c>
      <x:c r="F75" s="12" t="str">
        <x:v>Journal of Materials Science</x:v>
      </x:c>
      <x:c r="G75" s="12" t="str">
        <x:v>10.1007/s10853-020-05137-w</x:v>
      </x:c>
      <x:c r="H75" s="12" t="str">
        <x:v>Include</x:v>
      </x:c>
      <x:c r="I75" s="12" t="str">
        <x:v>FFF directly prints CNT/TPU, GNP/TPU and hybrid CNT/GNP/TPU strain sensors; temperature dependence, 3000-cycle tests and body-motion demonstrations are reported.</x:v>
      </x:c>
      <x:c r="J75" s="12" t="str">
        <x:v>PDF pp. 10–35 of available accepted manuscript; Figs. 1–10; Tables 1–2; Supplementary Tables S1–S2 cited</x:v>
      </x:c>
      <x:c r="K75" s="12" t="str">
        <x:v>Batch 08</x:v>
      </x:c>
    </x:row>
    <x:row r="76" ht="36" hidden="0" customHeight="1">
      <x:c r="A76" s="12" t="n">
        <x:v>75</x:v>
      </x:c>
      <x:c r="B76" s="12" t="str">
        <x:v>S090</x:v>
      </x:c>
      <x:c r="C76" s="12" t="str">
        <x:v>Fan et al. (2019)</x:v>
      </x:c>
      <x:c r="D76" s="12" t="str">
        <x:v>3D printed high transconductance organic electrochemical transistors on flexible substrates</x:v>
      </x:c>
      <x:c r="E76" s="12" t="n">
        <x:v>2019</x:v>
      </x:c>
      <x:c r="F76" s="12" t="str">
        <x:v>Organic Electronics</x:v>
      </x:c>
      <x:c r="G76" s="12" t="str">
        <x:v>10.1016/j.orgel.2019.06.012</x:v>
      </x:c>
      <x:c r="H76" s="12" t="str">
        <x:v>Include</x:v>
      </x:c>
      <x:c r="I76" s="12" t="str">
        <x:v>FDM forms the soft-PLA substrate and insulating mask that defines the active OECT channel and isolates the electrodes from electrolyte. Complete flexible OECTs were electrically characterized; separate direct-written PDMS devices were used for ion and pH sensing.</x:v>
      </x:c>
      <x:c r="J76" s="12" t="str">
        <x:v>PDF pp. 2–7; Figs. 1, 3–4; Tables 1–2</x:v>
      </x:c>
      <x:c r="K76" s="12" t="str">
        <x:v>Batch 09</x:v>
      </x:c>
    </x:row>
    <x:row r="77" ht="24" hidden="0" customHeight="1">
      <x:c r="A77" s="12" t="n">
        <x:v>76</x:v>
      </x:c>
      <x:c r="B77" s="12" t="str">
        <x:v>S091</x:v>
      </x:c>
      <x:c r="C77" s="12" t="str">
        <x:v>Kennedy et al. (2017)</x:v>
      </x:c>
      <x:c r="D77" s="12" t="str">
        <x:v>3D-printed poly(vinylidene fluoride)/carbon nanotube composites as a tunable, low-cost chemical vapour sensing platform</x:v>
      </x:c>
      <x:c r="E77" s="12" t="n">
        <x:v>2017</x:v>
      </x:c>
      <x:c r="F77" s="12" t="str">
        <x:v>Nanoscale</x:v>
      </x:c>
      <x:c r="G77" s="12" t="str">
        <x:v>10.1039/c7nr00617a</x:v>
      </x:c>
      <x:c r="H77" s="12" t="str">
        <x:v>Include</x:v>
      </x:c>
      <x:c r="I77" s="12" t="str">
        <x:v>FDM directly fabricates flexible PVDF/MWCNT chemiresistive strips. VOC response, four-cycle recovery tests, a 25-cycle acetone test and between-specimen baseline resistance are reported.</x:v>
      </x:c>
      <x:c r="J77" s="12" t="str">
        <x:v>PDF pp. 1–8; Figs. 2, 6–11; Table 1; ESI Table S1 and Fig. S5 cited</x:v>
      </x:c>
      <x:c r="K77" s="12" t="str">
        <x:v>Batch 09</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13.329999923706055" hidden="0" customWidth="1"/>
    <x:col min="3" max="3" width="16.110000610351562" hidden="0" customWidth="1"/>
    <x:col min="4" max="4" width="16.110000610351562" hidden="0" customWidth="1"/>
    <x:col min="5" max="5" width="16.670000076293945" hidden="0" customWidth="1"/>
    <x:col min="6" max="6" width="12.220000267028809" hidden="0" customWidth="1"/>
    <x:col min="7" max="7" width="10" hidden="0" customWidth="1"/>
    <x:col min="8" max="8" width="72.22000122070312" hidden="0" customWidth="1"/>
    <x:col min="9" max="9" width="31.110000610351562" hidden="0" customWidth="1"/>
    <x:col min="10" max="10" width="13.329999923706055" hidden="0" customWidth="1"/>
  </x:cols>
  <x:sheetData>
    <x:row r="1" ht="24" hidden="0" customHeight="1">
      <x:c r="A1" s="11" t="str">
        <x:v>Stable Study ID</x:v>
      </x:c>
      <x:c r="B1" s="11" t="str">
        <x:v>FDM/FFF process</x:v>
      </x:c>
      <x:c r="C1" s="11" t="str">
        <x:v>Printed element essential</x:v>
      </x:c>
      <x:c r="D1" s="11" t="str">
        <x:v>Experimental response</x:v>
      </x:c>
      <x:c r="E1" s="11" t="str">
        <x:v>Wearable relevance</x:v>
      </x:c>
      <x:c r="F1" s="11" t="str">
        <x:v>Other rules</x:v>
      </x:c>
      <x:c r="G1" s="11" t="str">
        <x:v>Decision</x:v>
      </x:c>
      <x:c r="H1" s="11" t="str">
        <x:v>Reason</x:v>
      </x:c>
      <x:c r="I1" s="11" t="str">
        <x:v>Evidence locator</x:v>
      </x:c>
      <x:c r="J1" s="11" t="str">
        <x:v>Authoritative source</x:v>
      </x:c>
    </x:row>
    <x:row r="2" ht="15" hidden="0" customHeight="1">
      <x:c r="A2" s="12" t="str">
        <x:v>S001</x:v>
      </x:c>
      <x:c r="B2" s="12" t="str">
        <x:v>Yes</x:v>
      </x:c>
      <x:c r="C2" s="12" t="str">
        <x:v>Yes</x:v>
      </x:c>
      <x:c r="D2" s="12" t="str">
        <x:v>Yes</x:v>
      </x:c>
      <x:c r="E2" s="12" t="str">
        <x:v>Yes</x:v>
      </x:c>
      <x:c r="F2" s="12" t="str">
        <x:v>Yes</x:v>
      </x:c>
      <x:c r="G2" s="12" t="str">
        <x:v>Include</x:v>
      </x:c>
      <x:c r="H2" s="12" t="str">
        <x:v>All five criteria explicit.</x:v>
      </x:c>
      <x:c r="I2" s="12" t="str">
        <x:v>PDF pp. 4-7, Methods and on-body protocol</x:v>
      </x:c>
      <x:c r="J2" s="12" t="str">
        <x:v>Pilot</x:v>
      </x:c>
    </x:row>
    <x:row r="3" ht="15" hidden="0" customHeight="1">
      <x:c r="A3" s="12" t="str">
        <x:v>S002</x:v>
      </x:c>
      <x:c r="B3" s="12" t="str">
        <x:v>Yes</x:v>
      </x:c>
      <x:c r="C3" s="12" t="str">
        <x:v>Yes</x:v>
      </x:c>
      <x:c r="D3" s="12" t="str">
        <x:v>Yes</x:v>
      </x:c>
      <x:c r="E3" s="12" t="str">
        <x:v>Yes</x:v>
      </x:c>
      <x:c r="F3" s="12" t="str">
        <x:v>Yes</x:v>
      </x:c>
      <x:c r="G3" s="12" t="str">
        <x:v>Include</x:v>
      </x:c>
      <x:c r="H3" s="12" t="str">
        <x:v>Printed electrode is the sensing element; sweat matrix and glucose sensing establish wearable relevance.</x:v>
      </x:c>
      <x:c r="I3" s="12" t="str">
        <x:v>PDF pp. 4-10, Sections 2.3-3.5</x:v>
      </x:c>
      <x:c r="J3" s="12" t="str">
        <x:v>Pilot</x:v>
      </x:c>
    </x:row>
    <x:row r="4" ht="24" hidden="0" customHeight="1">
      <x:c r="A4" s="12" t="str">
        <x:v>S004</x:v>
      </x:c>
      <x:c r="B4" s="12" t="str">
        <x:v>Yes</x:v>
      </x:c>
      <x:c r="C4" s="12" t="str">
        <x:v>Yes</x:v>
      </x:c>
      <x:c r="D4" s="12" t="str">
        <x:v>Yes</x:v>
      </x:c>
      <x:c r="E4" s="12" t="str">
        <x:v>Yes</x:v>
      </x:c>
      <x:c r="F4" s="12" t="str">
        <x:v>Yes</x:v>
      </x:c>
      <x:c r="G4" s="12" t="str">
        <x:v>Include</x:v>
      </x:c>
      <x:c r="H4" s="12" t="str">
        <x:v>Dual-material FDM TPU/E-TPU strain sensor tested on the body for hand, wrist, respiration, gait and squat signals.</x:v>
      </x:c>
      <x:c r="I4" s="12" t="str">
        <x:v>PDF pp. 2–13; Figs. 1–8</x:v>
      </x:c>
      <x:c r="J4" s="12" t="str">
        <x:v>Batch 01</x:v>
      </x:c>
    </x:row>
    <x:row r="5" ht="24" hidden="0" customHeight="1">
      <x:c r="A5" s="12" t="str">
        <x:v>S005</x:v>
      </x:c>
      <x:c r="B5" s="12" t="str">
        <x:v>Yes</x:v>
      </x:c>
      <x:c r="C5" s="12" t="str">
        <x:v>Yes</x:v>
      </x:c>
      <x:c r="D5" s="12" t="str">
        <x:v>Yes</x:v>
      </x:c>
      <x:c r="E5" s="12" t="str">
        <x:v>Yes</x:v>
      </x:c>
      <x:c r="F5" s="12" t="str">
        <x:v>Yes</x:v>
      </x:c>
      <x:c r="G5" s="12" t="str">
        <x:v>Include</x:v>
      </x:c>
      <x:c r="H5" s="12" t="str">
        <x:v>FBG embedded during filament printing in a flexible chest-worn sensor; bench characterized and tested on three users.</x:v>
      </x:c>
      <x:c r="I5" s="12" t="str">
        <x:v>PDF pp. 3–11; Figs. 1–9; Tables 1–3</x:v>
      </x:c>
      <x:c r="J5" s="12" t="str">
        <x:v>Batch 01</x:v>
      </x:c>
    </x:row>
    <x:row r="6" ht="15" hidden="0" customHeight="1">
      <x:c r="A6" s="12" t="str">
        <x:v>S007</x:v>
      </x:c>
      <x:c r="B6" s="12" t="str">
        <x:v>Yes</x:v>
      </x:c>
      <x:c r="C6" s="12" t="str">
        <x:v>Yes</x:v>
      </x:c>
      <x:c r="D6" s="12" t="str">
        <x:v>Yes</x:v>
      </x:c>
      <x:c r="E6" s="12" t="str">
        <x:v>Yes</x:v>
      </x:c>
      <x:c r="F6" s="12" t="str">
        <x:v>Yes</x:v>
      </x:c>
      <x:c r="G6" s="12" t="str">
        <x:v>Include</x:v>
      </x:c>
      <x:c r="H6" s="12" t="str">
        <x:v>Dry electrodes are FFF fabricated and experimentally tested for EEG.</x:v>
      </x:c>
      <x:c r="I6" s="12" t="str">
        <x:v>PDF pp. 3-7</x:v>
      </x:c>
      <x:c r="J6" s="12" t="str">
        <x:v>Pilot</x:v>
      </x:c>
    </x:row>
    <x:row r="7" ht="24" hidden="0" customHeight="1">
      <x:c r="A7" s="12" t="str">
        <x:v>S008</x:v>
      </x:c>
      <x:c r="B7" s="12" t="str">
        <x:v>Yes</x:v>
      </x:c>
      <x:c r="C7" s="12" t="str">
        <x:v>Yes</x:v>
      </x:c>
      <x:c r="D7" s="12" t="str">
        <x:v>Yes</x:v>
      </x:c>
      <x:c r="E7" s="12" t="str">
        <x:v>Yes</x:v>
      </x:c>
      <x:c r="F7" s="12" t="str">
        <x:v>Yes</x:v>
      </x:c>
      <x:c r="G7" s="12" t="str">
        <x:v>Include</x:v>
      </x:c>
      <x:c r="H7" s="12" t="str">
        <x:v>FFF TPU insole architecture is an essential load-transfer element of a wireless plantar-pressure sensor tested as a complete insole.</x:v>
      </x:c>
      <x:c r="I7" s="12" t="str">
        <x:v>PDF pp. 5–10; Figs. 3–5</x:v>
      </x:c>
      <x:c r="J7" s="12" t="str">
        <x:v>Batch 01</x:v>
      </x:c>
    </x:row>
    <x:row r="8" ht="24" hidden="0" customHeight="1">
      <x:c r="A8" s="12" t="str">
        <x:v>S010</x:v>
      </x:c>
      <x:c r="B8" s="12" t="str">
        <x:v>Yes</x:v>
      </x:c>
      <x:c r="C8" s="12" t="str">
        <x:v>Yes</x:v>
      </x:c>
      <x:c r="D8" s="12" t="str">
        <x:v>Yes</x:v>
      </x:c>
      <x:c r="E8" s="12" t="str">
        <x:v>Yes</x:v>
      </x:c>
      <x:c r="F8" s="12" t="str">
        <x:v>Yes</x:v>
      </x:c>
      <x:c r="G8" s="12" t="str">
        <x:v>Include</x:v>
      </x:c>
      <x:c r="H8" s="12" t="str">
        <x:v>Monolithic FDM soft actuator and resistive force sensor were characterized and worn on the wrist in two-person feedback tasks.</x:v>
      </x:c>
      <x:c r="I8" s="12" t="str">
        <x:v>PDF pp. 3–16; Figs. 1–13; Appendix A</x:v>
      </x:c>
      <x:c r="J8" s="12" t="str">
        <x:v>Batch 01</x:v>
      </x:c>
    </x:row>
    <x:row r="9" ht="15" hidden="0" customHeight="1">
      <x:c r="A9" s="12" t="str">
        <x:v>S011</x:v>
      </x:c>
      <x:c r="B9" s="12" t="str">
        <x:v>Yes</x:v>
      </x:c>
      <x:c r="C9" s="12" t="str">
        <x:v>Yes</x:v>
      </x:c>
      <x:c r="D9" s="12" t="str">
        <x:v>Yes</x:v>
      </x:c>
      <x:c r="E9" s="12" t="str">
        <x:v>Yes</x:v>
      </x:c>
      <x:c r="F9" s="12" t="str">
        <x:v>Yes</x:v>
      </x:c>
      <x:c r="G9" s="12" t="str">
        <x:v>Include</x:v>
      </x:c>
      <x:c r="H9" s="12" t="str">
        <x:v>Printed capacitive sensor and insole assembly directly satisfy scope.</x:v>
      </x:c>
      <x:c r="I9" s="12" t="str">
        <x:v>PDF pp. 3-6, 12-14</x:v>
      </x:c>
      <x:c r="J9" s="12" t="str">
        <x:v>Pilot</x:v>
      </x:c>
    </x:row>
    <x:row r="10" ht="24" hidden="0" customHeight="1">
      <x:c r="A10" s="12" t="str">
        <x:v>S012</x:v>
      </x:c>
      <x:c r="B10" s="12" t="str">
        <x:v>Yes</x:v>
      </x:c>
      <x:c r="C10" s="12" t="str">
        <x:v>Yes</x:v>
      </x:c>
      <x:c r="D10" s="12" t="str">
        <x:v>Yes</x:v>
      </x:c>
      <x:c r="E10" s="12" t="str">
        <x:v>Yes</x:v>
      </x:c>
      <x:c r="F10" s="12" t="str">
        <x:v>Yes</x:v>
      </x:c>
      <x:c r="G10" s="12" t="str">
        <x:v>Include</x:v>
      </x:c>
      <x:c r="H10" s="12" t="str">
        <x:v>FDM carbon-black/TPU dry electrodes and an eight-electrode band were compared with Ag/AgCl electrodes on volunteers.</x:v>
      </x:c>
      <x:c r="I10" s="12" t="str">
        <x:v>PDF pp. 4–14; Figs. 1–17; Tables 2–3</x:v>
      </x:c>
      <x:c r="J10" s="12" t="str">
        <x:v>Batch 01</x:v>
      </x:c>
    </x:row>
    <x:row r="11" ht="24" hidden="0" customHeight="1">
      <x:c r="A11" s="12" t="str">
        <x:v>S013</x:v>
      </x:c>
      <x:c r="B11" s="12" t="str">
        <x:v>Yes</x:v>
      </x:c>
      <x:c r="C11" s="12" t="str">
        <x:v>Yes</x:v>
      </x:c>
      <x:c r="D11" s="12" t="str">
        <x:v>Yes</x:v>
      </x:c>
      <x:c r="E11" s="12" t="str">
        <x:v>Yes</x:v>
      </x:c>
      <x:c r="F11" s="12" t="str">
        <x:v>Yes</x:v>
      </x:c>
      <x:c r="G11" s="12" t="str">
        <x:v>Include</x:v>
      </x:c>
      <x:c r="H11" s="12" t="str">
        <x:v>Dual-extrusion wearable e-finger integrates printed electrodes and a TPU holder and was worn during beverage measurements.</x:v>
      </x:c>
      <x:c r="I11" s="12" t="str">
        <x:v>PDF pp. 3–7; Figs. 1–6; Table 1; cited SI</x:v>
      </x:c>
      <x:c r="J11" s="12" t="str">
        <x:v>Batch 01</x:v>
      </x:c>
    </x:row>
    <x:row r="12" ht="24" hidden="0" customHeight="1">
      <x:c r="A12" s="12" t="str">
        <x:v>S014</x:v>
      </x:c>
      <x:c r="B12" s="12" t="str">
        <x:v>Yes</x:v>
      </x:c>
      <x:c r="C12" s="12" t="str">
        <x:v>Yes</x:v>
      </x:c>
      <x:c r="D12" s="12" t="str">
        <x:v>Yes</x:v>
      </x:c>
      <x:c r="E12" s="12" t="str">
        <x:v>Yes</x:v>
      </x:c>
      <x:c r="F12" s="12" t="str">
        <x:v>Yes</x:v>
      </x:c>
      <x:c r="G12" s="12" t="str">
        <x:v>Include</x:v>
      </x:c>
      <x:c r="H12" s="12" t="str">
        <x:v>FBGs embedded in filament-printed TPU sensors were characterized and applied to eight volunteers for shoulder-motion tests.</x:v>
      </x:c>
      <x:c r="I12" s="12" t="str">
        <x:v>PDF pp. 4–15; Figs. 1–10; Tables 1–2</x:v>
      </x:c>
      <x:c r="J12" s="12" t="str">
        <x:v>Batch 01</x:v>
      </x:c>
    </x:row>
    <x:row r="13" ht="24" hidden="0" customHeight="1">
      <x:c r="A13" s="12" t="str">
        <x:v>S015</x:v>
      </x:c>
      <x:c r="B13" s="12" t="str">
        <x:v>Yes</x:v>
      </x:c>
      <x:c r="C13" s="12" t="str">
        <x:v>Yes</x:v>
      </x:c>
      <x:c r="D13" s="12" t="str">
        <x:v>Yes</x:v>
      </x:c>
      <x:c r="E13" s="12" t="str">
        <x:v>Yes</x:v>
      </x:c>
      <x:c r="F13" s="12" t="str">
        <x:v>Yes</x:v>
      </x:c>
      <x:c r="G13" s="12" t="str">
        <x:v>Include</x:v>
      </x:c>
      <x:c r="H13" s="12" t="str">
        <x:v>FDM PLA headgear provides the geometry and load transfer for flex and inertial sensors and was tested on two volunteers.</x:v>
      </x:c>
      <x:c r="I13" s="12" t="str">
        <x:v>PDF pp. 3–11; Figs. 1–6; Table 1</x:v>
      </x:c>
      <x:c r="J13" s="12" t="str">
        <x:v>Batch 01</x:v>
      </x:c>
    </x:row>
    <x:row r="14" ht="24" hidden="0" customHeight="1">
      <x:c r="A14" s="12" t="str">
        <x:v>S017</x:v>
      </x:c>
      <x:c r="B14" s="12" t="str">
        <x:v>Yes</x:v>
      </x:c>
      <x:c r="C14" s="12" t="str">
        <x:v>Yes</x:v>
      </x:c>
      <x:c r="D14" s="12" t="str">
        <x:v>Yes</x:v>
      </x:c>
      <x:c r="E14" s="12" t="str">
        <x:v>Yes</x:v>
      </x:c>
      <x:c r="F14" s="12" t="str">
        <x:v>Yes</x:v>
      </x:c>
      <x:c r="G14" s="12" t="str">
        <x:v>Include</x:v>
      </x:c>
      <x:c r="H14" s="12" t="str">
        <x:v>Extruded TPU/PLA/carbon filament is printed as triboelectric active film and used in body-motion demonstrations.</x:v>
      </x:c>
      <x:c r="I14" s="12" t="str">
        <x:v>PDF pp. 2-5</x:v>
      </x:c>
      <x:c r="J14" s="12" t="str">
        <x:v>Pilot</x:v>
      </x:c>
    </x:row>
    <x:row r="15" ht="24" hidden="0" customHeight="1">
      <x:c r="A15" s="12" t="str">
        <x:v>S018</x:v>
      </x:c>
      <x:c r="B15" s="12" t="str">
        <x:v>Yes</x:v>
      </x:c>
      <x:c r="C15" s="12" t="str">
        <x:v>Yes</x:v>
      </x:c>
      <x:c r="D15" s="12" t="str">
        <x:v>Yes</x:v>
      </x:c>
      <x:c r="E15" s="12" t="str">
        <x:v>Yes</x:v>
      </x:c>
      <x:c r="F15" s="12" t="str">
        <x:v>Yes</x:v>
      </x:c>
      <x:c r="G15" s="12" t="str">
        <x:v>Include</x:v>
      </x:c>
      <x:c r="H15" s="12" t="str">
        <x:v>FDM TPU pneumatic chambers and conduits form the essential load-responsive insole structure; the complete insole was worn during force-plate walking tests.</x:v>
      </x:c>
      <x:c r="I15" s="12" t="str">
        <x:v>PDF pp. 3–11; Figs. 1–6; Table 1</x:v>
      </x:c>
      <x:c r="J15" s="12" t="str">
        <x:v>Batch 02</x:v>
      </x:c>
    </x:row>
    <x:row r="16" ht="24" hidden="0" customHeight="1">
      <x:c r="A16" s="12" t="str">
        <x:v>S019</x:v>
      </x:c>
      <x:c r="B16" s="12" t="str">
        <x:v>Yes</x:v>
      </x:c>
      <x:c r="C16" s="12" t="str">
        <x:v>Yes</x:v>
      </x:c>
      <x:c r="D16" s="12" t="str">
        <x:v>Yes</x:v>
      </x:c>
      <x:c r="E16" s="12" t="str">
        <x:v>Yes</x:v>
      </x:c>
      <x:c r="F16" s="12" t="str">
        <x:v>Yes</x:v>
      </x:c>
      <x:c r="G16" s="12" t="str">
        <x:v>Include</x:v>
      </x:c>
      <x:c r="H16" s="12" t="str">
        <x:v>CNT/TPU is directly FDM printed as the resistive sensing element and demonstrated in a finger-motion wearable system.</x:v>
      </x:c>
      <x:c r="I16" s="12" t="str">
        <x:v>PDF pp. 2–8; Figs. 1–7</x:v>
      </x:c>
      <x:c r="J16" s="12" t="str">
        <x:v>Batch 02</x:v>
      </x:c>
    </x:row>
    <x:row r="17" ht="24" hidden="0" customHeight="1">
      <x:c r="A17" s="12" t="str">
        <x:v>S020</x:v>
      </x:c>
      <x:c r="B17" s="12" t="str">
        <x:v>Yes</x:v>
      </x:c>
      <x:c r="C17" s="12" t="str">
        <x:v>Yes</x:v>
      </x:c>
      <x:c r="D17" s="12" t="str">
        <x:v>Yes</x:v>
      </x:c>
      <x:c r="E17" s="12" t="str">
        <x:v>Yes</x:v>
      </x:c>
      <x:c r="F17" s="12" t="str">
        <x:v>Yes</x:v>
      </x:c>
      <x:c r="G17" s="12" t="str">
        <x:v>Include</x:v>
      </x:c>
      <x:c r="H17" s="12" t="str">
        <x:v>FFF TPU capacitive pressure sensors were bench characterized, integrated into an upper-arm robot interface, and calibrated on seven participants.</x:v>
      </x:c>
      <x:c r="I17" s="12" t="str">
        <x:v>PDF pp. 5–14; Figs. 5–12</x:v>
      </x:c>
      <x:c r="J17" s="12" t="str">
        <x:v>Batch 02</x:v>
      </x:c>
    </x:row>
    <x:row r="18" ht="24" hidden="0" customHeight="1">
      <x:c r="A18" s="12" t="str">
        <x:v>S021</x:v>
      </x:c>
      <x:c r="B18" s="12" t="str">
        <x:v>Yes</x:v>
      </x:c>
      <x:c r="C18" s="12" t="str">
        <x:v>Yes</x:v>
      </x:c>
      <x:c r="D18" s="12" t="str">
        <x:v>Yes</x:v>
      </x:c>
      <x:c r="E18" s="12" t="str">
        <x:v>Yes</x:v>
      </x:c>
      <x:c r="F18" s="12" t="str">
        <x:v>Yes</x:v>
      </x:c>
      <x:c r="G18" s="12" t="str">
        <x:v>Include</x:v>
      </x:c>
      <x:c r="H18" s="12" t="str">
        <x:v>The FDM TPU skeleton is an essential mechanical carrier that fixes and decouples the optical sensors from skin strain; the assembled glove was tested after removal and re-wearing.</x:v>
      </x:c>
      <x:c r="I18" s="12" t="str">
        <x:v>PDF pp. 3–12; Figs. 1–8; Table 1</x:v>
      </x:c>
      <x:c r="J18" s="12" t="str">
        <x:v>Batch 02</x:v>
      </x:c>
    </x:row>
    <x:row r="19" ht="24" hidden="0" customHeight="1">
      <x:c r="A19" s="12" t="str">
        <x:v>S022</x:v>
      </x:c>
      <x:c r="B19" s="12" t="str">
        <x:v>Yes</x:v>
      </x:c>
      <x:c r="C19" s="12" t="str">
        <x:v>Yes</x:v>
      </x:c>
      <x:c r="D19" s="12" t="str">
        <x:v>Yes</x:v>
      </x:c>
      <x:c r="E19" s="12" t="str">
        <x:v>Yes</x:v>
      </x:c>
      <x:c r="F19" s="12" t="str">
        <x:v>Yes</x:v>
      </x:c>
      <x:c r="G19" s="12" t="str">
        <x:v>Include</x:v>
      </x:c>
      <x:c r="H19" s="12" t="str">
        <x:v>FDM TPU TPMS scaffolds were carbon-black impregnated to form piezoresistive sensors and demonstrated for body motion, plantar pressure, and gait.</x:v>
      </x:c>
      <x:c r="I19" s="12" t="str">
        <x:v>PDF pp. 1–9; Figs. 1–6; cited SI</x:v>
      </x:c>
      <x:c r="J19" s="12" t="str">
        <x:v>Batch 02</x:v>
      </x:c>
    </x:row>
    <x:row r="20" ht="24" hidden="0" customHeight="1">
      <x:c r="A20" s="12" t="str">
        <x:v>S023</x:v>
      </x:c>
      <x:c r="B20" s="12" t="str">
        <x:v>Yes</x:v>
      </x:c>
      <x:c r="C20" s="12" t="str">
        <x:v>Yes</x:v>
      </x:c>
      <x:c r="D20" s="12" t="str">
        <x:v>Yes</x:v>
      </x:c>
      <x:c r="E20" s="12" t="str">
        <x:v>Yes</x:v>
      </x:c>
      <x:c r="F20" s="12" t="str">
        <x:v>Yes</x:v>
      </x:c>
      <x:c r="G20" s="12" t="str">
        <x:v>Include</x:v>
      </x:c>
      <x:c r="H20" s="12" t="str">
        <x:v>FFF TPU matrices with embedded carbon-fibre cloth were tested as strain-sensing components under a protocol explicitly designed for clothing-integrated wearable components.</x:v>
      </x:c>
      <x:c r="I20" s="12" t="str">
        <x:v>PDF pp. 3–16; Figs. 2–10; Tables 1–2</x:v>
      </x:c>
      <x:c r="J20" s="12" t="str">
        <x:v>Batch 02</x:v>
      </x:c>
    </x:row>
    <x:row r="21" ht="24" hidden="0" customHeight="1">
      <x:c r="A21" s="12" t="str">
        <x:v>S024</x:v>
      </x:c>
      <x:c r="B21" s="12" t="str">
        <x:v>Yes</x:v>
      </x:c>
      <x:c r="C21" s="12" t="str">
        <x:v>Yes</x:v>
      </x:c>
      <x:c r="D21" s="12" t="str">
        <x:v>Yes</x:v>
      </x:c>
      <x:c r="E21" s="12" t="str">
        <x:v>Yes</x:v>
      </x:c>
      <x:c r="F21" s="12" t="str">
        <x:v>Yes</x:v>
      </x:c>
      <x:c r="G21" s="12" t="str">
        <x:v>Include</x:v>
      </x:c>
      <x:c r="H21" s="12" t="str">
        <x:v>Conductive TPU precursor films were FDM printed, patterned and encapsulated as strain sensors, then tested on multiple body sites.</x:v>
      </x:c>
      <x:c r="I21" s="12" t="str">
        <x:v>PDF pp. 2–11; Figs. 1–6; cited SI</x:v>
      </x:c>
      <x:c r="J21" s="12" t="str">
        <x:v>Batch 02</x:v>
      </x:c>
    </x:row>
    <x:row r="22" ht="24" hidden="0" customHeight="1">
      <x:c r="A22" s="12" t="str">
        <x:v>S025</x:v>
      </x:c>
      <x:c r="B22" s="12" t="str">
        <x:v>Yes</x:v>
      </x:c>
      <x:c r="C22" s="12" t="str">
        <x:v>Yes</x:v>
      </x:c>
      <x:c r="D22" s="12" t="str">
        <x:v>Yes</x:v>
      </x:c>
      <x:c r="E22" s="12" t="str">
        <x:v>Yes</x:v>
      </x:c>
      <x:c r="F22" s="12" t="str">
        <x:v>Yes</x:v>
      </x:c>
      <x:c r="G22" s="12" t="str">
        <x:v>Include</x:v>
      </x:c>
      <x:c r="H22" s="12" t="str">
        <x:v>Conductive CB-PLA pillar electrodes were FFF printed and integrated into a wearable hollow-microneedle pH patch with in-vitro and ex-vivo validation.</x:v>
      </x:c>
      <x:c r="I22" s="12" t="str">
        <x:v>PDF pp. 2–10; Figs. 1–6; Table 1; cited SI</x:v>
      </x:c>
      <x:c r="J22" s="12" t="str">
        <x:v>Batch 02</x:v>
      </x:c>
    </x:row>
    <x:row r="23" ht="36" hidden="0" customHeight="1">
      <x:c r="A23" s="12" t="str">
        <x:v>S028</x:v>
      </x:c>
      <x:c r="B23" s="12" t="str">
        <x:v>Yes</x:v>
      </x:c>
      <x:c r="C23" s="12" t="str">
        <x:v>Yes</x:v>
      </x:c>
      <x:c r="D23" s="12" t="str">
        <x:v>Yes</x:v>
      </x:c>
      <x:c r="E23" s="12" t="str">
        <x:v>Yes</x:v>
      </x:c>
      <x:c r="F23" s="12" t="str">
        <x:v>Yes</x:v>
      </x:c>
      <x:c r="G23" s="12" t="str">
        <x:v>Include</x:v>
      </x:c>
      <x:c r="H23" s="12" t="str">
        <x:v>The conductive plates and TPU dielectric are continuously FDM printed as the capacitive sensing element. The device is specifically designed and dynamically tested over pressure and frequency ranges selected for plantar-pressure insoles; no complete insole was tested.</x:v>
      </x:c>
      <x:c r="I23" s="12" t="str">
        <x:v>PDF pp. 4–17; Figs. 1–10; Tables 1–4</x:v>
      </x:c>
      <x:c r="J23" s="12" t="str">
        <x:v>Batch 03</x:v>
      </x:c>
    </x:row>
    <x:row r="24" ht="24" hidden="0" customHeight="1">
      <x:c r="A24" s="12" t="str">
        <x:v>S029</x:v>
      </x:c>
      <x:c r="B24" s="12" t="str">
        <x:v>Yes</x:v>
      </x:c>
      <x:c r="C24" s="12" t="str">
        <x:v>Yes</x:v>
      </x:c>
      <x:c r="D24" s="12" t="str">
        <x:v>Yes</x:v>
      </x:c>
      <x:c r="E24" s="12" t="str">
        <x:v>Yes</x:v>
      </x:c>
      <x:c r="F24" s="12" t="str">
        <x:v>Yes</x:v>
      </x:c>
      <x:c r="G24" s="12" t="str">
        <x:v>Include</x:v>
      </x:c>
      <x:c r="H24" s="12" t="str">
        <x:v>Conductive TPU is directly FDM printed as the bend-sensing element. Bench tests include manufacturing consistency, cyclic response and a prototype rehabilitation glove demonstration.</x:v>
      </x:c>
      <x:c r="I24" s="12" t="str">
        <x:v>PDF pp. 4–23; Figs. 3–17; Tables 2–7</x:v>
      </x:c>
      <x:c r="J24" s="12" t="str">
        <x:v>Batch 03</x:v>
      </x:c>
    </x:row>
    <x:row r="25" ht="24" hidden="0" customHeight="1">
      <x:c r="A25" s="12" t="str">
        <x:v>S031</x:v>
      </x:c>
      <x:c r="B25" s="12" t="str">
        <x:v>Yes</x:v>
      </x:c>
      <x:c r="C25" s="12" t="str">
        <x:v>Yes</x:v>
      </x:c>
      <x:c r="D25" s="12" t="str">
        <x:v>Yes</x:v>
      </x:c>
      <x:c r="E25" s="12" t="str">
        <x:v>Yes</x:v>
      </x:c>
      <x:c r="F25" s="12" t="str">
        <x:v>Yes</x:v>
      </x:c>
      <x:c r="G25" s="12" t="str">
        <x:v>Include</x:v>
      </x:c>
      <x:c r="H25" s="12" t="str">
        <x:v>The FDM ABS structure is an essential alignment and load-transfer frame for the Hall-effect knee goniometer. The complete strapped wearable was compared with reference systems in nine participants.</x:v>
      </x:c>
      <x:c r="I25" s="12" t="str">
        <x:v>PDF pp. 3–12; Figs. 1–9; Tables 1–3; Appendix A</x:v>
      </x:c>
      <x:c r="J25" s="12" t="str">
        <x:v>Batch 03</x:v>
      </x:c>
    </x:row>
    <x:row r="26" ht="24" hidden="0" customHeight="1">
      <x:c r="A26" s="12" t="str">
        <x:v>S032</x:v>
      </x:c>
      <x:c r="B26" s="12" t="str">
        <x:v>Yes</x:v>
      </x:c>
      <x:c r="C26" s="12" t="str">
        <x:v>Yes</x:v>
      </x:c>
      <x:c r="D26" s="12" t="str">
        <x:v>Yes</x:v>
      </x:c>
      <x:c r="E26" s="12" t="str">
        <x:v>Yes</x:v>
      </x:c>
      <x:c r="F26" s="12" t="str">
        <x:v>Yes</x:v>
      </x:c>
      <x:c r="G26" s="12" t="str">
        <x:v>Include</x:v>
      </x:c>
      <x:c r="H26" s="12" t="str">
        <x:v>A 3D-printed opaque PLA probe fixes two laser diodes, a camera and source–detector geometry essential to optical transduction. The probe was taped to the forearm and tested in five adults.</x:v>
      </x:c>
      <x:c r="I26" s="12" t="str">
        <x:v>PDF pp. 3–10; Figs. 1–8</x:v>
      </x:c>
      <x:c r="J26" s="12" t="str">
        <x:v>Batch 03</x:v>
      </x:c>
    </x:row>
    <x:row r="27" ht="24" hidden="0" customHeight="1">
      <x:c r="A27" s="12" t="str">
        <x:v>S033</x:v>
      </x:c>
      <x:c r="B27" s="12" t="str">
        <x:v>Yes</x:v>
      </x:c>
      <x:c r="C27" s="12" t="str">
        <x:v>Yes</x:v>
      </x:c>
      <x:c r="D27" s="12" t="str">
        <x:v>Yes</x:v>
      </x:c>
      <x:c r="E27" s="12" t="str">
        <x:v>Yes</x:v>
      </x:c>
      <x:c r="F27" s="12" t="str">
        <x:v>Yes</x:v>
      </x:c>
      <x:c r="G27" s="12" t="str">
        <x:v>Include</x:v>
      </x:c>
      <x:c r="H27" s="12" t="str">
        <x:v>The TPE network is directly FDM printed, coated with CNTs and thermally treated to form the active piezoresistive structure. Sensors were demonstrated on the elbow, throat and face.</x:v>
      </x:c>
      <x:c r="I27" s="12" t="str">
        <x:v>PDF pp. 2–7; Figs. 1–5; cited SI</x:v>
      </x:c>
      <x:c r="J27" s="12" t="str">
        <x:v>Batch 03</x:v>
      </x:c>
    </x:row>
    <x:row r="28" ht="24" hidden="0" customHeight="1">
      <x:c r="A28" s="12" t="str">
        <x:v>S034</x:v>
      </x:c>
      <x:c r="B28" s="12" t="str">
        <x:v>Yes</x:v>
      </x:c>
      <x:c r="C28" s="12" t="str">
        <x:v>Yes</x:v>
      </x:c>
      <x:c r="D28" s="12" t="str">
        <x:v>Yes</x:v>
      </x:c>
      <x:c r="E28" s="12" t="str">
        <x:v>Yes</x:v>
      </x:c>
      <x:c r="F28" s="12" t="str">
        <x:v>Yes</x:v>
      </x:c>
      <x:c r="G28" s="12" t="str">
        <x:v>Include</x:v>
      </x:c>
      <x:c r="H28" s="12" t="str">
        <x:v>The FDM ABS microfluidic-on-fabric component performs essential sample collection and delivery to modular ion-selective electrodes. The complete platform was tested with sweat and repeated washing.</x:v>
      </x:c>
      <x:c r="I28" s="12" t="str">
        <x:v>PDF pp. 2–9; Figs. 1–5; cited SI</x:v>
      </x:c>
      <x:c r="J28" s="12" t="str">
        <x:v>Batch 03</x:v>
      </x:c>
    </x:row>
    <x:row r="29" ht="24" hidden="0" customHeight="1">
      <x:c r="A29" s="12" t="str">
        <x:v>S035</x:v>
      </x:c>
      <x:c r="B29" s="12" t="str">
        <x:v>Yes</x:v>
      </x:c>
      <x:c r="C29" s="12" t="str">
        <x:v>Yes</x:v>
      </x:c>
      <x:c r="D29" s="12" t="str">
        <x:v>Yes</x:v>
      </x:c>
      <x:c r="E29" s="12" t="str">
        <x:v>Yes</x:v>
      </x:c>
      <x:c r="F29" s="12" t="str">
        <x:v>Yes</x:v>
      </x:c>
      <x:c r="G29" s="12" t="str">
        <x:v>Include</x:v>
      </x:c>
      <x:c r="H29" s="12" t="str">
        <x:v>Carbon-loaded electrodes and a flexible TPU ring holder are produced in one dual-extrusion FDM process. The complete ring was characterized across devices and used on one volunteer.</x:v>
      </x:c>
      <x:c r="I29" s="12" t="str">
        <x:v>PDF pp. 1–5; Figs. 1–4; cited SI</x:v>
      </x:c>
      <x:c r="J29" s="12" t="str">
        <x:v>Batch 03</x:v>
      </x:c>
    </x:row>
    <x:row r="30" ht="36" hidden="0" customHeight="1">
      <x:c r="A30" s="12" t="str">
        <x:v>S036</x:v>
      </x:c>
      <x:c r="B30" s="12" t="str">
        <x:v>Yes</x:v>
      </x:c>
      <x:c r="C30" s="12" t="str">
        <x:v>Yes</x:v>
      </x:c>
      <x:c r="D30" s="12" t="str">
        <x:v>Yes</x:v>
      </x:c>
      <x:c r="E30" s="12" t="str">
        <x:v>Yes</x:v>
      </x:c>
      <x:c r="F30" s="12" t="str">
        <x:v>Yes</x:v>
      </x:c>
      <x:c r="G30" s="12" t="str">
        <x:v>Include</x:v>
      </x:c>
      <x:c r="H30" s="12" t="str">
        <x:v>Conductive CB-PLA electrodes, insulating PLA and the microfluidic channel are fabricated in a single multimaterial FFF process. The device was validated off-body and on two participants during iontophoresis and cycling.</x:v>
      </x:c>
      <x:c r="I30" s="12" t="str">
        <x:v>PDF pp. 2–11; Figs. 1–6; cited SI</x:v>
      </x:c>
      <x:c r="J30" s="12" t="str">
        <x:v>Batch 03</x:v>
      </x:c>
    </x:row>
    <x:row r="31" ht="36" hidden="0" customHeight="1">
      <x:c r="A31" s="12" t="str">
        <x:v>S037</x:v>
      </x:c>
      <x:c r="B31" s="12" t="str">
        <x:v>Yes</x:v>
      </x:c>
      <x:c r="C31" s="12" t="str">
        <x:v>Yes</x:v>
      </x:c>
      <x:c r="D31" s="12" t="str">
        <x:v>Yes</x:v>
      </x:c>
      <x:c r="E31" s="12" t="str">
        <x:v>Yes</x:v>
      </x:c>
      <x:c r="F31" s="12" t="str">
        <x:v>Yes</x:v>
      </x:c>
      <x:c r="G31" s="12" t="str">
        <x:v>Include</x:v>
      </x:c>
      <x:c r="H31" s="12" t="str">
        <x:v>Conductive and insulating TPU plus PETG are printed together as a fingertip force-sensing structure. Two configurations were tested on an anatomically motivated fingertip phantom; no human-worn test was performed.</x:v>
      </x:c>
      <x:c r="I31" s="12" t="str">
        <x:v>PDF pp. 1–10; Figs. 1–16</x:v>
      </x:c>
      <x:c r="J31" s="12" t="str">
        <x:v>Batch 03</x:v>
      </x:c>
    </x:row>
    <x:row r="32" ht="24" hidden="0" customHeight="1">
      <x:c r="A32" s="12" t="str">
        <x:v>S038</x:v>
      </x:c>
      <x:c r="B32" s="12" t="str">
        <x:v>Yes</x:v>
      </x:c>
      <x:c r="C32" s="12" t="str">
        <x:v>Yes</x:v>
      </x:c>
      <x:c r="D32" s="12" t="str">
        <x:v>Yes</x:v>
      </x:c>
      <x:c r="E32" s="12" t="str">
        <x:v>Yes</x:v>
      </x:c>
      <x:c r="F32" s="12" t="str">
        <x:v>Yes</x:v>
      </x:c>
      <x:c r="G32" s="12" t="str">
        <x:v>Include</x:v>
      </x:c>
      <x:c r="H32" s="12" t="str">
        <x:v>TPU/MWCNT conductive traces and an insulating TPU body were printed together by dual-nozzle FFF. Cyclic strain characterization and a hand-worn glove prototype were reported.</x:v>
      </x:c>
      <x:c r="I32" s="12" t="str">
        <x:v>PDF pp. 3–12; Figs. 1–11; Table 1</x:v>
      </x:c>
      <x:c r="J32" s="12" t="str">
        <x:v>Batch 04</x:v>
      </x:c>
    </x:row>
    <x:row r="33" ht="24" hidden="0" customHeight="1">
      <x:c r="A33" s="12" t="str">
        <x:v>S039</x:v>
      </x:c>
      <x:c r="B33" s="12" t="str">
        <x:v>Yes</x:v>
      </x:c>
      <x:c r="C33" s="12" t="str">
        <x:v>Yes</x:v>
      </x:c>
      <x:c r="D33" s="12" t="str">
        <x:v>Yes</x:v>
      </x:c>
      <x:c r="E33" s="12" t="str">
        <x:v>Yes</x:v>
      </x:c>
      <x:c r="F33" s="12" t="str">
        <x:v>Yes</x:v>
      </x:c>
      <x:c r="G33" s="12" t="str">
        <x:v>Include</x:v>
      </x:c>
      <x:c r="H33" s="12" t="str">
        <x:v>FDM-printed TPU groove structures form the essential strain-concentrating substrate beneath a sputtered Pt sensing layer. Four-device comparisons, 500 cycles and several human-worn demonstrations were reported.</x:v>
      </x:c>
      <x:c r="I33" s="12" t="str">
        <x:v>PDF pp. 3–9; Figs. 2–10</x:v>
      </x:c>
      <x:c r="J33" s="12" t="str">
        <x:v>Batch 04</x:v>
      </x:c>
    </x:row>
    <x:row r="34" ht="24" hidden="0" customHeight="1">
      <x:c r="A34" s="12" t="str">
        <x:v>S043</x:v>
      </x:c>
      <x:c r="B34" s="12" t="str">
        <x:v>Yes</x:v>
      </x:c>
      <x:c r="C34" s="12" t="str">
        <x:v>Yes</x:v>
      </x:c>
      <x:c r="D34" s="12" t="str">
        <x:v>Yes</x:v>
      </x:c>
      <x:c r="E34" s="12" t="str">
        <x:v>Yes</x:v>
      </x:c>
      <x:c r="F34" s="12" t="str">
        <x:v>Yes</x:v>
      </x:c>
      <x:c r="G34" s="12" t="str">
        <x:v>Include</x:v>
      </x:c>
      <x:c r="H34" s="12" t="str">
        <x:v>Conductive CB/GRT/TPU electrodes and a nonconductive TPU wristband were fabricated by material extrusion and assembled into a three-electrode wearable platform evaluated with artificial sweat.</x:v>
      </x:c>
      <x:c r="I34" s="12" t="str">
        <x:v>PDF pp. 2–12; Figs. 1–8; Tables 1–4; cited SI</x:v>
      </x:c>
      <x:c r="J34" s="12" t="str">
        <x:v>Batch 04</x:v>
      </x:c>
    </x:row>
    <x:row r="35" ht="24" hidden="0" customHeight="1">
      <x:c r="A35" s="12" t="str">
        <x:v>S044</x:v>
      </x:c>
      <x:c r="B35" s="12" t="str">
        <x:v>Yes</x:v>
      </x:c>
      <x:c r="C35" s="12" t="str">
        <x:v>Yes</x:v>
      </x:c>
      <x:c r="D35" s="12" t="str">
        <x:v>Yes</x:v>
      </x:c>
      <x:c r="E35" s="12" t="str">
        <x:v>Yes</x:v>
      </x:c>
      <x:c r="F35" s="12" t="str">
        <x:v>Yes</x:v>
      </x:c>
      <x:c r="G35" s="12" t="str">
        <x:v>Include</x:v>
      </x:c>
      <x:c r="H35" s="12" t="str">
        <x:v>GNP/TPU composite filaments were FDM printed into honeycomb pressure sensors, tested for 500 compression cycles and attached to the neck and foot for human-motion monitoring.</x:v>
      </x:c>
      <x:c r="I35" s="12" t="str">
        <x:v>PDF pp. 4–11; Figs. 1, 5–6; cited SI</x:v>
      </x:c>
      <x:c r="J35" s="12" t="str">
        <x:v>Batch 04</x:v>
      </x:c>
    </x:row>
    <x:row r="36" ht="24" hidden="0" customHeight="1">
      <x:c r="A36" s="12" t="str">
        <x:v>S046</x:v>
      </x:c>
      <x:c r="B36" s="12" t="str">
        <x:v>Yes</x:v>
      </x:c>
      <x:c r="C36" s="12" t="str">
        <x:v>Yes</x:v>
      </x:c>
      <x:c r="D36" s="12" t="str">
        <x:v>Yes</x:v>
      </x:c>
      <x:c r="E36" s="12" t="str">
        <x:v>Yes</x:v>
      </x:c>
      <x:c r="F36" s="12" t="str">
        <x:v>Yes</x:v>
      </x:c>
      <x:c r="G36" s="12" t="str">
        <x:v>Include</x:v>
      </x:c>
      <x:c r="H36" s="12" t="str">
        <x:v>PVDF/CFO composite filament was FDM printed into a personalized finger sleeve and an insole-embedded Z spring. Both produced electrical signals during human-worn demonstrations.</x:v>
      </x:c>
      <x:c r="I36" s="12" t="str">
        <x:v>PDF pp. 2–7; Figs. 3–5; cited Supplementary Figs. S1–S5</x:v>
      </x:c>
      <x:c r="J36" s="12" t="str">
        <x:v>Batch 04</x:v>
      </x:c>
    </x:row>
    <x:row r="37" ht="24" hidden="0" customHeight="1">
      <x:c r="A37" s="12" t="str">
        <x:v>S047</x:v>
      </x:c>
      <x:c r="B37" s="12" t="str">
        <x:v>Yes</x:v>
      </x:c>
      <x:c r="C37" s="12" t="str">
        <x:v>Yes</x:v>
      </x:c>
      <x:c r="D37" s="12" t="str">
        <x:v>Yes</x:v>
      </x:c>
      <x:c r="E37" s="12" t="str">
        <x:v>Yes</x:v>
      </x:c>
      <x:c r="F37" s="12" t="str">
        <x:v>Yes</x:v>
      </x:c>
      <x:c r="G37" s="12" t="str">
        <x:v>Include</x:v>
      </x:c>
      <x:c r="H37" s="12" t="str">
        <x:v>The FDM patient-specific mask provides the load-transfer, sensor-positioning and skin-interface structure for commercial FSR modules. The complete system was calibrated and worn by two patients for four weeks.</x:v>
      </x:c>
      <x:c r="I37" s="12" t="str">
        <x:v>PDF pp. 3–13; Figs. 2–12; Table 1</x:v>
      </x:c>
      <x:c r="J37" s="12" t="str">
        <x:v>Batch 04</x:v>
      </x:c>
    </x:row>
    <x:row r="38" ht="36" hidden="0" customHeight="1">
      <x:c r="A38" s="12" t="str">
        <x:v>S048</x:v>
      </x:c>
      <x:c r="B38" s="12" t="str">
        <x:v>Yes</x:v>
      </x:c>
      <x:c r="C38" s="12" t="str">
        <x:v>Yes</x:v>
      </x:c>
      <x:c r="D38" s="12" t="str">
        <x:v>Yes</x:v>
      </x:c>
      <x:c r="E38" s="12" t="str">
        <x:v>Yes</x:v>
      </x:c>
      <x:c r="F38" s="12" t="str">
        <x:v>Yes</x:v>
      </x:c>
      <x:c r="G38" s="12" t="str">
        <x:v>Include</x:v>
      </x:c>
      <x:c r="H38" s="12" t="str">
        <x:v>FDM TPU structures were converted into active graphene/TPU piezoresistive sensors by in-process spraying and foaming. Solvent exposure, cyclic loading and several body-mounted motion demonstrations were reported.</x:v>
      </x:c>
      <x:c r="I38" s="12" t="str">
        <x:v>PDF pp. 3–9; Figs. 1, 4–9; cited SI</x:v>
      </x:c>
      <x:c r="J38" s="12" t="str">
        <x:v>Batch 04</x:v>
      </x:c>
    </x:row>
    <x:row r="39" ht="24" hidden="0" customHeight="1">
      <x:c r="A39" s="12" t="str">
        <x:v>S050</x:v>
      </x:c>
      <x:c r="B39" s="12" t="str">
        <x:v>Yes</x:v>
      </x:c>
      <x:c r="C39" s="12" t="str">
        <x:v>Yes</x:v>
      </x:c>
      <x:c r="D39" s="12" t="str">
        <x:v>Yes</x:v>
      </x:c>
      <x:c r="E39" s="12" t="str">
        <x:v>Yes</x:v>
      </x:c>
      <x:c r="F39" s="12" t="str">
        <x:v>Yes</x:v>
      </x:c>
      <x:c r="G39" s="12" t="str">
        <x:v>Include</x:v>
      </x:c>
      <x:c r="H39" s="12" t="str">
        <x:v>FDM ABS/TPU shank supports embed polymer FBGs and are characterized for force, temperature, creep and exoskeleton loading.</x:v>
      </x:c>
      <x:c r="I39" s="12" t="str">
        <x:v>PDF pp. 3–10; Figs. 1–8</x:v>
      </x:c>
      <x:c r="J39" s="12" t="str">
        <x:v>Batch 05</x:v>
      </x:c>
    </x:row>
    <x:row r="40" ht="24" hidden="0" customHeight="1">
      <x:c r="A40" s="12" t="str">
        <x:v>S051</x:v>
      </x:c>
      <x:c r="B40" s="12" t="str">
        <x:v>Yes</x:v>
      </x:c>
      <x:c r="C40" s="12" t="str">
        <x:v>Yes</x:v>
      </x:c>
      <x:c r="D40" s="12" t="str">
        <x:v>Yes</x:v>
      </x:c>
      <x:c r="E40" s="12" t="str">
        <x:v>Yes</x:v>
      </x:c>
      <x:c r="F40" s="12" t="str">
        <x:v>Yes</x:v>
      </x:c>
      <x:c r="G40" s="12" t="str">
        <x:v>Include</x:v>
      </x:c>
      <x:c r="H40" s="12" t="str">
        <x:v>A customized FDM earable contains printed microchannels and support layers essential to thermopile alignment, liquid-metal interconnection and body-worn operation.</x:v>
      </x:c>
      <x:c r="I40" s="12" t="str">
        <x:v>PDF pp. 2–7; Figs. 1–5</x:v>
      </x:c>
      <x:c r="J40" s="12" t="str">
        <x:v>Batch 05</x:v>
      </x:c>
    </x:row>
    <x:row r="41" ht="24" hidden="0" customHeight="1">
      <x:c r="A41" s="12" t="str">
        <x:v>S052</x:v>
      </x:c>
      <x:c r="B41" s="12" t="str">
        <x:v>Yes</x:v>
      </x:c>
      <x:c r="C41" s="12" t="str">
        <x:v>Yes</x:v>
      </x:c>
      <x:c r="D41" s="12" t="str">
        <x:v>Yes</x:v>
      </x:c>
      <x:c r="E41" s="12" t="str">
        <x:v>Yes</x:v>
      </x:c>
      <x:c r="F41" s="12" t="str">
        <x:v>Yes</x:v>
      </x:c>
      <x:c r="G41" s="12" t="str">
        <x:v>Include</x:v>
      </x:c>
      <x:c r="H41" s="12" t="str">
        <x:v>FDM PVDF/MMT lattice sensors are mechanically and electrically characterized, cycled and worn on the hand for object recognition.</x:v>
      </x:c>
      <x:c r="I41" s="12" t="str">
        <x:v>PDF pp. 2–12; Figs. 1–6; cited Supplementary Table S1 and Figs. S1–S21</x:v>
      </x:c>
      <x:c r="J41" s="12" t="str">
        <x:v>Batch 05</x:v>
      </x:c>
    </x:row>
    <x:row r="42" ht="24" hidden="0" customHeight="1">
      <x:c r="A42" s="12" t="str">
        <x:v>S053</x:v>
      </x:c>
      <x:c r="B42" s="12" t="str">
        <x:v>Yes</x:v>
      </x:c>
      <x:c r="C42" s="12" t="str">
        <x:v>Yes</x:v>
      </x:c>
      <x:c r="D42" s="12" t="str">
        <x:v>Yes</x:v>
      </x:c>
      <x:c r="E42" s="12" t="str">
        <x:v>Yes</x:v>
      </x:c>
      <x:c r="F42" s="12" t="str">
        <x:v>Yes</x:v>
      </x:c>
      <x:c r="G42" s="12" t="str">
        <x:v>Include</x:v>
      </x:c>
      <x:c r="H42" s="12" t="str">
        <x:v>FDM MXene/MWCNT/TPU TPMS pressure sensors are characterized across porosities and used for several body-motion demonstrations.</x:v>
      </x:c>
      <x:c r="I42" s="12" t="str">
        <x:v>PDF pp. 3–13; Figs. 1–9</x:v>
      </x:c>
      <x:c r="J42" s="12" t="str">
        <x:v>Batch 05</x:v>
      </x:c>
    </x:row>
    <x:row r="43" ht="24" hidden="0" customHeight="1">
      <x:c r="A43" s="12" t="str">
        <x:v>S054</x:v>
      </x:c>
      <x:c r="B43" s="12" t="str">
        <x:v>Yes</x:v>
      </x:c>
      <x:c r="C43" s="12" t="str">
        <x:v>Yes</x:v>
      </x:c>
      <x:c r="D43" s="12" t="str">
        <x:v>Yes</x:v>
      </x:c>
      <x:c r="E43" s="12" t="str">
        <x:v>Yes</x:v>
      </x:c>
      <x:c r="F43" s="12" t="str">
        <x:v>Yes</x:v>
      </x:c>
      <x:c r="G43" s="12" t="str">
        <x:v>Include</x:v>
      </x:c>
      <x:c r="H43" s="12" t="str">
        <x:v>FDM Filaflex thin-wall elements are engineered and tested as non-electronic overload-history sensing structures for therapeutic footwear.</x:v>
      </x:c>
      <x:c r="I43" s="12" t="str">
        <x:v>PDF pp. 3–9; Figs. 1–7; Appendix 1</x:v>
      </x:c>
      <x:c r="J43" s="12" t="str">
        <x:v>Batch 05</x:v>
      </x:c>
    </x:row>
    <x:row r="44" ht="24" hidden="0" customHeight="1">
      <x:c r="A44" s="12" t="str">
        <x:v>S055</x:v>
      </x:c>
      <x:c r="B44" s="12" t="str">
        <x:v>Yes</x:v>
      </x:c>
      <x:c r="C44" s="12" t="str">
        <x:v>Yes</x:v>
      </x:c>
      <x:c r="D44" s="12" t="str">
        <x:v>Yes</x:v>
      </x:c>
      <x:c r="E44" s="12" t="str">
        <x:v>Yes</x:v>
      </x:c>
      <x:c r="F44" s="12" t="str">
        <x:v>Yes</x:v>
      </x:c>
      <x:c r="G44" s="12" t="str">
        <x:v>Include</x:v>
      </x:c>
      <x:c r="H44" s="12" t="str">
        <x:v>FDM PVDF films are assembled as piezoelectric sensors, subjected to more than 11,600 cycles and worn during walking, running and jumping.</x:v>
      </x:c>
      <x:c r="I44" s="12" t="str">
        <x:v>PDF pp. 3–9; Figs. 1–10</x:v>
      </x:c>
      <x:c r="J44" s="12" t="str">
        <x:v>Batch 05</x:v>
      </x:c>
    </x:row>
    <x:row r="45" ht="24" hidden="0" customHeight="1">
      <x:c r="A45" s="12" t="str">
        <x:v>S056</x:v>
      </x:c>
      <x:c r="B45" s="12" t="str">
        <x:v>Yes</x:v>
      </x:c>
      <x:c r="C45" s="12" t="str">
        <x:v>Yes</x:v>
      </x:c>
      <x:c r="D45" s="12" t="str">
        <x:v>Yes</x:v>
      </x:c>
      <x:c r="E45" s="12" t="str">
        <x:v>Yes</x:v>
      </x:c>
      <x:c r="F45" s="12" t="str">
        <x:v>Yes</x:v>
      </x:c>
      <x:c r="G45" s="12" t="str">
        <x:v>Include</x:v>
      </x:c>
      <x:c r="H45" s="12" t="str">
        <x:v>FDM MWCNT/CB/TPU structures provide capacitive, pressure and strain sensing and are tested in body-worn and human–machine-interface configurations.</x:v>
      </x:c>
      <x:c r="I45" s="12" t="str">
        <x:v>PDF pp. 3–15; Figs. 1–9; Tables 1–2</x:v>
      </x:c>
      <x:c r="J45" s="12" t="str">
        <x:v>Batch 05</x:v>
      </x:c>
    </x:row>
    <x:row r="46" ht="24" hidden="0" customHeight="1">
      <x:c r="A46" s="12" t="str">
        <x:v>S057</x:v>
      </x:c>
      <x:c r="B46" s="12" t="str">
        <x:v>Yes</x:v>
      </x:c>
      <x:c r="C46" s="12" t="str">
        <x:v>Yes</x:v>
      </x:c>
      <x:c r="D46" s="12" t="str">
        <x:v>Yes</x:v>
      </x:c>
      <x:c r="E46" s="12" t="str">
        <x:v>Yes</x:v>
      </x:c>
      <x:c r="F46" s="12" t="str">
        <x:v>Yes</x:v>
      </x:c>
      <x:c r="G46" s="12" t="str">
        <x:v>Include</x:v>
      </x:c>
      <x:c r="H46" s="12" t="str">
        <x:v>FDM CNT/TPU TPMS strain sensors are compared across structures, cycled 500 times and demonstrated on an insole, finger, wrist and throat.</x:v>
      </x:c>
      <x:c r="I46" s="12" t="str">
        <x:v>PDF pp. 3–15; Figs. 1–10</x:v>
      </x:c>
      <x:c r="J46" s="12" t="str">
        <x:v>Batch 05</x:v>
      </x:c>
    </x:row>
    <x:row r="47" ht="24" hidden="0" customHeight="1">
      <x:c r="A47" s="12" t="str">
        <x:v>S058</x:v>
      </x:c>
      <x:c r="B47" s="12" t="str">
        <x:v>Yes</x:v>
      </x:c>
      <x:c r="C47" s="12" t="str">
        <x:v>Yes</x:v>
      </x:c>
      <x:c r="D47" s="12" t="str">
        <x:v>Yes</x:v>
      </x:c>
      <x:c r="E47" s="12" t="str">
        <x:v>Yes</x:v>
      </x:c>
      <x:c r="F47" s="12" t="str">
        <x:v>Yes</x:v>
      </x:c>
      <x:c r="G47" s="12" t="str">
        <x:v>Include</x:v>
      </x:c>
      <x:c r="H47" s="12" t="str">
        <x:v>FDM TPE pressure sensors are evaluated across 25 devices from five batches, under environmental exposures and in a six-participant instrumented insole study.</x:v>
      </x:c>
      <x:c r="I47" s="12" t="str">
        <x:v>PDF pp. 3–13; Figs. 1–8; cited Supplementary Table S1</x:v>
      </x:c>
      <x:c r="J47" s="12" t="str">
        <x:v>Batch 05</x:v>
      </x:c>
    </x:row>
    <x:row r="48" ht="24" hidden="0" customHeight="1">
      <x:c r="A48" s="12" t="str">
        <x:v>S059</x:v>
      </x:c>
      <x:c r="B48" s="12" t="str">
        <x:v>Yes</x:v>
      </x:c>
      <x:c r="C48" s="12" t="str">
        <x:v>Yes</x:v>
      </x:c>
      <x:c r="D48" s="12" t="str">
        <x:v>Yes</x:v>
      </x:c>
      <x:c r="E48" s="12" t="str">
        <x:v>Yes</x:v>
      </x:c>
      <x:c r="F48" s="12" t="str">
        <x:v>Yes</x:v>
      </x:c>
      <x:c r="G48" s="12" t="str">
        <x:v>Include</x:v>
      </x:c>
      <x:c r="H48" s="12" t="str">
        <x:v>A multimaterial FDM system integrates a CB–TPU strain sensor and dry electrodes and is evaluated in five volunteers against a commercial reference.</x:v>
      </x:c>
      <x:c r="I48" s="12" t="str">
        <x:v>PDF pp. 3–15; Figs. 1–9; cited Supplementary Table S1</x:v>
      </x:c>
      <x:c r="J48" s="12" t="str">
        <x:v>Batch 05</x:v>
      </x:c>
    </x:row>
    <x:row r="49" ht="24" hidden="0" customHeight="1">
      <x:c r="A49" s="12" t="str">
        <x:v>S060</x:v>
      </x:c>
      <x:c r="B49" s="12" t="str">
        <x:v>Yes</x:v>
      </x:c>
      <x:c r="C49" s="12" t="str">
        <x:v>Yes</x:v>
      </x:c>
      <x:c r="D49" s="12" t="str">
        <x:v>Yes</x:v>
      </x:c>
      <x:c r="E49" s="12" t="str">
        <x:v>Yes</x:v>
      </x:c>
      <x:c r="F49" s="12" t="str">
        <x:v>Yes</x:v>
      </x:c>
      <x:c r="G49" s="12" t="str">
        <x:v>Include</x:v>
      </x:c>
      <x:c r="H49" s="12" t="str">
        <x:v>FFF prints the active TPU/MWCNT gyroid sensors; nine configurations were bench-tested and four elements were integrated into a shoe for a controlled-step demonstration.</x:v>
      </x:c>
      <x:c r="I49" s="12" t="str">
        <x:v>PDF pp. 2–15; Figs. 1–10; Tables 1–4</x:v>
      </x:c>
      <x:c r="J49" s="12" t="str">
        <x:v>Batch 06</x:v>
      </x:c>
    </x:row>
    <x:row r="50" ht="24" hidden="0" customHeight="1">
      <x:c r="A50" s="12" t="str">
        <x:v>S061</x:v>
      </x:c>
      <x:c r="B50" s="12" t="str">
        <x:v>Yes</x:v>
      </x:c>
      <x:c r="C50" s="12" t="str">
        <x:v>Yes</x:v>
      </x:c>
      <x:c r="D50" s="12" t="str">
        <x:v>Yes</x:v>
      </x:c>
      <x:c r="E50" s="12" t="str">
        <x:v>Yes</x:v>
      </x:c>
      <x:c r="F50" s="12" t="str">
        <x:v>Yes</x:v>
      </x:c>
      <x:c r="G50" s="12" t="str">
        <x:v>Include</x:v>
      </x:c>
      <x:c r="H50" s="12" t="str">
        <x:v>An FFF PLA microstrip substrate was integrated with a rehabilitation splint and quantitatively tested under controlled loads and assembled-use conditions.</x:v>
      </x:c>
      <x:c r="I50" s="12" t="str">
        <x:v>PDF pp. 2–11; Figs. 1–13; Table 1</x:v>
      </x:c>
      <x:c r="J50" s="12" t="str">
        <x:v>Batch 06</x:v>
      </x:c>
    </x:row>
    <x:row r="51" ht="24" hidden="0" customHeight="1">
      <x:c r="A51" s="12" t="str">
        <x:v>S063</x:v>
      </x:c>
      <x:c r="B51" s="12" t="str">
        <x:v>Yes</x:v>
      </x:c>
      <x:c r="C51" s="12" t="str">
        <x:v>Yes</x:v>
      </x:c>
      <x:c r="D51" s="12" t="str">
        <x:v>Yes</x:v>
      </x:c>
      <x:c r="E51" s="12" t="str">
        <x:v>Yes</x:v>
      </x:c>
      <x:c r="F51" s="12" t="str">
        <x:v>Yes</x:v>
      </x:c>
      <x:c r="G51" s="12" t="str">
        <x:v>Include</x:v>
      </x:c>
      <x:c r="H51" s="12" t="str">
        <x:v>FFF TPU structures were post-embedded with CNTs, quantitatively tested under compression and 1000 cycles, and placed beneath the foot for walking and running signals.</x:v>
      </x:c>
      <x:c r="I51" s="12" t="str">
        <x:v>PDF pp. 2–12; Figs. 1–9; Tables 1–2</x:v>
      </x:c>
      <x:c r="J51" s="12" t="str">
        <x:v>Batch 06</x:v>
      </x:c>
    </x:row>
    <x:row r="52" ht="24" hidden="0" customHeight="1">
      <x:c r="A52" s="12" t="str">
        <x:v>S064</x:v>
      </x:c>
      <x:c r="B52" s="12" t="str">
        <x:v>Yes</x:v>
      </x:c>
      <x:c r="C52" s="12" t="str">
        <x:v>Yes</x:v>
      </x:c>
      <x:c r="D52" s="12" t="str">
        <x:v>Yes</x:v>
      </x:c>
      <x:c r="E52" s="12" t="str">
        <x:v>Yes</x:v>
      </x:c>
      <x:c r="F52" s="12" t="str">
        <x:v>Yes</x:v>
      </x:c>
      <x:c r="G52" s="12" t="str">
        <x:v>Include</x:v>
      </x:c>
      <x:c r="H52" s="12" t="str">
        <x:v>Hybrid FFF/DIW fabrication embeds conductive strain paths in TPE structures; controlled impacts and helmet, finger and soft-structure demonstrations were reported.</x:v>
      </x:c>
      <x:c r="I52" s="12" t="str">
        <x:v>PDF pp. 2–12; Figs. 1–10; Table 1</x:v>
      </x:c>
      <x:c r="J52" s="12" t="str">
        <x:v>Batch 06</x:v>
      </x:c>
    </x:row>
    <x:row r="53" ht="24" hidden="0" customHeight="1">
      <x:c r="A53" s="12" t="str">
        <x:v>S065</x:v>
      </x:c>
      <x:c r="B53" s="12" t="str">
        <x:v>Yes</x:v>
      </x:c>
      <x:c r="C53" s="12" t="str">
        <x:v>Yes</x:v>
      </x:c>
      <x:c r="D53" s="12" t="str">
        <x:v>Yes</x:v>
      </x:c>
      <x:c r="E53" s="12" t="str">
        <x:v>Yes</x:v>
      </x:c>
      <x:c r="F53" s="12" t="str">
        <x:v>Yes</x:v>
      </x:c>
      <x:c r="G53" s="12" t="str">
        <x:v>Include</x:v>
      </x:c>
      <x:c r="H53" s="12" t="str">
        <x:v>Direct FDM creates microstructured TPE substrates subsequently coated with PEDOT:PSS; pressure tests, cyclic response, four-device comparison and body-motion demonstrations were reported.</x:v>
      </x:c>
      <x:c r="I53" s="12" t="str">
        <x:v>PDF pp. 2–9; Figs. 1–7</x:v>
      </x:c>
      <x:c r="J53" s="12" t="str">
        <x:v>Batch 06</x:v>
      </x:c>
    </x:row>
    <x:row r="54" ht="24" hidden="0" customHeight="1">
      <x:c r="A54" s="12" t="str">
        <x:v>S066</x:v>
      </x:c>
      <x:c r="B54" s="12" t="str">
        <x:v>Yes</x:v>
      </x:c>
      <x:c r="C54" s="12" t="str">
        <x:v>Yes</x:v>
      </x:c>
      <x:c r="D54" s="12" t="str">
        <x:v>Yes</x:v>
      </x:c>
      <x:c r="E54" s="12" t="str">
        <x:v>Yes</x:v>
      </x:c>
      <x:c r="F54" s="12" t="str">
        <x:v>Yes</x:v>
      </x:c>
      <x:c r="G54" s="12" t="str">
        <x:v>Include</x:v>
      </x:c>
      <x:c r="H54" s="12" t="str">
        <x:v>An FDM CB-TPU strain sensor was integrated into a wearable respiratory system and compared with a commercial reference in 13 volunteers under static and dynamic activities.</x:v>
      </x:c>
      <x:c r="I54" s="12" t="str">
        <x:v>PDF pp. 2–8; Figs. 1–8; Table I</x:v>
      </x:c>
      <x:c r="J54" s="12" t="str">
        <x:v>Batch 06</x:v>
      </x:c>
    </x:row>
    <x:row r="55" ht="24" hidden="0" customHeight="1">
      <x:c r="A55" s="12" t="str">
        <x:v>S067</x:v>
      </x:c>
      <x:c r="B55" s="12" t="str">
        <x:v>Yes</x:v>
      </x:c>
      <x:c r="C55" s="12" t="str">
        <x:v>Yes</x:v>
      </x:c>
      <x:c r="D55" s="12" t="str">
        <x:v>Yes</x:v>
      </x:c>
      <x:c r="E55" s="12" t="str">
        <x:v>Yes</x:v>
      </x:c>
      <x:c r="F55" s="12" t="str">
        <x:v>Yes</x:v>
      </x:c>
      <x:c r="G55" s="12" t="str">
        <x:v>Include</x:v>
      </x:c>
      <x:c r="H55" s="12" t="str">
        <x:v>FDM prints the TPE insole structure and triboelectric units; force, frequency, endurance, temperature/humidity and worn-activity measurements were reported.</x:v>
      </x:c>
      <x:c r="I55" s="12" t="str">
        <x:v>PDF pp. 2–9; Figs. 1–8</x:v>
      </x:c>
      <x:c r="J55" s="12" t="str">
        <x:v>Batch 06</x:v>
      </x:c>
    </x:row>
    <x:row r="56" ht="24" hidden="0" customHeight="1">
      <x:c r="A56" s="12" t="str">
        <x:v>S068</x:v>
      </x:c>
      <x:c r="B56" s="12" t="str">
        <x:v>Yes</x:v>
      </x:c>
      <x:c r="C56" s="12" t="str">
        <x:v>Yes</x:v>
      </x:c>
      <x:c r="D56" s="12" t="str">
        <x:v>Yes</x:v>
      </x:c>
      <x:c r="E56" s="12" t="str">
        <x:v>Yes</x:v>
      </x:c>
      <x:c r="F56" s="12" t="str">
        <x:v>Yes</x:v>
      </x:c>
      <x:c r="G56" s="12" t="str">
        <x:v>Include</x:v>
      </x:c>
      <x:c r="H56" s="12" t="str">
        <x:v>FFF TPU/CB sensors with printed silver IDEs were quantitatively characterized, cycled 500 times and demonstrated on a volunteer and a soft robotic link.</x:v>
      </x:c>
      <x:c r="I56" s="12" t="str">
        <x:v>PDF pp. 2–10; Figs. 1–7; Table 1</x:v>
      </x:c>
      <x:c r="J56" s="12" t="str">
        <x:v>Batch 06</x:v>
      </x:c>
    </x:row>
    <x:row r="57" ht="24" hidden="0" customHeight="1">
      <x:c r="A57" s="12" t="str">
        <x:v>S069</x:v>
      </x:c>
      <x:c r="B57" s="12" t="str">
        <x:v>Yes</x:v>
      </x:c>
      <x:c r="C57" s="12" t="str">
        <x:v>Yes</x:v>
      </x:c>
      <x:c r="D57" s="12" t="str">
        <x:v>Yes</x:v>
      </x:c>
      <x:c r="E57" s="12" t="str">
        <x:v>Yes</x:v>
      </x:c>
      <x:c r="F57" s="12" t="str">
        <x:v>Yes</x:v>
      </x:c>
      <x:c r="G57" s="12" t="str">
        <x:v>Include</x:v>
      </x:c>
      <x:c r="H57" s="12" t="str">
        <x:v>FFF directly prints PP triboactive layers onto stretchable conductive fabric; the textile TENG was tested for output, 20,000 cycles, washing, adhesion and human-touch sensing.</x:v>
      </x:c>
      <x:c r="I57" s="12" t="str">
        <x:v>PDF pp. 2–12; Figs. 1–11; Table 1; cited SI</x:v>
      </x:c>
      <x:c r="J57" s="12" t="str">
        <x:v>Batch 06</x:v>
      </x:c>
    </x:row>
    <x:row r="58" ht="24" hidden="0" customHeight="1">
      <x:c r="A58" s="12" t="str">
        <x:v>S070</x:v>
      </x:c>
      <x:c r="B58" s="12" t="str">
        <x:v>Yes</x:v>
      </x:c>
      <x:c r="C58" s="12" t="str">
        <x:v>Yes</x:v>
      </x:c>
      <x:c r="D58" s="12" t="str">
        <x:v>Yes</x:v>
      </x:c>
      <x:c r="E58" s="12" t="str">
        <x:v>Yes</x:v>
      </x:c>
      <x:c r="F58" s="12" t="str">
        <x:v>Yes</x:v>
      </x:c>
      <x:c r="G58" s="12" t="str">
        <x:v>Include</x:v>
      </x:c>
      <x:c r="H58" s="12" t="str">
        <x:v>FDM creates the deformable TPU body that transfers strain, temperature and humidity effects to an embedded FBG; controlled characterization and body-worn demonstrations are reported.</x:v>
      </x:c>
      <x:c r="I58" s="12" t="str">
        <x:v>PDF pp. 3–9; Figs. 1–12; Tables I–III</x:v>
      </x:c>
      <x:c r="J58" s="12" t="str">
        <x:v>Batch 07</x:v>
      </x:c>
    </x:row>
    <x:row r="59" ht="24" hidden="0" customHeight="1">
      <x:c r="A59" s="12" t="str">
        <x:v>S071</x:v>
      </x:c>
      <x:c r="B59" s="12" t="str">
        <x:v>Yes</x:v>
      </x:c>
      <x:c r="C59" s="12" t="str">
        <x:v>Yes</x:v>
      </x:c>
      <x:c r="D59" s="12" t="str">
        <x:v>Yes</x:v>
      </x:c>
      <x:c r="E59" s="12" t="str">
        <x:v>Yes</x:v>
      </x:c>
      <x:c r="F59" s="12" t="str">
        <x:v>Yes</x:v>
      </x:c>
      <x:c r="G59" s="12" t="str">
        <x:v>Include</x:v>
      </x:c>
      <x:c r="H59" s="12" t="str">
        <x:v>FDM creates the TPMS TPU substrate, which is converted into a graphene-coated piezoresistive pressure sensor and evaluated under compression, cycling and gait loading.</x:v>
      </x:c>
      <x:c r="I59" s="12" t="str">
        <x:v>PDF pp. 2–10; Figs. 1–12; Tables 1–2</x:v>
      </x:c>
      <x:c r="J59" s="12" t="str">
        <x:v>Batch 07</x:v>
      </x:c>
    </x:row>
    <x:row r="60" ht="24" hidden="0" customHeight="1">
      <x:c r="A60" s="12" t="str">
        <x:v>S073</x:v>
      </x:c>
      <x:c r="B60" s="12" t="str">
        <x:v>Yes</x:v>
      </x:c>
      <x:c r="C60" s="12" t="str">
        <x:v>Yes</x:v>
      </x:c>
      <x:c r="D60" s="12" t="str">
        <x:v>Yes</x:v>
      </x:c>
      <x:c r="E60" s="12" t="str">
        <x:v>Yes</x:v>
      </x:c>
      <x:c r="F60" s="12" t="str">
        <x:v>Yes</x:v>
      </x:c>
      <x:c r="G60" s="12" t="str">
        <x:v>Include</x:v>
      </x:c>
      <x:c r="H60" s="12" t="str">
        <x:v>Continuous-carbon-fiber/TPU sensing paths and star-shaped structures are produced by FDM and evaluated for strain, stress, temperature and wearable human–machine interaction.</x:v>
      </x:c>
      <x:c r="I60" s="12" t="str">
        <x:v>PDF pp. 2–13; Figs. 1–10; Tables 1–2</x:v>
      </x:c>
      <x:c r="J60" s="12" t="str">
        <x:v>Batch 07</x:v>
      </x:c>
    </x:row>
    <x:row r="61" ht="24" hidden="0" customHeight="1">
      <x:c r="A61" s="12" t="str">
        <x:v>S074</x:v>
      </x:c>
      <x:c r="B61" s="12" t="str">
        <x:v>Yes</x:v>
      </x:c>
      <x:c r="C61" s="12" t="str">
        <x:v>Yes</x:v>
      </x:c>
      <x:c r="D61" s="12" t="str">
        <x:v>Yes</x:v>
      </x:c>
      <x:c r="E61" s="12" t="str">
        <x:v>Yes</x:v>
      </x:c>
      <x:c r="F61" s="12" t="str">
        <x:v>Yes</x:v>
      </x:c>
      <x:c r="G61" s="12" t="str">
        <x:v>Include</x:v>
      </x:c>
      <x:c r="H61" s="12" t="str">
        <x:v>Dual-material FDM produces an FBG-containing wearable sensor that is characterized for strain and temperature and compared with reference instruments in eight volunteers.</x:v>
      </x:c>
      <x:c r="I61" s="12" t="str">
        <x:v>PDF pp. 3–9; Figs. 1–13</x:v>
      </x:c>
      <x:c r="J61" s="12" t="str">
        <x:v>Batch 07</x:v>
      </x:c>
    </x:row>
    <x:row r="62" ht="24" hidden="0" customHeight="1">
      <x:c r="A62" s="12" t="str">
        <x:v>S075</x:v>
      </x:c>
      <x:c r="B62" s="12" t="str">
        <x:v>Yes</x:v>
      </x:c>
      <x:c r="C62" s="12" t="str">
        <x:v>Yes</x:v>
      </x:c>
      <x:c r="D62" s="12" t="str">
        <x:v>Yes</x:v>
      </x:c>
      <x:c r="E62" s="12" t="str">
        <x:v>Yes</x:v>
      </x:c>
      <x:c r="F62" s="12" t="str">
        <x:v>Yes</x:v>
      </x:c>
      <x:c r="G62" s="12" t="str">
        <x:v>Include</x:v>
      </x:c>
      <x:c r="H62" s="12" t="str">
        <x:v>FDM directly prints the CB-TPU strain element; bare, tape-integrated and silicone-integrated configurations are quantitatively characterized under strain, cycling, temperature, humidity and body motion.</x:v>
      </x:c>
      <x:c r="I62" s="12" t="str">
        <x:v>PDF pp. 2–8; Figs. 1–7</x:v>
      </x:c>
      <x:c r="J62" s="12" t="str">
        <x:v>Batch 07</x:v>
      </x:c>
    </x:row>
    <x:row r="63" ht="24" hidden="0" customHeight="1">
      <x:c r="A63" s="12" t="str">
        <x:v>S076</x:v>
      </x:c>
      <x:c r="B63" s="12" t="str">
        <x:v>Yes</x:v>
      </x:c>
      <x:c r="C63" s="12" t="str">
        <x:v>Yes</x:v>
      </x:c>
      <x:c r="D63" s="12" t="str">
        <x:v>Yes</x:v>
      </x:c>
      <x:c r="E63" s="12" t="str">
        <x:v>Yes</x:v>
      </x:c>
      <x:c r="F63" s="12" t="str">
        <x:v>Yes</x:v>
      </x:c>
      <x:c r="G63" s="12" t="str">
        <x:v>Include</x:v>
      </x:c>
      <x:c r="H63" s="12" t="str">
        <x:v>FFF prints the active PVDF film used in a hybrid nanogenerator; controlled force/frequency tests, endurance and tactile/wearable demonstrations are reported.</x:v>
      </x:c>
      <x:c r="I63" s="12" t="str">
        <x:v>PDF pp. 3–8; Figs. 1–6; cited Supplementary Figs. S1–S10</x:v>
      </x:c>
      <x:c r="J63" s="12" t="str">
        <x:v>Batch 07</x:v>
      </x:c>
    </x:row>
    <x:row r="64" ht="24" hidden="0" customHeight="1">
      <x:c r="A64" s="12" t="str">
        <x:v>S077</x:v>
      </x:c>
      <x:c r="B64" s="12" t="str">
        <x:v>Yes</x:v>
      </x:c>
      <x:c r="C64" s="12" t="str">
        <x:v>Yes</x:v>
      </x:c>
      <x:c r="D64" s="12" t="str">
        <x:v>Yes</x:v>
      </x:c>
      <x:c r="E64" s="12" t="str">
        <x:v>Yes</x:v>
      </x:c>
      <x:c r="F64" s="12" t="str">
        <x:v>Yes</x:v>
      </x:c>
      <x:c r="G64" s="12" t="str">
        <x:v>Include</x:v>
      </x:c>
      <x:c r="H64" s="12" t="str">
        <x:v>FDM prints the TPU sensing body during a graphene/PEDOT:PSS layer-integration sequence; strain, pressure, temperature and body-motion responses are reported.</x:v>
      </x:c>
      <x:c r="I64" s="12" t="str">
        <x:v>PDF pp. 3–15; Figs. 1–7; Table 1</x:v>
      </x:c>
      <x:c r="J64" s="12" t="str">
        <x:v>Batch 07</x:v>
      </x:c>
    </x:row>
    <x:row r="65" ht="24" hidden="0" customHeight="1">
      <x:c r="A65" s="12" t="str">
        <x:v>S078</x:v>
      </x:c>
      <x:c r="B65" s="12" t="str">
        <x:v>Yes</x:v>
      </x:c>
      <x:c r="C65" s="12" t="str">
        <x:v>Yes</x:v>
      </x:c>
      <x:c r="D65" s="12" t="str">
        <x:v>Yes</x:v>
      </x:c>
      <x:c r="E65" s="12" t="str">
        <x:v>Yes</x:v>
      </x:c>
      <x:c r="F65" s="12" t="str">
        <x:v>Yes</x:v>
      </x:c>
      <x:c r="G65" s="12" t="str">
        <x:v>Include</x:v>
      </x:c>
      <x:c r="H65" s="12" t="str">
        <x:v>FDM TPU structures are surface-loaded with CNTs and microwave-treated to form conductive sensing layers; pressure/strain cycling and insole/finger-cover demonstrations are reported.</x:v>
      </x:c>
      <x:c r="I65" s="12" t="str">
        <x:v>PDF pp. 3–8; Figs. 1–6; Supporting Table S1 cited</x:v>
      </x:c>
      <x:c r="J65" s="12" t="str">
        <x:v>Batch 07</x:v>
      </x:c>
    </x:row>
    <x:row r="66" ht="24" hidden="0" customHeight="1">
      <x:c r="A66" s="12" t="str">
        <x:v>S079</x:v>
      </x:c>
      <x:c r="B66" s="12" t="str">
        <x:v>Yes</x:v>
      </x:c>
      <x:c r="C66" s="12" t="str">
        <x:v>Yes</x:v>
      </x:c>
      <x:c r="D66" s="12" t="str">
        <x:v>Yes</x:v>
      </x:c>
      <x:c r="E66" s="12" t="str">
        <x:v>Yes</x:v>
      </x:c>
      <x:c r="F66" s="12" t="str">
        <x:v>Yes</x:v>
      </x:c>
      <x:c r="G66" s="12" t="str">
        <x:v>Include</x:v>
      </x:c>
      <x:c r="H66" s="12" t="str">
        <x:v>FDM fabricates active conductive TPMS pressure sensors that are evaluated over controlled pressure, cycling and environmental exposures and in body-motion and foot-array demonstrations.</x:v>
      </x:c>
      <x:c r="I66" s="12" t="str">
        <x:v>PDF pp. 2–12; Figs. 1–8; Supplementary Figs. S1–S15 cited</x:v>
      </x:c>
      <x:c r="J66" s="12" t="str">
        <x:v>Batch 07</x:v>
      </x:c>
    </x:row>
    <x:row r="67" ht="24" hidden="0" customHeight="1">
      <x:c r="A67" s="12" t="str">
        <x:v>S080</x:v>
      </x:c>
      <x:c r="B67" s="12" t="str">
        <x:v>Yes</x:v>
      </x:c>
      <x:c r="C67" s="12" t="str">
        <x:v>Yes</x:v>
      </x:c>
      <x:c r="D67" s="12" t="str">
        <x:v>Yes</x:v>
      </x:c>
      <x:c r="E67" s="12" t="str">
        <x:v>Yes</x:v>
      </x:c>
      <x:c r="F67" s="12" t="str">
        <x:v>Yes</x:v>
      </x:c>
      <x:c r="G67" s="12" t="str">
        <x:v>Include</x:v>
      </x:c>
      <x:c r="H67" s="12" t="str">
        <x:v>FDM fabricates TPU TPMS structures that are graphene-coated to form piezoresistive sensors; controlled compression, 300-cycle testing, respiration and gait signals are reported.</x:v>
      </x:c>
      <x:c r="I67" s="12" t="str">
        <x:v>PDF pp. 2, 4–12; Figs. 1–8</x:v>
      </x:c>
      <x:c r="J67" s="12" t="str">
        <x:v>Batch 08</x:v>
      </x:c>
    </x:row>
    <x:row r="68" ht="24" hidden="0" customHeight="1">
      <x:c r="A68" s="12" t="str">
        <x:v>S081</x:v>
      </x:c>
      <x:c r="B68" s="12" t="str">
        <x:v>Yes</x:v>
      </x:c>
      <x:c r="C68" s="12" t="str">
        <x:v>Yes</x:v>
      </x:c>
      <x:c r="D68" s="12" t="str">
        <x:v>Yes</x:v>
      </x:c>
      <x:c r="E68" s="12" t="str">
        <x:v>Yes</x:v>
      </x:c>
      <x:c r="F68" s="12" t="str">
        <x:v>Yes</x:v>
      </x:c>
      <x:c r="G68" s="12" t="str">
        <x:v>Include</x:v>
      </x:c>
      <x:c r="H68" s="12" t="str">
        <x:v>FDM fabricates the TPU thumb body and embeds the FBG that measures force loss during epidural-space detection; seven compression tests and two clinical procedures are reported.</x:v>
      </x:c>
      <x:c r="I68" s="12" t="str">
        <x:v>PDF pp. 3–7; Figs. 1–8; Table I</x:v>
      </x:c>
      <x:c r="J68" s="12" t="str">
        <x:v>Batch 08</x:v>
      </x:c>
    </x:row>
    <x:row r="69" ht="24" hidden="0" customHeight="1">
      <x:c r="A69" s="12" t="str">
        <x:v>S082</x:v>
      </x:c>
      <x:c r="B69" s="12" t="str">
        <x:v>Yes</x:v>
      </x:c>
      <x:c r="C69" s="12" t="str">
        <x:v>Yes</x:v>
      </x:c>
      <x:c r="D69" s="12" t="str">
        <x:v>Yes</x:v>
      </x:c>
      <x:c r="E69" s="12" t="str">
        <x:v>Yes</x:v>
      </x:c>
      <x:c r="F69" s="12" t="str">
        <x:v>Yes</x:v>
      </x:c>
      <x:c r="G69" s="12" t="str">
        <x:v>Include</x:v>
      </x:c>
      <x:c r="H69" s="12" t="str">
        <x:v>FFF directly extrudes CNT/SBS@TPU sensing fibres; SBS:TPU-ratio comparisons, 2000-cycle strain testing and body-motion/tactile demonstrations are reported.</x:v>
      </x:c>
      <x:c r="I69" s="12" t="str">
        <x:v>PDF pp. 4–12; Figs. 1–7; Supplementary Figs. S1–S5 cited</x:v>
      </x:c>
      <x:c r="J69" s="12" t="str">
        <x:v>Batch 08</x:v>
      </x:c>
    </x:row>
    <x:row r="70" ht="24" hidden="0" customHeight="1">
      <x:c r="A70" s="12" t="str">
        <x:v>S084</x:v>
      </x:c>
      <x:c r="B70" s="12" t="str">
        <x:v>Yes</x:v>
      </x:c>
      <x:c r="C70" s="12" t="str">
        <x:v>Yes</x:v>
      </x:c>
      <x:c r="D70" s="12" t="str">
        <x:v>Yes</x:v>
      </x:c>
      <x:c r="E70" s="12" t="str">
        <x:v>Yes</x:v>
      </x:c>
      <x:c r="F70" s="12" t="str">
        <x:v>Yes</x:v>
      </x:c>
      <x:c r="G70" s="12" t="str">
        <x:v>Include</x:v>
      </x:c>
      <x:c r="H70" s="12" t="str">
        <x:v>FFF directly extrudes CNT/SBS@TPU sensing fibres; CNT-loading comparisons, 2000-cycle strain testing and human-motion/tactile demonstrations are reported.</x:v>
      </x:c>
      <x:c r="I70" s="12" t="str">
        <x:v>PDF pp. 4–11; Figs. 1–8; Supplementary Figs. S1–S5 cited</x:v>
      </x:c>
      <x:c r="J70" s="12" t="str">
        <x:v>Batch 08</x:v>
      </x:c>
    </x:row>
    <x:row r="71" ht="24" hidden="0" customHeight="1">
      <x:c r="A71" s="12" t="str">
        <x:v>S085</x:v>
      </x:c>
      <x:c r="B71" s="12" t="str">
        <x:v>Yes</x:v>
      </x:c>
      <x:c r="C71" s="12" t="str">
        <x:v>Yes</x:v>
      </x:c>
      <x:c r="D71" s="12" t="str">
        <x:v>Yes</x:v>
      </x:c>
      <x:c r="E71" s="12" t="str">
        <x:v>Yes</x:v>
      </x:c>
      <x:c r="F71" s="12" t="str">
        <x:v>Yes</x:v>
      </x:c>
      <x:c r="G71" s="12" t="str">
        <x:v>Include</x:v>
      </x:c>
      <x:c r="H71" s="12" t="str">
        <x:v>FDM deposits CB/TPU sensing paths onto TPU film; configuration-dependent response, static/dynamic tests, 3000 cycles and a lumbar-motion demonstration are reported.</x:v>
      </x:c>
      <x:c r="I71" s="12" t="str">
        <x:v>PDF pp. 2–4, 8–12; Figs. 1–18; Tables 1–2</x:v>
      </x:c>
      <x:c r="J71" s="12" t="str">
        <x:v>Batch 08</x:v>
      </x:c>
    </x:row>
    <x:row r="72" ht="24" hidden="0" customHeight="1">
      <x:c r="A72" s="12" t="str">
        <x:v>S086</x:v>
      </x:c>
      <x:c r="B72" s="12" t="str">
        <x:v>Yes</x:v>
      </x:c>
      <x:c r="C72" s="12" t="str">
        <x:v>Yes</x:v>
      </x:c>
      <x:c r="D72" s="12" t="str">
        <x:v>Yes</x:v>
      </x:c>
      <x:c r="E72" s="12" t="str">
        <x:v>Yes</x:v>
      </x:c>
      <x:c r="F72" s="12" t="str">
        <x:v>Yes</x:v>
      </x:c>
      <x:c r="G72" s="12" t="str">
        <x:v>Include</x:v>
      </x:c>
      <x:c r="H72" s="12" t="str">
        <x:v>FDM and layerwise silver-paste deposition create TPU/Ag sensing parts that are microwave-sintered; tensile response, repeated cycling and human-motion signals are reported.</x:v>
      </x:c>
      <x:c r="I72" s="12" t="str">
        <x:v>PDF pp. 2–9; Figs. 1–6; Supporting Figs. S1–S3 and Table S1 cited</x:v>
      </x:c>
      <x:c r="J72" s="12" t="str">
        <x:v>Batch 08</x:v>
      </x:c>
    </x:row>
    <x:row r="73" ht="24" hidden="0" customHeight="1">
      <x:c r="A73" s="12" t="str">
        <x:v>S087</x:v>
      </x:c>
      <x:c r="B73" s="12" t="str">
        <x:v>Yes</x:v>
      </x:c>
      <x:c r="C73" s="12" t="str">
        <x:v>Yes</x:v>
      </x:c>
      <x:c r="D73" s="12" t="str">
        <x:v>Yes</x:v>
      </x:c>
      <x:c r="E73" s="12" t="str">
        <x:v>Yes</x:v>
      </x:c>
      <x:c r="F73" s="12" t="str">
        <x:v>Yes</x:v>
      </x:c>
      <x:c r="G73" s="12" t="str">
        <x:v>Include</x:v>
      </x:c>
      <x:c r="H73" s="12" t="str">
        <x:v>FDM fabricates SEBS network substrates that are converted into surface-filled graphene piezoresistive sensors; tensile, pressure, 2000-cycle and body-motion tests are reported.</x:v>
      </x:c>
      <x:c r="I73" s="12" t="str">
        <x:v>PDF pp. 2–7; Figs. 1–5; Supplementary Figs. S1–S7 cited</x:v>
      </x:c>
      <x:c r="J73" s="12" t="str">
        <x:v>Batch 08</x:v>
      </x:c>
    </x:row>
    <x:row r="74" ht="24" hidden="0" customHeight="1">
      <x:c r="A74" s="12" t="str">
        <x:v>S088</x:v>
      </x:c>
      <x:c r="B74" s="12" t="str">
        <x:v>Yes</x:v>
      </x:c>
      <x:c r="C74" s="12" t="str">
        <x:v>Yes</x:v>
      </x:c>
      <x:c r="D74" s="12" t="str">
        <x:v>Yes</x:v>
      </x:c>
      <x:c r="E74" s="12" t="str">
        <x:v>Yes</x:v>
      </x:c>
      <x:c r="F74" s="12" t="str">
        <x:v>Yes</x:v>
      </x:c>
      <x:c r="G74" s="12" t="str">
        <x:v>Include</x:v>
      </x:c>
      <x:c r="H74" s="12" t="str">
        <x:v>FDM embeds an FBG in a flexible PLA ring; three-repeat elbow calibration, cyclic elbow tests and knee-motion measurements in one participant are reported.</x:v>
      </x:c>
      <x:c r="I74" s="12" t="str">
        <x:v>PDF pp. 4–12; Figs. 1–10; Table 1</x:v>
      </x:c>
      <x:c r="J74" s="12" t="str">
        <x:v>Batch 08</x:v>
      </x:c>
    </x:row>
    <x:row r="75" ht="36" hidden="0" customHeight="1">
      <x:c r="A75" s="12" t="str">
        <x:v>S089</x:v>
      </x:c>
      <x:c r="B75" s="12" t="str">
        <x:v>Yes</x:v>
      </x:c>
      <x:c r="C75" s="12" t="str">
        <x:v>Yes</x:v>
      </x:c>
      <x:c r="D75" s="12" t="str">
        <x:v>Yes</x:v>
      </x:c>
      <x:c r="E75" s="12" t="str">
        <x:v>Yes</x:v>
      </x:c>
      <x:c r="F75" s="12" t="str">
        <x:v>Yes</x:v>
      </x:c>
      <x:c r="G75" s="12" t="str">
        <x:v>Include</x:v>
      </x:c>
      <x:c r="H75" s="12" t="str">
        <x:v>FFF directly prints CNT/TPU, GNP/TPU and hybrid CNT/GNP/TPU strain sensors; temperature dependence, 3000-cycle tests and body-motion demonstrations are reported.</x:v>
      </x:c>
      <x:c r="I75" s="12" t="str">
        <x:v>PDF pp. 10–35 of available accepted manuscript; Figs. 1–10; Tables 1–2; Supplementary Tables S1–S2 cited</x:v>
      </x:c>
      <x:c r="J75" s="12" t="str">
        <x:v>Batch 08</x:v>
      </x:c>
    </x:row>
    <x:row r="76" ht="36" hidden="0" customHeight="1">
      <x:c r="A76" s="12" t="str">
        <x:v>S090</x:v>
      </x:c>
      <x:c r="B76" s="12" t="str">
        <x:v>Yes</x:v>
      </x:c>
      <x:c r="C76" s="12" t="str">
        <x:v>Yes</x:v>
      </x:c>
      <x:c r="D76" s="12" t="str">
        <x:v>Yes</x:v>
      </x:c>
      <x:c r="E76" s="12" t="str">
        <x:v>Yes</x:v>
      </x:c>
      <x:c r="F76" s="12" t="str">
        <x:v>Yes</x:v>
      </x:c>
      <x:c r="G76" s="12" t="str">
        <x:v>Include</x:v>
      </x:c>
      <x:c r="H76" s="12" t="str">
        <x:v>The retained FDM-printed soft-PLA substrate/mask defines the active channel and prevents electrode–electrolyte contact; the completed flexible OECT is characterized experimentally and the paper explicitly frames wearable biosensing use.</x:v>
      </x:c>
      <x:c r="I76" s="12" t="str">
        <x:v>PDF pp. 1–7; Figs. 1, 3–4; Tables 1–2</x:v>
      </x:c>
      <x:c r="J76" s="12" t="str">
        <x:v>Batch 09</x:v>
      </x:c>
    </x:row>
    <x:row r="77" ht="24" hidden="0" customHeight="1">
      <x:c r="A77" s="12" t="str">
        <x:v>S091</x:v>
      </x:c>
      <x:c r="B77" s="12" t="str">
        <x:v>Yes</x:v>
      </x:c>
      <x:c r="C77" s="12" t="str">
        <x:v>Yes</x:v>
      </x:c>
      <x:c r="D77" s="12" t="str">
        <x:v>Yes</x:v>
      </x:c>
      <x:c r="E77" s="12" t="str">
        <x:v>Yes</x:v>
      </x:c>
      <x:c r="F77" s="12" t="str">
        <x:v>Yes</x:v>
      </x:c>
      <x:c r="G77" s="12" t="str">
        <x:v>Include</x:v>
      </x:c>
      <x:c r="H77" s="12" t="str">
        <x:v>Thermoplastic-filament FDM directly prints the PVDF/MWCNT sensing strip, which is tested as a reversible VOC chemiresistor and proposed for wearable form factors.</x:v>
      </x:c>
      <x:c r="I77" s="12" t="str">
        <x:v>PDF pp. 1–8; Figs. 2, 6–11; Table 1</x:v>
      </x:c>
      <x:c r="J77" s="12" t="str">
        <x:v>Batch 09</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220000267028809" hidden="0" customWidth="1"/>
    <x:col min="2" max="2" width="11.670000076293945" hidden="0" customWidth="1"/>
    <x:col min="3" max="3" width="36.66999816894531" hidden="0" customWidth="1"/>
    <x:col min="4" max="4" width="27.780000686645508" hidden="0" customWidth="1"/>
    <x:col min="5" max="5" width="24.440000534057617" hidden="0" customWidth="1"/>
    <x:col min="6" max="6" width="47.779998779296875" hidden="0" customWidth="1"/>
    <x:col min="7" max="7" width="26.670000076293945" hidden="0" customWidth="1"/>
    <x:col min="8" max="8" width="17.780000686645508" hidden="0" customWidth="1"/>
    <x:col min="9" max="9" width="48.88999938964844" hidden="0" customWidth="1"/>
    <x:col min="10" max="10" width="30" hidden="0" customWidth="1"/>
    <x:col min="11" max="11" width="13.329999923706055" hidden="0" customWidth="1"/>
  </x:cols>
  <x:sheetData>
    <x:row r="1" ht="24" hidden="0" customHeight="1">
      <x:c r="A1" s="11" t="str">
        <x:v>Sensor ID</x:v>
      </x:c>
      <x:c r="B1" s="11" t="str">
        <x:v>Stable Study ID</x:v>
      </x:c>
      <x:c r="C1" s="11" t="str">
        <x:v>Configuration</x:v>
      </x:c>
      <x:c r="D1" s="11" t="str">
        <x:v>Measurand</x:v>
      </x:c>
      <x:c r="E1" s="11" t="str">
        <x:v>Transduction</x:v>
      </x:c>
      <x:c r="F1" s="11" t="str">
        <x:v>Role of FDM/FFF part</x:v>
      </x:c>
      <x:c r="G1" s="11" t="str">
        <x:v>Wearable location/application</x:v>
      </x:c>
      <x:c r="H1" s="11" t="str">
        <x:v>Final assembly tested</x:v>
      </x:c>
      <x:c r="I1" s="11" t="str">
        <x:v>Unit/configuration notes</x:v>
      </x:c>
      <x:c r="J1" s="11" t="str">
        <x:v>Evidence locator</x:v>
      </x:c>
      <x:c r="K1" s="11" t="str">
        <x:v>Authoritative source</x:v>
      </x:c>
    </x:row>
    <x:row r="2" ht="15" hidden="0" customHeight="1">
      <x:c r="A2" s="12" t="str">
        <x:v>S001-C01</x:v>
      </x:c>
      <x:c r="B2" s="12" t="str">
        <x:v>S001</x:v>
      </x:c>
      <x:c r="C2" s="12" t="str">
        <x:v>FBG-embedded insole</x:v>
      </x:c>
      <x:c r="D2" s="12" t="str">
        <x:v>Plantar force / gait phase</x:v>
      </x:c>
      <x:c r="E2" s="12" t="str">
        <x:v>Optical FBG wavelength shift</x:v>
      </x:c>
      <x:c r="F2" s="12" t="str">
        <x:v>Printed TPU forms the load-transfer insole and sensor grooves</x:v>
      </x:c>
      <x:c r="G2" s="12" t="str">
        <x:v>Foot/insole</x:v>
      </x:c>
      <x:c r="H2" s="12" t="str">
        <x:v>Yes</x:v>
      </x:c>
      <x:c r="I2" s="12" t="str">
        <x:v>Five FBG sensing positions in one insole</x:v>
      </x:c>
      <x:c r="J2" s="12" t="str">
        <x:v>PDF pp. 4-7, Fig. 1-2</x:v>
      </x:c>
      <x:c r="K2" s="12" t="str">
        <x:v>Pilot</x:v>
      </x:c>
    </x:row>
    <x:row r="3" ht="24" hidden="0" customHeight="1">
      <x:c r="A3" s="12" t="str">
        <x:v>S002-C01</x:v>
      </x:c>
      <x:c r="B3" s="12" t="str">
        <x:v>S002</x:v>
      </x:c>
      <x:c r="C3" s="12" t="str">
        <x:v>Fe-cluster-modified 3D-printed electrode</x:v>
      </x:c>
      <x:c r="D3" s="12" t="str">
        <x:v>Sweat glucose concentration</x:v>
      </x:c>
      <x:c r="E3" s="12" t="str">
        <x:v>Electrochemical DPV</x:v>
      </x:c>
      <x:c r="F3" s="12" t="str">
        <x:v>Printed CB-PLA is the working electrode</x:v>
      </x:c>
      <x:c r="G3" s="12" t="str">
        <x:v>Sweat / prospective on-body chemical sensing</x:v>
      </x:c>
      <x:c r="H3" s="12" t="str">
        <x:v>No</x:v>
      </x:c>
      <x:c r="I3" s="12" t="str">
        <x:v>Single-electrode configuration; between-electrode reproducibility assessed on six 3DPEs</x:v>
      </x:c>
      <x:c r="J3" s="12" t="str">
        <x:v>PDF pp. 4-10, Fig. 1-7</x:v>
      </x:c>
      <x:c r="K3" s="12" t="str">
        <x:v>Pilot</x:v>
      </x:c>
    </x:row>
    <x:row r="4" ht="24" hidden="0" customHeight="1">
      <x:c r="A4" s="12" t="str">
        <x:v>S004-C01</x:v>
      </x:c>
      <x:c r="B4" s="12" t="str">
        <x:v>S004</x:v>
      </x:c>
      <x:c r="C4" s="12" t="str">
        <x:v>TPU/E-TPU composite strain sensor</x:v>
      </x:c>
      <x:c r="D4" s="12" t="str">
        <x:v>Tensile strain and body motion</x:v>
      </x:c>
      <x:c r="E4" s="12" t="str">
        <x:v>Piezoresistive ΔR/R0</x:v>
      </x:c>
      <x:c r="F4" s="12" t="str">
        <x:v>Conductive E-TPU sensing grid co-printed within TPU</x:v>
      </x:c>
      <x:c r="G4" s="12" t="str">
        <x:v>Hand, wrist, chest and ankle/leg</x:v>
      </x:c>
      <x:c r="H4" s="12" t="str">
        <x:v>Yes</x:v>
      </x:c>
      <x:c r="I4" s="12" t="str">
        <x:v>One selected architecture; number of separately fabricated devices not reported</x:v>
      </x:c>
      <x:c r="J4" s="12" t="str">
        <x:v>PDF pp. 2–3, 9–13; Figs. 5–8</x:v>
      </x:c>
      <x:c r="K4" s="12" t="str">
        <x:v>Batch 01</x:v>
      </x:c>
    </x:row>
    <x:row r="5" ht="24" hidden="0" customHeight="1">
      <x:c r="A5" s="12" t="str">
        <x:v>S005-C01</x:v>
      </x:c>
      <x:c r="B5" s="12" t="str">
        <x:v>S005</x:v>
      </x:c>
      <x:c r="C5" s="12" t="str">
        <x:v>FBG-embedded flexible chest sensor</x:v>
      </x:c>
      <x:c r="D5" s="12" t="str">
        <x:v>Respiratory and cardiac chest-wall motion</x:v>
      </x:c>
      <x:c r="E5" s="12" t="str">
        <x:v>FBG wavelength shift</x:v>
      </x:c>
      <x:c r="F5" s="12" t="str">
        <x:v>Printed flexible polymer protects the FBG and transfers chest deformation</x:v>
      </x:c>
      <x:c r="G5" s="12" t="str">
        <x:v>Chest</x:v>
      </x:c>
      <x:c r="H5" s="12" t="str">
        <x:v>Yes</x:v>
      </x:c>
      <x:c r="I5" s="12" t="str">
        <x:v>Six design configurations; sensor F selected; configurations are not replicates</x:v>
      </x:c>
      <x:c r="J5" s="12" t="str">
        <x:v>PDF pp. 3–7; Figs. 1–5; Table 1</x:v>
      </x:c>
      <x:c r="K5" s="12" t="str">
        <x:v>Batch 01</x:v>
      </x:c>
    </x:row>
    <x:row r="6" ht="15" hidden="0" customHeight="1">
      <x:c r="A6" s="12" t="str">
        <x:v>S007-C01</x:v>
      </x:c>
      <x:c r="B6" s="12" t="str">
        <x:v>S007</x:v>
      </x:c>
      <x:c r="C6" s="12" t="str">
        <x:v>Flexible dry EEG electrode family</x:v>
      </x:c>
      <x:c r="D6" s="12" t="str">
        <x:v>EEG biopotential</x:v>
      </x:c>
      <x:c r="E6" s="12" t="str">
        <x:v>Electrode-skin electrical interface</x:v>
      </x:c>
      <x:c r="F6" s="12" t="str">
        <x:v>FFF SemiFlex body supports Ag/AgCl coating</x:v>
      </x:c>
      <x:c r="G6" s="12" t="str">
        <x:v>Scalp</x:v>
      </x:c>
      <x:c r="H6" s="12" t="str">
        <x:v>Yes</x:v>
      </x:c>
      <x:c r="I6" s="12" t="str">
        <x:v>Nine geometry variants (three shapes x three finger counts)</x:v>
      </x:c>
      <x:c r="J6" s="12" t="str">
        <x:v>PDF pp. 3-7, Fig. 1-4</x:v>
      </x:c>
      <x:c r="K6" s="12" t="str">
        <x:v>Pilot</x:v>
      </x:c>
    </x:row>
    <x:row r="7" ht="24" hidden="0" customHeight="1">
      <x:c r="A7" s="12" t="str">
        <x:v>S008-C01</x:v>
      </x:c>
      <x:c r="B7" s="12" t="str">
        <x:v>S008</x:v>
      </x:c>
      <x:c r="C7" s="12" t="str">
        <x:v>Wireless origami pressure-sensing insole</x:v>
      </x:c>
      <x:c r="D7" s="12" t="str">
        <x:v>Plantar pressure/posture</x:v>
      </x:c>
      <x:c r="E7" s="12" t="str">
        <x:v>LC resonant-frequency shift</x:v>
      </x:c>
      <x:c r="F7" s="12" t="str">
        <x:v>FFF TPU origami is the deformable load-transfer structure surrounding DIW LC sensors</x:v>
      </x:c>
      <x:c r="G7" s="12" t="str">
        <x:v>Foot/insole</x:v>
      </x:c>
      <x:c r="H7" s="12" t="str">
        <x:v>Yes</x:v>
      </x:c>
      <x:c r="I7" s="12" t="str">
        <x:v>Four LC locations in one insole; no separate-insole replication</x:v>
      </x:c>
      <x:c r="J7" s="12" t="str">
        <x:v>PDF pp. 5–10; Figs. 3–5</x:v>
      </x:c>
      <x:c r="K7" s="12" t="str">
        <x:v>Batch 01</x:v>
      </x:c>
    </x:row>
    <x:row r="8" ht="24" hidden="0" customHeight="1">
      <x:c r="A8" s="12" t="str">
        <x:v>S010-C01</x:v>
      </x:c>
      <x:c r="B8" s="12" t="str">
        <x:v>S010</x:v>
      </x:c>
      <x:c r="C8" s="12" t="str">
        <x:v>SoHapS soft haptic actuator with built-in force sensor</x:v>
      </x:c>
      <x:c r="D8" s="12" t="str">
        <x:v>Actuator pressure/force delivered to wearer</x:v>
      </x:c>
      <x:c r="E8" s="12" t="str">
        <x:v>Piezoresistive resistance change</x:v>
      </x:c>
      <x:c r="F8" s="12" t="str">
        <x:v>Conductive and nonconductive TPU force sensor is monolithically FDM printed with actuator</x:v>
      </x:c>
      <x:c r="G8" s="12" t="str">
        <x:v>Wrist/skin haptic interface</x:v>
      </x:c>
      <x:c r="H8" s="12" t="str">
        <x:v>Yes</x:v>
      </x:c>
      <x:c r="I8" s="12" t="str">
        <x:v>Single SoHapS used in reported tasks; multiple-device study proposed as future work</x:v>
      </x:c>
      <x:c r="J8" s="12" t="str">
        <x:v>PDF pp. 3–4, 6–15; Figs. 1–13</x:v>
      </x:c>
      <x:c r="K8" s="12" t="str">
        <x:v>Batch 01</x:v>
      </x:c>
    </x:row>
    <x:row r="9" ht="15" hidden="0" customHeight="1">
      <x:c r="A9" s="12" t="str">
        <x:v>S011-C01</x:v>
      </x:c>
      <x:c r="B9" s="12" t="str">
        <x:v>S011</x:v>
      </x:c>
      <x:c r="C9" s="12" t="str">
        <x:v>3D-printed capacitive insole sensor</x:v>
      </x:c>
      <x:c r="D9" s="12" t="str">
        <x:v>Plantar pressure</x:v>
      </x:c>
      <x:c r="E9" s="12" t="str">
        <x:v>Capacitance change</x:v>
      </x:c>
      <x:c r="F9" s="12" t="str">
        <x:v>Printed conductive plates and flexible dielectric form the sensor</x:v>
      </x:c>
      <x:c r="G9" s="12" t="str">
        <x:v>Foot/insole</x:v>
      </x:c>
      <x:c r="H9" s="12" t="str">
        <x:v>Yes</x:v>
      </x:c>
      <x:c r="I9" s="12" t="str">
        <x:v>Sixteen sensors integrated into one insole</x:v>
      </x:c>
      <x:c r="J9" s="12" t="str">
        <x:v>PDF pp. 3-6, Fig. 1-3</x:v>
      </x:c>
      <x:c r="K9" s="12" t="str">
        <x:v>Pilot</x:v>
      </x:c>
    </x:row>
    <x:row r="10" ht="24" hidden="0" customHeight="1">
      <x:c r="A10" s="12" t="str">
        <x:v>S012-C01</x:v>
      </x:c>
      <x:c r="B10" s="12" t="str">
        <x:v>S012</x:v>
      </x:c>
      <x:c r="C10" s="12" t="str">
        <x:v>Printed bipolar and multielectrode sEMG structures</x:v>
      </x:c>
      <x:c r="D10" s="12" t="str">
        <x:v>Surface EMG</x:v>
      </x:c>
      <x:c r="E10" s="12" t="str">
        <x:v>Dry-electrode biopotential</x:v>
      </x:c>
      <x:c r="F10" s="12" t="str">
        <x:v>Carbon-black TPU electrodes co-printed with insulating TPU</x:v>
      </x:c>
      <x:c r="G10" s="12" t="str">
        <x:v>Biceps, wrist and forearm</x:v>
      </x:c>
      <x:c r="H10" s="12" t="str">
        <x:v>Yes</x:v>
      </x:c>
      <x:c r="I10" s="12" t="str">
        <x:v>Several geometry variants and an 8-electrode band; independent fabrication replicates not reported</x:v>
      </x:c>
      <x:c r="J10" s="12" t="str">
        <x:v>PDF pp. 4–9; Figs. 1–8; Table 2</x:v>
      </x:c>
      <x:c r="K10" s="12" t="str">
        <x:v>Batch 01</x:v>
      </x:c>
    </x:row>
    <x:row r="11" ht="24" hidden="0" customHeight="1">
      <x:c r="A11" s="12" t="str">
        <x:v>S013-C01</x:v>
      </x:c>
      <x:c r="B11" s="12" t="str">
        <x:v>S013</x:v>
      </x:c>
      <x:c r="C11" s="12" t="str">
        <x:v>Three-electrode wearable e-finger</x:v>
      </x:c>
      <x:c r="D11" s="12" t="str">
        <x:v>Flunitrazepam, scopolamine, ketamine and paracetamol in drinks</x:v>
      </x:c>
      <x:c r="E11" s="12" t="str">
        <x:v>Differential-pulse voltammetry</x:v>
      </x:c>
      <x:c r="F11" s="12" t="str">
        <x:v>CB-PLA electrodes and TPU finger holder are dual-extrusion printed</x:v>
      </x:c>
      <x:c r="G11" s="12" t="str">
        <x:v>Finger; immersed into beverage</x:v>
      </x:c>
      <x:c r="H11" s="12" t="str">
        <x:v>Yes</x:v>
      </x:c>
      <x:c r="I11" s="12" t="str">
        <x:v>Five e-fingers used for between-device analytical precision</x:v>
      </x:c>
      <x:c r="J11" s="12" t="str">
        <x:v>PDF pp. 3–7; Figs. 1–6; Table 1</x:v>
      </x:c>
      <x:c r="K11" s="12" t="str">
        <x:v>Batch 01</x:v>
      </x:c>
    </x:row>
    <x:row r="12" ht="24" hidden="0" customHeight="1">
      <x:c r="A12" s="12" t="str">
        <x:v>S014-C01</x:v>
      </x:c>
      <x:c r="B12" s="12" t="str">
        <x:v>S014</x:v>
      </x:c>
      <x:c r="C12" s="12" t="str">
        <x:v>FBG embedded in TPU 85A or TPU 95A</x:v>
      </x:c>
      <x:c r="D12" s="12" t="str">
        <x:v>Strain, temperature and shoulder movement plane</x:v>
      </x:c>
      <x:c r="E12" s="12" t="str">
        <x:v>FBG wavelength shift</x:v>
      </x:c>
      <x:c r="F12" s="12" t="str">
        <x:v>Printed TPU embeds/protects fiber and transfers strain</x:v>
      </x:c>
      <x:c r="G12" s="12" t="str">
        <x:v>Anterolateral shoulder</x:v>
      </x:c>
      <x:c r="H12" s="12" t="str">
        <x:v>Yes</x:v>
      </x:c>
      <x:c r="I12" s="12" t="str">
        <x:v>Two material configurations; functional-device replication not reported</x:v>
      </x:c>
      <x:c r="J12" s="12" t="str">
        <x:v>PDF pp. 4–11; Figs. 1–9</x:v>
      </x:c>
      <x:c r="K12" s="12" t="str">
        <x:v>Batch 01</x:v>
      </x:c>
    </x:row>
    <x:row r="13" ht="24" hidden="0" customHeight="1">
      <x:c r="A13" s="12" t="str">
        <x:v>S015-C01</x:v>
      </x:c>
      <x:c r="B13" s="12" t="str">
        <x:v>S015</x:v>
      </x:c>
      <x:c r="C13" s="12" t="str">
        <x:v>FDM jaw-motion headgear with flex and inertial sensors</x:v>
      </x:c>
      <x:c r="D13" s="12" t="str">
        <x:v>Jaw opening, protrusion, excursion and speech motion</x:v>
      </x:c>
      <x:c r="E13" s="12" t="str">
        <x:v>Piezoresistive flex sensing plus accelerometry</x:v>
      </x:c>
      <x:c r="F13" s="12" t="str">
        <x:v>Printed arches/brackets position sensors and transmit jaw motion</x:v>
      </x:c>
      <x:c r="G13" s="12" t="str">
        <x:v>Head and jaw</x:v>
      </x:c>
      <x:c r="H13" s="12" t="str">
        <x:v>Yes</x:v>
      </x:c>
      <x:c r="I13" s="12" t="str">
        <x:v>Single prototype; two commercial flex channels are not independent printed devices</x:v>
      </x:c>
      <x:c r="J13" s="12" t="str">
        <x:v>PDF pp. 3–7; Figs. 1–6</x:v>
      </x:c>
      <x:c r="K13" s="12" t="str">
        <x:v>Batch 01</x:v>
      </x:c>
    </x:row>
    <x:row r="14" ht="15" hidden="0" customHeight="1">
      <x:c r="A14" s="12" t="str">
        <x:v>S017-C01</x:v>
      </x:c>
      <x:c r="B14" s="12" t="str">
        <x:v>S017</x:v>
      </x:c>
      <x:c r="C14" s="12" t="str">
        <x:v>TPU/PLA/carbon TP-TENG</x:v>
      </x:c>
      <x:c r="D14" s="12" t="str">
        <x:v>Body-motion/contact signal</x:v>
      </x:c>
      <x:c r="E14" s="12" t="str">
        <x:v>Triboelectric voltage/current/charge</x:v>
      </x:c>
      <x:c r="F14" s="12" t="str">
        <x:v>Printed composite film is triboelectric active layer</x:v>
      </x:c>
      <x:c r="G14" s="12" t="str">
        <x:v>Knee / sports motion</x:v>
      </x:c>
      <x:c r="H14" s="12" t="str">
        <x:v>Yes</x:v>
      </x:c>
      <x:c r="I14" s="12" t="str">
        <x:v>Single reported configuration; device count not stated</x:v>
      </x:c>
      <x:c r="J14" s="12" t="str">
        <x:v>PDF pp. 2-5, Fig. 1-5</x:v>
      </x:c>
      <x:c r="K14" s="12" t="str">
        <x:v>Pilot</x:v>
      </x:c>
    </x:row>
    <x:row r="15" ht="36" hidden="0" customHeight="1">
      <x:c r="A15" s="12" t="str">
        <x:v>S018-C01</x:v>
      </x:c>
      <x:c r="B15" s="12" t="str">
        <x:v>S018</x:v>
      </x:c>
      <x:c r="C15" s="12" t="str">
        <x:v>Pneumatic-chamber insole</x:v>
      </x:c>
      <x:c r="D15" s="12" t="str">
        <x:v>Ground reaction force and anterior–posterior centre of pressure</x:v>
      </x:c>
      <x:c r="E15" s="12" t="str">
        <x:v>Pneumatic pressure change measured by external pressure transducers</x:v>
      </x:c>
      <x:c r="F15" s="12" t="str">
        <x:v>Printed sealed TPU chambers, conduits and insole transfer plantar load</x:v>
      </x:c>
      <x:c r="G15" s="12" t="str">
        <x:v>Foot/insole</x:v>
      </x:c>
      <x:c r="H15" s="12" t="str">
        <x:v>Yes</x:v>
      </x:c>
      <x:c r="I15" s="12" t="str">
        <x:v>One left-foot insole; heel and forefoot chambers are channels</x:v>
      </x:c>
      <x:c r="J15" s="12" t="str">
        <x:v>PDF pp. 3–6; Figs. 1–3</x:v>
      </x:c>
      <x:c r="K15" s="12" t="str">
        <x:v>Batch 02</x:v>
      </x:c>
    </x:row>
    <x:row r="16" ht="15" hidden="0" customHeight="1">
      <x:c r="A16" s="12" t="str">
        <x:v>S019-C01</x:v>
      </x:c>
      <x:c r="B16" s="12" t="str">
        <x:v>S019</x:v>
      </x:c>
      <x:c r="C16" s="12" t="str">
        <x:v>CNT/TPU printed strain sensor</x:v>
      </x:c>
      <x:c r="D16" s="12" t="str">
        <x:v>Tensile strain and finger bending</x:v>
      </x:c>
      <x:c r="E16" s="12" t="str">
        <x:v>Piezoresistive ΔR/R0</x:v>
      </x:c>
      <x:c r="F16" s="12" t="str">
        <x:v>Conductive filament is directly printed as the sensing strip</x:v>
      </x:c>
      <x:c r="G16" s="12" t="str">
        <x:v>Finger/glove</x:v>
      </x:c>
      <x:c r="H16" s="12" t="str">
        <x:v>Yes</x:v>
      </x:c>
      <x:c r="I16" s="12" t="str">
        <x:v>Three orientations; five samples per orientation</x:v>
      </x:c>
      <x:c r="J16" s="12" t="str">
        <x:v>PDF pp. 2–7; Figs. 1–7</x:v>
      </x:c>
      <x:c r="K16" s="12" t="str">
        <x:v>Batch 02</x:v>
      </x:c>
    </x:row>
    <x:row r="17" ht="24" hidden="0" customHeight="1">
      <x:c r="A17" s="12" t="str">
        <x:v>S020-C01</x:v>
      </x:c>
      <x:c r="B17" s="12" t="str">
        <x:v>S020</x:v>
      </x:c>
      <x:c r="C17" s="12" t="str">
        <x:v>Flexible parallel-plate pressure sensor</x:v>
      </x:c>
      <x:c r="D17" s="12" t="str">
        <x:v>Human–robot interface pressure</x:v>
      </x:c>
      <x:c r="E17" s="12" t="str">
        <x:v>Capacitance change</x:v>
      </x:c>
      <x:c r="F17" s="12" t="str">
        <x:v>Conductive TPU plates and nonconductive TPU substrate/encapsulation are FFF printed</x:v>
      </x:c>
      <x:c r="G17" s="12" t="str">
        <x:v>Upper arm cuff</x:v>
      </x:c>
      <x:c r="H17" s="12" t="str">
        <x:v>Yes</x:v>
      </x:c>
      <x:c r="I17" s="12" t="str">
        <x:v>Four separately printed sensors integrated into one cuff</x:v>
      </x:c>
      <x:c r="J17" s="12" t="str">
        <x:v>PDF pp. 5–9; Figs. 5–6</x:v>
      </x:c>
      <x:c r="K17" s="12" t="str">
        <x:v>Batch 02</x:v>
      </x:c>
    </x:row>
    <x:row r="18" ht="24" hidden="0" customHeight="1">
      <x:c r="A18" s="12" t="str">
        <x:v>S021-C01</x:v>
      </x:c>
      <x:c r="B18" s="12" t="str">
        <x:v>S021</x:v>
      </x:c>
      <x:c r="C18" s="12" t="str">
        <x:v>Hybrid POF/FBG data glove</x:v>
      </x:c>
      <x:c r="D18" s="12" t="str">
        <x:v>Wrist and finger-joint angles; gesture class</x:v>
      </x:c>
      <x:c r="E18" s="12" t="str">
        <x:v>Optical intensity and Bragg wavelength shifts</x:v>
      </x:c>
      <x:c r="F18" s="12" t="str">
        <x:v>FDM TPU skeleton fixes, protects and mechanically decouples optical sensing units</x:v>
      </x:c>
      <x:c r="G18" s="12" t="str">
        <x:v>Hand/glove</x:v>
      </x:c>
      <x:c r="H18" s="12" t="str">
        <x:v>Yes</x:v>
      </x:c>
      <x:c r="I18" s="12" t="str">
        <x:v>Fourteen sensing nodes on one glove; one volunteer</x:v>
      </x:c>
      <x:c r="J18" s="12" t="str">
        <x:v>PDF pp. 3–10; Figs. 1–8</x:v>
      </x:c>
      <x:c r="K18" s="12" t="str">
        <x:v>Batch 02</x:v>
      </x:c>
    </x:row>
    <x:row r="19" ht="24" hidden="0" customHeight="1">
      <x:c r="A19" s="12" t="str">
        <x:v>S022-C01</x:v>
      </x:c>
      <x:c r="B19" s="12" t="str">
        <x:v>S022</x:v>
      </x:c>
      <x:c r="C19" s="12" t="str">
        <x:v>CB-impregnated TPU TPMS scaffold</x:v>
      </x:c>
      <x:c r="D19" s="12" t="str">
        <x:v>Compression/pressure and body motion</x:v>
      </x:c>
      <x:c r="E19" s="12" t="str">
        <x:v>Piezoresistive ΔR/R0</x:v>
      </x:c>
      <x:c r="F19" s="12" t="str">
        <x:v>Printed porous TPU scaffold is the deformable sensing architecture</x:v>
      </x:c>
      <x:c r="G19" s="12" t="str">
        <x:v>Joints, throat and foot/sole</x:v>
      </x:c>
      <x:c r="H19" s="12" t="str">
        <x:v>Yes</x:v>
      </x:c>
      <x:c r="I19" s="12" t="str">
        <x:v>TPMS, honeycomb and lattice variants; functional-device replicate basis unclear</x:v>
      </x:c>
      <x:c r="J19" s="12" t="str">
        <x:v>PDF pp. 1–7; Figs. 1–6</x:v>
      </x:c>
      <x:c r="K19" s="12" t="str">
        <x:v>Batch 02</x:v>
      </x:c>
    </x:row>
    <x:row r="20" ht="24" hidden="0" customHeight="1">
      <x:c r="A20" s="12" t="str">
        <x:v>S023-C01</x:v>
      </x:c>
      <x:c r="B20" s="12" t="str">
        <x:v>S023</x:v>
      </x:c>
      <x:c r="C20" s="12" t="str">
        <x:v>TPU matrix with embedded carbon-fibre cloth</x:v>
      </x:c>
      <x:c r="D20" s="12" t="str">
        <x:v>Tensile strain</x:v>
      </x:c>
      <x:c r="E20" s="12" t="str">
        <x:v>Resistance change</x:v>
      </x:c>
      <x:c r="F20" s="12" t="str">
        <x:v>FFF TPU matrix embeds and load-couples the carbon-fibre conductive layer</x:v>
      </x:c>
      <x:c r="G20" s="12" t="str">
        <x:v>Clothing-integrated wearable component</x:v>
      </x:c>
      <x:c r="H20" s="12" t="str">
        <x:v>Component-level</x:v>
      </x:c>
      <x:c r="I20" s="12" t="str">
        <x:v>Four CFC constructions; three parallel samples per cyclic condition</x:v>
      </x:c>
      <x:c r="J20" s="12" t="str">
        <x:v>PDF pp. 3–11; Figs. 2–9</x:v>
      </x:c>
      <x:c r="K20" s="12" t="str">
        <x:v>Batch 02</x:v>
      </x:c>
    </x:row>
    <x:row r="21" ht="15" hidden="0" customHeight="1">
      <x:c r="A21" s="12" t="str">
        <x:v>S024-C01</x:v>
      </x:c>
      <x:c r="B21" s="12" t="str">
        <x:v>S024</x:v>
      </x:c>
      <x:c r="C21" s="12" t="str">
        <x:v>Hourglass-crack conductive TPU strain sensor</x:v>
      </x:c>
      <x:c r="D21" s="12" t="str">
        <x:v>Tensile strain and body motion</x:v>
      </x:c>
      <x:c r="E21" s="12" t="str">
        <x:v>Piezoresistive resistance change</x:v>
      </x:c>
      <x:c r="F21" s="12" t="str">
        <x:v>FDM conductive TPU film becomes the active cracked sensing layer</x:v>
      </x:c>
      <x:c r="G21" s="12" t="str">
        <x:v>Face, throat, joints and limbs</x:v>
      </x:c>
      <x:c r="H21" s="12" t="str">
        <x:v>Yes</x:v>
      </x:c>
      <x:c r="I21" s="12" t="str">
        <x:v>Geometry groups reported; independent-device count not reported</x:v>
      </x:c>
      <x:c r="J21" s="12" t="str">
        <x:v>PDF pp. 2–10; Figs. 1–6</x:v>
      </x:c>
      <x:c r="K21" s="12" t="str">
        <x:v>Batch 02</x:v>
      </x:c>
    </x:row>
    <x:row r="22" ht="24" hidden="0" customHeight="1">
      <x:c r="A22" s="12" t="str">
        <x:v>S025-C01</x:v>
      </x:c>
      <x:c r="B22" s="12" t="str">
        <x:v>S025</x:v>
      </x:c>
      <x:c r="C22" s="12" t="str">
        <x:v>FFF pillar pH HMN patch</x:v>
      </x:c>
      <x:c r="D22" s="12" t="str">
        <x:v>pH in solution and conditioned rat skin</x:v>
      </x:c>
      <x:c r="E22" s="12" t="str">
        <x:v>Potentiometric voltage</x:v>
      </x:c>
      <x:c r="F22" s="12" t="str">
        <x:v>FFF CB-PLA pillars are the conductive working/reference electrode cores</x:v>
      </x:c>
      <x:c r="G22" s="12" t="str">
        <x:v>Skin microneedle patch</x:v>
      </x:c>
      <x:c r="H22" s="12" t="str">
        <x:v>Yes; ex vivo</x:v>
      </x:c>
      <x:c r="I22" s="12" t="str">
        <x:v>Six HMNs and four independently fabricated complete patches compared</x:v>
      </x:c>
      <x:c r="J22" s="12" t="str">
        <x:v>PDF pp. 2–10; Figs. 1–6; Table 1</x:v>
      </x:c>
      <x:c r="K22" s="12" t="str">
        <x:v>Batch 02</x:v>
      </x:c>
    </x:row>
    <x:row r="23" ht="24" hidden="0" customHeight="1">
      <x:c r="A23" s="12" t="str">
        <x:v>S028-C01</x:v>
      </x:c>
      <x:c r="B23" s="12" t="str">
        <x:v>S028</x:v>
      </x:c>
      <x:c r="C23" s="12" t="str">
        <x:v>Continuously printed capacitive pressure sensor</x:v>
      </x:c>
      <x:c r="D23" s="12" t="str">
        <x:v>Dynamic compressive pressure</x:v>
      </x:c>
      <x:c r="E23" s="12" t="str">
        <x:v>Capacitance converted to voltage</x:v>
      </x:c>
      <x:c r="F23" s="12" t="str">
        <x:v>FDM prints both conductive plates and TPU dielectric</x:v>
      </x:c>
      <x:c r="G23" s="12" t="str">
        <x:v>Plantar-pressure insole component</x:v>
      </x:c>
      <x:c r="H23" s="12" t="str">
        <x:v>Application-specific component</x:v>
      </x:c>
      <x:c r="I23" s="12" t="str">
        <x:v>Three material/infill designs; five units per design</x:v>
      </x:c>
      <x:c r="J23" s="12" t="str">
        <x:v>PDF pp. 4–7; Figs. 1–3</x:v>
      </x:c>
      <x:c r="K23" s="12" t="str">
        <x:v>Batch 03</x:v>
      </x:c>
    </x:row>
    <x:row r="24" ht="24" hidden="0" customHeight="1">
      <x:c r="A24" s="12" t="str">
        <x:v>S029-C01</x:v>
      </x:c>
      <x:c r="B24" s="12" t="str">
        <x:v>S029</x:v>
      </x:c>
      <x:c r="C24" s="12" t="str">
        <x:v>U-shaped conductive-TPU bend sensor</x:v>
      </x:c>
      <x:c r="D24" s="12" t="str">
        <x:v>Finger-joint bend angle/strain</x:v>
      </x:c>
      <x:c r="E24" s="12" t="str">
        <x:v>Piezoresistive resistance change</x:v>
      </x:c>
      <x:c r="F24" s="12" t="str">
        <x:v>Conductive TPU is the directly printed sensing trace</x:v>
      </x:c>
      <x:c r="G24" s="12" t="str">
        <x:v>Hand rehabilitation glove</x:v>
      </x:c>
      <x:c r="H24" s="12" t="str">
        <x:v>Prototype glove demonstrated</x:v>
      </x:c>
      <x:c r="I24" s="12" t="str">
        <x:v>Five thickness variants; two manufacturing sets of 15 sensors</x:v>
      </x:c>
      <x:c r="J24" s="12" t="str">
        <x:v>PDF pp. 8–14, 22–23; Figs. 3–9, 15</x:v>
      </x:c>
      <x:c r="K24" s="12" t="str">
        <x:v>Batch 03</x:v>
      </x:c>
    </x:row>
    <x:row r="25" ht="24" hidden="0" customHeight="1">
      <x:c r="A25" s="12" t="str">
        <x:v>S031-C01</x:v>
      </x:c>
      <x:c r="B25" s="12" t="str">
        <x:v>S031</x:v>
      </x:c>
      <x:c r="C25" s="12" t="str">
        <x:v>Knee-worn goniometer</x:v>
      </x:c>
      <x:c r="D25" s="12" t="str">
        <x:v>Knee flexion angle and activity</x:v>
      </x:c>
      <x:c r="E25" s="12" t="str">
        <x:v>Commercial magnetic rotary encoder in printed frame</x:v>
      </x:c>
      <x:c r="F25" s="12" t="str">
        <x:v>Printed ABS arms maintain encoder/magnet alignment and transfer joint rotation</x:v>
      </x:c>
      <x:c r="G25" s="12" t="str">
        <x:v>Thigh and shank</x:v>
      </x:c>
      <x:c r="H25" s="12" t="str">
        <x:v>Yes; complete strapped wearable</x:v>
      </x:c>
      <x:c r="I25" s="12" t="str">
        <x:v>One wearable used across nine participants</x:v>
      </x:c>
      <x:c r="J25" s="12" t="str">
        <x:v>PDF pp. 3–8; Figs. 1–7</x:v>
      </x:c>
      <x:c r="K25" s="12" t="str">
        <x:v>Batch 03</x:v>
      </x:c>
    </x:row>
    <x:row r="26" ht="24" hidden="0" customHeight="1">
      <x:c r="A26" s="12" t="str">
        <x:v>S032-C01</x:v>
      </x:c>
      <x:c r="B26" s="12" t="str">
        <x:v>S032</x:v>
      </x:c>
      <x:c r="C26" s="12" t="str">
        <x:v>Fiber-free DSCFO probe</x:v>
      </x:c>
      <x:c r="D26" s="12" t="str">
        <x:v>Relative blood flow and oxygenation</x:v>
      </x:c>
      <x:c r="E26" s="12" t="str">
        <x:v>Dual-wavelength speckle contrast and intensity</x:v>
      </x:c>
      <x:c r="F26" s="12" t="str">
        <x:v>Printed opaque probe fixes sources, detector and 15 mm spacing</x:v>
      </x:c>
      <x:c r="G26" s="12" t="str">
        <x:v>Forearm</x:v>
      </x:c>
      <x:c r="H26" s="12" t="str">
        <x:v>Yes; taped on skin</x:v>
      </x:c>
      <x:c r="I26" s="12" t="str">
        <x:v>One described probe; five participants</x:v>
      </x:c>
      <x:c r="J26" s="12" t="str">
        <x:v>PDF pp. 3–9; Figs. 1, 4, 7–8</x:v>
      </x:c>
      <x:c r="K26" s="12" t="str">
        <x:v>Batch 03</x:v>
      </x:c>
    </x:row>
    <x:row r="27" ht="24" hidden="0" customHeight="1">
      <x:c r="A27" s="12" t="str">
        <x:v>S033-C01</x:v>
      </x:c>
      <x:c r="B27" s="12" t="str">
        <x:v>S033</x:v>
      </x:c>
      <x:c r="C27" s="12" t="str">
        <x:v>CNT-embedded 3D TPE network</x:v>
      </x:c>
      <x:c r="D27" s="12" t="str">
        <x:v>Pressure, tensile strain and body motion</x:v>
      </x:c>
      <x:c r="E27" s="12" t="str">
        <x:v>Piezoresistive resistance change</x:v>
      </x:c>
      <x:c r="F27" s="12" t="str">
        <x:v>FDM network becomes the active CNT/TPE sensing architecture</x:v>
      </x:c>
      <x:c r="G27" s="12" t="str">
        <x:v>Elbow, throat and face</x:v>
      </x:c>
      <x:c r="H27" s="12" t="str">
        <x:v>Yes; attached to body sites</x:v>
      </x:c>
      <x:c r="I27" s="12" t="str">
        <x:v>Thickness/concentration/architecture variants; replicate basis NR</x:v>
      </x:c>
      <x:c r="J27" s="12" t="str">
        <x:v>PDF pp. 2–7; Figs. 1–5</x:v>
      </x:c>
      <x:c r="K27" s="12" t="str">
        <x:v>Batch 03</x:v>
      </x:c>
    </x:row>
    <x:row r="28" ht="24" hidden="0" customHeight="1">
      <x:c r="A28" s="12" t="str">
        <x:v>S034-C01</x:v>
      </x:c>
      <x:c r="B28" s="12" t="str">
        <x:v>S034</x:v>
      </x:c>
      <x:c r="C28" s="12" t="str">
        <x:v>ABS microfluidic-on-fabric ion sensor</x:v>
      </x:c>
      <x:c r="D28" s="12" t="str">
        <x:v>Na+ and K+ concentration</x:v>
      </x:c>
      <x:c r="E28" s="12" t="str">
        <x:v>Potentiometric ion-selective electrodes</x:v>
      </x:c>
      <x:c r="F28" s="12" t="str">
        <x:v>FDM microfluidic structure collects/routes sample and provides modular electrode port</x:v>
      </x:c>
      <x:c r="G28" s="12" t="str">
        <x:v>Fabric touching sweating skin</x:v>
      </x:c>
      <x:c r="H28" s="12" t="str">
        <x:v>Yes; sweat collection demonstration</x:v>
      </x:c>
      <x:c r="I28" s="12" t="str">
        <x:v>Three complete sensor devices used for accuracy tests</x:v>
      </x:c>
      <x:c r="J28" s="12" t="str">
        <x:v>PDF pp. 2–8; Figs. 1–5</x:v>
      </x:c>
      <x:c r="K28" s="12" t="str">
        <x:v>Batch 03</x:v>
      </x:c>
    </x:row>
    <x:row r="29" ht="24" hidden="0" customHeight="1">
      <x:c r="A29" s="12" t="str">
        <x:v>S035-C01</x:v>
      </x:c>
      <x:c r="B29" s="12" t="str">
        <x:v>S035</x:v>
      </x:c>
      <x:c r="C29" s="12" t="str">
        <x:v>Electrochemical e-ring</x:v>
      </x:c>
      <x:c r="D29" s="12" t="str">
        <x:v>Sweat glucose</x:v>
      </x:c>
      <x:c r="E29" s="12" t="str">
        <x:v>Nonenzymatic amperometry on gold-coated printed electrode</x:v>
      </x:c>
      <x:c r="F29" s="12" t="str">
        <x:v>FDM prints conductive electrodes and flexible ring holder together</x:v>
      </x:c>
      <x:c r="G29" s="12" t="str">
        <x:v>Finger ring</x:v>
      </x:c>
      <x:c r="H29" s="12" t="str">
        <x:v>Yes; on-body proof of concept</x:v>
      </x:c>
      <x:c r="I29" s="12" t="str">
        <x:v>Six rings for reference potential; four rings for glucose response</x:v>
      </x:c>
      <x:c r="J29" s="12" t="str">
        <x:v>PDF pp. 1–5; Figs. 1–4</x:v>
      </x:c>
      <x:c r="K29" s="12" t="str">
        <x:v>Batch 03</x:v>
      </x:c>
    </x:row>
    <x:row r="30" ht="24" hidden="0" customHeight="1">
      <x:c r="A30" s="12" t="str">
        <x:v>S036-C01</x:v>
      </x:c>
      <x:c r="B30" s="12" t="str">
        <x:v>S036</x:v>
      </x:c>
      <x:c r="C30" s="12" t="str">
        <x:v>Monolithic floating-electrode sweat-rate sensor</x:v>
      </x:c>
      <x:c r="D30" s="12" t="str">
        <x:v>Local sweat rate</x:v>
      </x:c>
      <x:c r="E30" s="12" t="str">
        <x:v>Stepwise impedance as sweat crosses active/floating electrodes</x:v>
      </x:c>
      <x:c r="F30" s="12" t="str">
        <x:v>FFF prints electrodes, insulators, channel and seal in one process</x:v>
      </x:c>
      <x:c r="G30" s="12" t="str">
        <x:v>Arm</x:v>
      </x:c>
      <x:c r="H30" s="12" t="str">
        <x:v>Yes; iontophoresis and cycling</x:v>
      </x:c>
      <x:c r="I30" s="12" t="str">
        <x:v>Two participants; independent device count NR</x:v>
      </x:c>
      <x:c r="J30" s="12" t="str">
        <x:v>PDF pp. 2–10; Figs. 1–6</x:v>
      </x:c>
      <x:c r="K30" s="12" t="str">
        <x:v>Batch 03</x:v>
      </x:c>
    </x:row>
    <x:row r="31" ht="24" hidden="0" customHeight="1">
      <x:c r="A31" s="12" t="str">
        <x:v>S037-C01</x:v>
      </x:c>
      <x:c r="B31" s="12" t="str">
        <x:v>S037</x:v>
      </x:c>
      <x:c r="C31" s="12" t="str">
        <x:v>Soft two-axis fingertip sensor</x:v>
      </x:c>
      <x:c r="D31" s="12" t="str">
        <x:v>Normal and shear interaction force</x:v>
      </x:c>
      <x:c r="E31" s="12" t="str">
        <x:v>Two printed TPU piezoresistive strain gauges</x:v>
      </x:c>
      <x:c r="F31" s="12" t="str">
        <x:v>Multimaterial FDM forms the sensing gauges and compliant strap</x:v>
      </x:c>
      <x:c r="G31" s="12" t="str">
        <x:v>Fingertip</x:v>
      </x:c>
      <x:c r="H31" s="12" t="str">
        <x:v>Application-specific phantom test</x:v>
      </x:c>
      <x:c r="I31" s="12" t="str">
        <x:v>Inside and outside configurations; two prototypes</x:v>
      </x:c>
      <x:c r="J31" s="12" t="str">
        <x:v>PDF pp. 1–10; Figs. 1–16</x:v>
      </x:c>
      <x:c r="K31" s="12" t="str">
        <x:v>Batch 03</x:v>
      </x:c>
    </x:row>
    <x:row r="32" ht="24" hidden="0" customHeight="1">
      <x:c r="A32" s="12" t="str">
        <x:v>S038-C01</x:v>
      </x:c>
      <x:c r="B32" s="12" t="str">
        <x:v>S038</x:v>
      </x:c>
      <x:c r="C32" s="12" t="str">
        <x:v>Multimaterial uniaxial/biaxial strain sensors and glove</x:v>
      </x:c>
      <x:c r="D32" s="12" t="str">
        <x:v>Tensile strain and finger flexion</x:v>
      </x:c>
      <x:c r="E32" s="12" t="str">
        <x:v>Piezoresistive relative resistance</x:v>
      </x:c>
      <x:c r="F32" s="12" t="str">
        <x:v>Conductive TPU/MWCNT traces are embedded in a printed TPU platform</x:v>
      </x:c>
      <x:c r="G32" s="12" t="str">
        <x:v>Hand/fingers</x:v>
      </x:c>
      <x:c r="H32" s="12" t="str">
        <x:v>Yes; printed glove prototype</x:v>
      </x:c>
      <x:c r="I32" s="12" t="str">
        <x:v>Five architectures; number of independently fabricated units per architecture NR</x:v>
      </x:c>
      <x:c r="J32" s="12" t="str">
        <x:v>PDF pp. 3–12; Figs. 1–11</x:v>
      </x:c>
      <x:c r="K32" s="12" t="str">
        <x:v>Batch 04</x:v>
      </x:c>
    </x:row>
    <x:row r="33" ht="24" hidden="0" customHeight="1">
      <x:c r="A33" s="12" t="str">
        <x:v>S039-C01</x:v>
      </x:c>
      <x:c r="B33" s="12" t="str">
        <x:v>S039</x:v>
      </x:c>
      <x:c r="C33" s="12" t="str">
        <x:v>Microcrack-based FDM strain gauge</x:v>
      </x:c>
      <x:c r="D33" s="12" t="str">
        <x:v>Small tensile strain, pulse, phonation and motion</x:v>
      </x:c>
      <x:c r="E33" s="12" t="str">
        <x:v>Pt microcrack resistance change</x:v>
      </x:c>
      <x:c r="F33" s="12" t="str">
        <x:v>Printed TPU grooves concentrate strain and define the crack array</x:v>
      </x:c>
      <x:c r="G33" s="12" t="str">
        <x:v>Neck, hand and finger</x:v>
      </x:c>
      <x:c r="H33" s="12" t="str">
        <x:v>Yes; attached gauges and printed finger glove</x:v>
      </x:c>
      <x:c r="I33" s="12" t="str">
        <x:v>Four separate samples per FSG type</x:v>
      </x:c>
      <x:c r="J33" s="12" t="str">
        <x:v>PDF pp. 3–9; Figs. 2–10</x:v>
      </x:c>
      <x:c r="K33" s="12" t="str">
        <x:v>Batch 04</x:v>
      </x:c>
    </x:row>
    <x:row r="34" ht="36" hidden="0" customHeight="1">
      <x:c r="A34" s="12" t="str">
        <x:v>S043-C01</x:v>
      </x:c>
      <x:c r="B34" s="12" t="str">
        <x:v>S043</x:v>
      </x:c>
      <x:c r="C34" s="12" t="str">
        <x:v>Fully printed three-electrode wristband</x:v>
      </x:c>
      <x:c r="D34" s="12" t="str">
        <x:v>Uric acid in artificial sweat</x:v>
      </x:c>
      <x:c r="E34" s="12" t="str">
        <x:v>Differential-pulse voltammetry</x:v>
      </x:c>
      <x:c r="F34" s="12" t="str">
        <x:v>FFF produces conductive working/counter/reference electrodes and flexible wristband</x:v>
      </x:c>
      <x:c r="G34" s="12" t="str">
        <x:v>Forearm</x:v>
      </x:c>
      <x:c r="H34" s="12" t="str">
        <x:v>Prototype worn; measurements performed with artificial sweat</x:v>
      </x:c>
      <x:c r="I34" s="12" t="str">
        <x:v>Device count for analytical tests NR</x:v>
      </x:c>
      <x:c r="J34" s="12" t="str">
        <x:v>PDF pp. 3, 10–12; Figs. 6–8</x:v>
      </x:c>
      <x:c r="K34" s="12" t="str">
        <x:v>Batch 04</x:v>
      </x:c>
    </x:row>
    <x:row r="35" ht="24" hidden="0" customHeight="1">
      <x:c r="A35" s="12" t="str">
        <x:v>S044-C01</x:v>
      </x:c>
      <x:c r="B35" s="12" t="str">
        <x:v>S044</x:v>
      </x:c>
      <x:c r="C35" s="12" t="str">
        <x:v>GNP/TPU honeycomb pressure sensor</x:v>
      </x:c>
      <x:c r="D35" s="12" t="str">
        <x:v>Compression, pulse, swallowing and walking</x:v>
      </x:c>
      <x:c r="E35" s="12" t="str">
        <x:v>Piezoresistive resistance change</x:v>
      </x:c>
      <x:c r="F35" s="12" t="str">
        <x:v>FDM prints the active GNP/TPU honeycomb sensing structure</x:v>
      </x:c>
      <x:c r="G35" s="12" t="str">
        <x:v>Neck and foot</x:v>
      </x:c>
      <x:c r="H35" s="12" t="str">
        <x:v>Yes; directly attached for demonstrations</x:v>
      </x:c>
      <x:c r="I35" s="12" t="str">
        <x:v>Three architectures; independent device count NR</x:v>
      </x:c>
      <x:c r="J35" s="12" t="str">
        <x:v>PDF pp. 4, 8–11; Figs. 1, 5–6</x:v>
      </x:c>
      <x:c r="K35" s="12" t="str">
        <x:v>Batch 04</x:v>
      </x:c>
    </x:row>
    <x:row r="36" ht="24" hidden="0" customHeight="1">
      <x:c r="A36" s="12" t="str">
        <x:v>S046-C01</x:v>
      </x:c>
      <x:c r="B36" s="12" t="str">
        <x:v>S046</x:v>
      </x:c>
      <x:c r="C36" s="12" t="str">
        <x:v>PVDF/CFO magnetoelectric finger sleeve</x:v>
      </x:c>
      <x:c r="D36" s="12" t="str">
        <x:v>Alternating magnetic field</x:v>
      </x:c>
      <x:c r="E36" s="12" t="str">
        <x:v>Magnetoelectric voltage</x:v>
      </x:c>
      <x:c r="F36" s="12" t="str">
        <x:v>Composite sleeve is directly FDM printed to the author’s finger size</x:v>
      </x:c>
      <x:c r="G36" s="12" t="str">
        <x:v>Finger</x:v>
      </x:c>
      <x:c r="H36" s="12" t="str">
        <x:v>Yes</x:v>
      </x:c>
      <x:c r="I36" s="12" t="str">
        <x:v>One demonstrated sleeve</x:v>
      </x:c>
      <x:c r="J36" s="12" t="str">
        <x:v>PDF pp. 2, 5–6; Fig. 4; Supplementary Fig. S5 cited</x:v>
      </x:c>
      <x:c r="K36" s="12" t="str">
        <x:v>Batch 04</x:v>
      </x:c>
    </x:row>
    <x:row r="37" ht="15" hidden="0" customHeight="1">
      <x:c r="A37" s="12" t="str">
        <x:v>S046-C02</x:v>
      </x:c>
      <x:c r="B37" s="12" t="str">
        <x:v>S046</x:v>
      </x:c>
      <x:c r="C37" s="12" t="str">
        <x:v>PVDF/CFO Z-spring insole sensor</x:v>
      </x:c>
      <x:c r="D37" s="12" t="str">
        <x:v>Walking pressure/gait</x:v>
      </x:c>
      <x:c r="E37" s="12" t="str">
        <x:v>Piezoelectric voltage</x:v>
      </x:c>
      <x:c r="F37" s="12" t="str">
        <x:v>Composite spring is FDM printed and embedded in an insole</x:v>
      </x:c>
      <x:c r="G37" s="12" t="str">
        <x:v>Foot/insole</x:v>
      </x:c>
      <x:c r="H37" s="12" t="str">
        <x:v>Yes</x:v>
      </x:c>
      <x:c r="I37" s="12" t="str">
        <x:v>One demonstrated spring</x:v>
      </x:c>
      <x:c r="J37" s="12" t="str">
        <x:v>PDF pp. 6–7; Fig. 5</x:v>
      </x:c>
      <x:c r="K37" s="12" t="str">
        <x:v>Batch 04</x:v>
      </x:c>
    </x:row>
    <x:row r="38" ht="24" hidden="0" customHeight="1">
      <x:c r="A38" s="12" t="str">
        <x:v>S047-C01</x:v>
      </x:c>
      <x:c r="B38" s="12" t="str">
        <x:v>S047</x:v>
      </x:c>
      <x:c r="C38" s="12" t="str">
        <x:v>Patient-specific pressure-monitoring burn mask</x:v>
      </x:c>
      <x:c r="D38" s="12" t="str">
        <x:v>Skin-interface pressure</x:v>
      </x:c>
      <x:c r="E38" s="12" t="str">
        <x:v>Commercial FSR modules in an FDM load-transfer mask</x:v>
      </x:c>
      <x:c r="F38" s="12" t="str">
        <x:v>Printed mask positions sensors, concentrates/transfers pressure and provides attachment</x:v>
      </x:c>
      <x:c r="G38" s="12" t="str">
        <x:v>Face</x:v>
      </x:c>
      <x:c r="H38" s="12" t="str">
        <x:v>Yes; two patients for four weeks</x:v>
      </x:c>
      <x:c r="I38" s="12" t="str">
        <x:v>Two patient-specific masks; two sensors per patient</x:v>
      </x:c>
      <x:c r="J38" s="12" t="str">
        <x:v>PDF pp. 3–13; Figs. 2–12; Table 1</x:v>
      </x:c>
      <x:c r="K38" s="12" t="str">
        <x:v>Batch 04</x:v>
      </x:c>
    </x:row>
    <x:row r="39" ht="24" hidden="0" customHeight="1">
      <x:c r="A39" s="12" t="str">
        <x:v>S048-C01</x:v>
      </x:c>
      <x:c r="B39" s="12" t="str">
        <x:v>S048</x:v>
      </x:c>
      <x:c r="C39" s="12" t="str">
        <x:v>Graphene-impregnated TPU strain/pressure sensors</x:v>
      </x:c>
      <x:c r="D39" s="12" t="str">
        <x:v>Compression, tensile strain and body motion</x:v>
      </x:c>
      <x:c r="E39" s="12" t="str">
        <x:v>Piezoresistive current/resistance change</x:v>
      </x:c>
      <x:c r="F39" s="12" t="str">
        <x:v>FDM defines the active TPU architecture; graphene is deposited during printing and embedded by foaming</x:v>
      </x:c>
      <x:c r="G39" s="12" t="str">
        <x:v>Wrist, cheek, knee, hand and heel</x:v>
      </x:c>
      <x:c r="H39" s="12" t="str">
        <x:v>Yes; body-mounted demonstrations</x:v>
      </x:c>
      <x:c r="I39" s="12" t="str">
        <x:v>Multiple material/pattern variants; independent device count NR</x:v>
      </x:c>
      <x:c r="J39" s="12" t="str">
        <x:v>PDF pp. 3–9; Figs. 1, 4–9</x:v>
      </x:c>
      <x:c r="K39" s="12" t="str">
        <x:v>Batch 04</x:v>
      </x:c>
    </x:row>
    <x:row r="40" ht="15" hidden="0" customHeight="1">
      <x:c r="A40" s="12" t="str">
        <x:v>S050-C01</x:v>
      </x:c>
      <x:c r="B40" s="12" t="str">
        <x:v>S050</x:v>
      </x:c>
      <x:c r="C40" s="12" t="str">
        <x:v>Two FBG-instrumented shank supports</x:v>
      </x:c>
      <x:c r="D40" s="12" t="str">
        <x:v>Interaction force and temperature</x:v>
      </x:c>
      <x:c r="E40" s="12" t="str">
        <x:v>FBG wavelength shift</x:v>
      </x:c>
      <x:c r="F40" s="12" t="str">
        <x:v>Printed ABS/TPU support transfers load and embeds the optical sensor</x:v>
      </x:c>
      <x:c r="G40" s="12" t="str">
        <x:v>Lower-leg exoskeleton</x:v>
      </x:c>
      <x:c r="H40" s="12" t="str">
        <x:v>Yes</x:v>
      </x:c>
      <x:c r="I40" s="12" t="str">
        <x:v>Two support structures; one FBG each</x:v>
      </x:c>
      <x:c r="J40" s="12" t="str">
        <x:v>PDF pp. 3–7; Figs. 1–5</x:v>
      </x:c>
      <x:c r="K40" s="12" t="str">
        <x:v>Batch 05</x:v>
      </x:c>
    </x:row>
    <x:row r="41" ht="24" hidden="0" customHeight="1">
      <x:c r="A41" s="12" t="str">
        <x:v>S051-C01</x:v>
      </x:c>
      <x:c r="B41" s="12" t="str">
        <x:v>S051</x:v>
      </x:c>
      <x:c r="C41" s="12" t="str">
        <x:v>Thermopile earable with hearing aid</x:v>
      </x:c>
      <x:c r="D41" s="12" t="str">
        <x:v>Tympanic/core temperature</x:v>
      </x:c>
      <x:c r="E41" s="12" t="str">
        <x:v>Infrared thermopile with thermistor compensation</x:v>
      </x:c>
      <x:c r="F41" s="12" t="str">
        <x:v>Printed TPU layers align components and contain injected Galinstan microchannels</x:v>
      </x:c>
      <x:c r="G41" s="12" t="str">
        <x:v>Ear</x:v>
      </x:c>
      <x:c r="H41" s="12" t="str">
        <x:v>Yes</x:v>
      </x:c>
      <x:c r="I41" s="12" t="str">
        <x:v>One subject; device count NR</x:v>
      </x:c>
      <x:c r="J41" s="12" t="str">
        <x:v>PDF pp. 2–7; Figs. 1–5</x:v>
      </x:c>
      <x:c r="K41" s="12" t="str">
        <x:v>Batch 05</x:v>
      </x:c>
    </x:row>
    <x:row r="42" ht="15" hidden="0" customHeight="1">
      <x:c r="A42" s="12" t="str">
        <x:v>S052-C01</x:v>
      </x:c>
      <x:c r="B42" s="12" t="str">
        <x:v>S052</x:v>
      </x:c>
      <x:c r="C42" s="12" t="str">
        <x:v>PVDF/MMT I-shaped piezoelectric lattice</x:v>
      </x:c>
      <x:c r="D42" s="12" t="str">
        <x:v>Tactile force and object interaction</x:v>
      </x:c>
      <x:c r="E42" s="12" t="str">
        <x:v>Piezoelectric voltage</x:v>
      </x:c>
      <x:c r="F42" s="12" t="str">
        <x:v>FDM prints the active piezoelectric metamaterial</x:v>
      </x:c>
      <x:c r="G42" s="12" t="str">
        <x:v>Hand/finger</x:v>
      </x:c>
      <x:c r="H42" s="12" t="str">
        <x:v>Yes</x:v>
      </x:c>
      <x:c r="I42" s="12" t="str">
        <x:v>Batch variation stated; exact complete-device count not stated</x:v>
      </x:c>
      <x:c r="J42" s="12" t="str">
        <x:v>PDF pp. 2, 8–11; Figs. 1, 4–6</x:v>
      </x:c>
      <x:c r="K42" s="12" t="str">
        <x:v>Batch 05</x:v>
      </x:c>
    </x:row>
    <x:row r="43" ht="15" hidden="0" customHeight="1">
      <x:c r="A43" s="12" t="str">
        <x:v>S053-C01</x:v>
      </x:c>
      <x:c r="B43" s="12" t="str">
        <x:v>S053</x:v>
      </x:c>
      <x:c r="C43" s="12" t="str">
        <x:v>MXene/MWCNT/TPU TPMS pressure sensor</x:v>
      </x:c>
      <x:c r="D43" s="12" t="str">
        <x:v>Compression and body motion</x:v>
      </x:c>
      <x:c r="E43" s="12" t="str">
        <x:v>Piezoresistive resistance change</x:v>
      </x:c>
      <x:c r="F43" s="12" t="str">
        <x:v>FDM prints the active porous conductive structure</x:v>
      </x:c>
      <x:c r="G43" s="12" t="str">
        <x:v>Finger, throat, seat and foot</x:v>
      </x:c>
      <x:c r="H43" s="12" t="str">
        <x:v>Yes</x:v>
      </x:c>
      <x:c r="I43" s="12" t="str">
        <x:v>Porosity variants; replicate device count NR</x:v>
      </x:c>
      <x:c r="J43" s="12" t="str">
        <x:v>PDF pp. 3, 9–13; Figs. 2, 7–9</x:v>
      </x:c>
      <x:c r="K43" s="12" t="str">
        <x:v>Batch 05</x:v>
      </x:c>
    </x:row>
    <x:row r="44" ht="24" hidden="0" customHeight="1">
      <x:c r="A44" s="12" t="str">
        <x:v>S054-C01</x:v>
      </x:c>
      <x:c r="B44" s="12" t="str">
        <x:v>S054</x:v>
      </x:c>
      <x:c r="C44" s="12" t="str">
        <x:v>Filaflex hexagonal overload-history element</x:v>
      </x:c>
      <x:c r="D44" s="12" t="str">
        <x:v>Cumulative plantar overloading</x:v>
      </x:c>
      <x:c r="E44" s="12" t="str">
        <x:v>Persistent mechanical-property change</x:v>
      </x:c>
      <x:c r="F44" s="12" t="str">
        <x:v>FDM prints the complete thin-wall mechanical sensing element</x:v>
      </x:c>
      <x:c r="G44" s="12" t="str">
        <x:v>Footwear/insole</x:v>
      </x:c>
      <x:c r="H44" s="12" t="str">
        <x:v>Application-specific bench validation</x:v>
      </x:c>
      <x:c r="I44" s="12" t="str">
        <x:v>26 independently printed specimens</x:v>
      </x:c>
      <x:c r="J44" s="12" t="str">
        <x:v>PDF pp. 3–8; Figs. 1–7; Appendix 1</x:v>
      </x:c>
      <x:c r="K44" s="12" t="str">
        <x:v>Batch 05</x:v>
      </x:c>
    </x:row>
    <x:row r="45" ht="15" hidden="0" customHeight="1">
      <x:c r="A45" s="12" t="str">
        <x:v>S055-C01</x:v>
      </x:c>
      <x:c r="B45" s="12" t="str">
        <x:v>S055</x:v>
      </x:c>
      <x:c r="C45" s="12" t="str">
        <x:v>PVDF piezoelectric patch</x:v>
      </x:c>
      <x:c r="D45" s="12" t="str">
        <x:v>Dynamic force and human motion</x:v>
      </x:c>
      <x:c r="E45" s="12" t="str">
        <x:v>Piezoelectric voltage</x:v>
      </x:c>
      <x:c r="F45" s="12" t="str">
        <x:v>FDM prints the active PVDF layer</x:v>
      </x:c>
      <x:c r="G45" s="12" t="str">
        <x:v>Foot/body</x:v>
      </x:c>
      <x:c r="H45" s="12" t="str">
        <x:v>Yes</x:v>
      </x:c>
      <x:c r="I45" s="12" t="str">
        <x:v>Layer-count variants; replicate complete-device count NR</x:v>
      </x:c>
      <x:c r="J45" s="12" t="str">
        <x:v>PDF pp. 3–9; Figs. 1–10</x:v>
      </x:c>
      <x:c r="K45" s="12" t="str">
        <x:v>Batch 05</x:v>
      </x:c>
    </x:row>
    <x:row r="46" ht="24" hidden="0" customHeight="1">
      <x:c r="A46" s="12" t="str">
        <x:v>S056-C01</x:v>
      </x:c>
      <x:c r="B46" s="12" t="str">
        <x:v>S056</x:v>
      </x:c>
      <x:c r="C46" s="12" t="str">
        <x:v>Printed capacitive, pressure and strain sensors</x:v>
      </x:c>
      <x:c r="D46" s="12" t="str">
        <x:v>Touch, pressure, strain, humidity and liquid</x:v>
      </x:c>
      <x:c r="E46" s="12" t="str">
        <x:v>Capacitance or resistance change</x:v>
      </x:c>
      <x:c r="F46" s="12" t="str">
        <x:v>FDM prints the functional conductive composite structures</x:v>
      </x:c>
      <x:c r="G46" s="12" t="str">
        <x:v>Insole and joints</x:v>
      </x:c>
      <x:c r="H46" s="12" t="str">
        <x:v>Yes</x:v>
      </x:c>
      <x:c r="I46" s="12" t="str">
        <x:v>Material specimens replicated; final-device count NR</x:v>
      </x:c>
      <x:c r="J46" s="12" t="str">
        <x:v>PDF pp. 3–15; Figs. 1–9</x:v>
      </x:c>
      <x:c r="K46" s="12" t="str">
        <x:v>Batch 05</x:v>
      </x:c>
    </x:row>
    <x:row r="47" ht="15" hidden="0" customHeight="1">
      <x:c r="A47" s="12" t="str">
        <x:v>S057-C01</x:v>
      </x:c>
      <x:c r="B47" s="12" t="str">
        <x:v>S057</x:v>
      </x:c>
      <x:c r="C47" s="12" t="str">
        <x:v>CNT/TPU TPMS strain sensor</x:v>
      </x:c>
      <x:c r="D47" s="12" t="str">
        <x:v>Tensile strain and body motion</x:v>
      </x:c>
      <x:c r="E47" s="12" t="str">
        <x:v>Piezoresistive resistance change</x:v>
      </x:c>
      <x:c r="F47" s="12" t="str">
        <x:v>FDM prints the active conductive TPMS structure</x:v>
      </x:c>
      <x:c r="G47" s="12" t="str">
        <x:v>Insole, finger, wrist and throat</x:v>
      </x:c>
      <x:c r="H47" s="12" t="str">
        <x:v>Yes</x:v>
      </x:c>
      <x:c r="I47" s="12" t="str">
        <x:v>Structural variants; final-device replicate count NR</x:v>
      </x:c>
      <x:c r="J47" s="12" t="str">
        <x:v>PDF pp. 3–15; Figs. 1–10</x:v>
      </x:c>
      <x:c r="K47" s="12" t="str">
        <x:v>Batch 05</x:v>
      </x:c>
    </x:row>
    <x:row r="48" ht="15" hidden="0" customHeight="1">
      <x:c r="A48" s="12" t="str">
        <x:v>S058-C01</x:v>
      </x:c>
      <x:c r="B48" s="12" t="str">
        <x:v>S058</x:v>
      </x:c>
      <x:c r="C48" s="12" t="str">
        <x:v>Encapsulated TPE pressure sensor and insole array</x:v>
      </x:c>
      <x:c r="D48" s="12" t="str">
        <x:v>Plantar force and gait</x:v>
      </x:c>
      <x:c r="E48" s="12" t="str">
        <x:v>Pressure-induced electrical output</x:v>
      </x:c>
      <x:c r="F48" s="12" t="str">
        <x:v>FDM prints the active porous TPE structure</x:v>
      </x:c>
      <x:c r="G48" s="12" t="str">
        <x:v>Insole</x:v>
      </x:c>
      <x:c r="H48" s="12" t="str">
        <x:v>Yes</x:v>
      </x:c>
      <x:c r="I48" s="12" t="str">
        <x:v>25 devices from five batches; six participants</x:v>
      </x:c>
      <x:c r="J48" s="12" t="str">
        <x:v>PDF pp. 3–13; Figs. 1–8</x:v>
      </x:c>
      <x:c r="K48" s="12" t="str">
        <x:v>Batch 05</x:v>
      </x:c>
    </x:row>
    <x:row r="49" ht="24" hidden="0" customHeight="1">
      <x:c r="A49" s="12" t="str">
        <x:v>S059-C01</x:v>
      </x:c>
      <x:c r="B49" s="12" t="str">
        <x:v>S059</x:v>
      </x:c>
      <x:c r="C49" s="12" t="str">
        <x:v>Integrated CB–TPU respiration sensor and dry ECG electrodes</x:v>
      </x:c>
      <x:c r="D49" s="12" t="str">
        <x:v>Respiratory strain and ECG</x:v>
      </x:c>
      <x:c r="E49" s="12" t="str">
        <x:v>Piezoresistive strain plus biopotential electrodes</x:v>
      </x:c>
      <x:c r="F49" s="12" t="str">
        <x:v>IDEX FDM co-prints functional and insulating materials in one wearable system</x:v>
      </x:c>
      <x:c r="G49" s="12" t="str">
        <x:v>Thorax</x:v>
      </x:c>
      <x:c r="H49" s="12" t="str">
        <x:v>Yes</x:v>
      </x:c>
      <x:c r="I49" s="12" t="str">
        <x:v>Six design variants; five volunteers; replicate complete-device count NR</x:v>
      </x:c>
      <x:c r="J49" s="12" t="str">
        <x:v>PDF pp. 3–15; Figs. 1–9</x:v>
      </x:c>
      <x:c r="K49" s="12" t="str">
        <x:v>Batch 05</x:v>
      </x:c>
    </x:row>
    <x:row r="50" ht="24" hidden="0" customHeight="1">
      <x:c r="A50" s="12" t="str">
        <x:v>S060-C01</x:v>
      </x:c>
      <x:c r="B50" s="12" t="str">
        <x:v>S060</x:v>
      </x:c>
      <x:c r="C50" s="12" t="str">
        <x:v>TPU/MWCNT gyroid piezoresistive sensor and four-element smart midsole</x:v>
      </x:c>
      <x:c r="D50" s="12" t="str">
        <x:v>Compression and plantar loading</x:v>
      </x:c>
      <x:c r="E50" s="12" t="str">
        <x:v>Relative resistance</x:v>
      </x:c>
      <x:c r="F50" s="12" t="str">
        <x:v>FFF prints the active conductive gyroid network</x:v>
      </x:c>
      <x:c r="G50" s="12" t="str">
        <x:v>Shoe midsole</x:v>
      </x:c>
      <x:c r="H50" s="12" t="str">
        <x:v>Yes; one instrumented shoe</x:v>
      </x:c>
      <x:c r="I50" s="12" t="str">
        <x:v>Nine composition/cell-size configurations; one sensor per configuration</x:v>
      </x:c>
      <x:c r="J50" s="12" t="str">
        <x:v>PDF pp. 3–13; Figs. 1–9</x:v>
      </x:c>
      <x:c r="K50" s="12" t="str">
        <x:v>Batch 06</x:v>
      </x:c>
    </x:row>
    <x:row r="51" ht="24" hidden="0" customHeight="1">
      <x:c r="A51" s="12" t="str">
        <x:v>S061-C01</x:v>
      </x:c>
      <x:c r="B51" s="12" t="str">
        <x:v>S061</x:v>
      </x:c>
      <x:c r="C51" s="12" t="str">
        <x:v>PLA microstrip patch antenna pressure sensor on airplane splint</x:v>
      </x:c>
      <x:c r="D51" s="12" t="str">
        <x:v>Applied rehabilitation pressure</x:v>
      </x:c>
      <x:c r="E51" s="12" t="str">
        <x:v>Resonant-frequency and S11 shift</x:v>
      </x:c>
      <x:c r="F51" s="12" t="str">
        <x:v>FFF prints the dielectric substrate that governs the antenna response</x:v>
      </x:c>
      <x:c r="G51" s="12" t="str">
        <x:v>Burn-rehabilitation splint</x:v>
      </x:c>
      <x:c r="H51" s="12" t="str">
        <x:v>Yes; assembled splint comparison</x:v>
      </x:c>
      <x:c r="I51" s="12" t="str">
        <x:v>Device replicate count NR</x:v>
      </x:c>
      <x:c r="J51" s="12" t="str">
        <x:v>PDF pp. 3–10; Figs. 1–13; Table 1</x:v>
      </x:c>
      <x:c r="K51" s="12" t="str">
        <x:v>Batch 06</x:v>
      </x:c>
    </x:row>
    <x:row r="52" ht="15" hidden="0" customHeight="1">
      <x:c r="A52" s="12" t="str">
        <x:v>S063-C01</x:v>
      </x:c>
      <x:c r="B52" s="12" t="str">
        <x:v>S063</x:v>
      </x:c>
      <x:c r="C52" s="12" t="str">
        <x:v>CNT-embedded TPU honeycomb pressure sensor</x:v>
      </x:c>
      <x:c r="D52" s="12" t="str">
        <x:v>Compression and plantar motion</x:v>
      </x:c>
      <x:c r="E52" s="12" t="str">
        <x:v>Relative resistance</x:v>
      </x:c>
      <x:c r="F52" s="12" t="str">
        <x:v>FFF prints the active porous TPU structure before CNT embedding</x:v>
      </x:c>
      <x:c r="G52" s="12" t="str">
        <x:v>Foot/insole</x:v>
      </x:c>
      <x:c r="H52" s="12" t="str">
        <x:v>Yes</x:v>
      </x:c>
      <x:c r="I52" s="12" t="str">
        <x:v>Architecture/material variants; complete-device count NR</x:v>
      </x:c>
      <x:c r="J52" s="12" t="str">
        <x:v>PDF pp. 3–11; Figs. 1–8</x:v>
      </x:c>
      <x:c r="K52" s="12" t="str">
        <x:v>Batch 06</x:v>
      </x:c>
    </x:row>
    <x:row r="53" ht="24" hidden="0" customHeight="1">
      <x:c r="A53" s="12" t="str">
        <x:v>S064-C01</x:v>
      </x:c>
      <x:c r="B53" s="12" t="str">
        <x:v>S064</x:v>
      </x:c>
      <x:c r="C53" s="12" t="str">
        <x:v>Embedded conductive path in FFF TPE soft structure</x:v>
      </x:c>
      <x:c r="D53" s="12" t="str">
        <x:v>Impact and flexural strain</x:v>
      </x:c>
      <x:c r="E53" s="12" t="str">
        <x:v>Resistance change</x:v>
      </x:c>
      <x:c r="F53" s="12" t="str">
        <x:v>FFF forms the soft host and grooves; DIW deposits the sensing path before FFF encapsulation</x:v>
      </x:c>
      <x:c r="G53" s="12" t="str">
        <x:v>Helmet/finger/soft structures</x:v>
      </x:c>
      <x:c r="H53" s="12" t="str">
        <x:v>Yes</x:v>
      </x:c>
      <x:c r="I53" s="12" t="str">
        <x:v>Five specimens were used at different impact velocities; no same-condition replicate comparison</x:v>
      </x:c>
      <x:c r="J53" s="12" t="str">
        <x:v>PDF pp. 2–10; Figs. 1–9</x:v>
      </x:c>
      <x:c r="K53" s="12" t="str">
        <x:v>Batch 06</x:v>
      </x:c>
    </x:row>
    <x:row r="54" ht="24" hidden="0" customHeight="1">
      <x:c r="A54" s="12" t="str">
        <x:v>S065-C01</x:v>
      </x:c>
      <x:c r="B54" s="12" t="str">
        <x:v>S065</x:v>
      </x:c>
      <x:c r="C54" s="12" t="str">
        <x:v>Microgrooved PEDOT:PSS-coated TPE pressure sensor</x:v>
      </x:c>
      <x:c r="D54" s="12" t="str">
        <x:v>Pressure and body motion</x:v>
      </x:c>
      <x:c r="E54" s="12" t="str">
        <x:v>Resistance change</x:v>
      </x:c>
      <x:c r="F54" s="12" t="str">
        <x:v>FDM directly forms the microstructured compliant substrate</x:v>
      </x:c>
      <x:c r="G54" s="12" t="str">
        <x:v>Finger/mouse interface</x:v>
      </x:c>
      <x:c r="H54" s="12" t="str">
        <x:v>Yes</x:v>
      </x:c>
      <x:c r="I54" s="12" t="str">
        <x:v>Four separately fabricated devices quantitatively compared</x:v>
      </x:c>
      <x:c r="J54" s="12" t="str">
        <x:v>PDF pp. 2–9; Figs. 1–7</x:v>
      </x:c>
      <x:c r="K54" s="12" t="str">
        <x:v>Batch 06</x:v>
      </x:c>
    </x:row>
    <x:row r="55" ht="24" hidden="0" customHeight="1">
      <x:c r="A55" s="12" t="str">
        <x:v>S066-C01</x:v>
      </x:c>
      <x:c r="B55" s="12" t="str">
        <x:v>S066</x:v>
      </x:c>
      <x:c r="C55" s="12" t="str">
        <x:v>CB-TPU respiratory strain sensor with wearable electronics</x:v>
      </x:c>
      <x:c r="D55" s="12" t="str">
        <x:v>Thoracic expansion and respiratory rate</x:v>
      </x:c>
      <x:c r="E55" s="12" t="str">
        <x:v>Piezoresistive strain</x:v>
      </x:c>
      <x:c r="F55" s="12" t="str">
        <x:v>FDM prints the conductive strain element</x:v>
      </x:c>
      <x:c r="G55" s="12" t="str">
        <x:v>Thorax</x:v>
      </x:c>
      <x:c r="H55" s="12" t="str">
        <x:v>Yes</x:v>
      </x:c>
      <x:c r="I55" s="12" t="str">
        <x:v>13 participants; number of separately fabricated sensor systems NR</x:v>
      </x:c>
      <x:c r="J55" s="12" t="str">
        <x:v>PDF pp. 2–8; Figs. 1–8; Table I</x:v>
      </x:c>
      <x:c r="K55" s="12" t="str">
        <x:v>Batch 06</x:v>
      </x:c>
    </x:row>
    <x:row r="56" ht="15" hidden="0" customHeight="1">
      <x:c r="A56" s="12" t="str">
        <x:v>S067-C01</x:v>
      </x:c>
      <x:c r="B56" s="12" t="str">
        <x:v>S067</x:v>
      </x:c>
      <x:c r="C56" s="12" t="str">
        <x:v>Two-unit triboelectric insole</x:v>
      </x:c>
      <x:c r="D56" s="12" t="str">
        <x:v>Plantar force, gait and activity</x:v>
      </x:c>
      <x:c r="E56" s="12" t="str">
        <x:v>Triboelectric voltage/current</x:v>
      </x:c>
      <x:c r="F56" s="12" t="str">
        <x:v>FDM prints the TPE insole and triboelectric structures</x:v>
      </x:c>
      <x:c r="G56" s="12" t="str">
        <x:v>Foot/insole</x:v>
      </x:c>
      <x:c r="H56" s="12" t="str">
        <x:v>Yes</x:v>
      </x:c>
      <x:c r="I56" s="12" t="str">
        <x:v>Participant and independent-device counts NR</x:v>
      </x:c>
      <x:c r="J56" s="12" t="str">
        <x:v>PDF pp. 2–9; Figs. 1–8</x:v>
      </x:c>
      <x:c r="K56" s="12" t="str">
        <x:v>Batch 06</x:v>
      </x:c>
    </x:row>
    <x:row r="57" ht="15" hidden="0" customHeight="1">
      <x:c r="A57" s="12" t="str">
        <x:v>S068-C01</x:v>
      </x:c>
      <x:c r="B57" s="12" t="str">
        <x:v>S068</x:v>
      </x:c>
      <x:c r="C57" s="12" t="str">
        <x:v>TPU/CB/Ag-IDE strain sensor</x:v>
      </x:c>
      <x:c r="D57" s="12" t="str">
        <x:v>Tensile strain and body/robot motion</x:v>
      </x:c>
      <x:c r="E57" s="12" t="str">
        <x:v>Relative resistance</x:v>
      </x:c>
      <x:c r="F57" s="12" t="str">
        <x:v>FFF prints the active TPU/CB strip; silver IDE is added by DIW</x:v>
      </x:c>
      <x:c r="G57" s="12" t="str">
        <x:v>Multiple body sites</x:v>
      </x:c>
      <x:c r="H57" s="12" t="str">
        <x:v>Yes</x:v>
      </x:c>
      <x:c r="I57" s="12" t="str">
        <x:v>Three repeated tests were on the same sample, not separate devices</x:v>
      </x:c>
      <x:c r="J57" s="12" t="str">
        <x:v>PDF pp. 2–10; Figs. 1–7</x:v>
      </x:c>
      <x:c r="K57" s="12" t="str">
        <x:v>Batch 06</x:v>
      </x:c>
    </x:row>
    <x:row r="58" ht="24" hidden="0" customHeight="1">
      <x:c r="A58" s="12" t="str">
        <x:v>S069-C01</x:v>
      </x:c>
      <x:c r="B58" s="12" t="str">
        <x:v>S069</x:v>
      </x:c>
      <x:c r="C58" s="12" t="str">
        <x:v>PP–EcoFlex textile triboelectric nanogenerator</x:v>
      </x:c>
      <x:c r="D58" s="12" t="str">
        <x:v>Contact force, energy harvesting and touch</x:v>
      </x:c>
      <x:c r="E58" s="12" t="str">
        <x:v>Triboelectric voltage/current</x:v>
      </x:c>
      <x:c r="F58" s="12" t="str">
        <x:v>FFF directly prints the PP triboactive layer on conductive fabric</x:v>
      </x:c>
      <x:c r="G58" s="12" t="str">
        <x:v>Wearable textile platform</x:v>
      </x:c>
      <x:c r="H58" s="12" t="str">
        <x:v>Yes; textile device and human-touch system</x:v>
      </x:c>
      <x:c r="I58" s="12" t="str">
        <x:v>Material/geometry variants; separate-device replicate count NR</x:v>
      </x:c>
      <x:c r="J58" s="12" t="str">
        <x:v>PDF pp. 2–12; Figs. 1–11</x:v>
      </x:c>
      <x:c r="K58" s="12" t="str">
        <x:v>Batch 06</x:v>
      </x:c>
    </x:row>
    <x:row r="59" ht="24" hidden="0" customHeight="1">
      <x:c r="A59" s="12" t="str">
        <x:v>S070-C01</x:v>
      </x:c>
      <x:c r="B59" s="12" t="str">
        <x:v>S070</x:v>
      </x:c>
      <x:c r="C59" s="12" t="str">
        <x:v>Embedded-FBG TPU sensor; 85A/95A at 20/40 mm s⁻¹</x:v>
      </x:c>
      <x:c r="D59" s="12" t="str">
        <x:v>Strain, temperature, humidity and body motion</x:v>
      </x:c>
      <x:c r="E59" s="12" t="str">
        <x:v>FBG wavelength shift</x:v>
      </x:c>
      <x:c r="F59" s="12" t="str">
        <x:v>FDM body transfers deformation/environmental changes to the embedded FBG</x:v>
      </x:c>
      <x:c r="G59" s="12" t="str">
        <x:v>Knee and thorax</x:v>
      </x:c>
      <x:c r="H59" s="12" t="str">
        <x:v>Yes</x:v>
      </x:c>
      <x:c r="I59" s="12" t="str">
        <x:v>Four process/material configurations; one sensor per configuration</x:v>
      </x:c>
      <x:c r="J59" s="12" t="str">
        <x:v>PDF pp. 3–9; Figs. 1–12</x:v>
      </x:c>
      <x:c r="K59" s="12" t="str">
        <x:v>Batch 07</x:v>
      </x:c>
    </x:row>
    <x:row r="60" ht="24" hidden="0" customHeight="1">
      <x:c r="A60" s="12" t="str">
        <x:v>S071-C01</x:v>
      </x:c>
      <x:c r="B60" s="12" t="str">
        <x:v>S071</x:v>
      </x:c>
      <x:c r="C60" s="12" t="str">
        <x:v>Graphene-coated P-type TPMS TPU pressure sensor</x:v>
      </x:c>
      <x:c r="D60" s="12" t="str">
        <x:v>Compression and plantar loading</x:v>
      </x:c>
      <x:c r="E60" s="12" t="str">
        <x:v>Piezoresistive resistance change</x:v>
      </x:c>
      <x:c r="F60" s="12" t="str">
        <x:v>FDM defines the compliant TPMS sensing architecture before conductive coating</x:v>
      </x:c>
      <x:c r="G60" s="12" t="str">
        <x:v>Foot/plantar interface</x:v>
      </x:c>
      <x:c r="H60" s="12" t="str">
        <x:v>Yes</x:v>
      </x:c>
      <x:c r="I60" s="12" t="str">
        <x:v>Six TPMS volume-fraction/gradient configurations; complete-device replicate count not reported</x:v>
      </x:c>
      <x:c r="J60" s="12" t="str">
        <x:v>PDF pp. 2–10; Figs. 1–12</x:v>
      </x:c>
      <x:c r="K60" s="12" t="str">
        <x:v>Batch 07</x:v>
      </x:c>
    </x:row>
    <x:row r="61" ht="24" hidden="0" customHeight="1">
      <x:c r="A61" s="12" t="str">
        <x:v>S073-C01</x:v>
      </x:c>
      <x:c r="B61" s="12" t="str">
        <x:v>S073</x:v>
      </x:c>
      <x:c r="C61" s="12" t="str">
        <x:v>Continuous-carbon-fiber/TPU star metamaterial sensor</x:v>
      </x:c>
      <x:c r="D61" s="12" t="str">
        <x:v>Strain, stress, temperature and motion</x:v>
      </x:c>
      <x:c r="E61" s="12" t="str">
        <x:v>Piezoresistive resistance change</x:v>
      </x:c>
      <x:c r="F61" s="12" t="str">
        <x:v>FDM co-deposits TPU and continuous carbon fiber into the active sensing architecture</x:v>
      </x:c>
      <x:c r="G61" s="12" t="str">
        <x:v>Arm, joints and glove</x:v>
      </x:c>
      <x:c r="H61" s="12" t="str">
        <x:v>Yes</x:v>
      </x:c>
      <x:c r="I61" s="12" t="str">
        <x:v>Cross/no-cross and loading variants; same-condition device replicate count not reported</x:v>
      </x:c>
      <x:c r="J61" s="12" t="str">
        <x:v>PDF pp. 3–13; Figs. 1–10</x:v>
      </x:c>
      <x:c r="K61" s="12" t="str">
        <x:v>Batch 07</x:v>
      </x:c>
    </x:row>
    <x:row r="62" ht="24" hidden="0" customHeight="1">
      <x:c r="A62" s="12" t="str">
        <x:v>S074-C01</x:v>
      </x:c>
      <x:c r="B62" s="12" t="str">
        <x:v>S074</x:v>
      </x:c>
      <x:c r="C62" s="12" t="str">
        <x:v>Dual-material FBG wearable sensor</x:v>
      </x:c>
      <x:c r="D62" s="12" t="str">
        <x:v>Strain, temperature, respiration, heart rate and joint motion</x:v>
      </x:c>
      <x:c r="E62" s="12" t="str">
        <x:v>FBG wavelength shift</x:v>
      </x:c>
      <x:c r="F62" s="12" t="str">
        <x:v>FDM TPU body and PLA flanges position and mechanically couple the embedded FBG</x:v>
      </x:c>
      <x:c r="G62" s="12" t="str">
        <x:v>Thorax and back</x:v>
      </x:c>
      <x:c r="H62" s="12" t="str">
        <x:v>Yes</x:v>
      </x:c>
      <x:c r="I62" s="12" t="str">
        <x:v>Two nominally identical devices fabricated; only one used for metrological characterization</x:v>
      </x:c>
      <x:c r="J62" s="12" t="str">
        <x:v>PDF pp. 3–9; Figs. 1–13</x:v>
      </x:c>
      <x:c r="K62" s="12" t="str">
        <x:v>Batch 07</x:v>
      </x:c>
    </x:row>
    <x:row r="63" ht="15" hidden="0" customHeight="1">
      <x:c r="A63" s="12" t="str">
        <x:v>S075-C01</x:v>
      </x:c>
      <x:c r="B63" s="12" t="str">
        <x:v>S075</x:v>
      </x:c>
      <x:c r="C63" s="12" t="str">
        <x:v>Bare single-layer CB-TPU strain sensor (BS)</x:v>
      </x:c>
      <x:c r="D63" s="12" t="str">
        <x:v>Tensile strain</x:v>
      </x:c>
      <x:c r="E63" s="12" t="str">
        <x:v>Piezoresistive resistance change</x:v>
      </x:c>
      <x:c r="F63" s="12" t="str">
        <x:v>FDM directly prints the active conductive dogbone</x:v>
      </x:c>
      <x:c r="G63" s="12" t="str">
        <x:v>Bench configuration</x:v>
      </x:c>
      <x:c r="H63" s="12" t="str">
        <x:v>No external substrate</x:v>
      </x:c>
      <x:c r="I63" s="12" t="str">
        <x:v>One of three nominally identical printed sensors</x:v>
      </x:c>
      <x:c r="J63" s="12" t="str">
        <x:v>PDF pp. 2–8; Figs. 1–6</x:v>
      </x:c>
      <x:c r="K63" s="12" t="str">
        <x:v>Batch 07</x:v>
      </x:c>
    </x:row>
    <x:row r="64" ht="15" hidden="0" customHeight="1">
      <x:c r="A64" s="12" t="str">
        <x:v>S075-C02</x:v>
      </x:c>
      <x:c r="B64" s="12" t="str">
        <x:v>S075</x:v>
      </x:c>
      <x:c r="C64" s="12" t="str">
        <x:v>Kinesiology-tape-integrated sensor (TS)</x:v>
      </x:c>
      <x:c r="D64" s="12" t="str">
        <x:v>Strain, respiration and joint motion</x:v>
      </x:c>
      <x:c r="E64" s="12" t="str">
        <x:v>Piezoresistive resistance change</x:v>
      </x:c>
      <x:c r="F64" s="12" t="str">
        <x:v>Printed CB-TPU element is embedded between tape liners</x:v>
      </x:c>
      <x:c r="G64" s="12" t="str">
        <x:v>Thorax, knee and elbow</x:v>
      </x:c>
      <x:c r="H64" s="12" t="str">
        <x:v>Yes</x:v>
      </x:c>
      <x:c r="I64" s="12" t="str">
        <x:v>One printed sensor assigned to this integration condition</x:v>
      </x:c>
      <x:c r="J64" s="12" t="str">
        <x:v>PDF pp. 2–8; Figs. 1–7</x:v>
      </x:c>
      <x:c r="K64" s="12" t="str">
        <x:v>Batch 07</x:v>
      </x:c>
    </x:row>
    <x:row r="65" ht="24" hidden="0" customHeight="1">
      <x:c r="A65" s="12" t="str">
        <x:v>S075-C03</x:v>
      </x:c>
      <x:c r="B65" s="12" t="str">
        <x:v>S075</x:v>
      </x:c>
      <x:c r="C65" s="12" t="str">
        <x:v>Silicone-integrated sensor (SS)</x:v>
      </x:c>
      <x:c r="D65" s="12" t="str">
        <x:v>Tensile strain with environmental shielding</x:v>
      </x:c>
      <x:c r="E65" s="12" t="str">
        <x:v>Piezoresistive resistance change</x:v>
      </x:c>
      <x:c r="F65" s="12" t="str">
        <x:v>Printed CB-TPU element is encapsulated in Ecoflex silicone</x:v>
      </x:c>
      <x:c r="G65" s="12" t="str">
        <x:v>Potential skin-mounted use</x:v>
      </x:c>
      <x:c r="H65" s="12" t="str">
        <x:v>Yes</x:v>
      </x:c>
      <x:c r="I65" s="12" t="str">
        <x:v>One printed sensor assigned to this integration condition</x:v>
      </x:c>
      <x:c r="J65" s="12" t="str">
        <x:v>PDF pp. 2–7; Figs. 1–6</x:v>
      </x:c>
      <x:c r="K65" s="12" t="str">
        <x:v>Batch 07</x:v>
      </x:c>
    </x:row>
    <x:row r="66" ht="24" hidden="0" customHeight="1">
      <x:c r="A66" s="12" t="str">
        <x:v>S076-C01</x:v>
      </x:c>
      <x:c r="B66" s="12" t="str">
        <x:v>S076</x:v>
      </x:c>
      <x:c r="C66" s="12" t="str">
        <x:v>FFF PVDF hybrid piezoelectric–triboelectric nanogenerator</x:v>
      </x:c>
      <x:c r="D66" s="12" t="str">
        <x:v>Vertical force, touch and motion</x:v>
      </x:c>
      <x:c r="E66" s="12" t="str">
        <x:v>Open-circuit voltage/short-circuit current</x:v>
      </x:c>
      <x:c r="F66" s="12" t="str">
        <x:v>FFF produces the active PVDF film assembled into the nanogenerator</x:v>
      </x:c>
      <x:c r="G66" s="12" t="str">
        <x:v>Finger joint and tactile interfaces</x:v>
      </x:c>
      <x:c r="H66" s="12" t="str">
        <x:v>Yes</x:v>
      </x:c>
      <x:c r="I66" s="12" t="str">
        <x:v>Thickness variants; three poled films used only for d33 material characterization</x:v>
      </x:c>
      <x:c r="J66" s="12" t="str">
        <x:v>PDF pp. 3–8; Figs. 1–6</x:v>
      </x:c>
      <x:c r="K66" s="12" t="str">
        <x:v>Batch 07</x:v>
      </x:c>
    </x:row>
    <x:row r="67" ht="24" hidden="0" customHeight="1">
      <x:c r="A67" s="12" t="str">
        <x:v>S077-C01</x:v>
      </x:c>
      <x:c r="B67" s="12" t="str">
        <x:v>S077</x:v>
      </x:c>
      <x:c r="C67" s="12" t="str">
        <x:v>TPU/graphene/PEDOT:PSS multifunctional sensor</x:v>
      </x:c>
      <x:c r="D67" s="12" t="str">
        <x:v>Strain, pressure, temperature and physiological motion</x:v>
      </x:c>
      <x:c r="E67" s="12" t="str">
        <x:v>Resistance/capacitance/voltage response</x:v>
      </x:c>
      <x:c r="F67" s="12" t="str">
        <x:v>FDM creates the TPU body and pauses enable conductive layer integration</x:v>
      </x:c>
      <x:c r="G67" s="12" t="str">
        <x:v>Multiple body sites and in-vivo demonstration</x:v>
      </x:c>
      <x:c r="H67" s="12" t="str">
        <x:v>Yes</x:v>
      </x:c>
      <x:c r="I67" s="12" t="str">
        <x:v>Measurements stated as repeated three times; separate-device basis not specified</x:v>
      </x:c>
      <x:c r="J67" s="12" t="str">
        <x:v>PDF pp. 3–15; Figs. 1–7</x:v>
      </x:c>
      <x:c r="K67" s="12" t="str">
        <x:v>Batch 07</x:v>
      </x:c>
    </x:row>
    <x:row r="68" ht="24" hidden="0" customHeight="1">
      <x:c r="A68" s="12" t="str">
        <x:v>S078-C01</x:v>
      </x:c>
      <x:c r="B68" s="12" t="str">
        <x:v>S078</x:v>
      </x:c>
      <x:c r="C68" s="12" t="str">
        <x:v>Microwave-treated TPU/CNT porous sensor</x:v>
      </x:c>
      <x:c r="D68" s="12" t="str">
        <x:v>Compression, tensile strain and gait/motion</x:v>
      </x:c>
      <x:c r="E68" s="12" t="str">
        <x:v>Relative resistance</x:v>
      </x:c>
      <x:c r="F68" s="12" t="str">
        <x:v>FDM creates porous TPU geometry; CNTs are surface-embedded by microwave treatment</x:v>
      </x:c>
      <x:c r="G68" s="12" t="str">
        <x:v>Insole and finger cover</x:v>
      </x:c>
      <x:c r="H68" s="12" t="str">
        <x:v>Yes</x:v>
      </x:c>
      <x:c r="I68" s="12" t="str">
        <x:v>CNT loading and microwave variants; separate-device count not reported</x:v>
      </x:c>
      <x:c r="J68" s="12" t="str">
        <x:v>PDF pp. 3–8; Figs. 1–6</x:v>
      </x:c>
      <x:c r="K68" s="12" t="str">
        <x:v>Batch 07</x:v>
      </x:c>
    </x:row>
    <x:row r="69" ht="24" hidden="0" customHeight="1">
      <x:c r="A69" s="12" t="str">
        <x:v>S079-C01</x:v>
      </x:c>
      <x:c r="B69" s="12" t="str">
        <x:v>S079</x:v>
      </x:c>
      <x:c r="C69" s="12" t="str">
        <x:v>TPU/MXene-SA/MWCNT TPMS pressure sensor</x:v>
      </x:c>
      <x:c r="D69" s="12" t="str">
        <x:v>Pressure and human motion</x:v>
      </x:c>
      <x:c r="E69" s="12" t="str">
        <x:v>Piezoresistive resistance change</x:v>
      </x:c>
      <x:c r="F69" s="12" t="str">
        <x:v>FDM directly forms the conductive TPMS sensing body</x:v>
      </x:c>
      <x:c r="G69" s="12" t="str">
        <x:v>Multiple body sites and foot array</x:v>
      </x:c>
      <x:c r="H69" s="12" t="str">
        <x:v>Yes</x:v>
      </x:c>
      <x:c r="I69" s="12" t="str">
        <x:v>Four structures; repeated curves among samples mentioned but individual device data/dispersion not shown</x:v>
      </x:c>
      <x:c r="J69" s="12" t="str">
        <x:v>PDF pp. 2–12; Figs. 1–8</x:v>
      </x:c>
      <x:c r="K69" s="12" t="str">
        <x:v>Batch 07</x:v>
      </x:c>
    </x:row>
    <x:row r="70" ht="24" hidden="0" customHeight="1">
      <x:c r="A70" s="12" t="str">
        <x:v>S080-C01</x:v>
      </x:c>
      <x:c r="B70" s="12" t="str">
        <x:v>S080</x:v>
      </x:c>
      <x:c r="C70" s="12" t="str">
        <x:v>Graphene-coated TPU TPMS sensors: Primitive, Diamond, Gyroid and I-WP</x:v>
      </x:c>
      <x:c r="D70" s="12" t="str">
        <x:v>Compression, respiration and gait</x:v>
      </x:c>
      <x:c r="E70" s="12" t="str">
        <x:v>Piezoresistive relative resistance</x:v>
      </x:c>
      <x:c r="F70" s="12" t="str">
        <x:v>FDM defines the porous compliant architecture; dip-coated graphene provides conductivity</x:v>
      </x:c>
      <x:c r="G70" s="12" t="str">
        <x:v>Abdomen and shoe heel</x:v>
      </x:c>
      <x:c r="H70" s="12" t="str">
        <x:v>Yes</x:v>
      </x:c>
      <x:c r="I70" s="12" t="str">
        <x:v>Four topology variants at 40% volume fraction; same-condition complete-device replicate count not reported</x:v>
      </x:c>
      <x:c r="J70" s="12" t="str">
        <x:v>PDF pp. 4–12; Figs. 1–8</x:v>
      </x:c>
      <x:c r="K70" s="12" t="str">
        <x:v>Batch 08</x:v>
      </x:c>
    </x:row>
    <x:row r="71" ht="24" hidden="0" customHeight="1">
      <x:c r="A71" s="12" t="str">
        <x:v>S081-C01</x:v>
      </x:c>
      <x:c r="B71" s="12" t="str">
        <x:v>S081</x:v>
      </x:c>
      <x:c r="C71" s="12" t="str">
        <x:v>TPU thumb-shaped device with embedded 5-mm FBG</x:v>
      </x:c>
      <x:c r="D71" s="12" t="str">
        <x:v>Applied force and loss of resistance during epidural procedure</x:v>
      </x:c>
      <x:c r="E71" s="12" t="str">
        <x:v>FBG wavelength shift</x:v>
      </x:c>
      <x:c r="F71" s="12" t="str">
        <x:v>FDM body embeds and mechanically couples the FBG to thumb/plunger force</x:v>
      </x:c>
      <x:c r="G71" s="12" t="str">
        <x:v>Clinician thumb under sterile glove</x:v>
      </x:c>
      <x:c r="H71" s="12" t="str">
        <x:v>Yes</x:v>
      </x:c>
      <x:c r="I71" s="12" t="str">
        <x:v>One characterized device; two patient procedures; seven tests are repeated measurements, not devices</x:v>
      </x:c>
      <x:c r="J71" s="12" t="str">
        <x:v>PDF pp. 3–7; Figs. 1–8; Table I</x:v>
      </x:c>
      <x:c r="K71" s="12" t="str">
        <x:v>Batch 08</x:v>
      </x:c>
    </x:row>
    <x:row r="72" ht="24" hidden="0" customHeight="1">
      <x:c r="A72" s="12" t="str">
        <x:v>S082-C01</x:v>
      </x:c>
      <x:c r="B72" s="12" t="str">
        <x:v>S082</x:v>
      </x:c>
      <x:c r="C72" s="12" t="str">
        <x:v>CNT/SBS@TPU fibre sensor with SBS:TPU ratios 7:3 to 3:7</x:v>
      </x:c>
      <x:c r="D72" s="12" t="str">
        <x:v>Tensile strain, body motion and tactile pressure</x:v>
      </x:c>
      <x:c r="E72" s="12" t="str">
        <x:v>Piezoresistive relative resistance</x:v>
      </x:c>
      <x:c r="F72" s="12" t="str">
        <x:v>FFF extrudes the active conductive fibre</x:v>
      </x:c>
      <x:c r="G72" s="12" t="str">
        <x:v>Elbow, wrist, thorax and face</x:v>
      </x:c>
      <x:c r="H72" s="12" t="str">
        <x:v>Yes</x:v>
      </x:c>
      <x:c r="I72" s="12" t="str">
        <x:v>Composition variants; same-condition complete-device replicate count not reported</x:v>
      </x:c>
      <x:c r="J72" s="12" t="str">
        <x:v>PDF pp. 4–12; Figs. 1–7</x:v>
      </x:c>
      <x:c r="K72" s="12" t="str">
        <x:v>Batch 08</x:v>
      </x:c>
    </x:row>
    <x:row r="73" ht="24" hidden="0" customHeight="1">
      <x:c r="A73" s="12" t="str">
        <x:v>S084-C01</x:v>
      </x:c>
      <x:c r="B73" s="12" t="str">
        <x:v>S084</x:v>
      </x:c>
      <x:c r="C73" s="12" t="str">
        <x:v>CNT/SBS@TPU fibre sensors with 1–3 wt% CNT and CNT/SBS controls</x:v>
      </x:c>
      <x:c r="D73" s="12" t="str">
        <x:v>Tensile strain, physiological motion and tactile pressure</x:v>
      </x:c>
      <x:c r="E73" s="12" t="str">
        <x:v>Piezoresistive relative resistance</x:v>
      </x:c>
      <x:c r="F73" s="12" t="str">
        <x:v>FFF extrudes the active conductive fibre</x:v>
      </x:c>
      <x:c r="G73" s="12" t="str">
        <x:v>Face, neck, chest, arm and fingers</x:v>
      </x:c>
      <x:c r="H73" s="12" t="str">
        <x:v>Yes</x:v>
      </x:c>
      <x:c r="I73" s="12" t="str">
        <x:v>CNT-loading and structural controls; same-condition complete-device replicate count not reported</x:v>
      </x:c>
      <x:c r="J73" s="12" t="str">
        <x:v>PDF pp. 4–11; Figs. 1–8</x:v>
      </x:c>
      <x:c r="K73" s="12" t="str">
        <x:v>Batch 08</x:v>
      </x:c>
    </x:row>
    <x:row r="74" ht="24" hidden="0" customHeight="1">
      <x:c r="A74" s="12" t="str">
        <x:v>S085-C01</x:v>
      </x:c>
      <x:c r="B74" s="12" t="str">
        <x:v>S085</x:v>
      </x:c>
      <x:c r="C74" s="12" t="str">
        <x:v>CB/TPU paths in straight, SZ, TZ and RZ configurations on TPU film</x:v>
      </x:c>
      <x:c r="D74" s="12" t="str">
        <x:v>Tensile strain and lumbar bending</x:v>
      </x:c>
      <x:c r="E74" s="12" t="str">
        <x:v>Piezoresistive relative resistance</x:v>
      </x:c>
      <x:c r="F74" s="12" t="str">
        <x:v>FDM deposits active conductive paths bonded to the flexible film substrate</x:v>
      </x:c>
      <x:c r="G74" s="12" t="str">
        <x:v>Lumbar region</x:v>
      </x:c>
      <x:c r="H74" s="12" t="str">
        <x:v>Yes</x:v>
      </x:c>
      <x:c r="I74" s="12" t="str">
        <x:v>Geometry variants; same-condition complete-device replicate count not reported</x:v>
      </x:c>
      <x:c r="J74" s="12" t="str">
        <x:v>PDF pp. 2–4, 8–12; Figs. 1–18</x:v>
      </x:c>
      <x:c r="K74" s="12" t="str">
        <x:v>Batch 08</x:v>
      </x:c>
    </x:row>
    <x:row r="75" ht="24" hidden="0" customHeight="1">
      <x:c r="A75" s="12" t="str">
        <x:v>S086-C01</x:v>
      </x:c>
      <x:c r="B75" s="12" t="str">
        <x:v>S086</x:v>
      </x:c>
      <x:c r="C75" s="12" t="str">
        <x:v>Microwave-sintered TPU/Ag layered strain sensor</x:v>
      </x:c>
      <x:c r="D75" s="12" t="str">
        <x:v>Tensile strain, facial/throat activity and finger flexion</x:v>
      </x:c>
      <x:c r="E75" s="12" t="str">
        <x:v>Piezoresistive relative resistance</x:v>
      </x:c>
      <x:c r="F75" s="12" t="str">
        <x:v>FDM builds TPU layers while silver paste is applied between laminas; microwave treatment bonds the structure</x:v>
      </x:c>
      <x:c r="G75" s="12" t="str">
        <x:v>Face, throat and finger</x:v>
      </x:c>
      <x:c r="H75" s="12" t="str">
        <x:v>Yes</x:v>
      </x:c>
      <x:c r="I75" s="12" t="str">
        <x:v>Process/time and thickness variants; five trials concern silver content, not complete sensors</x:v>
      </x:c>
      <x:c r="J75" s="12" t="str">
        <x:v>PDF pp. 2–9; Figs. 1–6</x:v>
      </x:c>
      <x:c r="K75" s="12" t="str">
        <x:v>Batch 08</x:v>
      </x:c>
    </x:row>
    <x:row r="76" ht="24" hidden="0" customHeight="1">
      <x:c r="A76" s="12" t="str">
        <x:v>S087-C01</x:v>
      </x:c>
      <x:c r="B76" s="12" t="str">
        <x:v>S087</x:v>
      </x:c>
      <x:c r="C76" s="12" t="str">
        <x:v>Surface-filled graphene/SEBS 3D-network sensor</x:v>
      </x:c>
      <x:c r="D76" s="12" t="str">
        <x:v>Tension, pressure and human motion</x:v>
      </x:c>
      <x:c r="E76" s="12" t="str">
        <x:v>Piezoresistive relative resistance</x:v>
      </x:c>
      <x:c r="F76" s="12" t="str">
        <x:v>FDM forms the SEBS network; graphene is thermally embedded into its surface</x:v>
      </x:c>
      <x:c r="G76" s="12" t="str">
        <x:v>Throat, finger, cheek and neck</x:v>
      </x:c>
      <x:c r="H76" s="12" t="str">
        <x:v>Yes</x:v>
      </x:c>
      <x:c r="I76" s="12" t="str">
        <x:v>Process/geometry/material variants; same-condition complete-device replicate count not reported</x:v>
      </x:c>
      <x:c r="J76" s="12" t="str">
        <x:v>PDF pp. 2–7; Figs. 1–5</x:v>
      </x:c>
      <x:c r="K76" s="12" t="str">
        <x:v>Batch 08</x:v>
      </x:c>
    </x:row>
    <x:row r="77" ht="24" hidden="0" customHeight="1">
      <x:c r="A77" s="12" t="str">
        <x:v>S088-C01</x:v>
      </x:c>
      <x:c r="B77" s="12" t="str">
        <x:v>S088</x:v>
      </x:c>
      <x:c r="C77" s="12" t="str">
        <x:v>Flexible PLA ring with embedded FBG for elbow</x:v>
      </x:c>
      <x:c r="D77" s="12" t="str">
        <x:v>Elbow angle</x:v>
      </x:c>
      <x:c r="E77" s="12" t="str">
        <x:v>FBG wavelength shift</x:v>
      </x:c>
      <x:c r="F77" s="12" t="str">
        <x:v>FDM embeds and couples the FBG within the wearable ring</x:v>
      </x:c>
      <x:c r="G77" s="12" t="str">
        <x:v>Elbow</x:v>
      </x:c>
      <x:c r="H77" s="12" t="str">
        <x:v>Yes</x:v>
      </x:c>
      <x:c r="I77" s="12" t="str">
        <x:v>One ring/application calibration; three repeat tests are same-device measurements</x:v>
      </x:c>
      <x:c r="J77" s="12" t="str">
        <x:v>PDF pp. 4–10; Figs. 1–8; Table 1</x:v>
      </x:c>
      <x:c r="K77" s="12" t="str">
        <x:v>Batch 08</x:v>
      </x:c>
    </x:row>
    <x:row r="78" ht="15" hidden="0" customHeight="1">
      <x:c r="A78" s="12" t="str">
        <x:v>S088-C02</x:v>
      </x:c>
      <x:c r="B78" s="12" t="str">
        <x:v>S088</x:v>
      </x:c>
      <x:c r="C78" s="12" t="str">
        <x:v>Flexible PLA ring with embedded FBG for knee</x:v>
      </x:c>
      <x:c r="D78" s="12" t="str">
        <x:v>Knee angle and walking</x:v>
      </x:c>
      <x:c r="E78" s="12" t="str">
        <x:v>FBG wavelength shift</x:v>
      </x:c>
      <x:c r="F78" s="12" t="str">
        <x:v>FDM embeds and couples the FBG within the wearable ring</x:v>
      </x:c>
      <x:c r="G78" s="12" t="str">
        <x:v>Knee</x:v>
      </x:c>
      <x:c r="H78" s="12" t="str">
        <x:v>Yes</x:v>
      </x:c>
      <x:c r="I78" s="12" t="str">
        <x:v>Second ring/application; total complete devices fewer than three</x:v>
      </x:c>
      <x:c r="J78" s="12" t="str">
        <x:v>PDF pp. 10–12; Figs. 9–10</x:v>
      </x:c>
      <x:c r="K78" s="12" t="str">
        <x:v>Batch 08</x:v>
      </x:c>
    </x:row>
    <x:row r="79" ht="24" hidden="0" customHeight="1">
      <x:c r="A79" s="12" t="str">
        <x:v>S089-C01</x:v>
      </x:c>
      <x:c r="B79" s="12" t="str">
        <x:v>S089</x:v>
      </x:c>
      <x:c r="C79" s="12" t="str">
        <x:v>CNT/TPU, GNP/TPU and CNT/GNP(3:1)/TPU printed strain sensors</x:v>
      </x:c>
      <x:c r="D79" s="12" t="str">
        <x:v>Tensile strain and body motion</x:v>
      </x:c>
      <x:c r="E79" s="12" t="str">
        <x:v>Piezoresistive relative resistance</x:v>
      </x:c>
      <x:c r="F79" s="12" t="str">
        <x:v>FFF directly prints the active nanocomposite sensing strip</x:v>
      </x:c>
      <x:c r="G79" s="12" t="str">
        <x:v>Finger, wrist, face, throat and abdomen</x:v>
      </x:c>
      <x:c r="H79" s="12" t="str">
        <x:v>Yes</x:v>
      </x:c>
      <x:c r="I79" s="12" t="str">
        <x:v>Nanofiller/composition variants; same-condition complete-device replicate count not reported</x:v>
      </x:c>
      <x:c r="J79" s="12" t="str">
        <x:v>PDF pp. 10–35; Figs. 1–10</x:v>
      </x:c>
      <x:c r="K79" s="12" t="str">
        <x:v>Batch 08</x:v>
      </x:c>
    </x:row>
    <x:row r="80" ht="24" hidden="0" customHeight="1">
      <x:c r="A80" s="12" t="str">
        <x:v>S090-C01</x:v>
      </x:c>
      <x:c r="B80" s="12" t="str">
        <x:v>S090</x:v>
      </x:c>
      <x:c r="C80" s="12" t="str">
        <x:v>OECT on FDM-printed soft-PLA substrate with FDM-printed insulating mask</x:v>
      </x:c>
      <x:c r="D80" s="12" t="str">
        <x:v>Electrical gate response; flexible chemical/biological transduction platform</x:v>
      </x:c>
      <x:c r="E80" s="12" t="str">
        <x:v>PEDOT:PSS organic electrochemical transistor</x:v>
      </x:c>
      <x:c r="F80" s="12" t="str">
        <x:v>FDM creates the retained substrate and mask; the mask defines the active channel and isolates source/drain contacts from electrolyte</x:v>
      </x:c>
      <x:c r="G80" s="12" t="str">
        <x:v>Flexible/wearable biosensing platform; no on-body test</x:v>
      </x:c>
      <x:c r="H80" s="12" t="str">
        <x:v>Yes</x:v>
      </x:c>
      <x:c r="I80" s="12" t="str">
        <x:v>Soft-PLA device metrics are reported across multiple devices; active PEDOT:PSS and silver layers are direct-written, not FDM-extruded</x:v>
      </x:c>
      <x:c r="J80" s="12" t="str">
        <x:v>PDF pp. 2–5; Figs. 1c and 3c–e; Table 1</x:v>
      </x:c>
      <x:c r="K80" s="12" t="str">
        <x:v>Batch 09</x:v>
      </x:c>
    </x:row>
    <x:row r="81" ht="24" hidden="0" customHeight="1">
      <x:c r="A81" s="12" t="str">
        <x:v>S090-C02</x:v>
      </x:c>
      <x:c r="B81" s="12" t="str">
        <x:v>S090</x:v>
      </x:c>
      <x:c r="C81" s="12" t="str">
        <x:v>OECT on PET or direct-written PDMS substrate</x:v>
      </x:c>
      <x:c r="D81" s="12" t="str">
        <x:v>K+ concentration and pH</x:v>
      </x:c>
      <x:c r="E81" s="12" t="str">
        <x:v>PEDOT:PSS organic electrochemical transistor</x:v>
      </x:c>
      <x:c r="F81" s="12" t="str">
        <x:v>No thermoplastic-filament FDM contribution to the PDMS sensing configuration; retained to distinguish study configurations</x:v>
      </x:c>
      <x:c r="G81" s="12" t="str">
        <x:v>Flexible biosensing platform</x:v>
      </x:c>
      <x:c r="H81" s="12" t="str">
        <x:v>Yes</x:v>
      </x:c>
      <x:c r="I81" s="12" t="str">
        <x:v>Ion and pH sensing results were obtained on the PDMS configuration rather than the FDM soft-PLA configuration</x:v>
      </x:c>
      <x:c r="J81" s="12" t="str">
        <x:v>PDF pp. 2, 6–7; Fig. 4; Table 2</x:v>
      </x:c>
      <x:c r="K81" s="12" t="str">
        <x:v>Batch 09</x:v>
      </x:c>
    </x:row>
    <x:row r="82" ht="24" hidden="0" customHeight="1">
      <x:c r="A82" s="12" t="str">
        <x:v>S091-C01</x:v>
      </x:c>
      <x:c r="B82" s="12" t="str">
        <x:v>S091</x:v>
      </x:c>
      <x:c r="C82" s="12" t="str">
        <x:v>One-layer and three-layer PVDF/MWCNT dogbone strips with 1–15 wt% MWCNT</x:v>
      </x:c>
      <x:c r="D82" s="12" t="str">
        <x:v>Volatile organic compounds</x:v>
      </x:c>
      <x:c r="E82" s="12" t="str">
        <x:v>Chemiresistive relative resistance</x:v>
      </x:c>
      <x:c r="F82" s="12" t="str">
        <x:v>FDM directly prints the active conductive nanocomposite strip</x:v>
      </x:c>
      <x:c r="G82" s="12" t="str">
        <x:v>Wearable-relevant flexible form factor; no on-body test</x:v>
      </x:c>
      <x:c r="H82" s="12" t="str">
        <x:v>Yes</x:v>
      </x:c>
      <x:c r="I82" s="12" t="str">
        <x:v>Three specimens per MWCNT ratio were measured for one-layer baseline resistance; VOC-test device count is not stated</x:v>
      </x:c>
      <x:c r="J82" s="12" t="str">
        <x:v>PDF pp. 2–8; Figs. 2, 6–11; Table 1</x:v>
      </x:c>
      <x:c r="K82" s="12" t="str">
        <x:v>Batch 09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11.670000076293945" hidden="0" customWidth="1"/>
    <x:col min="3" max="3" width="11.670000076293945" hidden="0" customWidth="1"/>
    <x:col min="4" max="4" width="26.670000076293945" hidden="0" customWidth="1"/>
    <x:col min="5" max="5" width="25.559999465942383" hidden="0" customWidth="1"/>
    <x:col min="6" max="6" width="27.780000686645508" hidden="0" customWidth="1"/>
    <x:col min="7" max="7" width="16.670000076293945" hidden="0" customWidth="1"/>
    <x:col min="8" max="8" width="30" hidden="0" customWidth="1"/>
    <x:col min="9" max="9" width="51.11000061035156" hidden="0" customWidth="1"/>
    <x:col min="10" max="10" width="44.439998626708984" hidden="0" customWidth="1"/>
    <x:col min="11" max="11" width="28.889999389648438" hidden="0" customWidth="1"/>
    <x:col min="12" max="12" width="13.329999923706055" hidden="0" customWidth="1"/>
  </x:cols>
  <x:sheetData>
    <x:row r="1" ht="24" hidden="0" customHeight="1">
      <x:c r="A1" s="11" t="str">
        <x:v>Stable Study ID</x:v>
      </x:c>
      <x:c r="B1" s="11" t="str">
        <x:v>Material ID</x:v>
      </x:c>
      <x:c r="C1" s="11" t="str">
        <x:v>Sensor ID</x:v>
      </x:c>
      <x:c r="D1" s="11" t="str">
        <x:v>Material role</x:v>
      </x:c>
      <x:c r="E1" s="11" t="str">
        <x:v>Polymer/matrix</x:v>
      </x:c>
      <x:c r="F1" s="11" t="str">
        <x:v>Functional constituent</x:v>
      </x:c>
      <x:c r="G1" s="11" t="str">
        <x:v>Concentration</x:v>
      </x:c>
      <x:c r="H1" s="11" t="str">
        <x:v>Grade/source</x:v>
      </x:c>
      <x:c r="I1" s="11" t="str">
        <x:v>Composition/grade summary</x:v>
      </x:c>
      <x:c r="J1" s="11" t="str">
        <x:v>Other essential materials</x:v>
      </x:c>
      <x:c r="K1" s="11" t="str">
        <x:v>Evidence locator</x:v>
      </x:c>
      <x:c r="L1" s="11" t="str">
        <x:v>Authoritative source</x:v>
      </x:c>
    </x:row>
    <x:row r="2" ht="15" hidden="0" customHeight="1">
      <x:c r="A2" s="12" t="str">
        <x:v>S001</x:v>
      </x:c>
      <x:c r="B2" s="12" t="str">
        <x:v>M001</x:v>
      </x:c>
      <x:c r="C2" s="12" t="str">
        <x:v>S001-C01</x:v>
      </x:c>
      <x:c r="D2" s="12" t="str">
        <x:v>TPU insole</x:v>
      </x:c>
      <x:c r="E2" s="12" t="str">
        <x:v>TPU</x:v>
      </x:c>
      <x:c r="F2" s="12" t="str">
        <x:v>NA</x:v>
      </x:c>
      <x:c r="G2" s="12" t="str">
        <x:v>NR</x:v>
      </x:c>
      <x:c r="H2" s="12" t="str">
        <x:v>Commercial filament; grade NR</x:v>
      </x:c>
      <x:c r="I2" s="12"/>
      <x:c r="J2" s="12" t="str">
        <x:v>Silica FBGs; PTFE capillaries; PDMS fill</x:v>
      </x:c>
      <x:c r="K2" s="12" t="str">
        <x:v>PDF pp. 4-5</x:v>
      </x:c>
      <x:c r="L2" s="12" t="str">
        <x:v>Pilot</x:v>
      </x:c>
    </x:row>
    <x:row r="3" ht="15" hidden="0" customHeight="1">
      <x:c r="A3" s="12" t="str">
        <x:v>S002</x:v>
      </x:c>
      <x:c r="B3" s="12" t="str">
        <x:v>M002</x:v>
      </x:c>
      <x:c r="C3" s="12" t="str">
        <x:v>S002-C01</x:v>
      </x:c>
      <x:c r="D3" s="12" t="str">
        <x:v>Working electrode</x:v>
      </x:c>
      <x:c r="E3" s="12" t="str">
        <x:v>PLA</x:v>
      </x:c>
      <x:c r="F3" s="12" t="str">
        <x:v>Carbon black</x:v>
      </x:c>
      <x:c r="G3" s="12" t="str">
        <x:v>NR</x:v>
      </x:c>
      <x:c r="H3" s="12" t="str">
        <x:v>Proto-Pasta conductive PLA, 1.75 mm</x:v>
      </x:c>
      <x:c r="I3" s="12"/>
      <x:c r="J3" s="12" t="str">
        <x:v>Fe3O(PhCO2)6(H2O)3 cluster; Nafion</x:v>
      </x:c>
      <x:c r="K3" s="12" t="str">
        <x:v>PDF pp. 3-5</x:v>
      </x:c>
      <x:c r="L3" s="12" t="str">
        <x:v>Pilot</x:v>
      </x:c>
    </x:row>
    <x:row r="4" ht="24" hidden="0" customHeight="1">
      <x:c r="A4" s="12" t="str">
        <x:v>S004</x:v>
      </x:c>
      <x:c r="B4" s="12"/>
      <x:c r="C4" s="12"/>
      <x:c r="D4" s="12" t="str">
        <x:v>TPU substrate/encapsulation; conductive E-TPU sensing layers</x:v>
      </x:c>
      <x:c r="E4" s="12"/>
      <x:c r="F4" s="12"/>
      <x:c r="G4" s="12"/>
      <x:c r="H4" s="12"/>
      <x:c r="I4" s="12" t="str">
        <x:v>Commercial TPU and electrically conductive TPU; both 1.75 ± 0.5 mm filament; filler identity/loading not reported</x:v>
      </x:c>
      <x:c r="J4" s="12" t="str">
        <x:v>Silver paste and Tegaderm attachment</x:v>
      </x:c>
      <x:c r="K4" s="12" t="str">
        <x:v>PDF pp. 2–3</x:v>
      </x:c>
      <x:c r="L4" s="12" t="str">
        <x:v>Batch 01</x:v>
      </x:c>
    </x:row>
    <x:row r="5" ht="24" hidden="0" customHeight="1">
      <x:c r="A5" s="12" t="str">
        <x:v>S005</x:v>
      </x:c>
      <x:c r="B5" s="12"/>
      <x:c r="C5" s="12"/>
      <x:c r="D5" s="12" t="str">
        <x:v>Flexible Fish Box Mini polymer body with embedded silica FBG</x:v>
      </x:c>
      <x:c r="E5" s="12"/>
      <x:c r="F5" s="12"/>
      <x:c r="G5" s="12"/>
      <x:c r="H5" s="12"/>
      <x:c r="I5" s="12" t="str">
        <x:v>Commercial flexible filament; polymer chemistry not reported</x:v>
      </x:c>
      <x:c r="J5" s="12" t="str">
        <x:v>GF1 optical fiber and cyanoacrylate</x:v>
      </x:c>
      <x:c r="K5" s="12" t="str">
        <x:v>PDF p. 4</x:v>
      </x:c>
      <x:c r="L5" s="12" t="str">
        <x:v>Batch 01</x:v>
      </x:c>
    </x:row>
    <x:row r="6" ht="15" hidden="0" customHeight="1">
      <x:c r="A6" s="12" t="str">
        <x:v>S007</x:v>
      </x:c>
      <x:c r="B6" s="12" t="str">
        <x:v>M004</x:v>
      </x:c>
      <x:c r="C6" s="12" t="str">
        <x:v>S007-C01</x:v>
      </x:c>
      <x:c r="D6" s="12" t="str">
        <x:v>Electrode body/coating</x:v>
      </x:c>
      <x:c r="E6" s="12" t="str">
        <x:v>TPU-based SemiFlex</x:v>
      </x:c>
      <x:c r="F6" s="12" t="str">
        <x:v>Ag/AgCl coating</x:v>
      </x:c>
      <x:c r="G6" s="12" t="str">
        <x:v>50:50 paint:thinner</x:v>
      </x:c>
      <x:c r="H6" s="12" t="str">
        <x:v>NinjaFlex SemiFlex; Ag/AgCl ink 113-09</x:v>
      </x:c>
      <x:c r="I6" s="12"/>
      <x:c r="J6" s="12" t="str">
        <x:v>Silicone coating investigated then abandoned</x:v>
      </x:c>
      <x:c r="K6" s="12" t="str">
        <x:v>PDF pp. 3-5</x:v>
      </x:c>
      <x:c r="L6" s="12" t="str">
        <x:v>Pilot</x:v>
      </x:c>
    </x:row>
    <x:row r="7" ht="24" hidden="0" customHeight="1">
      <x:c r="A7" s="12" t="str">
        <x:v>S008</x:v>
      </x:c>
      <x:c r="B7" s="12"/>
      <x:c r="C7" s="12"/>
      <x:c r="D7" s="12" t="str">
        <x:v>NinjaFlex TPU FFF insole/origami</x:v>
      </x:c>
      <x:c r="E7" s="12"/>
      <x:c r="F7" s="12"/>
      <x:c r="G7" s="12"/>
      <x:c r="H7" s="12"/>
      <x:c r="I7" s="12" t="str">
        <x:v>1.75 mm commercial filament</x:v>
      </x:c>
      <x:c r="J7" s="12" t="str">
        <x:v>DIW silver-nanoparticle LC traces on 0.1 mm PI; printed serpentine and antenna</x:v>
      </x:c>
      <x:c r="K7" s="12" t="str">
        <x:v>PDF pp. 7, 10</x:v>
      </x:c>
      <x:c r="L7" s="12" t="str">
        <x:v>Batch 01</x:v>
      </x:c>
    </x:row>
    <x:row r="8" ht="36" hidden="0" customHeight="1">
      <x:c r="A8" s="12" t="str">
        <x:v>S010</x:v>
      </x:c>
      <x:c r="B8" s="12"/>
      <x:c r="C8" s="12"/>
      <x:c r="D8" s="12" t="str">
        <x:v>NinjaFlex nonconductive TPU actuator and PI-ETPU95-250 carbon-black TPU sensor</x:v>
      </x:c>
      <x:c r="E8" s="12"/>
      <x:c r="F8" s="12"/>
      <x:c r="G8" s="12"/>
      <x:c r="H8" s="12"/>
      <x:c r="I8" s="12" t="str">
        <x:v>Commercial grades named; filler loading not reported</x:v>
      </x:c>
      <x:c r="J8" s="12" t="str">
        <x:v>Pneumatic tubing and measurement electronics</x:v>
      </x:c>
      <x:c r="K8" s="12" t="str">
        <x:v>PDF pp. 3–4</x:v>
      </x:c>
      <x:c r="L8" s="12" t="str">
        <x:v>Batch 01</x:v>
      </x:c>
    </x:row>
    <x:row r="9" ht="24" hidden="0" customHeight="1">
      <x:c r="A9" s="12" t="str">
        <x:v>S011</x:v>
      </x:c>
      <x:c r="B9" s="12" t="str">
        <x:v>M005</x:v>
      </x:c>
      <x:c r="C9" s="12" t="str">
        <x:v>S011-C01</x:v>
      </x:c>
      <x:c r="D9" s="12" t="str">
        <x:v>Capacitor plates/dielectric/insole</x:v>
      </x:c>
      <x:c r="E9" s="12" t="str">
        <x:v>PLA and TPU</x:v>
      </x:c>
      <x:c r="F9" s="12" t="str">
        <x:v>Conductive filler in commercial PLA not disclosed</x:v>
      </x:c>
      <x:c r="G9" s="12" t="str">
        <x:v>NR</x:v>
      </x:c>
      <x:c r="H9" s="12" t="str">
        <x:v>Proto-Pasta conductive PLA; Filaflex 70A and 82A</x:v>
      </x:c>
      <x:c r="I9" s="12"/>
      <x:c r="J9" s="12" t="str">
        <x:v>Conductive glue; insulation tape</x:v>
      </x:c>
      <x:c r="K9" s="12" t="str">
        <x:v>PDF pp. 3-5, Table 1</x:v>
      </x:c>
      <x:c r="L9" s="12" t="str">
        <x:v>Pilot</x:v>
      </x:c>
    </x:row>
    <x:row r="10" ht="24" hidden="0" customHeight="1">
      <x:c r="A10" s="12" t="str">
        <x:v>S012</x:v>
      </x:c>
      <x:c r="B10" s="12"/>
      <x:c r="C10" s="12"/>
      <x:c r="D10" s="12" t="str">
        <x:v>NinjaFlex 85A insulation and PI-ETPU carbon-black TPU electrodes</x:v>
      </x:c>
      <x:c r="E10" s="12"/>
      <x:c r="F10" s="12"/>
      <x:c r="G10" s="12"/>
      <x:c r="H10" s="12"/>
      <x:c r="I10" s="12" t="str">
        <x:v>Commercial materials; PI-ETPU resistivity &lt;300 Ω·cm reported</x:v>
      </x:c>
      <x:c r="J10" s="12" t="str">
        <x:v>Copper wires, shrink tubing, amplifier</x:v>
      </x:c>
      <x:c r="K10" s="12" t="str">
        <x:v>PDF pp. 4–6; Table 1</x:v>
      </x:c>
      <x:c r="L10" s="12" t="str">
        <x:v>Batch 01</x:v>
      </x:c>
    </x:row>
    <x:row r="11" ht="24" hidden="0" customHeight="1">
      <x:c r="A11" s="12" t="str">
        <x:v>S013</x:v>
      </x:c>
      <x:c r="B11" s="12"/>
      <x:c r="C11" s="12"/>
      <x:c r="D11" s="12" t="str">
        <x:v>Proto-Pasta CB-PLA electrodes and 3DEdge TPU holder</x:v>
      </x:c>
      <x:c r="E11" s="12"/>
      <x:c r="F11" s="12"/>
      <x:c r="G11" s="12"/>
      <x:c r="H11" s="12"/>
      <x:c r="I11" s="12" t="str">
        <x:v>Commercial grades named; carbon-black content proprietary</x:v>
      </x:c>
      <x:c r="J11" s="12" t="str">
        <x:v>Miniature potentiostat and smartphone</x:v>
      </x:c>
      <x:c r="K11" s="12" t="str">
        <x:v>PDF pp. 3–4</x:v>
      </x:c>
      <x:c r="L11" s="12" t="str">
        <x:v>Batch 01</x:v>
      </x:c>
    </x:row>
    <x:row r="12" ht="24" hidden="0" customHeight="1">
      <x:c r="A12" s="12" t="str">
        <x:v>S014</x:v>
      </x:c>
      <x:c r="B12" s="12"/>
      <x:c r="C12" s="12"/>
      <x:c r="D12" s="12" t="str">
        <x:v>TPU 85A and TPU 95A bodies with embedded acrylate-coated FBGs</x:v>
      </x:c>
      <x:c r="E12" s="12"/>
      <x:c r="F12" s="12"/>
      <x:c r="G12" s="12"/>
      <x:c r="H12" s="12"/>
      <x:c r="I12" s="12" t="str">
        <x:v>Commercial hardness grades named</x:v>
      </x:c>
      <x:c r="J12" s="12" t="str">
        <x:v>Adhesive tape for pre-tensioning and Alpidex on-body attachment</x:v>
      </x:c>
      <x:c r="K12" s="12" t="str">
        <x:v>PDF pp. 4–5, 10</x:v>
      </x:c>
      <x:c r="L12" s="12" t="str">
        <x:v>Batch 01</x:v>
      </x:c>
    </x:row>
    <x:row r="13" ht="24" hidden="0" customHeight="1">
      <x:c r="A13" s="12" t="str">
        <x:v>S015</x:v>
      </x:c>
      <x:c r="B13" s="12"/>
      <x:c r="C13" s="12"/>
      <x:c r="D13" s="12" t="str">
        <x:v>PLA printed frame</x:v>
      </x:c>
      <x:c r="E13" s="12"/>
      <x:c r="F13" s="12"/>
      <x:c r="G13" s="12"/>
      <x:c r="H13" s="12"/>
      <x:c r="I13" s="12" t="str">
        <x:v>Filament grade/source not reported</x:v>
      </x:c>
      <x:c r="J13" s="12" t="str">
        <x:v>Sparkfun flex sensors, ADXL345, bearings, cable ties, elastic straps and foam adhesive</x:v>
      </x:c>
      <x:c r="K13" s="12" t="str">
        <x:v>PDF p. 3</x:v>
      </x:c>
      <x:c r="L13" s="12" t="str">
        <x:v>Batch 01</x:v>
      </x:c>
    </x:row>
    <x:row r="14" ht="24" hidden="0" customHeight="1">
      <x:c r="A14" s="12" t="str">
        <x:v>S017</x:v>
      </x:c>
      <x:c r="B14" s="12" t="str">
        <x:v>M006</x:v>
      </x:c>
      <x:c r="C14" s="12" t="str">
        <x:v>S017-C01</x:v>
      </x:c>
      <x:c r="D14" s="12" t="str">
        <x:v>Triboelectric film</x:v>
      </x:c>
      <x:c r="E14" s="12" t="str">
        <x:v>TPU/PLA</x:v>
      </x:c>
      <x:c r="F14" s="12" t="str">
        <x:v>Carbon fiber</x:v>
      </x:c>
      <x:c r="G14" s="12" t="str">
        <x:v>TPU:PLA 25:75; carbon-fiber loading NR</x:v>
      </x:c>
      <x:c r="H14" s="12" t="str">
        <x:v>Laboratory compounded filament, approx. 1.8 mm</x:v>
      </x:c>
      <x:c r="I14" s="12"/>
      <x:c r="J14" s="12" t="str">
        <x:v>NR</x:v>
      </x:c>
      <x:c r="K14" s="12" t="str">
        <x:v>PDF p. 2</x:v>
      </x:c>
      <x:c r="L14" s="12" t="str">
        <x:v>Pilot</x:v>
      </x:c>
    </x:row>
    <x:row r="15" ht="15" hidden="0" customHeight="1">
      <x:c r="A15" s="12" t="str">
        <x:v>S018</x:v>
      </x:c>
      <x:c r="B15" s="12"/>
      <x:c r="C15" s="12"/>
      <x:c r="D15" s="12" t="str">
        <x:v>eSun TPU 95A pneumatic insole</x:v>
      </x:c>
      <x:c r="E15" s="12"/>
      <x:c r="F15" s="12"/>
      <x:c r="G15" s="12"/>
      <x:c r="H15" s="12"/>
      <x:c r="I15" s="12" t="str">
        <x:v>Commercial TPU filament</x:v>
      </x:c>
      <x:c r="J15" s="12" t="str">
        <x:v>External pressure sensors, tubing, shoe and DAQ</x:v>
      </x:c>
      <x:c r="K15" s="12" t="str">
        <x:v>PDF pp. 3–5</x:v>
      </x:c>
      <x:c r="L15" s="12" t="str">
        <x:v>Batch 02</x:v>
      </x:c>
    </x:row>
    <x:row r="16" ht="15" hidden="0" customHeight="1">
      <x:c r="A16" s="12" t="str">
        <x:v>S019</x:v>
      </x:c>
      <x:c r="B16" s="12"/>
      <x:c r="C16" s="12"/>
      <x:c r="D16" s="12" t="str">
        <x:v>CNT/TPU conductive filament</x:v>
      </x:c>
      <x:c r="E16" s="12"/>
      <x:c r="F16" s="12"/>
      <x:c r="G16" s="12"/>
      <x:c r="H16" s="12"/>
      <x:c r="I16" s="12" t="str">
        <x:v>1.75 mm filament; conductivity &lt;1.25 Ω·cm; CNT size described</x:v>
      </x:c>
      <x:c r="J16" s="12" t="str">
        <x:v>Wiring, MCU/Bluetooth and glove</x:v>
      </x:c>
      <x:c r="K16" s="12" t="str">
        <x:v>PDF pp. 2–7</x:v>
      </x:c>
      <x:c r="L16" s="12" t="str">
        <x:v>Batch 02</x:v>
      </x:c>
    </x:row>
    <x:row r="17" ht="15" hidden="0" customHeight="1">
      <x:c r="A17" s="12" t="str">
        <x:v>S020</x:v>
      </x:c>
      <x:c r="B17" s="12"/>
      <x:c r="C17" s="12"/>
      <x:c r="D17" s="12" t="str">
        <x:v>TPU-95A and PI-ETPU</x:v>
      </x:c>
      <x:c r="E17" s="12"/>
      <x:c r="F17" s="12"/>
      <x:c r="G17" s="12"/>
      <x:c r="H17" s="12"/>
      <x:c r="I17" s="12" t="str">
        <x:v>Commercial insulating and conductive TPU grades</x:v>
      </x:c>
      <x:c r="J17" s="12" t="str">
        <x:v>Double-sided tape, aluminium shield, stretchable fabric and MCU</x:v>
      </x:c>
      <x:c r="K17" s="12" t="str">
        <x:v>PDF pp. 5–6</x:v>
      </x:c>
      <x:c r="L17" s="12" t="str">
        <x:v>Batch 02</x:v>
      </x:c>
    </x:row>
    <x:row r="18" ht="15" hidden="0" customHeight="1">
      <x:c r="A18" s="12" t="str">
        <x:v>S021</x:v>
      </x:c>
      <x:c r="B18" s="12"/>
      <x:c r="C18" s="12"/>
      <x:c r="D18" s="12" t="str">
        <x:v>TPU 95A skeleton</x:v>
      </x:c>
      <x:c r="E18" s="12"/>
      <x:c r="F18" s="12"/>
      <x:c r="G18" s="12"/>
      <x:c r="H18" s="12"/>
      <x:c r="I18" s="12" t="str">
        <x:v>Commercial TPU hardness reported</x:v>
      </x:c>
      <x:c r="J18" s="12" t="str">
        <x:v>POF, silica FBGs, PDMS and optical interrogation hardware</x:v>
      </x:c>
      <x:c r="K18" s="12" t="str">
        <x:v>PDF pp. 3–5</x:v>
      </x:c>
      <x:c r="L18" s="12" t="str">
        <x:v>Batch 02</x:v>
      </x:c>
    </x:row>
    <x:row r="19" ht="24" hidden="0" customHeight="1">
      <x:c r="A19" s="12" t="str">
        <x:v>S022</x:v>
      </x:c>
      <x:c r="B19" s="12"/>
      <x:c r="C19" s="12"/>
      <x:c r="D19" s="12" t="str">
        <x:v>TPU scaffold with ultrasonically impregnated carbon black</x:v>
      </x:c>
      <x:c r="E19" s="12"/>
      <x:c r="F19" s="12"/>
      <x:c r="G19" s="12"/>
      <x:c r="H19" s="12"/>
      <x:c r="I19" s="12" t="str">
        <x:v>TPU supplier and CB mass/solvent/impregnation procedure reported</x:v>
      </x:c>
      <x:c r="J19" s="12" t="str">
        <x:v>Copper electrodes and electrical measurement hardware</x:v>
      </x:c>
      <x:c r="K19" s="12" t="str">
        <x:v>PDF pp. 7–8</x:v>
      </x:c>
      <x:c r="L19" s="12" t="str">
        <x:v>Batch 02</x:v>
      </x:c>
    </x:row>
    <x:row r="20" ht="24" hidden="0" customHeight="1">
      <x:c r="A20" s="12" t="str">
        <x:v>S023</x:v>
      </x:c>
      <x:c r="B20" s="12"/>
      <x:c r="C20" s="12"/>
      <x:c r="D20" s="12" t="str">
        <x:v>Ultimaker TPU 95A with embedded CFC</x:v>
      </x:c>
      <x:c r="E20" s="12"/>
      <x:c r="F20" s="12"/>
      <x:c r="G20" s="12"/>
      <x:c r="H20" s="12"/>
      <x:c r="I20" s="12" t="str">
        <x:v>TPU grade/diameter and CFC thickness/areal mass reported</x:v>
      </x:c>
      <x:c r="J20" s="12" t="str">
        <x:v>Kapton reinforcement and electrical contacts</x:v>
      </x:c>
      <x:c r="K20" s="12" t="str">
        <x:v>PDF pp. 3–5; Table 1</x:v>
      </x:c>
      <x:c r="L20" s="12" t="str">
        <x:v>Batch 02</x:v>
      </x:c>
    </x:row>
    <x:row r="21" ht="15" hidden="0" customHeight="1">
      <x:c r="A21" s="12" t="str">
        <x:v>S024</x:v>
      </x:c>
      <x:c r="B21" s="12"/>
      <x:c r="C21" s="12"/>
      <x:c r="D21" s="12" t="str">
        <x:v>Conductive TPU film with carbon black</x:v>
      </x:c>
      <x:c r="E21" s="12"/>
      <x:c r="F21" s="12"/>
      <x:c r="G21" s="12"/>
      <x:c r="H21" s="12"/>
      <x:c r="I21" s="12" t="str">
        <x:v>Reported resistivity 7 Ω·cm; complete formulation not in main text</x:v>
      </x:c>
      <x:c r="J21" s="12" t="str">
        <x:v>Laser-patterned cracks, PSA encapsulation and electrodes</x:v>
      </x:c>
      <x:c r="K21" s="12" t="str">
        <x:v>PDF pp. 4, 10–11</x:v>
      </x:c>
      <x:c r="L21" s="12" t="str">
        <x:v>Batch 02</x:v>
      </x:c>
    </x:row>
    <x:row r="22" ht="36" hidden="0" customHeight="1">
      <x:c r="A22" s="12" t="str">
        <x:v>S025</x:v>
      </x:c>
      <x:c r="B22" s="12"/>
      <x:c r="C22" s="12"/>
      <x:c r="D22" s="12" t="str">
        <x:v>Conductive CB-PLA pillar core with PLA sleeve</x:v>
      </x:c>
      <x:c r="E22" s="12"/>
      <x:c r="F22" s="12"/>
      <x:c r="G22" s="12"/>
      <x:c r="H22" s="12"/>
      <x:c r="I22" s="12" t="str">
        <x:v>CB-PLA pillar core; H+-selective cocktail: 1 mg hydrogen ionophore I, 0.76 mg NaTFPB, 33 mg PU and 66 mg DOS in 1 mL THF; reference membrane: 78 mg PVB and 50 mg NaCl in 1 mL methanol</x:v>
      </x:c>
      <x:c r="J22" s="12" t="str">
        <x:v>PLA sleeve/HMN housing and Ag/AgCl reference components</x:v>
      </x:c>
      <x:c r="K22" s="12" t="str">
        <x:v>Main article pp. 2-4; Supplementary Experimental section, SI p. 3</x:v>
      </x:c>
      <x:c r="L22" s="12" t="str">
        <x:v>Supplement verified 2026-09-03</x:v>
      </x:c>
    </x:row>
    <x:row r="23" ht="24" hidden="0" customHeight="1">
      <x:c r="A23" s="12" t="str">
        <x:v>S028</x:v>
      </x:c>
      <x:c r="B23" s="12"/>
      <x:c r="C23" s="12"/>
      <x:c r="D23" s="12" t="str">
        <x:v>Conductive PLA or conductive TPU plates; NinjaFlex 85A TPU dielectric</x:v>
      </x:c>
      <x:c r="E23" s="12"/>
      <x:c r="F23" s="12"/>
      <x:c r="G23" s="12"/>
      <x:c r="H23" s="12"/>
      <x:c r="I23" s="12" t="str">
        <x:v>Commercial filaments; dielectric infill 10% or 30%</x:v>
      </x:c>
      <x:c r="J23" s="12" t="str">
        <x:v>SingleTact converter, parallel capacitor and test leads</x:v>
      </x:c>
      <x:c r="K23" s="12" t="str">
        <x:v>PDF pp. 4–7; Figs. 1–3; Table 1</x:v>
      </x:c>
      <x:c r="L23" s="12" t="str">
        <x:v>Batch 03</x:v>
      </x:c>
    </x:row>
    <x:row r="24" ht="24" hidden="0" customHeight="1">
      <x:c r="A24" s="12" t="str">
        <x:v>S029</x:v>
      </x:c>
      <x:c r="B24" s="12"/>
      <x:c r="C24" s="12"/>
      <x:c r="D24" s="12" t="str">
        <x:v>Recreus Conductive Filaflex c-TPU</x:v>
      </x:c>
      <x:c r="E24" s="12"/>
      <x:c r="F24" s="12"/>
      <x:c r="G24" s="12"/>
      <x:c r="H24" s="12"/>
      <x:c r="I24" s="12" t="str">
        <x:v>Commercial 1.75 mm carbon-black/TPU filament; alternative c-TPU screened</x:v>
      </x:c>
      <x:c r="J24" s="12" t="str">
        <x:v>Textile glove, wires and Arduino voltage divider</x:v>
      </x:c>
      <x:c r="K24" s="12" t="str">
        <x:v>PDF pp. 4–11; Tables 1–2</x:v>
      </x:c>
      <x:c r="L24" s="12" t="str">
        <x:v>Batch 03</x:v>
      </x:c>
    </x:row>
    <x:row r="25" ht="24" hidden="0" customHeight="1">
      <x:c r="A25" s="12" t="str">
        <x:v>S031</x:v>
      </x:c>
      <x:c r="B25" s="12"/>
      <x:c r="C25" s="12"/>
      <x:c r="D25" s="12" t="str">
        <x:v>ABS wearable arms</x:v>
      </x:c>
      <x:c r="E25" s="12"/>
      <x:c r="F25" s="12"/>
      <x:c r="G25" s="12"/>
      <x:c r="H25" s="12"/>
      <x:c r="I25" s="12" t="str">
        <x:v>Commercial ABS; grade otherwise NR</x:v>
      </x:c>
      <x:c r="J25" s="12" t="str">
        <x:v>Hall-effect rotary encoder, magnet, Velcro/elastic straps, PCB and battery</x:v>
      </x:c>
      <x:c r="K25" s="12" t="str">
        <x:v>PDF pp. 3–4; Figs. 1–3</x:v>
      </x:c>
      <x:c r="L25" s="12" t="str">
        <x:v>Batch 03</x:v>
      </x:c>
    </x:row>
    <x:row r="26" ht="24" hidden="0" customHeight="1">
      <x:c r="A26" s="12" t="str">
        <x:v>S032</x:v>
      </x:c>
      <x:c r="B26" s="12"/>
      <x:c r="C26" s="12"/>
      <x:c r="D26" s="12" t="str">
        <x:v>Opaque PLA probe</x:v>
      </x:c>
      <x:c r="E26" s="12"/>
      <x:c r="F26" s="12"/>
      <x:c r="G26" s="12"/>
      <x:c r="H26" s="12"/>
      <x:c r="I26" s="12" t="str">
        <x:v>Commercial nontransparent PLA; grade NR</x:v>
      </x:c>
      <x:c r="J26" s="12" t="str">
        <x:v>780/850 nm laser diodes, CMOS camera, thermistor and medical tape</x:v>
      </x:c>
      <x:c r="K26" s="12" t="str">
        <x:v>PDF pp. 3–4; Fig. 1</x:v>
      </x:c>
      <x:c r="L26" s="12" t="str">
        <x:v>Batch 03</x:v>
      </x:c>
    </x:row>
    <x:row r="27" ht="24" hidden="0" customHeight="1">
      <x:c r="A27" s="12" t="str">
        <x:v>S033</x:v>
      </x:c>
      <x:c r="B27" s="12"/>
      <x:c r="C27" s="12"/>
      <x:c r="D27" s="12" t="str">
        <x:v>SEBS-based TPE network with embedded CNT surface layer</x:v>
      </x:c>
      <x:c r="E27" s="12"/>
      <x:c r="F27" s="12"/>
      <x:c r="G27" s="12"/>
      <x:c r="H27" s="12"/>
      <x:c r="I27" s="12" t="str">
        <x:v>TPE Shore 60A; CNT 10–20 nm, &gt;90 wt% purity; 0.0025–0.01 g/mL dispersions</x:v>
      </x:c>
      <x:c r="J27" s="12" t="str">
        <x:v>Copper electrodes</x:v>
      </x:c>
      <x:c r="K27" s="12" t="str">
        <x:v>PDF pp. 2–3; Fig. 1</x:v>
      </x:c>
      <x:c r="L27" s="12" t="str">
        <x:v>Batch 03</x:v>
      </x:c>
    </x:row>
    <x:row r="28" ht="24" hidden="0" customHeight="1">
      <x:c r="A28" s="12" t="str">
        <x:v>S034</x:v>
      </x:c>
      <x:c r="B28" s="12"/>
      <x:c r="C28" s="12"/>
      <x:c r="D28" s="12" t="str">
        <x:v>FDM ABS microfluidic structure on cotton</x:v>
      </x:c>
      <x:c r="E28" s="12"/>
      <x:c r="F28" s="12"/>
      <x:c r="G28" s="12"/>
      <x:c r="H28" s="12"/>
      <x:c r="I28" s="12" t="str">
        <x:v>Commercial ABS; cotton fabric</x:v>
      </x:c>
      <x:c r="J28" s="12" t="str">
        <x:v>Screen-printed Ag/AgCl ion-selective electrodes on resin pad; Arduino</x:v>
      </x:c>
      <x:c r="K28" s="12" t="str">
        <x:v>PDF pp. 2–4; Figs. 1–2</x:v>
      </x:c>
      <x:c r="L28" s="12" t="str">
        <x:v>Batch 03</x:v>
      </x:c>
    </x:row>
    <x:row r="29" ht="24" hidden="0" customHeight="1">
      <x:c r="A29" s="12" t="str">
        <x:v>S035</x:v>
      </x:c>
      <x:c r="B29" s="12"/>
      <x:c r="C29" s="12"/>
      <x:c r="D29" s="12" t="str">
        <x:v>Carbon-loaded PLA electrodes and TPU holder</x:v>
      </x:c>
      <x:c r="E29" s="12"/>
      <x:c r="F29" s="12"/>
      <x:c r="G29" s="12"/>
      <x:c r="H29" s="12"/>
      <x:c r="I29" s="12" t="str">
        <x:v>Four commercial conductive filaments screened; Proto-Pasta CB-PLA selected</x:v>
      </x:c>
      <x:c r="J29" s="12" t="str">
        <x:v>Electrodeposited Au, artificial sweat, portable potentiostat and rayon collector</x:v>
      </x:c>
      <x:c r="K29" s="12" t="str">
        <x:v>PDF pp. 2–4; Figs. 1–3</x:v>
      </x:c>
      <x:c r="L29" s="12" t="str">
        <x:v>Batch 03</x:v>
      </x:c>
    </x:row>
    <x:row r="30" ht="15" hidden="0" customHeight="1">
      <x:c r="A30" s="12" t="str">
        <x:v>S036</x:v>
      </x:c>
      <x:c r="B30" s="12"/>
      <x:c r="C30" s="12"/>
      <x:c r="D30" s="12" t="str">
        <x:v>CB-PLA electrodes and PLA body</x:v>
      </x:c>
      <x:c r="E30" s="12"/>
      <x:c r="F30" s="12"/>
      <x:c r="G30" s="12"/>
      <x:c r="H30" s="12"/>
      <x:c r="I30" s="12" t="str">
        <x:v>Commercial conductive and nonconductive filaments identified by reference</x:v>
      </x:c>
      <x:c r="J30" s="12" t="str">
        <x:v>Medical-grade adhesive, impedance reader, artificial sweat</x:v>
      </x:c>
      <x:c r="K30" s="12" t="str">
        <x:v>PDF pp. 2–4; Fig. 1</x:v>
      </x:c>
      <x:c r="L30" s="12" t="str">
        <x:v>Batch 03</x:v>
      </x:c>
    </x:row>
    <x:row r="31" ht="24" hidden="0" customHeight="1">
      <x:c r="A31" s="12" t="str">
        <x:v>S037</x:v>
      </x:c>
      <x:c r="B31" s="12"/>
      <x:c r="C31" s="12"/>
      <x:c r="D31" s="12" t="str">
        <x:v>Conductive TPU, NinjaFlex TPU and PETG</x:v>
      </x:c>
      <x:c r="E31" s="12"/>
      <x:c r="F31" s="12"/>
      <x:c r="G31" s="12"/>
      <x:c r="H31" s="12"/>
      <x:c r="I31" s="12" t="str">
        <x:v>ETPU 85-700+ 1.75 mm; commercial nonconductive TPU/PETG</x:v>
      </x:c>
      <x:c r="J31" s="12" t="str">
        <x:v>Copper wires, Wheatstone bridge and fingertip phantom</x:v>
      </x:c>
      <x:c r="K31" s="12" t="str">
        <x:v>PDF pp. 2, 4–6; Figs. 2, 5–8</x:v>
      </x:c>
      <x:c r="L31" s="12" t="str">
        <x:v>Batch 03</x:v>
      </x:c>
    </x:row>
    <x:row r="32" ht="24" hidden="0" customHeight="1">
      <x:c r="A32" s="12" t="str">
        <x:v>S038</x:v>
      </x:c>
      <x:c r="B32" s="12"/>
      <x:c r="C32" s="12"/>
      <x:c r="D32" s="12" t="str">
        <x:v>TPU/3 wt% MWCNT conductive traces and pure TPU body</x:v>
      </x:c>
      <x:c r="E32" s="12"/>
      <x:c r="F32" s="12"/>
      <x:c r="G32" s="12"/>
      <x:c r="H32" s="12"/>
      <x:c r="I32" s="12" t="str">
        <x:v>Elastollan 1185A TPU; Nanocyl NC7000 MWCNT; NinjaFlex and PLA used in glove</x:v>
      </x:c>
      <x:c r="J32" s="12" t="str">
        <x:v>Metal contact pins</x:v>
      </x:c>
      <x:c r="K32" s="12" t="str">
        <x:v>PDF pp. 3–5; Table 1; Figs. 1–4</x:v>
      </x:c>
      <x:c r="L32" s="12" t="str">
        <x:v>Batch 04</x:v>
      </x:c>
    </x:row>
    <x:row r="33" ht="24" hidden="0" customHeight="1">
      <x:c r="A33" s="12" t="str">
        <x:v>S039</x:v>
      </x:c>
      <x:c r="B33" s="12"/>
      <x:c r="C33" s="12"/>
      <x:c r="D33" s="12" t="str">
        <x:v>FDM TPU grooved substrate with sputtered Pt</x:v>
      </x:c>
      <x:c r="E33" s="12"/>
      <x:c r="F33" s="12"/>
      <x:c r="G33" s="12"/>
      <x:c r="H33" s="12"/>
      <x:c r="I33" s="12" t="str">
        <x:v>TPU grade NR; 32 nm Pt layer</x:v>
      </x:c>
      <x:c r="J33" s="12" t="str">
        <x:v>Copper wires, Ag paste and Kapton mask</x:v>
      </x:c>
      <x:c r="K33" s="12" t="str">
        <x:v>PDF pp. 3–4; Fig. 2</x:v>
      </x:c>
      <x:c r="L33" s="12" t="str">
        <x:v>Batch 04</x:v>
      </x:c>
    </x:row>
    <x:row r="34" ht="24" hidden="0" customHeight="1">
      <x:c r="A34" s="12" t="str">
        <x:v>S043</x:v>
      </x:c>
      <x:c r="B34" s="12"/>
      <x:c r="C34" s="12"/>
      <x:c r="D34" s="12" t="str">
        <x:v>CB/GRT/TPU electrodes and NinjaFlex wristband</x:v>
      </x:c>
      <x:c r="E34" s="12"/>
      <x:c r="F34" s="12"/>
      <x:c r="G34" s="12"/>
      <x:c r="H34" s="12"/>
      <x:c r="I34" s="12" t="str">
        <x:v>Eight CB:GRT formulations; 20 wt% CB/20 wt% GRT selected</x:v>
      </x:c>
      <x:c r="J34" s="12" t="str">
        <x:v>Artificial sweat, electrochemical reagents and external connectors</x:v>
      </x:c>
      <x:c r="K34" s="12" t="str">
        <x:v>PDF pp. 2–3, 9–12; Table 1</x:v>
      </x:c>
      <x:c r="L34" s="12" t="str">
        <x:v>Batch 04</x:v>
      </x:c>
    </x:row>
    <x:row r="35" ht="15" hidden="0" customHeight="1">
      <x:c r="A35" s="12" t="str">
        <x:v>S044</x:v>
      </x:c>
      <x:c r="B35" s="12"/>
      <x:c r="C35" s="12"/>
      <x:c r="D35" s="12" t="str">
        <x:v>GNP/TPU composite</x:v>
      </x:c>
      <x:c r="E35" s="12"/>
      <x:c r="F35" s="12"/>
      <x:c r="G35" s="12"/>
      <x:c r="H35" s="12"/>
      <x:c r="I35" s="12" t="str">
        <x:v>BASF TPU; GNP 1–6 wt%; SDS/DMF processing</x:v>
      </x:c>
      <x:c r="J35" s="12" t="str">
        <x:v>Copper electrodes, silver paste and PET encapsulation</x:v>
      </x:c>
      <x:c r="K35" s="12" t="str">
        <x:v>PDF pp. 3–4; Fig. 1; Fig. S2 cited</x:v>
      </x:c>
      <x:c r="L35" s="12" t="str">
        <x:v>Batch 04</x:v>
      </x:c>
    </x:row>
    <x:row r="36" ht="24" hidden="0" customHeight="1">
      <x:c r="A36" s="12" t="str">
        <x:v>S046</x:v>
      </x:c>
      <x:c r="B36" s="12"/>
      <x:c r="C36" s="12"/>
      <x:c r="D36" s="12" t="str">
        <x:v>PVDF/CFO and PVDF/CFO-BM composites</x:v>
      </x:c>
      <x:c r="E36" s="12"/>
      <x:c r="F36" s="12"/>
      <x:c r="G36" s="12"/>
      <x:c r="H36" s="12"/>
      <x:c r="I36" s="12" t="str">
        <x:v>PVDF with 5, 10, 15 or 20% cobalt ferrite; 1.5 mm filament</x:v>
      </x:c>
      <x:c r="J36" s="12" t="str">
        <x:v>Digital source meter, magnet and insole</x:v>
      </x:c>
      <x:c r="K36" s="12" t="str">
        <x:v>PDF pp. 2–6; Figs. 3–5; cited SI</x:v>
      </x:c>
      <x:c r="L36" s="12" t="str">
        <x:v>Batch 04</x:v>
      </x:c>
    </x:row>
    <x:row r="37" ht="24" hidden="0" customHeight="1">
      <x:c r="A37" s="12" t="str">
        <x:v>S047</x:v>
      </x:c>
      <x:c r="B37" s="12"/>
      <x:c r="C37" s="12"/>
      <x:c r="D37" s="12" t="str">
        <x:v>PLA patient-specific facial mask</x:v>
      </x:c>
      <x:c r="E37" s="12"/>
      <x:c r="F37" s="12"/>
      <x:c r="G37" s="12"/>
      <x:c r="H37" s="12"/>
      <x:c r="I37" s="12" t="str">
        <x:v>Cubicon iPLA; opaque PLA selected</x:v>
      </x:c>
      <x:c r="J37" s="12" t="str">
        <x:v>RA18 FSR modules, silicone liner, straps, ADC/Bluetooth electronics</x:v>
      </x:c>
      <x:c r="K37" s="12" t="str">
        <x:v>PDF pp. 3–5; Figs. 2–4</x:v>
      </x:c>
      <x:c r="L37" s="12" t="str">
        <x:v>Batch 04</x:v>
      </x:c>
    </x:row>
    <x:row r="38" ht="24" hidden="0" customHeight="1">
      <x:c r="A38" s="12" t="str">
        <x:v>S048</x:v>
      </x:c>
      <x:c r="B38" s="12"/>
      <x:c r="C38" s="12"/>
      <x:c r="D38" s="12" t="str">
        <x:v>TPU with surface/interface-embedded graphene</x:v>
      </x:c>
      <x:c r="E38" s="12"/>
      <x:c r="F38" s="12"/>
      <x:c r="G38" s="12"/>
      <x:c r="H38" s="12"/>
      <x:c r="I38" s="12" t="str">
        <x:v>Polyester TPU 65A; graphene suspensions 0.5–1.5 wt%</x:v>
      </x:c>
      <x:c r="J38" s="12" t="str">
        <x:v>Copper/electrical contacts; organic solvents for exposure tests</x:v>
      </x:c>
      <x:c r="K38" s="12" t="str">
        <x:v>PDF pp. 3–6; Figs. 1, 4–6</x:v>
      </x:c>
      <x:c r="L38" s="12" t="str">
        <x:v>Batch 04</x:v>
      </x:c>
    </x:row>
    <x:row r="39" ht="24" hidden="0" customHeight="1">
      <x:c r="A39" s="12" t="str">
        <x:v>S050</x:v>
      </x:c>
      <x:c r="B39" s="12"/>
      <x:c r="C39" s="12"/>
      <x:c r="D39" s="12" t="str">
        <x:v>ABS rigid support, TPU flexible region; embedded CYTOP polymer FBG</x:v>
      </x:c>
      <x:c r="E39" s="12"/>
      <x:c r="F39" s="12"/>
      <x:c r="G39" s="12"/>
      <x:c r="H39" s="12"/>
      <x:c r="I39" s="12" t="str">
        <x:v>Commercial filaments; FBG annealed at 70 °C for ~12 h</x:v>
      </x:c>
      <x:c r="J39" s="12" t="str">
        <x:v>Optical interrogator and wearable exoskeleton</x:v>
      </x:c>
      <x:c r="K39" s="12" t="str">
        <x:v>PDF pp. 3–4; Figs. 1–2</x:v>
      </x:c>
      <x:c r="L39" s="12" t="str">
        <x:v>Batch 05</x:v>
      </x:c>
    </x:row>
    <x:row r="40" ht="24" hidden="0" customHeight="1">
      <x:c r="A40" s="12" t="str">
        <x:v>S051</x:v>
      </x:c>
      <x:c r="B40" s="12"/>
      <x:c r="C40" s="12"/>
      <x:c r="D40" s="12" t="str">
        <x:v>Printed polyurethane device layers and microchannels</x:v>
      </x:c>
      <x:c r="E40" s="12"/>
      <x:c r="F40" s="12"/>
      <x:c r="G40" s="12"/>
      <x:c r="H40" s="12"/>
      <x:c r="I40" s="12" t="str">
        <x:v>MakerGear flexible filament; Galinstan injected after printing</x:v>
      </x:c>
      <x:c r="J40" s="12" t="str">
        <x:v>Thermopile, thermistor, Bluetooth module, actuator, PDMS and epoxy</x:v>
      </x:c>
      <x:c r="K40" s="12" t="str">
        <x:v>PDF pp. 2–3; Figs. 1–2</x:v>
      </x:c>
      <x:c r="L40" s="12" t="str">
        <x:v>Batch 05</x:v>
      </x:c>
    </x:row>
    <x:row r="41" ht="15" hidden="0" customHeight="1">
      <x:c r="A41" s="12" t="str">
        <x:v>S052</x:v>
      </x:c>
      <x:c r="B41" s="12"/>
      <x:c r="C41" s="12"/>
      <x:c r="D41" s="12" t="str">
        <x:v>PVDF/MMT active composite</x:v>
      </x:c>
      <x:c r="E41" s="12"/>
      <x:c r="F41" s="12"/>
      <x:c r="G41" s="12"/>
      <x:c r="H41" s="12"/>
      <x:c r="I41" s="12" t="str">
        <x:v>PVDF FR906; modified MMT at 5, 10 and 15 wt%; 1.75±0.05 mm filament</x:v>
      </x:c>
      <x:c r="J41" s="12" t="str">
        <x:v>Electrodes/readout and wearable glove assembly</x:v>
      </x:c>
      <x:c r="K41" s="12" t="str">
        <x:v>PDF pp. 2–3; Fig. 1</x:v>
      </x:c>
      <x:c r="L41" s="12" t="str">
        <x:v>Batch 05</x:v>
      </x:c>
    </x:row>
    <x:row r="42" ht="15" hidden="0" customHeight="1">
      <x:c r="A42" s="12" t="str">
        <x:v>S053</x:v>
      </x:c>
      <x:c r="B42" s="12"/>
      <x:c r="C42" s="12"/>
      <x:c r="D42" s="12" t="str">
        <x:v>MXene/MWCNT/TPU hybrid composite</x:v>
      </x:c>
      <x:c r="E42" s="12"/>
      <x:c r="F42" s="12"/>
      <x:c r="G42" s="12"/>
      <x:c r="H42" s="12"/>
      <x:c r="I42" s="12" t="str">
        <x:v>Total hybrid filler 5 wt%; MXene:MWCNT ratios 1:3, 1:1 and 3:1</x:v>
      </x:c>
      <x:c r="J42" s="12" t="str">
        <x:v>Electrical contacts and data acquisition</x:v>
      </x:c>
      <x:c r="K42" s="12" t="str">
        <x:v>PDF pp. 2–4; Figs. 1–3</x:v>
      </x:c>
      <x:c r="L42" s="12" t="str">
        <x:v>Batch 05</x:v>
      </x:c>
    </x:row>
    <x:row r="43" ht="15" hidden="0" customHeight="1">
      <x:c r="A43" s="12" t="str">
        <x:v>S054</x:v>
      </x:c>
      <x:c r="B43" s="12"/>
      <x:c r="C43" s="12"/>
      <x:c r="D43" s="12" t="str">
        <x:v>Filaflex 72A TPU</x:v>
      </x:c>
      <x:c r="E43" s="12"/>
      <x:c r="F43" s="12"/>
      <x:c r="G43" s="12"/>
      <x:c r="H43" s="12"/>
      <x:c r="I43" s="12" t="str">
        <x:v>Commercial flexible filament</x:v>
      </x:c>
      <x:c r="J43" s="12" t="str">
        <x:v>Mechanical test frame; proposed footwear insert</x:v>
      </x:c>
      <x:c r="K43" s="12" t="str">
        <x:v>PDF pp. 3–4; Fig. 1</x:v>
      </x:c>
      <x:c r="L43" s="12" t="str">
        <x:v>Batch 05</x:v>
      </x:c>
    </x:row>
    <x:row r="44" ht="15" hidden="0" customHeight="1">
      <x:c r="A44" s="12" t="str">
        <x:v>S055</x:v>
      </x:c>
      <x:c r="B44" s="12"/>
      <x:c r="C44" s="12"/>
      <x:c r="D44" s="12" t="str">
        <x:v>Printed PVDF active films</x:v>
      </x:c>
      <x:c r="E44" s="12"/>
      <x:c r="F44" s="12"/>
      <x:c r="G44" s="12"/>
      <x:c r="H44" s="12"/>
      <x:c r="I44" s="12" t="str">
        <x:v>PVDF grade 6020</x:v>
      </x:c>
      <x:c r="J44" s="12" t="str">
        <x:v>Copper electrodes, 0.18 mm PET and readout</x:v>
      </x:c>
      <x:c r="K44" s="12" t="str">
        <x:v>PDF pp. 3–4; Figs. 1–2</x:v>
      </x:c>
      <x:c r="L44" s="12" t="str">
        <x:v>Batch 05</x:v>
      </x:c>
    </x:row>
    <x:row r="45" ht="15" hidden="0" customHeight="1">
      <x:c r="A45" s="12" t="str">
        <x:v>S056</x:v>
      </x:c>
      <x:c r="B45" s="12"/>
      <x:c r="C45" s="12"/>
      <x:c r="D45" s="12" t="str">
        <x:v>MWCNT/CB/TPU conductive composite</x:v>
      </x:c>
      <x:c r="E45" s="12"/>
      <x:c r="F45" s="12"/>
      <x:c r="G45" s="12"/>
      <x:c r="H45" s="12"/>
      <x:c r="I45" s="12" t="str">
        <x:v>Full-factorial formulations; 6 wt% MWCNT/12 wt% CB selected</x:v>
      </x:c>
      <x:c r="J45" s="12" t="str">
        <x:v>Electrodes, acquisition electronics and substrate/fixtures</x:v>
      </x:c>
      <x:c r="K45" s="12" t="str">
        <x:v>PDF pp. 3–6; Figs. 1–3; Tables 1–2</x:v>
      </x:c>
      <x:c r="L45" s="12" t="str">
        <x:v>Batch 05</x:v>
      </x:c>
    </x:row>
    <x:row r="46" ht="15" hidden="0" customHeight="1">
      <x:c r="A46" s="12" t="str">
        <x:v>S057</x:v>
      </x:c>
      <x:c r="B46" s="12"/>
      <x:c r="C46" s="12"/>
      <x:c r="D46" s="12" t="str">
        <x:v>CNT/TPU conductive composite</x:v>
      </x:c>
      <x:c r="E46" s="12"/>
      <x:c r="F46" s="12"/>
      <x:c r="G46" s="12"/>
      <x:c r="H46" s="12"/>
      <x:c r="I46" s="12" t="str">
        <x:v>0–10 wt% CNT; 8 wt% selected</x:v>
      </x:c>
      <x:c r="J46" s="12" t="str">
        <x:v>Copper contacts and wearable fixtures</x:v>
      </x:c>
      <x:c r="K46" s="12" t="str">
        <x:v>PDF pp. 3–6; Figs. 1–4</x:v>
      </x:c>
      <x:c r="L46" s="12" t="str">
        <x:v>Batch 05</x:v>
      </x:c>
    </x:row>
    <x:row r="47" ht="15" hidden="0" customHeight="1">
      <x:c r="A47" s="12" t="str">
        <x:v>S058</x:v>
      </x:c>
      <x:c r="B47" s="12"/>
      <x:c r="C47" s="12"/>
      <x:c r="D47" s="12" t="str">
        <x:v>Printed TPE active structure</x:v>
      </x:c>
      <x:c r="E47" s="12"/>
      <x:c r="F47" s="12"/>
      <x:c r="G47" s="12"/>
      <x:c r="H47" s="12"/>
      <x:c r="I47" s="12" t="str">
        <x:v>eSUN TPE</x:v>
      </x:c>
      <x:c r="J47" s="12" t="str">
        <x:v>FPC Cu/PI electrodes and polyurethane encapsulation</x:v>
      </x:c>
      <x:c r="K47" s="12" t="str">
        <x:v>PDF pp. 3–5; Figs. 1–2</x:v>
      </x:c>
      <x:c r="L47" s="12" t="str">
        <x:v>Batch 05</x:v>
      </x:c>
    </x:row>
    <x:row r="48" ht="24" hidden="0" customHeight="1">
      <x:c r="A48" s="12" t="str">
        <x:v>S059</x:v>
      </x:c>
      <x:c r="B48" s="12"/>
      <x:c r="C48" s="12"/>
      <x:c r="D48" s="12" t="str">
        <x:v>Conductive CB–TPU plus insulating TPU</x:v>
      </x:c>
      <x:c r="E48" s="12"/>
      <x:c r="F48" s="12"/>
      <x:c r="G48" s="12"/>
      <x:c r="H48" s="12"/>
      <x:c r="I48" s="12" t="str">
        <x:v>Conductive Filaflex and SUNLU TPU, 1.75 mm</x:v>
      </x:c>
      <x:c r="J48" s="12" t="str">
        <x:v>Integrated wiring/readout; BioHarness reference</x:v>
      </x:c>
      <x:c r="K48" s="12" t="str">
        <x:v>PDF pp. 3–5; Figs. 1–2</x:v>
      </x:c>
      <x:c r="L48" s="12" t="str">
        <x:v>Batch 05</x:v>
      </x:c>
    </x:row>
    <x:row r="49" ht="15" hidden="0" customHeight="1">
      <x:c r="A49" s="12" t="str">
        <x:v>S060</x:v>
      </x:c>
      <x:c r="B49" s="12"/>
      <x:c r="C49" s="12"/>
      <x:c r="D49" s="12" t="str">
        <x:v>TPU/MWCNT conductive composite</x:v>
      </x:c>
      <x:c r="E49" s="12"/>
      <x:c r="F49" s="12"/>
      <x:c r="G49" s="12"/>
      <x:c r="H49" s="12"/>
      <x:c r="I49" s="12" t="str">
        <x:v>TPU with 2, 3 or 4 wt% MWCNT; 1.75 mm filament</x:v>
      </x:c>
      <x:c r="J49" s="12" t="str">
        <x:v>Electrical contacts, midsole and wireless readout</x:v>
      </x:c>
      <x:c r="K49" s="12" t="str">
        <x:v>PDF pp. 3–5; Figs. 1–2</x:v>
      </x:c>
      <x:c r="L49" s="12" t="str">
        <x:v>Batch 06</x:v>
      </x:c>
    </x:row>
    <x:row r="50" ht="15" hidden="0" customHeight="1">
      <x:c r="A50" s="12" t="str">
        <x:v>S061</x:v>
      </x:c>
      <x:c r="B50" s="12"/>
      <x:c r="C50" s="12"/>
      <x:c r="D50" s="12" t="str">
        <x:v>PLA antenna substrate</x:v>
      </x:c>
      <x:c r="E50" s="12"/>
      <x:c r="F50" s="12"/>
      <x:c r="G50" s="12"/>
      <x:c r="H50" s="12"/>
      <x:c r="I50" s="12" t="str">
        <x:v>Commercial 1.75 mm PLA</x:v>
      </x:c>
      <x:c r="J50" s="12" t="str">
        <x:v>Copper patch/ground, SMA connector and splint</x:v>
      </x:c>
      <x:c r="K50" s="12" t="str">
        <x:v>PDF pp. 3–5; Figs. 1–4</x:v>
      </x:c>
      <x:c r="L50" s="12" t="str">
        <x:v>Batch 06</x:v>
      </x:c>
    </x:row>
    <x:row r="51" ht="24" hidden="0" customHeight="1">
      <x:c r="A51" s="12" t="str">
        <x:v>S063</x:v>
      </x:c>
      <x:c r="B51" s="12"/>
      <x:c r="C51" s="12"/>
      <x:c r="D51" s="12" t="str">
        <x:v>TPU structure with post-embedded CNT network</x:v>
      </x:c>
      <x:c r="E51" s="12"/>
      <x:c r="F51" s="12"/>
      <x:c r="G51" s="12"/>
      <x:c r="H51" s="12"/>
      <x:c r="I51" s="12" t="str">
        <x:v>TPU 89A/92A/95A; 1% w/v CNT suspension</x:v>
      </x:c>
      <x:c r="J51" s="12" t="str">
        <x:v>Electrical contacts and insole</x:v>
      </x:c>
      <x:c r="K51" s="12" t="str">
        <x:v>PDF pp. 3–5; Figs. 1–3</x:v>
      </x:c>
      <x:c r="L51" s="12" t="str">
        <x:v>Batch 06</x:v>
      </x:c>
    </x:row>
    <x:row r="52" ht="24" hidden="0" customHeight="1">
      <x:c r="A52" s="12" t="str">
        <x:v>S064</x:v>
      </x:c>
      <x:c r="B52" s="12"/>
      <x:c r="C52" s="12"/>
      <x:c r="D52" s="12" t="str">
        <x:v>TPE host and carbon-based DIW sensing filament</x:v>
      </x:c>
      <x:c r="E52" s="12"/>
      <x:c r="F52" s="12"/>
      <x:c r="G52" s="12"/>
      <x:c r="H52" s="12"/>
      <x:c r="I52" s="12" t="str">
        <x:v>Commercial TPE, 1.75 mm; conductive ink formulation described</x:v>
      </x:c>
      <x:c r="J52" s="12" t="str">
        <x:v>Silver conductors and epoxy insulating layers</x:v>
      </x:c>
      <x:c r="K52" s="12" t="str">
        <x:v>PDF pp. 2–4; Figs. 1–2; Table 1</x:v>
      </x:c>
      <x:c r="L52" s="12" t="str">
        <x:v>Batch 06</x:v>
      </x:c>
    </x:row>
    <x:row r="53" ht="24" hidden="0" customHeight="1">
      <x:c r="A53" s="12" t="str">
        <x:v>S065</x:v>
      </x:c>
      <x:c r="B53" s="12"/>
      <x:c r="C53" s="12"/>
      <x:c r="D53" s="12" t="str">
        <x:v>Microstructured TPE coated with modified PEDOT:PSS</x:v>
      </x:c>
      <x:c r="E53" s="12"/>
      <x:c r="F53" s="12"/>
      <x:c r="G53" s="12"/>
      <x:c r="H53" s="12"/>
      <x:c r="I53" s="12" t="str">
        <x:v>TPE filament; PEDOT:PSS with PEG, DMSO and Triton X-100</x:v>
      </x:c>
      <x:c r="J53" s="12" t="str">
        <x:v>Electrical contacts and test fixtures</x:v>
      </x:c>
      <x:c r="K53" s="12" t="str">
        <x:v>PDF pp. 2–4; Figs. 1–2</x:v>
      </x:c>
      <x:c r="L53" s="12" t="str">
        <x:v>Batch 06</x:v>
      </x:c>
    </x:row>
    <x:row r="54" ht="15" hidden="0" customHeight="1">
      <x:c r="A54" s="12" t="str">
        <x:v>S066</x:v>
      </x:c>
      <x:c r="B54" s="12"/>
      <x:c r="C54" s="12"/>
      <x:c r="D54" s="12" t="str">
        <x:v>Conductive CB-TPU strain element</x:v>
      </x:c>
      <x:c r="E54" s="12"/>
      <x:c r="F54" s="12"/>
      <x:c r="G54" s="12"/>
      <x:c r="H54" s="12"/>
      <x:c r="I54" s="12" t="str">
        <x:v>Conductive Filaflex CB-TPU</x:v>
      </x:c>
      <x:c r="J54" s="12" t="str">
        <x:v>Signal-conditioning PCB, textile support and BioHarness reference</x:v>
      </x:c>
      <x:c r="K54" s="12" t="str">
        <x:v>PDF pp. 2–4; Figs. 1–3</x:v>
      </x:c>
      <x:c r="L54" s="12" t="str">
        <x:v>Batch 06</x:v>
      </x:c>
    </x:row>
    <x:row r="55" ht="15" hidden="0" customHeight="1">
      <x:c r="A55" s="12" t="str">
        <x:v>S067</x:v>
      </x:c>
      <x:c r="B55" s="12"/>
      <x:c r="C55" s="12"/>
      <x:c r="D55" s="12" t="str">
        <x:v>TPE insole/triboelectric layers</x:v>
      </x:c>
      <x:c r="E55" s="12"/>
      <x:c r="F55" s="12"/>
      <x:c r="G55" s="12"/>
      <x:c r="H55" s="12"/>
      <x:c r="I55" s="12" t="str">
        <x:v>eSUN TPE 83A</x:v>
      </x:c>
      <x:c r="J55" s="12" t="str">
        <x:v>Ecoflex 00-30 and conductive fabric electrodes</x:v>
      </x:c>
      <x:c r="K55" s="12" t="str">
        <x:v>PDF pp. 2–4; Figs. 1–2</x:v>
      </x:c>
      <x:c r="L55" s="12" t="str">
        <x:v>Batch 06</x:v>
      </x:c>
    </x:row>
    <x:row r="56" ht="15" hidden="0" customHeight="1">
      <x:c r="A56" s="12" t="str">
        <x:v>S068</x:v>
      </x:c>
      <x:c r="B56" s="12"/>
      <x:c r="C56" s="12"/>
      <x:c r="D56" s="12" t="str">
        <x:v>Conductive TPU/CB with silver IDE</x:v>
      </x:c>
      <x:c r="E56" s="12"/>
      <x:c r="F56" s="12"/>
      <x:c r="G56" s="12"/>
      <x:c r="H56" s="12"/>
      <x:c r="I56" s="12" t="str">
        <x:v>Conductive Filaflex 95A, 1.75 mm; filler ratio undisclosed</x:v>
      </x:c>
      <x:c r="J56" s="12" t="str">
        <x:v>Silver ink IDE and insulating adhesive</x:v>
      </x:c>
      <x:c r="K56" s="12" t="str">
        <x:v>PDF pp. 2–4; Figs. 1–2; Table 1</x:v>
      </x:c>
      <x:c r="L56" s="12" t="str">
        <x:v>Batch 06</x:v>
      </x:c>
    </x:row>
    <x:row r="57" ht="24" hidden="0" customHeight="1">
      <x:c r="A57" s="12" t="str">
        <x:v>S069</x:v>
      </x:c>
      <x:c r="B57" s="12"/>
      <x:c r="C57" s="12"/>
      <x:c r="D57" s="12" t="str">
        <x:v>PP triboactive layer on conductive fabric</x:v>
      </x:c>
      <x:c r="E57" s="12"/>
      <x:c r="F57" s="12"/>
      <x:c r="G57" s="12"/>
      <x:c r="H57" s="12"/>
      <x:c r="I57" s="12" t="str">
        <x:v>PP selected after trials with nylon, PETG and TPU</x:v>
      </x:c>
      <x:c r="J57" s="12" t="str">
        <x:v>Silver-metallized polyamide-elastane fabric and Ecoflex-coated counterlayer</x:v>
      </x:c>
      <x:c r="K57" s="12" t="str">
        <x:v>PDF pp. 2–4; Figs. 1–2</x:v>
      </x:c>
      <x:c r="L57" s="12" t="str">
        <x:v>Batch 06</x:v>
      </x:c>
    </x:row>
    <x:row r="58" ht="15" hidden="0" customHeight="1">
      <x:c r="A58" s="12" t="str">
        <x:v>S070</x:v>
      </x:c>
      <x:c r="B58" s="12"/>
      <x:c r="C58" s="12"/>
      <x:c r="D58" s="12" t="str">
        <x:v>TPU body with embedded silica FBG</x:v>
      </x:c>
      <x:c r="E58" s="12"/>
      <x:c r="F58" s="12"/>
      <x:c r="G58" s="12"/>
      <x:c r="H58" s="12"/>
      <x:c r="I58" s="12" t="str">
        <x:v>TPU Shore 85A or 95A; 10-mm polyamide-coated FBG</x:v>
      </x:c>
      <x:c r="J58" s="12" t="str">
        <x:v>Optical interrogation and wearable fixation</x:v>
      </x:c>
      <x:c r="K58" s="12" t="str">
        <x:v>PDF pp. 3–4; Figs. 1–2</x:v>
      </x:c>
      <x:c r="L58" s="12" t="str">
        <x:v>Batch 07</x:v>
      </x:c>
    </x:row>
    <x:row r="59" ht="24" hidden="0" customHeight="1">
      <x:c r="A59" s="12" t="str">
        <x:v>S071</x:v>
      </x:c>
      <x:c r="B59" s="12"/>
      <x:c r="C59" s="12"/>
      <x:c r="D59" s="12" t="str">
        <x:v>TPU TPMS substrate with graphene coating</x:v>
      </x:c>
      <x:c r="E59" s="12"/>
      <x:c r="F59" s="12"/>
      <x:c r="G59" s="12"/>
      <x:c r="H59" s="12"/>
      <x:c r="I59" s="12" t="str">
        <x:v>KEXCELLED TPU 85A; graphene dispersed in ethanol with PVP</x:v>
      </x:c>
      <x:c r="J59" s="12" t="str">
        <x:v>Electrical contacts and plantar test arrangement</x:v>
      </x:c>
      <x:c r="K59" s="12" t="str">
        <x:v>PDF pp. 2–4; Figs. 1–2</x:v>
      </x:c>
      <x:c r="L59" s="12" t="str">
        <x:v>Batch 07</x:v>
      </x:c>
    </x:row>
    <x:row r="60" ht="15" hidden="0" customHeight="1">
      <x:c r="A60" s="12" t="str">
        <x:v>S073</x:v>
      </x:c>
      <x:c r="B60" s="12"/>
      <x:c r="C60" s="12"/>
      <x:c r="D60" s="12" t="str">
        <x:v>Continuous carbon fiber reinforced TPU</x:v>
      </x:c>
      <x:c r="E60" s="12"/>
      <x:c r="F60" s="12"/>
      <x:c r="G60" s="12"/>
      <x:c r="H60" s="12"/>
      <x:c r="I60" s="12" t="str">
        <x:v>CCF properties in Table 1; TPU matrix</x:v>
      </x:c>
      <x:c r="J60" s="12" t="str">
        <x:v>Electrical leads, glove and control electronics</x:v>
      </x:c>
      <x:c r="K60" s="12" t="str">
        <x:v>PDF pp. 3–5; Figs. 1–3; Table 1</x:v>
      </x:c>
      <x:c r="L60" s="12" t="str">
        <x:v>Batch 07</x:v>
      </x:c>
    </x:row>
    <x:row r="61" ht="15" hidden="0" customHeight="1">
      <x:c r="A61" s="12" t="str">
        <x:v>S074</x:v>
      </x:c>
      <x:c r="B61" s="12"/>
      <x:c r="C61" s="12"/>
      <x:c r="D61" s="12" t="str">
        <x:v>TPU/PLA body with embedded FBG</x:v>
      </x:c>
      <x:c r="E61" s="12"/>
      <x:c r="F61" s="12"/>
      <x:c r="G61" s="12"/>
      <x:c r="H61" s="12"/>
      <x:c r="I61" s="12" t="str">
        <x:v>Flexible TPU center; rigid PLA flanges; pre-tensioned optical fiber</x:v>
      </x:c>
      <x:c r="J61" s="12" t="str">
        <x:v>BioHarness reference and optical interrogator</x:v>
      </x:c>
      <x:c r="K61" s="12" t="str">
        <x:v>PDF pp. 3–5; Figs. 1–4</x:v>
      </x:c>
      <x:c r="L61" s="12" t="str">
        <x:v>Batch 07</x:v>
      </x:c>
    </x:row>
    <x:row r="62" ht="15" hidden="0" customHeight="1">
      <x:c r="A62" s="12" t="str">
        <x:v>S075</x:v>
      </x:c>
      <x:c r="B62" s="12"/>
      <x:c r="C62" s="12"/>
      <x:c r="D62" s="12" t="str">
        <x:v>Conductive CB-TPU strain element</x:v>
      </x:c>
      <x:c r="E62" s="12"/>
      <x:c r="F62" s="12"/>
      <x:c r="G62" s="12"/>
      <x:c r="H62" s="12"/>
      <x:c r="I62" s="12" t="str">
        <x:v>Filaflex CB-TPU, 2.85 mm, Shore 92A, reported resistivity 3.9 Ω cm</x:v>
      </x:c>
      <x:c r="J62" s="12" t="str">
        <x:v>Copper-tape contacts; kinesiology tape; Ecoflex 00-30 silicone</x:v>
      </x:c>
      <x:c r="K62" s="12" t="str">
        <x:v>PDF pp. 2–3; Fig. 1</x:v>
      </x:c>
      <x:c r="L62" s="12" t="str">
        <x:v>Batch 07</x:v>
      </x:c>
    </x:row>
    <x:row r="63" ht="24" hidden="0" customHeight="1">
      <x:c r="A63" s="12" t="str">
        <x:v>S076</x:v>
      </x:c>
      <x:c r="B63" s="12"/>
      <x:c r="C63" s="12"/>
      <x:c r="D63" s="12" t="str">
        <x:v>Active PVDF film</x:v>
      </x:c>
      <x:c r="E63" s="12"/>
      <x:c r="F63" s="12"/>
      <x:c r="G63" s="12"/>
      <x:c r="H63" s="12"/>
      <x:c r="I63" s="12" t="str">
        <x:v>Solef PVDF pellets compounded into approximately 2–3-mm filament</x:v>
      </x:c>
      <x:c r="J63" s="12" t="str">
        <x:v>Gold electrodes for d33 tests; nanogenerator electrodes and spacer</x:v>
      </x:c>
      <x:c r="K63" s="12" t="str">
        <x:v>PDF pp. 3–4; Figs. 1–2</x:v>
      </x:c>
      <x:c r="L63" s="12" t="str">
        <x:v>Batch 07</x:v>
      </x:c>
    </x:row>
    <x:row r="64" ht="15" hidden="0" customHeight="1">
      <x:c r="A64" s="12" t="str">
        <x:v>S077</x:v>
      </x:c>
      <x:c r="B64" s="12"/>
      <x:c r="C64" s="12"/>
      <x:c r="D64" s="12" t="str">
        <x:v>TPU/graphene/PEDOT:PSS hybrid</x:v>
      </x:c>
      <x:c r="E64" s="12"/>
      <x:c r="F64" s="12"/>
      <x:c r="G64" s="12"/>
      <x:c r="H64" s="12"/>
      <x:c r="I64" s="12" t="str">
        <x:v>TPU 1.75 mm; graphene; PEDOT:PSS Elec-EY300</x:v>
      </x:c>
      <x:c r="J64" s="12" t="str">
        <x:v>Silver paste, copper wires and Tegaderm fixation</x:v>
      </x:c>
      <x:c r="K64" s="12" t="str">
        <x:v>PDF pp. 3–5; Figs. 1–3</x:v>
      </x:c>
      <x:c r="L64" s="12" t="str">
        <x:v>Batch 07</x:v>
      </x:c>
    </x:row>
    <x:row r="65" ht="24" hidden="0" customHeight="1">
      <x:c r="A65" s="12" t="str">
        <x:v>S078</x:v>
      </x:c>
      <x:c r="B65" s="12"/>
      <x:c r="C65" s="12"/>
      <x:c r="D65" s="12" t="str">
        <x:v>Microwave-embedded CNT layer on TPU</x:v>
      </x:c>
      <x:c r="E65" s="12"/>
      <x:c r="F65" s="12"/>
      <x:c r="G65" s="12"/>
      <x:c r="H65" s="12"/>
      <x:c r="I65" s="12" t="str">
        <x:v>TPU 85A; CNT/PVP ethanol suspensions at 1, 3 and 5 mg mL⁻¹</x:v>
      </x:c>
      <x:c r="J65" s="12" t="str">
        <x:v>Copper-tape electrodes and wires</x:v>
      </x:c>
      <x:c r="K65" s="12" t="str">
        <x:v>PDF pp. 3–8; Figs. 1–6</x:v>
      </x:c>
      <x:c r="L65" s="12" t="str">
        <x:v>Batch 07</x:v>
      </x:c>
    </x:row>
    <x:row r="66" ht="24" hidden="0" customHeight="1">
      <x:c r="A66" s="12" t="str">
        <x:v>S079</x:v>
      </x:c>
      <x:c r="B66" s="12"/>
      <x:c r="C66" s="12"/>
      <x:c r="D66" s="12" t="str">
        <x:v>TPU/MXene-SA/MWCNT conductive composite</x:v>
      </x:c>
      <x:c r="E66" s="12"/>
      <x:c r="F66" s="12"/>
      <x:c r="G66" s="12"/>
      <x:c r="H66" s="12"/>
      <x:c r="I66" s="12" t="str">
        <x:v>TPU 2790A; MXene-SA and MWCNTs melt blended; 1.75±0.5-mm filament</x:v>
      </x:c>
      <x:c r="J66" s="12" t="str">
        <x:v>Silver paste, copper electrodes and PCB array</x:v>
      </x:c>
      <x:c r="K66" s="12" t="str">
        <x:v>PDF pp. 2–4; Figs. 1–2</x:v>
      </x:c>
      <x:c r="L66" s="12" t="str">
        <x:v>Batch 07</x:v>
      </x:c>
    </x:row>
    <x:row r="67" ht="24" hidden="0" customHeight="1">
      <x:c r="A67" s="12" t="str">
        <x:v>S080</x:v>
      </x:c>
      <x:c r="B67" s="12"/>
      <x:c r="C67" s="12"/>
      <x:c r="D67" s="12" t="str">
        <x:v>TPU TPMS substrate with graphene surface coating</x:v>
      </x:c>
      <x:c r="E67" s="12"/>
      <x:c r="F67" s="12"/>
      <x:c r="G67" s="12"/>
      <x:c r="H67" s="12"/>
      <x:c r="I67" s="12" t="str">
        <x:v>NinjaTek TPU filament, 1.75 mm; 15-µm graphene nanoplatelets in acetone; 10 wt% nail polish binder</x:v>
      </x:c>
      <x:c r="J67" s="12" t="str">
        <x:v>Two-probe/Arduino resistance circuit and wearable fixation</x:v>
      </x:c>
      <x:c r="K67" s="12" t="str">
        <x:v>PDF p. 4; Figs. 2–3</x:v>
      </x:c>
      <x:c r="L67" s="12" t="str">
        <x:v>Batch 08</x:v>
      </x:c>
    </x:row>
    <x:row r="68" ht="15" hidden="0" customHeight="1">
      <x:c r="A68" s="12" t="str">
        <x:v>S081</x:v>
      </x:c>
      <x:c r="B68" s="12"/>
      <x:c r="C68" s="12"/>
      <x:c r="D68" s="12" t="str">
        <x:v>TPU body with embedded silica FBG</x:v>
      </x:c>
      <x:c r="E68" s="12"/>
      <x:c r="F68" s="12"/>
      <x:c r="G68" s="12"/>
      <x:c r="H68" s="12"/>
      <x:c r="I68" s="12" t="str">
        <x:v>JAYO TPU Shore 95A; 5-mm acrylate-coated FBG; protective flexible tube</x:v>
      </x:c>
      <x:c r="J68" s="12" t="str">
        <x:v>Elastic band, optical interrogator and PLA loading mold</x:v>
      </x:c>
      <x:c r="K68" s="12" t="str">
        <x:v>PDF pp. 3–5; Figs. 1–5</x:v>
      </x:c>
      <x:c r="L68" s="12" t="str">
        <x:v>Batch 08</x:v>
      </x:c>
    </x:row>
    <x:row r="69" ht="24" hidden="0" customHeight="1">
      <x:c r="A69" s="12" t="str">
        <x:v>S082</x:v>
      </x:c>
      <x:c r="B69" s="12"/>
      <x:c r="C69" s="12"/>
      <x:c r="D69" s="12" t="str">
        <x:v>CNT/SBS conductive phase with TPU insulating phase</x:v>
      </x:c>
      <x:c r="E69" s="12"/>
      <x:c r="F69" s="12"/>
      <x:c r="G69" s="12"/>
      <x:c r="H69" s="12"/>
      <x:c r="I69" s="12" t="str">
        <x:v>NC7000 CNT 1 wt%; SBS YH-792; TPU Bayer 2195; 1.75-mm feed filament; ~400-µm printed fibre</x:v>
      </x:c>
      <x:c r="J69" s="12" t="str">
        <x:v>Silver paste and silver-wire electrodes</x:v>
      </x:c>
      <x:c r="K69" s="12" t="str">
        <x:v>PDF pp. 3–5; Fig. 1</x:v>
      </x:c>
      <x:c r="L69" s="12" t="str">
        <x:v>Batch 08</x:v>
      </x:c>
    </x:row>
    <x:row r="70" ht="24" hidden="0" customHeight="1">
      <x:c r="A70" s="12" t="str">
        <x:v>S084</x:v>
      </x:c>
      <x:c r="B70" s="12"/>
      <x:c r="C70" s="12"/>
      <x:c r="D70" s="12" t="str">
        <x:v>CNT/SBS conductive phase with TPU insulating phase</x:v>
      </x:c>
      <x:c r="E70" s="12"/>
      <x:c r="F70" s="12"/>
      <x:c r="G70" s="12"/>
      <x:c r="H70" s="12"/>
      <x:c r="I70" s="12" t="str">
        <x:v>NC7000 CNT at 1–3 wt%; SBS YH-792; TPU Bayer 2195; 1.75-mm feed filament; ~400-µm printed fibre</x:v>
      </x:c>
      <x:c r="J70" s="12" t="str">
        <x:v>Silver paste and silver-wire electrodes</x:v>
      </x:c>
      <x:c r="K70" s="12" t="str">
        <x:v>PDF pp. 3–5; Fig. 1</x:v>
      </x:c>
      <x:c r="L70" s="12" t="str">
        <x:v>Batch 08</x:v>
      </x:c>
    </x:row>
    <x:row r="71" ht="24" hidden="0" customHeight="1">
      <x:c r="A71" s="12" t="str">
        <x:v>S085</x:v>
      </x:c>
      <x:c r="B71" s="12"/>
      <x:c r="C71" s="12"/>
      <x:c r="D71" s="12" t="str">
        <x:v>Carbon-black/TPU conductive path on TPU film</x:v>
      </x:c>
      <x:c r="E71" s="12"/>
      <x:c r="F71" s="12"/>
      <x:c r="G71" s="12"/>
      <x:c r="H71" s="12"/>
      <x:c r="I71" s="12" t="str">
        <x:v>88 wt% TPU and 12 wt% carbon black; 1.75-mm composite filament; pure TPU film substrate</x:v>
      </x:c>
      <x:c r="J71" s="12" t="str">
        <x:v>Resistance tester and insulated grips</x:v>
      </x:c>
      <x:c r="K71" s="12" t="str">
        <x:v>PDF pp. 1–4; Figs. 1–4</x:v>
      </x:c>
      <x:c r="L71" s="12" t="str">
        <x:v>Batch 08</x:v>
      </x:c>
    </x:row>
    <x:row r="72" ht="24" hidden="0" customHeight="1">
      <x:c r="A72" s="12" t="str">
        <x:v>S086</x:v>
      </x:c>
      <x:c r="B72" s="12"/>
      <x:c r="C72" s="12"/>
      <x:c r="D72" s="12" t="str">
        <x:v>TPU/Ag layered composite</x:v>
      </x:c>
      <x:c r="E72" s="12"/>
      <x:c r="F72" s="12"/>
      <x:c r="G72" s="12"/>
      <x:c r="H72" s="12"/>
      <x:c r="I72" s="12" t="str">
        <x:v>TPU LP-9313; conductive silver paste containing nanosilver, solvent, resin and curing agent; 1.75±0.05-mm TPU filament</x:v>
      </x:c>
      <x:c r="J72" s="12" t="str">
        <x:v>Copper/electrical connections and microwave post-treatment</x:v>
      </x:c>
      <x:c r="K72" s="12" t="str">
        <x:v>PDF pp. 2–3; Fig. 1; Table S1 cited</x:v>
      </x:c>
      <x:c r="L72" s="12" t="str">
        <x:v>Batch 08</x:v>
      </x:c>
    </x:row>
    <x:row r="73" ht="15" hidden="0" customHeight="1">
      <x:c r="A73" s="12" t="str">
        <x:v>S087</x:v>
      </x:c>
      <x:c r="B73" s="12"/>
      <x:c r="C73" s="12"/>
      <x:c r="D73" s="12" t="str">
        <x:v>Graphene surface-filled SEBS network</x:v>
      </x:c>
      <x:c r="E73" s="12"/>
      <x:c r="F73" s="12"/>
      <x:c r="G73" s="12"/>
      <x:c r="H73" s="12"/>
      <x:c r="I73" s="12" t="str">
        <x:v>SEBS Shore 5A; 1–5-µm graphene nanosheets at 0.001–0.006 g mL⁻¹</x:v>
      </x:c>
      <x:c r="J73" s="12" t="str">
        <x:v>Copper electrodes</x:v>
      </x:c>
      <x:c r="K73" s="12" t="str">
        <x:v>PDF pp. 2–4; Fig. 1</x:v>
      </x:c>
      <x:c r="L73" s="12" t="str">
        <x:v>Batch 08</x:v>
      </x:c>
    </x:row>
    <x:row r="74" ht="24" hidden="0" customHeight="1">
      <x:c r="A74" s="12" t="str">
        <x:v>S088</x:v>
      </x:c>
      <x:c r="B74" s="12"/>
      <x:c r="C74" s="12"/>
      <x:c r="D74" s="12" t="str">
        <x:v>Flexible PLA ring with embedded FBG</x:v>
      </x:c>
      <x:c r="E74" s="12"/>
      <x:c r="F74" s="12"/>
      <x:c r="G74" s="12"/>
      <x:c r="H74" s="12"/>
      <x:c r="I74" s="12" t="str">
        <x:v>Flexible PLA filament, 1.75 mm; bare FBG, initial wavelength reported as 1546.7 nm</x:v>
      </x:c>
      <x:c r="J74" s="12" t="str">
        <x:v>Glue at FBG ends and optical interrogation system</x:v>
      </x:c>
      <x:c r="K74" s="12" t="str">
        <x:v>PDF pp. 4–6; Figs. 1–4; Table 1</x:v>
      </x:c>
      <x:c r="L74" s="12" t="str">
        <x:v>Batch 08</x:v>
      </x:c>
    </x:row>
    <x:row r="75" ht="24" hidden="0" customHeight="1">
      <x:c r="A75" s="12" t="str">
        <x:v>S089</x:v>
      </x:c>
      <x:c r="B75" s="12"/>
      <x:c r="C75" s="12"/>
      <x:c r="D75" s="12" t="str">
        <x:v>TPU nanocomposites with CNT, GNP or hybrid fillers</x:v>
      </x:c>
      <x:c r="E75" s="12"/>
      <x:c r="F75" s="12"/>
      <x:c r="G75" s="12"/>
      <x:c r="H75" s="12"/>
      <x:c r="I75" s="12" t="str">
        <x:v>TPU; CNT and GNP at 0.5–5 wt%; 2 wt% hybrid ratios; 1.75-mm feed filament</x:v>
      </x:c>
      <x:c r="J75" s="12" t="str">
        <x:v>Silver-paste electrodes and electrical instruments</x:v>
      </x:c>
      <x:c r="K75" s="12" t="str">
        <x:v>PDF pp. 10–13; Fig. 1; Tables 1–2</x:v>
      </x:c>
      <x:c r="L75" s="12" t="str">
        <x:v>Batch 08</x:v>
      </x:c>
    </x:row>
    <x:row r="76" ht="36" hidden="0" customHeight="1">
      <x:c r="A76" s="12" t="str">
        <x:v>S090</x:v>
      </x:c>
      <x:c r="B76" s="12"/>
      <x:c r="C76" s="12"/>
      <x:c r="D76" s="12" t="str">
        <x:v>Soft-PLA substrate and insulating mask; direct-written PEDOT:PSS channel</x:v>
      </x:c>
      <x:c r="E76" s="12"/>
      <x:c r="F76" s="12"/>
      <x:c r="G76" s="12"/>
      <x:c r="H76" s="12"/>
      <x:c r="I76" s="12" t="str">
        <x:v>Orbi-tech soft PLA filament; Orgacon EL-P 5015 PEDOT:PSS; DuPont CB028 silver paste; Sylgard 184 PDMS; 125-µm PET</x:v>
      </x:c>
      <x:c r="J76" s="12" t="str">
        <x:v>Ag/AgCl gate wire; 100 mM NaCl or prepared KCl/PBS electrolytes</x:v>
      </x:c>
      <x:c r="K76" s="12" t="str">
        <x:v>PDF pp. 2–3; Fig. 1</x:v>
      </x:c>
      <x:c r="L76" s="12" t="str">
        <x:v>Batch 09</x:v>
      </x:c>
    </x:row>
    <x:row r="77" ht="24" hidden="0" customHeight="1">
      <x:c r="A77" s="12" t="str">
        <x:v>S091</x:v>
      </x:c>
      <x:c r="B77" s="12"/>
      <x:c r="C77" s="12"/>
      <x:c r="D77" s="12" t="str">
        <x:v>PVDF/MWCNT active chemiresistive composite</x:v>
      </x:c>
      <x:c r="E77" s="12"/>
      <x:c r="F77" s="12"/>
      <x:c r="G77" s="12"/>
      <x:c r="H77" s="12"/>
      <x:c r="I77" s="12" t="str">
        <x:v>PVDF (Mw ~180,000; melt index 20–35 g/10 min at 230 °C); MWCNTs 50–85 nm diameter, 10–15 µm length, &gt;94% carbon; 1–15 wt% MWCNT</x:v>
      </x:c>
      <x:c r="J77" s="12" t="str">
        <x:v>Copper spring clips for vapour tests; silver conductive epoxy used for baseline-resistance characterization</x:v>
      </x:c>
      <x:c r="K77" s="12" t="str">
        <x:v>PDF pp. 1–3 and 7–8; Figs. 1–2, 10–11</x:v>
      </x:c>
      <x:c r="L77" s="12" t="str">
        <x:v>Batch 09</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12.220000267028809" hidden="0" customWidth="1"/>
    <x:col min="3" max="3" width="11.670000076293945" hidden="0" customWidth="1"/>
    <x:col min="4" max="4" width="28.889999389648438" hidden="0" customWidth="1"/>
    <x:col min="5" max="5" width="23.329999923706055" hidden="0" customWidth="1"/>
    <x:col min="6" max="6" width="11.109999656677246" hidden="0" customWidth="1"/>
    <x:col min="7" max="7" width="23.329999923706055" hidden="0" customWidth="1"/>
    <x:col min="8" max="8" width="16.670000076293945" hidden="0" customWidth="1"/>
    <x:col min="9" max="9" width="16.110000610351562" hidden="0" customWidth="1"/>
    <x:col min="10" max="10" width="33.33000183105469" hidden="0" customWidth="1"/>
    <x:col min="11" max="11" width="16.670000076293945" hidden="0" customWidth="1"/>
    <x:col min="12" max="12" width="57.779998779296875" hidden="0" customWidth="1"/>
    <x:col min="13" max="13" width="28.889999389648438" hidden="0" customWidth="1"/>
    <x:col min="14" max="14" width="13.329999923706055" hidden="0" customWidth="1"/>
  </x:cols>
  <x:sheetData>
    <x:row r="1" ht="24" hidden="0" customHeight="1">
      <x:c r="A1" s="11" t="str">
        <x:v>Stable Study ID</x:v>
      </x:c>
      <x:c r="B1" s="11" t="str">
        <x:v>Fabrication ID</x:v>
      </x:c>
      <x:c r="C1" s="11" t="str">
        <x:v>Sensor ID</x:v>
      </x:c>
      <x:c r="D1" s="11" t="str">
        <x:v>Printer/system</x:v>
      </x:c>
      <x:c r="E1" s="11" t="str">
        <x:v>Process term</x:v>
      </x:c>
      <x:c r="F1" s="11" t="str">
        <x:v>Nozzle mm</x:v>
      </x:c>
      <x:c r="G1" s="11" t="str">
        <x:v>Temperature °C</x:v>
      </x:c>
      <x:c r="H1" s="11" t="str">
        <x:v>Speed</x:v>
      </x:c>
      <x:c r="I1" s="11" t="str">
        <x:v>Layer height mm</x:v>
      </x:c>
      <x:c r="J1" s="11" t="str">
        <x:v>Orientation/toolpath</x:v>
      </x:c>
      <x:c r="K1" s="11" t="str">
        <x:v>Infill</x:v>
      </x:c>
      <x:c r="L1" s="11" t="str">
        <x:v>Other settings/geometry</x:v>
      </x:c>
      <x:c r="M1" s="11" t="str">
        <x:v>Evidence locator</x:v>
      </x:c>
      <x:c r="N1" s="11" t="str">
        <x:v>Authoritative source</x:v>
      </x:c>
    </x:row>
    <x:row r="2" ht="15" hidden="0" customHeight="1">
      <x:c r="A2" s="12" t="str">
        <x:v>S001</x:v>
      </x:c>
      <x:c r="B2" s="12" t="str">
        <x:v>F001</x:v>
      </x:c>
      <x:c r="C2" s="12" t="str">
        <x:v>S001-C01</x:v>
      </x:c>
      <x:c r="D2" s="12" t="str">
        <x:v>Ultimaker S5</x:v>
      </x:c>
      <x:c r="E2" s="12" t="str">
        <x:v>FFF/material extrusion</x:v>
      </x:c>
      <x:c r="F2" s="12" t="str">
        <x:v>NR</x:v>
      </x:c>
      <x:c r="G2" s="12" t="str">
        <x:v>NR</x:v>
      </x:c>
      <x:c r="H2" s="12" t="str">
        <x:v>NR</x:v>
      </x:c>
      <x:c r="I2" s="12" t="str">
        <x:v>NR</x:v>
      </x:c>
      <x:c r="J2" s="12" t="str">
        <x:v>NR</x:v>
      </x:c>
      <x:c r="K2" s="12" t="str">
        <x:v>100%</x:v>
      </x:c>
      <x:c r="L2" s="12" t="str">
        <x:v>Grooved insole geometry; print orientation/toolpath NR</x:v>
      </x:c>
      <x:c r="M2" s="12" t="str">
        <x:v>PDF pp. 4-5</x:v>
      </x:c>
      <x:c r="N2" s="12" t="str">
        <x:v>Pilot</x:v>
      </x:c>
    </x:row>
    <x:row r="3" ht="24" hidden="0" customHeight="1">
      <x:c r="A3" s="12" t="str">
        <x:v>S002</x:v>
      </x:c>
      <x:c r="B3" s="12" t="str">
        <x:v>F002</x:v>
      </x:c>
      <x:c r="C3" s="12" t="str">
        <x:v>S002-C01</x:v>
      </x:c>
      <x:c r="D3" s="12" t="str">
        <x:v>Printer/model NR</x:v>
      </x:c>
      <x:c r="E3" s="12" t="str">
        <x:v>3D printing of CB-PLA; filament-extrusion context</x:v>
      </x:c>
      <x:c r="F3" s="12" t="str">
        <x:v>NR</x:v>
      </x:c>
      <x:c r="G3" s="12" t="str">
        <x:v>200</x:v>
      </x:c>
      <x:c r="H3" s="12" t="str">
        <x:v>60 mm/s</x:v>
      </x:c>
      <x:c r="I3" s="12" t="str">
        <x:v>NR</x:v>
      </x:c>
      <x:c r="J3" s="12" t="str">
        <x:v>NR</x:v>
      </x:c>
      <x:c r="K3" s="12" t="str">
        <x:v>NR</x:v>
      </x:c>
      <x:c r="L3" s="12" t="str">
        <x:v>Platform 60 deg C; 1.75 mm filament</x:v>
      </x:c>
      <x:c r="M3" s="12" t="str">
        <x:v>PDF p. 4</x:v>
      </x:c>
      <x:c r="N3" s="12" t="str">
        <x:v>Pilot</x:v>
      </x:c>
    </x:row>
    <x:row r="4" ht="24" hidden="0" customHeight="1">
      <x:c r="A4" s="12" t="str">
        <x:v>S004</x:v>
      </x:c>
      <x:c r="B4" s="12"/>
      <x:c r="C4" s="12"/>
      <x:c r="D4" s="12" t="str">
        <x:v>TENLOG Hands 2 Independent Dual Extruder</x:v>
      </x:c>
      <x:c r="E4" s="12" t="str">
        <x:v>FDM dual extrusion</x:v>
      </x:c>
      <x:c r="F4" s="12" t="str">
        <x:v>0.4</x:v>
      </x:c>
      <x:c r="G4" s="12" t="str">
        <x:v>225</x:v>
      </x:c>
      <x:c r="H4" s="12" t="str">
        <x:v>20 mm/s</x:v>
      </x:c>
      <x:c r="I4" s="12" t="str">
        <x:v>0.1 and 0.2</x:v>
      </x:c>
      <x:c r="J4" s="12" t="str">
        <x:v>45° and 90° designs; y-axis/build descriptions</x:v>
      </x:c>
      <x:c r="K4" s="12" t="str">
        <x:v>100%</x:v>
      </x:c>
      <x:c r="L4" s="12" t="str">
        <x:v>Bed 50 °C; dual G-code; flat 115×12.7×1.2 mm and integrated 45×11×0.8 mm</x:v>
      </x:c>
      <x:c r="M4" s="12" t="str">
        <x:v>PDF pp. 2–3; Table 1</x:v>
      </x:c>
      <x:c r="N4" s="12" t="str">
        <x:v>Batch 01</x:v>
      </x:c>
    </x:row>
    <x:row r="5" ht="15" hidden="0" customHeight="1">
      <x:c r="A5" s="12" t="str">
        <x:v>S005</x:v>
      </x:c>
      <x:c r="B5" s="12"/>
      <x:c r="C5" s="12"/>
      <x:c r="D5" s="12" t="str">
        <x:v>Ultimaker 3D Extended</x:v>
      </x:c>
      <x:c r="E5" s="12" t="str">
        <x:v>Filament printing</x:v>
      </x:c>
      <x:c r="F5" s="12" t="str">
        <x:v>NR</x:v>
      </x:c>
      <x:c r="G5" s="12" t="str">
        <x:v>NR</x:v>
      </x:c>
      <x:c r="H5" s="12" t="str">
        <x:v>NR</x:v>
      </x:c>
      <x:c r="I5" s="12" t="str">
        <x:v>NR</x:v>
      </x:c>
      <x:c r="J5" s="12" t="str">
        <x:v>NR</x:v>
      </x:c>
      <x:c r="K5" s="12" t="str">
        <x:v>20%, 60%, 100%</x:v>
      </x:c>
      <x:c r="L5" s="12" t="str">
        <x:v>Two thicknesses (2 and 3 mm); print paused for FBG insertion</x:v>
      </x:c>
      <x:c r="M5" s="12" t="str">
        <x:v>PDF pp. 4–5; Table 1</x:v>
      </x:c>
      <x:c r="N5" s="12" t="str">
        <x:v>Batch 01</x:v>
      </x:c>
    </x:row>
    <x:row r="6" ht="15" hidden="0" customHeight="1">
      <x:c r="A6" s="12" t="str">
        <x:v>S007</x:v>
      </x:c>
      <x:c r="B6" s="12" t="str">
        <x:v>F004</x:v>
      </x:c>
      <x:c r="C6" s="12" t="str">
        <x:v>S007-C01</x:v>
      </x:c>
      <x:c r="D6" s="12" t="str">
        <x:v>LulzBot Mini</x:v>
      </x:c>
      <x:c r="E6" s="12" t="str">
        <x:v>FFF</x:v>
      </x:c>
      <x:c r="F6" s="12" t="str">
        <x:v>NR</x:v>
      </x:c>
      <x:c r="G6" s="12" t="str">
        <x:v>223</x:v>
      </x:c>
      <x:c r="H6" s="12" t="str">
        <x:v>12 mm/s</x:v>
      </x:c>
      <x:c r="I6" s="12" t="str">
        <x:v>0.24</x:v>
      </x:c>
      <x:c r="J6" s="12" t="str">
        <x:v>NR</x:v>
      </x:c>
      <x:c r="K6" s="12" t="str">
        <x:v>NR</x:v>
      </x:c>
      <x:c r="L6" s="12" t="str">
        <x:v>Prongs printed upward; 15% support; travel 200 mm/s</x:v>
      </x:c>
      <x:c r="M6" s="12" t="str">
        <x:v>PDF pp. 3-4</x:v>
      </x:c>
      <x:c r="N6" s="12" t="str">
        <x:v>Pilot</x:v>
      </x:c>
    </x:row>
    <x:row r="7" ht="24" hidden="0" customHeight="1">
      <x:c r="A7" s="12" t="str">
        <x:v>S008</x:v>
      </x:c>
      <x:c r="B7" s="12"/>
      <x:c r="C7" s="12"/>
      <x:c r="D7" s="12" t="str">
        <x:v>Tenlog, 3D Solutions</x:v>
      </x:c>
      <x:c r="E7" s="12" t="str">
        <x:v>FFF</x:v>
      </x:c>
      <x:c r="F7" s="12" t="str">
        <x:v>0.2</x:v>
      </x:c>
      <x:c r="G7" s="12" t="str">
        <x:v>220</x:v>
      </x:c>
      <x:c r="H7" s="12" t="str">
        <x:v>1.5 mm/s first layer; 6 mm/s thereafter</x:v>
      </x:c>
      <x:c r="I7" s="12" t="str">
        <x:v>0.2</x:v>
      </x:c>
      <x:c r="J7" s="12" t="str">
        <x:v>Origami orientations defined by architecture</x:v>
      </x:c>
      <x:c r="K7" s="12" t="str">
        <x:v>100%</x:v>
      </x:c>
      <x:c r="L7" s="12" t="str">
        <x:v>85 layers; 27.3×9.7×1.7 cm insole</x:v>
      </x:c>
      <x:c r="M7" s="12" t="str">
        <x:v>PDF p. 10</x:v>
      </x:c>
      <x:c r="N7" s="12" t="str">
        <x:v>Batch 01</x:v>
      </x:c>
    </x:row>
    <x:row r="8" ht="24" hidden="0" customHeight="1">
      <x:c r="A8" s="12" t="str">
        <x:v>S010</x:v>
      </x:c>
      <x:c r="B8" s="12"/>
      <x:c r="C8" s="12"/>
      <x:c r="D8" s="12" t="str">
        <x:v>FlashForge Inventor</x:v>
      </x:c>
      <x:c r="E8" s="12" t="str">
        <x:v>FDM dual nozzle</x:v>
      </x:c>
      <x:c r="F8" s="12" t="str">
        <x:v>0.4 extrusion width</x:v>
      </x:c>
      <x:c r="G8" s="12" t="str">
        <x:v>215 actuator; 210 sensor</x:v>
      </x:c>
      <x:c r="H8" s="12" t="str">
        <x:v>10 actuator; 12 sensor (mm/s)</x:v>
      </x:c>
      <x:c r="I8" s="12" t="str">
        <x:v>0.1</x:v>
      </x:c>
      <x:c r="J8" s="12" t="str">
        <x:v>Printing direction specified for conductive path</x:v>
      </x:c>
      <x:c r="K8" s="12" t="str">
        <x:v>100%</x:v>
      </x:c>
      <x:c r="L8" s="12" t="str">
        <x:v>Beds 32/50 °C; perimeter overlap 30%; retraction 4 mm at 40 mm/s</x:v>
      </x:c>
      <x:c r="M8" s="12" t="str">
        <x:v>PDF pp. 4, 16; Appendix A</x:v>
      </x:c>
      <x:c r="N8" s="12" t="str">
        <x:v>Batch 01</x:v>
      </x:c>
    </x:row>
    <x:row r="9" ht="15" hidden="0" customHeight="1">
      <x:c r="A9" s="12" t="str">
        <x:v>S011</x:v>
      </x:c>
      <x:c r="B9" s="12" t="str">
        <x:v>F005</x:v>
      </x:c>
      <x:c r="C9" s="12" t="str">
        <x:v>S011-C01</x:v>
      </x:c>
      <x:c r="D9" s="12" t="str">
        <x:v>TENLOG TL-D3 Pro</x:v>
      </x:c>
      <x:c r="E9" s="12" t="str">
        <x:v>FFF</x:v>
      </x:c>
      <x:c r="F9" s="12" t="str">
        <x:v>0.6</x:v>
      </x:c>
      <x:c r="G9" s="12" t="str">
        <x:v>215 conductive PLA; 230 Filaflex</x:v>
      </x:c>
      <x:c r="H9" s="12" t="str">
        <x:v>15-20 mm/s</x:v>
      </x:c>
      <x:c r="I9" s="12" t="str">
        <x:v>0.1</x:v>
      </x:c>
      <x:c r="J9" s="12" t="str">
        <x:v>90 deg</x:v>
      </x:c>
      <x:c r="K9" s="12" t="str">
        <x:v>100%</x:v>
      </x:c>
      <x:c r="L9" s="12" t="str">
        <x:v>Bed 45 deg C; flow 110%; line width 0.6 mm</x:v>
      </x:c>
      <x:c r="M9" s="12" t="str">
        <x:v>PDF p. 4, Table 1</x:v>
      </x:c>
      <x:c r="N9" s="12" t="str">
        <x:v>Pilot</x:v>
      </x:c>
    </x:row>
    <x:row r="10" ht="24" hidden="0" customHeight="1">
      <x:c r="A10" s="12" t="str">
        <x:v>S012</x:v>
      </x:c>
      <x:c r="B10" s="12"/>
      <x:c r="C10" s="12"/>
      <x:c r="D10" s="12" t="str">
        <x:v>Modified FlashForge Creator Pro</x:v>
      </x:c>
      <x:c r="E10" s="12" t="str">
        <x:v>FDM dual direct drive</x:v>
      </x:c>
      <x:c r="F10" s="12" t="str">
        <x:v>0.6 NinjaFlex; 0.8 PI-ETPU</x:v>
      </x:c>
      <x:c r="G10" s="12" t="str">
        <x:v>NR</x:v>
      </x:c>
      <x:c r="H10" s="12" t="str">
        <x:v>NR</x:v>
      </x:c>
      <x:c r="I10" s="12" t="str">
        <x:v>0.15; first layer 0.30</x:v>
      </x:c>
      <x:c r="J10" s="12" t="str">
        <x:v>NR</x:v>
      </x:c>
      <x:c r="K10" s="12" t="str">
        <x:v>NR</x:v>
      </x:c>
      <x:c r="L10" s="12" t="str">
        <x:v>Simplify3D; geometry dimensions reported</x:v>
      </x:c>
      <x:c r="M10" s="12" t="str">
        <x:v>PDF pp. 4–5; Figs. 1–3; Table 2</x:v>
      </x:c>
      <x:c r="N10" s="12" t="str">
        <x:v>Batch 01</x:v>
      </x:c>
    </x:row>
    <x:row r="11" ht="24" hidden="0" customHeight="1">
      <x:c r="A11" s="12" t="str">
        <x:v>S013</x:v>
      </x:c>
      <x:c r="B11" s="12"/>
      <x:c r="C11" s="12"/>
      <x:c r="D11" s="12" t="str">
        <x:v>FlashForge Creator Pro dual extruder</x:v>
      </x:c>
      <x:c r="E11" s="12" t="str">
        <x:v>FDM</x:v>
      </x:c>
      <x:c r="F11" s="12" t="str">
        <x:v>NR</x:v>
      </x:c>
      <x:c r="G11" s="12" t="str">
        <x:v>200 PLA; 220 ABS (tested alternatives)</x:v>
      </x:c>
      <x:c r="H11" s="12" t="str">
        <x:v>NR</x:v>
      </x:c>
      <x:c r="I11" s="12" t="str">
        <x:v>NR</x:v>
      </x:c>
      <x:c r="J11" s="12" t="str">
        <x:v>NR</x:v>
      </x:c>
      <x:c r="K11" s="12" t="str">
        <x:v>NR</x:v>
      </x:c>
      <x:c r="L11" s="12" t="str">
        <x:v>Platform 60 °C; 9 min print; final WE/CE/RE use Proto-Pasta CB-PLA</x:v>
      </x:c>
      <x:c r="M11" s="12" t="str">
        <x:v>PDF p. 3</x:v>
      </x:c>
      <x:c r="N11" s="12" t="str">
        <x:v>Batch 01</x:v>
      </x:c>
    </x:row>
    <x:row r="12" ht="15" hidden="0" customHeight="1">
      <x:c r="A12" s="12" t="str">
        <x:v>S014</x:v>
      </x:c>
      <x:c r="B12" s="12"/>
      <x:c r="C12" s="12"/>
      <x:c r="D12" s="12" t="str">
        <x:v>Ultimaker S5</x:v>
      </x:c>
      <x:c r="E12" s="12" t="str">
        <x:v>Material extrusion/filament printing</x:v>
      </x:c>
      <x:c r="F12" s="12" t="str">
        <x:v>NR</x:v>
      </x:c>
      <x:c r="G12" s="12" t="str">
        <x:v>NR</x:v>
      </x:c>
      <x:c r="H12" s="12" t="str">
        <x:v>NR</x:v>
      </x:c>
      <x:c r="I12" s="12" t="str">
        <x:v>NR</x:v>
      </x:c>
      <x:c r="J12" s="12" t="str">
        <x:v>NR</x:v>
      </x:c>
      <x:c r="K12" s="12" t="str">
        <x:v>20% triangular</x:v>
      </x:c>
      <x:c r="L12" s="12" t="str">
        <x:v>Pause at layer 10 for FBG insertion; 100×5×3 mm body and 0.3 mm channel</x:v>
      </x:c>
      <x:c r="M12" s="12" t="str">
        <x:v>PDF pp. 4–5; Fig. 1; Table 1</x:v>
      </x:c>
      <x:c r="N12" s="12" t="str">
        <x:v>Batch 01</x:v>
      </x:c>
    </x:row>
    <x:row r="13" ht="15" hidden="0" customHeight="1">
      <x:c r="A13" s="12" t="str">
        <x:v>S015</x:v>
      </x:c>
      <x:c r="B13" s="12"/>
      <x:c r="C13" s="12"/>
      <x:c r="D13" s="12" t="str">
        <x:v>Ender-3, Creality</x:v>
      </x:c>
      <x:c r="E13" s="12" t="str">
        <x:v>FDM</x:v>
      </x:c>
      <x:c r="F13" s="12" t="str">
        <x:v>NR</x:v>
      </x:c>
      <x:c r="G13" s="12" t="str">
        <x:v>NR</x:v>
      </x:c>
      <x:c r="H13" s="12" t="str">
        <x:v>60 mm/s</x:v>
      </x:c>
      <x:c r="I13" s="12" t="str">
        <x:v>NR</x:v>
      </x:c>
      <x:c r="J13" s="12" t="str">
        <x:v>NR</x:v>
      </x:c>
      <x:c r="K13" s="12" t="str">
        <x:v>30% triangular</x:v>
      </x:c>
      <x:c r="L13" s="12" t="str">
        <x:v>100% surface density; 93 g; no support material</x:v>
      </x:c>
      <x:c r="M13" s="12" t="str">
        <x:v>PDF p. 3</x:v>
      </x:c>
      <x:c r="N13" s="12" t="str">
        <x:v>Batch 01</x:v>
      </x:c>
    </x:row>
    <x:row r="14" ht="24" hidden="0" customHeight="1">
      <x:c r="A14" s="12" t="str">
        <x:v>S017</x:v>
      </x:c>
      <x:c r="B14" s="12" t="str">
        <x:v>F006</x:v>
      </x:c>
      <x:c r="C14" s="12" t="str">
        <x:v>S017-C01</x:v>
      </x:c>
      <x:c r="D14" s="12" t="str">
        <x:v>Printer/model NR</x:v>
      </x:c>
      <x:c r="E14" s="12" t="str">
        <x:v>3D printing from laboratory-extruded filament</x:v>
      </x:c>
      <x:c r="F14" s="12" t="str">
        <x:v>NR</x:v>
      </x:c>
      <x:c r="G14" s="12" t="str">
        <x:v>NR</x:v>
      </x:c>
      <x:c r="H14" s="12" t="str">
        <x:v>NR</x:v>
      </x:c>
      <x:c r="I14" s="12" t="str">
        <x:v>NR</x:v>
      </x:c>
      <x:c r="J14" s="12" t="str">
        <x:v>NR</x:v>
      </x:c>
      <x:c r="K14" s="12" t="str">
        <x:v>NR</x:v>
      </x:c>
      <x:c r="L14" s="12" t="str">
        <x:v>Film thickness 1 mm; other settings NR</x:v>
      </x:c>
      <x:c r="M14" s="12" t="str">
        <x:v>PDF p. 2</x:v>
      </x:c>
      <x:c r="N14" s="12" t="str">
        <x:v>Pilot</x:v>
      </x:c>
    </x:row>
    <x:row r="15" ht="15" hidden="0" customHeight="1">
      <x:c r="A15" s="12" t="str">
        <x:v>S018</x:v>
      </x:c>
      <x:c r="B15" s="12"/>
      <x:c r="C15" s="12"/>
      <x:c r="D15" s="12" t="str">
        <x:v>Ender-3-S1</x:v>
      </x:c>
      <x:c r="E15" s="12" t="str">
        <x:v>FDM</x:v>
      </x:c>
      <x:c r="F15" s="12" t="str">
        <x:v>NR in main</x:v>
      </x:c>
      <x:c r="G15" s="12" t="str">
        <x:v>NR in main</x:v>
      </x:c>
      <x:c r="H15" s="12" t="str">
        <x:v>7–15 mm/s PSC walls</x:v>
      </x:c>
      <x:c r="I15" s="12" t="str">
        <x:v>NR in main</x:v>
      </x:c>
      <x:c r="J15" s="12" t="str">
        <x:v>Geometry/infill described</x:v>
      </x:c>
      <x:c r="K15" s="12" t="str">
        <x:v>Limited; multiplier 1.1</x:v>
      </x:c>
      <x:c r="L15" s="12" t="str">
        <x:v>Outer-wall inset 0.05 mm; 105% flow; detailed settings in Supplementary Data S2</x:v>
      </x:c>
      <x:c r="M15" s="12" t="str">
        <x:v>PDF pp. 3–4</x:v>
      </x:c>
      <x:c r="N15" s="12" t="str">
        <x:v>Batch 02</x:v>
      </x:c>
    </x:row>
    <x:row r="16" ht="15" hidden="0" customHeight="1">
      <x:c r="A16" s="12" t="str">
        <x:v>S019</x:v>
      </x:c>
      <x:c r="B16" s="12"/>
      <x:c r="C16" s="12"/>
      <x:c r="D16" s="12" t="str">
        <x:v>Rebuilt RepRap Prusa i3</x:v>
      </x:c>
      <x:c r="E16" s="12" t="str">
        <x:v>FDM</x:v>
      </x:c>
      <x:c r="F16" s="12" t="str">
        <x:v>0.2</x:v>
      </x:c>
      <x:c r="G16" s="12" t="str">
        <x:v>230</x:v>
      </x:c>
      <x:c r="H16" s="12" t="str">
        <x:v>20 mm/s</x:v>
      </x:c>
      <x:c r="I16" s="12" t="str">
        <x:v>0.2; two layers</x:v>
      </x:c>
      <x:c r="J16" s="12" t="str">
        <x:v>45°, 90°, 180°</x:v>
      </x:c>
      <x:c r="K16" s="12" t="str">
        <x:v>NR</x:v>
      </x:c>
      <x:c r="L16" s="12" t="str">
        <x:v>70 °C filament drying for 4 h; sensor 50 × 10 × 0.4 mm</x:v>
      </x:c>
      <x:c r="M16" s="12" t="str">
        <x:v>PDF pp. 2–3</x:v>
      </x:c>
      <x:c r="N16" s="12" t="str">
        <x:v>Batch 02</x:v>
      </x:c>
    </x:row>
    <x:row r="17" ht="15" hidden="0" customHeight="1">
      <x:c r="A17" s="12" t="str">
        <x:v>S020</x:v>
      </x:c>
      <x:c r="B17" s="12"/>
      <x:c r="C17" s="12"/>
      <x:c r="D17" s="12" t="str">
        <x:v>Toolchanger, E3D</x:v>
      </x:c>
      <x:c r="E17" s="12" t="str">
        <x:v>FFF</x:v>
      </x:c>
      <x:c r="F17" s="12" t="str">
        <x:v>NR</x:v>
      </x:c>
      <x:c r="G17" s="12" t="str">
        <x:v>NR</x:v>
      </x:c>
      <x:c r="H17" s="12" t="str">
        <x:v>NR</x:v>
      </x:c>
      <x:c r="I17" s="12" t="str">
        <x:v>NR</x:v>
      </x:c>
      <x:c r="J17" s="12" t="str">
        <x:v>NR</x:v>
      </x:c>
      <x:c r="K17" s="12" t="str">
        <x:v>NR</x:v>
      </x:c>
      <x:c r="L17" s="12" t="str">
        <x:v>Two sides printed separately and joined; sensor geometry reported</x:v>
      </x:c>
      <x:c r="M17" s="12" t="str">
        <x:v>PDF p. 5; Fig. 5</x:v>
      </x:c>
      <x:c r="N17" s="12" t="str">
        <x:v>Batch 02</x:v>
      </x:c>
    </x:row>
    <x:row r="18" ht="15" hidden="0" customHeight="1">
      <x:c r="A18" s="12" t="str">
        <x:v>S021</x:v>
      </x:c>
      <x:c r="B18" s="12"/>
      <x:c r="C18" s="12"/>
      <x:c r="D18" s="12" t="str">
        <x:v>NR</x:v>
      </x:c>
      <x:c r="E18" s="12" t="str">
        <x:v>FDM</x:v>
      </x:c>
      <x:c r="F18" s="12" t="str">
        <x:v>NR</x:v>
      </x:c>
      <x:c r="G18" s="12" t="str">
        <x:v>NR</x:v>
      </x:c>
      <x:c r="H18" s="12" t="str">
        <x:v>NR</x:v>
      </x:c>
      <x:c r="I18" s="12" t="str">
        <x:v>NR</x:v>
      </x:c>
      <x:c r="J18" s="12" t="str">
        <x:v>Adaptive rail and modular skeleton</x:v>
      </x:c>
      <x:c r="K18" s="12" t="str">
        <x:v>NR</x:v>
      </x:c>
      <x:c r="L18" s="12" t="str">
        <x:v>TPU 95A skeleton; print parameters not reported</x:v>
      </x:c>
      <x:c r="M18" s="12" t="str">
        <x:v>PDF pp. 3–5; Fig. 1</x:v>
      </x:c>
      <x:c r="N18" s="12" t="str">
        <x:v>Batch 02</x:v>
      </x:c>
    </x:row>
    <x:row r="19" ht="24" hidden="0" customHeight="1">
      <x:c r="A19" s="12" t="str">
        <x:v>S022</x:v>
      </x:c>
      <x:c r="B19" s="12"/>
      <x:c r="C19" s="12"/>
      <x:c r="D19" s="12" t="str">
        <x:v>Ender-3 Pro</x:v>
      </x:c>
      <x:c r="E19" s="12" t="str">
        <x:v>FDM</x:v>
      </x:c>
      <x:c r="F19" s="12" t="n">
        <x:v>0.2</x:v>
      </x:c>
      <x:c r="G19" s="12" t="str">
        <x:v>205 nozzle; 50 bed</x:v>
      </x:c>
      <x:c r="H19" s="12" t="str">
        <x:v>40 mm/min</x:v>
      </x:c>
      <x:c r="I19" s="12" t="n">
        <x:v>0.1</x:v>
      </x:c>
      <x:c r="J19" s="12" t="str">
        <x:v>TPMS/honeycomb/lattice</x:v>
      </x:c>
      <x:c r="K19" s="12" t="str">
        <x:v>70 ± 0.475% for compared structures</x:v>
      </x:c>
      <x:c r="L19" s="12" t="str">
        <x:v>Scaffold geometry; compared structures reported at 70 ± 0.475% infill</x:v>
      </x:c>
      <x:c r="M19" s="12" t="str">
        <x:v>Supplementary Table S1</x:v>
      </x:c>
      <x:c r="N19" s="12" t="str">
        <x:v>Supplement verified 2026-09-03</x:v>
      </x:c>
    </x:row>
    <x:row r="20" ht="15" hidden="0" customHeight="1">
      <x:c r="A20" s="12" t="str">
        <x:v>S023</x:v>
      </x:c>
      <x:c r="B20" s="12"/>
      <x:c r="C20" s="12"/>
      <x:c r="D20" s="12" t="str">
        <x:v>Ultimaker S5</x:v>
      </x:c>
      <x:c r="E20" s="12" t="str">
        <x:v>FFF</x:v>
      </x:c>
      <x:c r="F20" s="12" t="str">
        <x:v>0.4</x:v>
      </x:c>
      <x:c r="G20" s="12" t="str">
        <x:v>240 nozzle; 60 bed</x:v>
      </x:c>
      <x:c r="H20" s="12" t="str">
        <x:v>25 mm/s</x:v>
      </x:c>
      <x:c r="I20" s="12" t="str">
        <x:v>0.15</x:v>
      </x:c>
      <x:c r="J20" s="12" t="str">
        <x:v>45° lines</x:v>
      </x:c>
      <x:c r="K20" s="12" t="str">
        <x:v>100%</x:v>
      </x:c>
      <x:c r="L20" s="12" t="str">
        <x:v>Two walls; fan off; print paused to insert CFC; target 10 × 200 × 1 mm</x:v>
      </x:c>
      <x:c r="M20" s="12" t="str">
        <x:v>PDF pp. 3–4</x:v>
      </x:c>
      <x:c r="N20" s="12" t="str">
        <x:v>Batch 02</x:v>
      </x:c>
    </x:row>
    <x:row r="21" ht="24" hidden="0" customHeight="1">
      <x:c r="A21" s="12" t="str">
        <x:v>S024</x:v>
      </x:c>
      <x:c r="B21" s="12"/>
      <x:c r="C21" s="12"/>
      <x:c r="D21" s="12" t="str">
        <x:v>Raise3D Pro2</x:v>
      </x:c>
      <x:c r="E21" s="12" t="str">
        <x:v>FDM</x:v>
      </x:c>
      <x:c r="F21" s="12" t="str">
        <x:v>NR</x:v>
      </x:c>
      <x:c r="G21" s="12" t="str">
        <x:v>210 stated for upper bed; 30 for lower bed</x:v>
      </x:c>
      <x:c r="H21" s="12" t="str">
        <x:v>Default fast setting</x:v>
      </x:c>
      <x:c r="I21" s="12" t="str">
        <x:v>Printed 500 µm; hot pressed to ~200 µm</x:v>
      </x:c>
      <x:c r="J21" s="12" t="str">
        <x:v>Serpentine hourglass crack layouts</x:v>
      </x:c>
      <x:c r="K21" s="12" t="str">
        <x:v>NR</x:v>
      </x:c>
      <x:c r="L21" s="12" t="str">
        <x:v>Laser-cut after printing and hot pressing; geometry ranges reported</x:v>
      </x:c>
      <x:c r="M21" s="12" t="str">
        <x:v>PDF pp. 4, 10–11</x:v>
      </x:c>
      <x:c r="N21" s="12" t="str">
        <x:v>Batch 02</x:v>
      </x:c>
    </x:row>
    <x:row r="22" ht="15" hidden="0" customHeight="1">
      <x:c r="A22" s="12" t="str">
        <x:v>S025</x:v>
      </x:c>
      <x:c r="B22" s="12"/>
      <x:c r="C22" s="12"/>
      <x:c r="D22" s="12" t="str">
        <x:v>Original Prusa XL</x:v>
      </x:c>
      <x:c r="E22" s="12" t="str">
        <x:v>FFF</x:v>
      </x:c>
      <x:c r="F22" s="12" t="str">
        <x:v>0.25</x:v>
      </x:c>
      <x:c r="G22" s="12" t="str">
        <x:v>210 nozzle; 60 bed</x:v>
      </x:c>
      <x:c r="H22" s="12" t="str">
        <x:v>NR in main</x:v>
      </x:c>
      <x:c r="I22" s="12" t="str">
        <x:v>0.10</x:v>
      </x:c>
      <x:c r="J22" s="12" t="str">
        <x:v>Pillar geometry reported</x:v>
      </x:c>
      <x:c r="K22" s="12" t="str">
        <x:v>NR in main</x:v>
      </x:c>
      <x:c r="L22" s="12" t="str">
        <x:v>Additional pillar design/print parameters in Supplementary Table S2, not obtained</x:v>
      </x:c>
      <x:c r="M22" s="12" t="str">
        <x:v>PDF pp. 2–3; Fig. 1</x:v>
      </x:c>
      <x:c r="N22" s="12" t="str">
        <x:v>Batch 02</x:v>
      </x:c>
    </x:row>
    <x:row r="23" ht="24" hidden="0" customHeight="1">
      <x:c r="A23" s="12" t="str">
        <x:v>S028</x:v>
      </x:c>
      <x:c r="B23" s="12"/>
      <x:c r="C23" s="12"/>
      <x:c r="D23" s="12" t="str">
        <x:v>LulzBot TAZ 6 + Dual Extruder V2</x:v>
      </x:c>
      <x:c r="E23" s="12" t="str">
        <x:v>FDM</x:v>
      </x:c>
      <x:c r="F23" s="12" t="str">
        <x:v>NR</x:v>
      </x:c>
      <x:c r="G23" s="12" t="str">
        <x:v>230 TPU; 215 PLA; bed 41</x:v>
      </x:c>
      <x:c r="H23" s="12" t="str">
        <x:v>9 mm/s principal walls; PLA infill 35 mm/s</x:v>
      </x:c>
      <x:c r="I23" s="12" t="str">
        <x:v>0.125</x:v>
      </x:c>
      <x:c r="J23" s="12" t="str">
        <x:v>Grid/lines</x:v>
      </x:c>
      <x:c r="K23" s="12" t="str">
        <x:v>10/30% dielectric; 100% plates</x:v>
      </x:c>
      <x:c r="L23" s="12" t="str">
        <x:v>Flow, overlap, ooze shield and geometry specified</x:v>
      </x:c>
      <x:c r="M23" s="12" t="str">
        <x:v>PDF pp. 5–6; Table 1; Figs. 1–2</x:v>
      </x:c>
      <x:c r="N23" s="12" t="str">
        <x:v>Batch 03</x:v>
      </x:c>
    </x:row>
    <x:row r="24" ht="24" hidden="0" customHeight="1">
      <x:c r="A24" s="12" t="str">
        <x:v>S029</x:v>
      </x:c>
      <x:c r="B24" s="12"/>
      <x:c r="C24" s="12"/>
      <x:c r="D24" s="12" t="str">
        <x:v>Bambu Lab P2S</x:v>
      </x:c>
      <x:c r="E24" s="12" t="str">
        <x:v>FDM</x:v>
      </x:c>
      <x:c r="F24" s="12" t="str">
        <x:v>0.4</x:v>
      </x:c>
      <x:c r="G24" s="12" t="str">
        <x:v>230 nozzle; 50 bed</x:v>
      </x:c>
      <x:c r="H24" s="12" t="str">
        <x:v>30/40/50 mm/s evaluated</x:v>
      </x:c>
      <x:c r="I24" s="12" t="str">
        <x:v>0.2</x:v>
      </x:c>
      <x:c r="J24" s="12" t="str">
        <x:v>Flat; paths parallel to sensing direction</x:v>
      </x:c>
      <x:c r="K24" s="12" t="str">
        <x:v>100%</x:v>
      </x:c>
      <x:c r="L24" s="12" t="str">
        <x:v>Extrusion width 0.4 mm; fan disabled; geometry parametrized</x:v>
      </x:c>
      <x:c r="M24" s="12" t="str">
        <x:v>PDF pp. 6–13; Table 2; Figs. 3–8</x:v>
      </x:c>
      <x:c r="N24" s="12" t="str">
        <x:v>Batch 03</x:v>
      </x:c>
    </x:row>
    <x:row r="25" ht="15" hidden="0" customHeight="1">
      <x:c r="A25" s="12" t="str">
        <x:v>S031</x:v>
      </x:c>
      <x:c r="B25" s="12"/>
      <x:c r="C25" s="12"/>
      <x:c r="D25" s="12" t="str">
        <x:v>Ultimaker 3 Extended</x:v>
      </x:c>
      <x:c r="E25" s="12" t="str">
        <x:v>Material extrusion/3D printing</x:v>
      </x:c>
      <x:c r="F25" s="12" t="str">
        <x:v>NR</x:v>
      </x:c>
      <x:c r="G25" s="12" t="str">
        <x:v>NR</x:v>
      </x:c>
      <x:c r="H25" s="12" t="str">
        <x:v>NR</x:v>
      </x:c>
      <x:c r="I25" s="12" t="str">
        <x:v>NR</x:v>
      </x:c>
      <x:c r="J25" s="12" t="str">
        <x:v>NR</x:v>
      </x:c>
      <x:c r="K25" s="12" t="str">
        <x:v>NR</x:v>
      </x:c>
      <x:c r="L25" s="12" t="str">
        <x:v>ABS arms and mechanism dimensions illustrated; process settings absent</x:v>
      </x:c>
      <x:c r="M25" s="12" t="str">
        <x:v>PDF pp. 3–4; Figs. 1–2</x:v>
      </x:c>
      <x:c r="N25" s="12" t="str">
        <x:v>Batch 03</x:v>
      </x:c>
    </x:row>
    <x:row r="26" ht="15" hidden="0" customHeight="1">
      <x:c r="A26" s="12" t="str">
        <x:v>S032</x:v>
      </x:c>
      <x:c r="B26" s="12"/>
      <x:c r="C26" s="12"/>
      <x:c r="D26" s="12" t="str">
        <x:v>Qidi Tech X-Max</x:v>
      </x:c>
      <x:c r="E26" s="12" t="str">
        <x:v>Material extrusion/3D printing</x:v>
      </x:c>
      <x:c r="F26" s="12" t="str">
        <x:v>NR</x:v>
      </x:c>
      <x:c r="G26" s="12" t="str">
        <x:v>NR</x:v>
      </x:c>
      <x:c r="H26" s="12" t="str">
        <x:v>NR</x:v>
      </x:c>
      <x:c r="I26" s="12" t="str">
        <x:v>NR</x:v>
      </x:c>
      <x:c r="J26" s="12" t="str">
        <x:v>NR</x:v>
      </x:c>
      <x:c r="K26" s="12" t="str">
        <x:v>NR</x:v>
      </x:c>
      <x:c r="L26" s="12" t="str">
        <x:v>Opaque PLA probe 25 × 25 × 20 mm; 15 mm source–detector distance</x:v>
      </x:c>
      <x:c r="M26" s="12" t="str">
        <x:v>PDF pp. 3–4; Fig. 1</x:v>
      </x:c>
      <x:c r="N26" s="12" t="str">
        <x:v>Batch 03</x:v>
      </x:c>
    </x:row>
    <x:row r="27" ht="24" hidden="0" customHeight="1">
      <x:c r="A27" s="12" t="str">
        <x:v>S033</x:v>
      </x:c>
      <x:c r="B27" s="12"/>
      <x:c r="C27" s="12"/>
      <x:c r="D27" s="12" t="str">
        <x:v>MAM-III, Fochifan</x:v>
      </x:c>
      <x:c r="E27" s="12" t="str">
        <x:v>FDM</x:v>
      </x:c>
      <x:c r="F27" s="12" t="str">
        <x:v>Fine nozzle; diameter NR</x:v>
      </x:c>
      <x:c r="G27" s="12" t="str">
        <x:v>160 material melt</x:v>
      </x:c>
      <x:c r="H27" s="12" t="str">
        <x:v>NR</x:v>
      </x:c>
      <x:c r="I27" s="12" t="str">
        <x:v>NR</x:v>
      </x:c>
      <x:c r="J27" s="12" t="str">
        <x:v>Network line spacing varied</x:v>
      </x:c>
      <x:c r="K27" s="12" t="str">
        <x:v>NR</x:v>
      </x:c>
      <x:c r="L27" s="12" t="str">
        <x:v>Network radius 9 mm; common sample thickness 2 mm</x:v>
      </x:c>
      <x:c r="M27" s="12" t="str">
        <x:v>PDF pp. 2–3; Fig. 1</x:v>
      </x:c>
      <x:c r="N27" s="12" t="str">
        <x:v>Batch 03</x:v>
      </x:c>
    </x:row>
    <x:row r="28" ht="48" hidden="0" customHeight="1">
      <x:c r="A28" s="12" t="str">
        <x:v>S034</x:v>
      </x:c>
      <x:c r="B28" s="12"/>
      <x:c r="C28" s="12"/>
      <x:c r="D28" s="12" t="str">
        <x:v>FlashForge Adventurer 4 Pro</x:v>
      </x:c>
      <x:c r="E28" s="12" t="str">
        <x:v>FDM</x:v>
      </x:c>
      <x:c r="F28" s="12" t="str">
        <x:v>NR main; 0.4 mm for direct-on-fabric SI trial</x:v>
      </x:c>
      <x:c r="G28" s="12" t="str">
        <x:v>240 nozzle; 110 bed</x:v>
      </x:c>
      <x:c r="H28" s="12" t="str">
        <x:v>NR main</x:v>
      </x:c>
      <x:c r="I28" s="12" t="str">
        <x:v>NR</x:v>
      </x:c>
      <x:c r="J28" s="12" t="str">
        <x:v>Microchannel geometry</x:v>
      </x:c>
      <x:c r="K28" s="12" t="str">
        <x:v>NR</x:v>
      </x:c>
      <x:c r="L28" s="12" t="str">
        <x:v>ABS structure fused to fabric with acetone; direct printing trial described in SI</x:v>
      </x:c>
      <x:c r="M28" s="12" t="str">
        <x:v>PDF pp. 2–3, 9; Figs. 1–2; Fig. S4 cited</x:v>
      </x:c>
      <x:c r="N28" s="12" t="str">
        <x:v>Batch 03</x:v>
      </x:c>
    </x:row>
    <x:row r="29" ht="24" hidden="0" customHeight="1">
      <x:c r="A29" s="12" t="str">
        <x:v>S035</x:v>
      </x:c>
      <x:c r="B29" s="12"/>
      <x:c r="C29" s="12"/>
      <x:c r="D29" s="12" t="str">
        <x:v>Flashforge Creator Pro dual extruder</x:v>
      </x:c>
      <x:c r="E29" s="12" t="str">
        <x:v>FDM</x:v>
      </x:c>
      <x:c r="F29" s="12" t="str">
        <x:v>NR</x:v>
      </x:c>
      <x:c r="G29" s="12" t="str">
        <x:v>PLA 200; ABS 220; TPU 200; bed 50</x:v>
      </x:c>
      <x:c r="H29" s="12" t="str">
        <x:v>40 mm/s</x:v>
      </x:c>
      <x:c r="I29" s="12" t="str">
        <x:v>NR</x:v>
      </x:c>
      <x:c r="J29" s="12" t="str">
        <x:v>Ring/electrode geometry shown</x:v>
      </x:c>
      <x:c r="K29" s="12" t="str">
        <x:v>NR</x:v>
      </x:c>
      <x:c r="L29" s="12" t="str">
        <x:v>Single-step co-printing; dimensions in Fig. 1</x:v>
      </x:c>
      <x:c r="M29" s="12" t="str">
        <x:v>PDF pp. 2–3; Fig. 1</x:v>
      </x:c>
      <x:c r="N29" s="12" t="str">
        <x:v>Batch 03</x:v>
      </x:c>
    </x:row>
    <x:row r="30" ht="24" hidden="0" customHeight="1">
      <x:c r="A30" s="12" t="str">
        <x:v>S036</x:v>
      </x:c>
      <x:c r="B30" s="12"/>
      <x:c r="C30" s="12"/>
      <x:c r="D30" s="12" t="str">
        <x:v>Two-nozzle Prusa printer; model NR</x:v>
      </x:c>
      <x:c r="E30" s="12" t="str">
        <x:v>FFF</x:v>
      </x:c>
      <x:c r="F30" s="12" t="str">
        <x:v>NR</x:v>
      </x:c>
      <x:c r="G30" s="12" t="str">
        <x:v>230 nozzle; 60 bed</x:v>
      </x:c>
      <x:c r="H30" s="12" t="str">
        <x:v>25 mm/s</x:v>
      </x:c>
      <x:c r="I30" s="12" t="str">
        <x:v>0.4 mm functional layers; 0.6 mm channel</x:v>
      </x:c>
      <x:c r="J30" s="12" t="str">
        <x:v>Multimaterial monolithic stack</x:v>
      </x:c>
      <x:c r="K30" s="12" t="str">
        <x:v>100%</x:v>
      </x:c>
      <x:c r="L30" s="12" t="str">
        <x:v>Extrusion multiplier 1.1; channel 0.8 mm wide; total device 1.8 mm</x:v>
      </x:c>
      <x:c r="M30" s="12" t="str">
        <x:v>PDF pp. 2–3; Fig. 1</x:v>
      </x:c>
      <x:c r="N30" s="12" t="str">
        <x:v>Batch 03</x:v>
      </x:c>
    </x:row>
    <x:row r="31" ht="24" hidden="0" customHeight="1">
      <x:c r="A31" s="12" t="str">
        <x:v>S037</x:v>
      </x:c>
      <x:c r="B31" s="12"/>
      <x:c r="C31" s="12"/>
      <x:c r="D31" s="12" t="str">
        <x:v>Diabase H-Series Hybrid</x:v>
      </x:c>
      <x:c r="E31" s="12" t="str">
        <x:v>Multimaterial FDM</x:v>
      </x:c>
      <x:c r="F31" s="12" t="str">
        <x:v>NR</x:v>
      </x:c>
      <x:c r="G31" s="12" t="str">
        <x:v>NR</x:v>
      </x:c>
      <x:c r="H31" s="12" t="str">
        <x:v>NR</x:v>
      </x:c>
      <x:c r="I31" s="12" t="str">
        <x:v>0.2</x:v>
      </x:c>
      <x:c r="J31" s="12" t="str">
        <x:v>Two-traxel strap; inside/outside gauge paths</x:v>
      </x:c>
      <x:c r="K31" s="12" t="str">
        <x:v>30% honeycomb for phantom tissue</x:v>
      </x:c>
      <x:c r="L31" s="12" t="str">
        <x:v>Printed in one go; annealed 15 h at 80 °C</x:v>
      </x:c>
      <x:c r="M31" s="12" t="str">
        <x:v>PDF pp. 2, 5; Figs. 2, 6–7</x:v>
      </x:c>
      <x:c r="N31" s="12" t="str">
        <x:v>Batch 03</x:v>
      </x:c>
    </x:row>
    <x:row r="32" ht="15" hidden="0" customHeight="1">
      <x:c r="A32" s="12" t="str">
        <x:v>S038</x:v>
      </x:c>
      <x:c r="B32" s="12"/>
      <x:c r="C32" s="12"/>
      <x:c r="D32" s="12" t="str">
        <x:v>MakerBot Replicator 2X Experimental</x:v>
      </x:c>
      <x:c r="E32" s="12" t="str">
        <x:v>Dual-nozzle FFF</x:v>
      </x:c>
      <x:c r="F32" s="12" t="n">
        <x:v>0.8</x:v>
      </x:c>
      <x:c r="G32" s="12" t="str">
        <x:v>220 nozzle; 60 bed</x:v>
      </x:c>
      <x:c r="H32" s="12" t="str">
        <x:v>20 mm/s</x:v>
      </x:c>
      <x:c r="I32" s="12" t="n">
        <x:v>0.2</x:v>
      </x:c>
      <x:c r="J32" s="12" t="str">
        <x:v>Architecture-specific trace directions</x:v>
      </x:c>
      <x:c r="K32" s="12" t="str">
        <x:v>100%</x:v>
      </x:c>
      <x:c r="L32" s="12" t="str">
        <x:v>Conductive paths 1.6 mm wide × 0.4 mm thick</x:v>
      </x:c>
      <x:c r="M32" s="12" t="str">
        <x:v>PDF pp. 3–5; Table 1; Figs. 1–4</x:v>
      </x:c>
      <x:c r="N32" s="12" t="str">
        <x:v>Batch 04</x:v>
      </x:c>
    </x:row>
    <x:row r="33" ht="24" hidden="0" customHeight="1">
      <x:c r="A33" s="12" t="str">
        <x:v>S039</x:v>
      </x:c>
      <x:c r="B33" s="12"/>
      <x:c r="C33" s="12"/>
      <x:c r="D33" s="12" t="str">
        <x:v>FlashForge Guider IIs</x:v>
      </x:c>
      <x:c r="E33" s="12" t="str">
        <x:v>FDM</x:v>
      </x:c>
      <x:c r="F33" s="12" t="str">
        <x:v>NR</x:v>
      </x:c>
      <x:c r="G33" s="12" t="str">
        <x:v>230 nozzle; 60 bed</x:v>
      </x:c>
      <x:c r="H33" s="12" t="str">
        <x:v>20 mm/s</x:v>
      </x:c>
      <x:c r="I33" s="12" t="str">
        <x:v>0.2, 0.3 or 0.4</x:v>
      </x:c>
      <x:c r="J33" s="12" t="str">
        <x:v>Vertical printing; groove pitch set by layer thickness</x:v>
      </x:c>
      <x:c r="K33" s="12" t="str">
        <x:v>100%</x:v>
      </x:c>
      <x:c r="L33" s="12" t="str">
        <x:v>TPU 1 × 6 × 40 mm; Pt 32 nm; 2% prestretch</x:v>
      </x:c>
      <x:c r="M33" s="12" t="str">
        <x:v>PDF pp. 3–4; Fig. 2</x:v>
      </x:c>
      <x:c r="N33" s="12" t="str">
        <x:v>Batch 04</x:v>
      </x:c>
    </x:row>
    <x:row r="34" ht="24" hidden="0" customHeight="1">
      <x:c r="A34" s="12" t="str">
        <x:v>S043</x:v>
      </x:c>
      <x:c r="B34" s="12"/>
      <x:c r="C34" s="12"/>
      <x:c r="D34" s="12" t="str">
        <x:v>Custom E3D ToolChanger; modified Prusa MK3S+</x:v>
      </x:c>
      <x:c r="E34" s="12" t="str">
        <x:v>FFF</x:v>
      </x:c>
      <x:c r="F34" s="12" t="n">
        <x:v>0.4</x:v>
      </x:c>
      <x:c r="G34" s="12" t="str">
        <x:v>238 nozzle; 50 bed</x:v>
      </x:c>
      <x:c r="H34" s="12" t="str">
        <x:v>10 mm/s</x:v>
      </x:c>
      <x:c r="I34" s="12" t="str">
        <x:v>NR</x:v>
      </x:c>
      <x:c r="J34" s="12" t="str">
        <x:v>Rectilinear; sequential electrode printing</x:v>
      </x:c>
      <x:c r="K34" s="12" t="str">
        <x:v>100% electrodes; 15% wristband</x:v>
      </x:c>
      <x:c r="L34" s="12" t="str">
        <x:v>Electrodes approximately 1–2 mm thick; wristband 225 × 25 × 2 mm</x:v>
      </x:c>
      <x:c r="M34" s="12" t="str">
        <x:v>PDF p. 3; Section 2.3</x:v>
      </x:c>
      <x:c r="N34" s="12" t="str">
        <x:v>Batch 04</x:v>
      </x:c>
    </x:row>
    <x:row r="35" ht="15" hidden="0" customHeight="1">
      <x:c r="A35" s="12" t="str">
        <x:v>S044</x:v>
      </x:c>
      <x:c r="B35" s="12"/>
      <x:c r="C35" s="12"/>
      <x:c r="D35" s="12" t="str">
        <x:v>MakerBot Replicator 2</x:v>
      </x:c>
      <x:c r="E35" s="12" t="str">
        <x:v>FDM</x:v>
      </x:c>
      <x:c r="F35" s="12" t="str">
        <x:v>NR</x:v>
      </x:c>
      <x:c r="G35" s="12" t="str">
        <x:v>205 nozzle</x:v>
      </x:c>
      <x:c r="H35" s="12" t="str">
        <x:v>NR</x:v>
      </x:c>
      <x:c r="I35" s="12" t="n">
        <x:v>0.1</x:v>
      </x:c>
      <x:c r="J35" s="12" t="str">
        <x:v>Honeycomb with 0, 3 or 6 supports</x:v>
      </x:c>
      <x:c r="K35" s="12" t="str">
        <x:v>100%</x:v>
      </x:c>
      <x:c r="L35" s="12" t="str">
        <x:v>GNP/TPU filament 1.75 mm; PET encapsulation</x:v>
      </x:c>
      <x:c r="M35" s="12" t="str">
        <x:v>PDF p. 4; Fig. 1</x:v>
      </x:c>
      <x:c r="N35" s="12" t="str">
        <x:v>Batch 04</x:v>
      </x:c>
    </x:row>
    <x:row r="36" ht="24" hidden="0" customHeight="1">
      <x:c r="A36" s="12" t="str">
        <x:v>S046</x:v>
      </x:c>
      <x:c r="B36" s="12"/>
      <x:c r="C36" s="12"/>
      <x:c r="D36" s="12" t="str">
        <x:v>Anycubic Kobra Plus i3</x:v>
      </x:c>
      <x:c r="E36" s="12" t="str">
        <x:v>FDM</x:v>
      </x:c>
      <x:c r="F36" s="12" t="str">
        <x:v>NR</x:v>
      </x:c>
      <x:c r="G36" s="12" t="str">
        <x:v>250 nozzle; 90 platform</x:v>
      </x:c>
      <x:c r="H36" s="12" t="str">
        <x:v>15 mm/s</x:v>
      </x:c>
      <x:c r="I36" s="12" t="str">
        <x:v>NR</x:v>
      </x:c>
      <x:c r="J36" s="12" t="str">
        <x:v>Finger sleeve and Z-spring</x:v>
      </x:c>
      <x:c r="K36" s="12" t="str">
        <x:v>NR</x:v>
      </x:c>
      <x:c r="L36" s="12" t="str">
        <x:v>Layer height, infill value/pattern and orientation/toolpath NR</x:v>
      </x:c>
      <x:c r="M36" s="12" t="str">
        <x:v>Supplementary pp. 3-4; Fig. S3</x:v>
      </x:c>
      <x:c r="N36" s="12" t="str">
        <x:v>Supplement verified 2026-09-03</x:v>
      </x:c>
    </x:row>
    <x:row r="37" ht="15" hidden="0" customHeight="1">
      <x:c r="A37" s="12" t="str">
        <x:v>S047</x:v>
      </x:c>
      <x:c r="B37" s="12"/>
      <x:c r="C37" s="12"/>
      <x:c r="D37" s="12" t="str">
        <x:v>Cubicon Style NEO-A31C</x:v>
      </x:c>
      <x:c r="E37" s="12" t="str">
        <x:v>FDM</x:v>
      </x:c>
      <x:c r="F37" s="12" t="str">
        <x:v>NR</x:v>
      </x:c>
      <x:c r="G37" s="12" t="str">
        <x:v>NR</x:v>
      </x:c>
      <x:c r="H37" s="12" t="str">
        <x:v>NR</x:v>
      </x:c>
      <x:c r="I37" s="12" t="str">
        <x:v>NR</x:v>
      </x:c>
      <x:c r="J37" s="12" t="str">
        <x:v>Patient-specific facial surface</x:v>
      </x:c>
      <x:c r="K37" s="12" t="str">
        <x:v>NR</x:v>
      </x:c>
      <x:c r="L37" s="12" t="str">
        <x:v>Mask thickness 1–3 mm; sensor grooves, air holes and strap hinges</x:v>
      </x:c>
      <x:c r="M37" s="12" t="str">
        <x:v>PDF pp. 3–4; Figs. 2–3</x:v>
      </x:c>
      <x:c r="N37" s="12" t="str">
        <x:v>Batch 04</x:v>
      </x:c>
    </x:row>
    <x:row r="38" ht="36" hidden="0" customHeight="1">
      <x:c r="A38" s="12" t="str">
        <x:v>S048</x:v>
      </x:c>
      <x:c r="B38" s="12"/>
      <x:c r="C38" s="12"/>
      <x:c r="D38" s="12" t="str">
        <x:v>Flexible 350</x:v>
      </x:c>
      <x:c r="E38" s="12" t="str">
        <x:v>FDM with in-process spraying and post-foaming</x:v>
      </x:c>
      <x:c r="F38" s="12" t="n">
        <x:v>0.6</x:v>
      </x:c>
      <x:c r="G38" s="12" t="str">
        <x:v>230 nozzle</x:v>
      </x:c>
      <x:c r="H38" s="12" t="str">
        <x:v>25 mm/s</x:v>
      </x:c>
      <x:c r="I38" s="12" t="n">
        <x:v>0.5</x:v>
      </x:c>
      <x:c r="J38" s="12" t="str">
        <x:v>Rectilinear/wiggle/line/honeycomb variants</x:v>
      </x:c>
      <x:c r="K38" s="12" t="str">
        <x:v>40% for compression specimen; other values NR</x:v>
      </x:c>
      <x:c r="L38" s="12" t="str">
        <x:v>Two sprays/layer; CO2 at 5 MPa for 30 min; thermal drying</x:v>
      </x:c>
      <x:c r="M38" s="12" t="str">
        <x:v>PDF pp. 3–4, 6–7; Figs. 1, 5–8</x:v>
      </x:c>
      <x:c r="N38" s="12" t="str">
        <x:v>Batch 04</x:v>
      </x:c>
    </x:row>
    <x:row r="39" ht="15" hidden="0" customHeight="1">
      <x:c r="A39" s="12" t="str">
        <x:v>S050</x:v>
      </x:c>
      <x:c r="B39" s="12"/>
      <x:c r="C39" s="12"/>
      <x:c r="D39" s="12" t="str">
        <x:v>Sethi3D S3</x:v>
      </x:c>
      <x:c r="E39" s="12" t="str">
        <x:v>FDM</x:v>
      </x:c>
      <x:c r="F39" s="12" t="str">
        <x:v>NR</x:v>
      </x:c>
      <x:c r="G39" s="12" t="str">
        <x:v>NR</x:v>
      </x:c>
      <x:c r="H39" s="12" t="str">
        <x:v>NR</x:v>
      </x:c>
      <x:c r="I39" s="12" t="str">
        <x:v>NR</x:v>
      </x:c>
      <x:c r="J39" s="12" t="str">
        <x:v>Geometry-specific support regions</x:v>
      </x:c>
      <x:c r="K39" s="12" t="str">
        <x:v>ABS infill 70%; TPU NR</x:v>
      </x:c>
      <x:c r="L39" s="12" t="str">
        <x:v>Two ABS portions plus flexible TPU region</x:v>
      </x:c>
      <x:c r="M39" s="12" t="str">
        <x:v>PDF pp. 3–4; Figs. 1–2</x:v>
      </x:c>
      <x:c r="N39" s="12" t="str">
        <x:v>Batch 05</x:v>
      </x:c>
    </x:row>
    <x:row r="40" ht="15" hidden="0" customHeight="1">
      <x:c r="A40" s="12" t="str">
        <x:v>S051</x:v>
      </x:c>
      <x:c r="B40" s="12"/>
      <x:c r="C40" s="12"/>
      <x:c r="D40" s="12" t="str">
        <x:v>MakerGear M2</x:v>
      </x:c>
      <x:c r="E40" s="12" t="str">
        <x:v>FDM</x:v>
      </x:c>
      <x:c r="F40" s="12" t="n">
        <x:v>0.35</x:v>
      </x:c>
      <x:c r="G40" s="12" t="str">
        <x:v>246 nozzle; 45 bed</x:v>
      </x:c>
      <x:c r="H40" s="12" t="str">
        <x:v>1500 mm/min</x:v>
      </x:c>
      <x:c r="I40" s="12" t="n">
        <x:v>0.1</x:v>
      </x:c>
      <x:c r="J40" s="12" t="str">
        <x:v>Two-layer device with embedded channels</x:v>
      </x:c>
      <x:c r="K40" s="12" t="str">
        <x:v>NR</x:v>
      </x:c>
      <x:c r="L40" s="12" t="str">
        <x:v>Printed microchannels subsequently filled with Galinstan</x:v>
      </x:c>
      <x:c r="M40" s="12" t="str">
        <x:v>PDF pp. 2–3; Fig. 2</x:v>
      </x:c>
      <x:c r="N40" s="12" t="str">
        <x:v>Batch 05</x:v>
      </x:c>
    </x:row>
    <x:row r="41" ht="24" hidden="0" customHeight="1">
      <x:c r="A41" s="12" t="str">
        <x:v>S052</x:v>
      </x:c>
      <x:c r="B41" s="12"/>
      <x:c r="C41" s="12"/>
      <x:c r="D41" s="12" t="str">
        <x:v>F430 NX</x:v>
      </x:c>
      <x:c r="E41" s="12" t="str">
        <x:v>FDM</x:v>
      </x:c>
      <x:c r="F41" s="12" t="str">
        <x:v>NR</x:v>
      </x:c>
      <x:c r="G41" s="12" t="str">
        <x:v>225 nozzle; 130 base</x:v>
      </x:c>
      <x:c r="H41" s="12" t="str">
        <x:v>NR</x:v>
      </x:c>
      <x:c r="I41" s="12" t="str">
        <x:v>NR</x:v>
      </x:c>
      <x:c r="J41" s="12" t="str">
        <x:v>I, S and hexagonal metamaterial lattices</x:v>
      </x:c>
      <x:c r="K41" s="12" t="str">
        <x:v>NR</x:v>
      </x:c>
      <x:c r="L41" s="12" t="str">
        <x:v>Hexagonal, I-shaped and S-shaped device dimensions are reported; nozzle diameter, layer height, speed, infill and orientation/toolpath NR</x:v>
      </x:c>
      <x:c r="M41" s="12" t="str">
        <x:v>Main article p. 2; Supplementary Table S1</x:v>
      </x:c>
      <x:c r="N41" s="12" t="str">
        <x:v>Supplement verified 2026-09-03</x:v>
      </x:c>
    </x:row>
    <x:row r="42" ht="15" hidden="0" customHeight="1">
      <x:c r="A42" s="12" t="str">
        <x:v>S053</x:v>
      </x:c>
      <x:c r="B42" s="12"/>
      <x:c r="C42" s="12"/>
      <x:c r="D42" s="12" t="str">
        <x:v>Printer model NR</x:v>
      </x:c>
      <x:c r="E42" s="12" t="str">
        <x:v>FDM</x:v>
      </x:c>
      <x:c r="F42" s="12" t="str">
        <x:v>NR</x:v>
      </x:c>
      <x:c r="G42" s="12" t="str">
        <x:v>220 nozzle</x:v>
      </x:c>
      <x:c r="H42" s="12" t="str">
        <x:v>NR</x:v>
      </x:c>
      <x:c r="I42" s="12" t="n">
        <x:v>0.18</x:v>
      </x:c>
      <x:c r="J42" s="12" t="str">
        <x:v>TPMS IWP structures</x:v>
      </x:c>
      <x:c r="K42" s="12" t="str">
        <x:v>100%</x:v>
      </x:c>
      <x:c r="L42" s="12" t="str">
        <x:v>Composite filament extruded at 180 °C; porosities 40.5, 61.2 and 81.6%</x:v>
      </x:c>
      <x:c r="M42" s="12" t="str">
        <x:v>PDF pp. 3–4; Figs. 1–3</x:v>
      </x:c>
      <x:c r="N42" s="12" t="str">
        <x:v>Batch 05</x:v>
      </x:c>
    </x:row>
    <x:row r="43" ht="15" hidden="0" customHeight="1">
      <x:c r="A43" s="12" t="str">
        <x:v>S054</x:v>
      </x:c>
      <x:c r="B43" s="12"/>
      <x:c r="C43" s="12"/>
      <x:c r="D43" s="12" t="str">
        <x:v>Printer model NR</x:v>
      </x:c>
      <x:c r="E43" s="12" t="str">
        <x:v>FDM</x:v>
      </x:c>
      <x:c r="F43" s="12" t="str">
        <x:v>NR</x:v>
      </x:c>
      <x:c r="G43" s="12" t="str">
        <x:v>NR</x:v>
      </x:c>
      <x:c r="H43" s="12" t="str">
        <x:v>NR</x:v>
      </x:c>
      <x:c r="I43" s="12" t="str">
        <x:v>NR</x:v>
      </x:c>
      <x:c r="J43" s="12" t="str">
        <x:v>Seven hexagonal thin-wall cells</x:v>
      </x:c>
      <x:c r="K43" s="12" t="str">
        <x:v>NR</x:v>
      </x:c>
      <x:c r="L43" s="12" t="str">
        <x:v>Wall 0.5 mm; height 5 mm; width 6.5 mm</x:v>
      </x:c>
      <x:c r="M43" s="12" t="str">
        <x:v>PDF pp. 3–4; Fig. 1</x:v>
      </x:c>
      <x:c r="N43" s="12" t="str">
        <x:v>Batch 05</x:v>
      </x:c>
    </x:row>
    <x:row r="44" ht="15" hidden="0" customHeight="1">
      <x:c r="A44" s="12" t="str">
        <x:v>S055</x:v>
      </x:c>
      <x:c r="B44" s="12"/>
      <x:c r="C44" s="12"/>
      <x:c r="D44" s="12" t="str">
        <x:v>Modified FDM printer</x:v>
      </x:c>
      <x:c r="E44" s="12" t="str">
        <x:v>FDM</x:v>
      </x:c>
      <x:c r="F44" s="12" t="n">
        <x:v>0.4</x:v>
      </x:c>
      <x:c r="G44" s="12" t="str">
        <x:v>230 nozzle; 100 bed</x:v>
      </x:c>
      <x:c r="H44" s="12" t="str">
        <x:v>10 mm/s</x:v>
      </x:c>
      <x:c r="I44" s="12" t="n">
        <x:v>0.2</x:v>
      </x:c>
      <x:c r="J44" s="12" t="str">
        <x:v>90° raster</x:v>
      </x:c>
      <x:c r="K44" s="12" t="str">
        <x:v>100%</x:v>
      </x:c>
      <x:c r="L44" s="12" t="str">
        <x:v>Nozzle–substrate gap 1 mm; electric field 0.5–2 kV</x:v>
      </x:c>
      <x:c r="M44" s="12" t="str">
        <x:v>PDF pp. 3–4; Figs. 1–2</x:v>
      </x:c>
      <x:c r="N44" s="12" t="str">
        <x:v>Batch 05</x:v>
      </x:c>
    </x:row>
    <x:row r="45" ht="15" hidden="0" customHeight="1">
      <x:c r="A45" s="12" t="str">
        <x:v>S056</x:v>
      </x:c>
      <x:c r="B45" s="12"/>
      <x:c r="C45" s="12"/>
      <x:c r="D45" s="12" t="str">
        <x:v>Creality CR-2020</x:v>
      </x:c>
      <x:c r="E45" s="12" t="str">
        <x:v>FDM</x:v>
      </x:c>
      <x:c r="F45" s="12" t="str">
        <x:v>NR</x:v>
      </x:c>
      <x:c r="G45" s="12" t="str">
        <x:v>220 nozzle; 60 bed</x:v>
      </x:c>
      <x:c r="H45" s="12" t="str">
        <x:v>50 mm/s</x:v>
      </x:c>
      <x:c r="I45" s="12" t="n">
        <x:v>0.2</x:v>
      </x:c>
      <x:c r="J45" s="12" t="str">
        <x:v>Configuration-specific</x:v>
      </x:c>
      <x:c r="K45" s="12" t="str">
        <x:v>100%</x:v>
      </x:c>
      <x:c r="L45" s="12" t="str">
        <x:v>Multiple sensor geometries</x:v>
      </x:c>
      <x:c r="M45" s="12" t="str">
        <x:v>PDF pp. 4–6; Figs. 2–3</x:v>
      </x:c>
      <x:c r="N45" s="12" t="str">
        <x:v>Batch 05</x:v>
      </x:c>
    </x:row>
    <x:row r="46" ht="15" hidden="0" customHeight="1">
      <x:c r="A46" s="12" t="str">
        <x:v>S057</x:v>
      </x:c>
      <x:c r="B46" s="12"/>
      <x:c r="C46" s="12"/>
      <x:c r="D46" s="12" t="str">
        <x:v>Custom printer</x:v>
      </x:c>
      <x:c r="E46" s="12" t="str">
        <x:v>FDM</x:v>
      </x:c>
      <x:c r="F46" s="12" t="n">
        <x:v>0.4</x:v>
      </x:c>
      <x:c r="G46" s="12" t="str">
        <x:v>220 liquefier; 60 chamber</x:v>
      </x:c>
      <x:c r="H46" s="12" t="str">
        <x:v>20 mm/s</x:v>
      </x:c>
      <x:c r="I46" s="12" t="n">
        <x:v>0.2</x:v>
      </x:c>
      <x:c r="J46" s="12" t="str">
        <x:v>P, G and D TPMS</x:v>
      </x:c>
      <x:c r="K46" s="12" t="str">
        <x:v>100%</x:v>
      </x:c>
      <x:c r="L46" s="12" t="str">
        <x:v>Filament extrusion zones 160/205/210/210/210 °C</x:v>
      </x:c>
      <x:c r="M46" s="12" t="str">
        <x:v>PDF pp. 3–5; Figs. 1–3</x:v>
      </x:c>
      <x:c r="N46" s="12" t="str">
        <x:v>Batch 05</x:v>
      </x:c>
    </x:row>
    <x:row r="47" ht="36" hidden="0" customHeight="1">
      <x:c r="A47" s="12" t="str">
        <x:v>S058</x:v>
      </x:c>
      <x:c r="B47" s="12"/>
      <x:c r="C47" s="12"/>
      <x:c r="D47" s="12" t="str">
        <x:v>Bambu Lab P1S</x:v>
      </x:c>
      <x:c r="E47" s="12" t="str">
        <x:v>FDM</x:v>
      </x:c>
      <x:c r="F47" s="12" t="str">
        <x:v>0.2 selected; 0.4 comparison</x:v>
      </x:c>
      <x:c r="G47" s="12" t="str">
        <x:v>240 nozzle</x:v>
      </x:c>
      <x:c r="H47" s="12" t="str">
        <x:v>See SI</x:v>
      </x:c>
      <x:c r="I47" s="12" t="str">
        <x:v>0.04 selected; 0.03 first layer; comparison variants 0.05-0.10</x:v>
      </x:c>
      <x:c r="J47" s="12" t="str">
        <x:v>Porous pressure-sensing architecture</x:v>
      </x:c>
      <x:c r="K47" s="12" t="str">
        <x:v>See SI</x:v>
      </x:c>
      <x:c r="L47" s="12" t="str">
        <x:v>P1S printer; 240 °C nozzle; 18 × 18 × 0.2 mm substrates; surface variants and 220 °C/10 min thermal smoothing reported</x:v>
      </x:c>
      <x:c r="M47" s="12" t="str">
        <x:v>Main article section 3.1; Supplementary Table S1</x:v>
      </x:c>
      <x:c r="N47" s="12" t="str">
        <x:v>Supplement verified 2026-09-03</x:v>
      </x:c>
    </x:row>
    <x:row r="48" ht="24" hidden="0" customHeight="1">
      <x:c r="A48" s="12" t="str">
        <x:v>S059</x:v>
      </x:c>
      <x:c r="B48" s="12"/>
      <x:c r="C48" s="12"/>
      <x:c r="D48" s="12" t="str">
        <x:v>Sovol SV04 IDEX</x:v>
      </x:c>
      <x:c r="E48" s="12" t="str">
        <x:v>Multimaterial FDM</x:v>
      </x:c>
      <x:c r="F48" s="12" t="str">
        <x:v>See SI</x:v>
      </x:c>
      <x:c r="G48" s="12" t="str">
        <x:v>CB-TPU: 247 nozzle/40 bed; TPU: 228 nozzle/50 bed</x:v>
      </x:c>
      <x:c r="H48" s="12" t="str">
        <x:v>CB-TPU 20 mm/s; TPU 30 mm/s</x:v>
      </x:c>
      <x:c r="I48" s="12" t="n">
        <x:v>0.2</x:v>
      </x:c>
      <x:c r="J48" s="12" t="str">
        <x:v>CB-TPU gyroid; TPU triangles</x:v>
      </x:c>
      <x:c r="K48" s="12" t="str">
        <x:v>CB-TPU 100%; TPU 80%</x:v>
      </x:c>
      <x:c r="L48" s="12" t="str">
        <x:v>0.4 mm line width; wall and top/bottom layer counts reported</x:v>
      </x:c>
      <x:c r="M48" s="12" t="str">
        <x:v>Supplementary Table S1, SI pp. 3-4</x:v>
      </x:c>
      <x:c r="N48" s="12" t="str">
        <x:v>Supplement verified 2026-09-03</x:v>
      </x:c>
    </x:row>
    <x:row r="49" ht="15" hidden="0" customHeight="1">
      <x:c r="A49" s="12" t="str">
        <x:v>S060</x:v>
      </x:c>
      <x:c r="B49" s="12"/>
      <x:c r="C49" s="12"/>
      <x:c r="D49" s="12" t="str">
        <x:v>Raise3D Pro2</x:v>
      </x:c>
      <x:c r="E49" s="12" t="str">
        <x:v>FFF</x:v>
      </x:c>
      <x:c r="F49" s="12" t="n">
        <x:v>0.4</x:v>
      </x:c>
      <x:c r="G49" s="12" t="str">
        <x:v>220–245 nozzle; 45 bed</x:v>
      </x:c>
      <x:c r="H49" s="12" t="str">
        <x:v>18–25 mm/s</x:v>
      </x:c>
      <x:c r="I49" s="12" t="n">
        <x:v>0.2</x:v>
      </x:c>
      <x:c r="J49" s="12" t="str">
        <x:v>Gyroid; UCS 4–6 mm</x:v>
      </x:c>
      <x:c r="K49" s="12" t="str">
        <x:v>NR</x:v>
      </x:c>
      <x:c r="L49" s="12" t="str">
        <x:v>Filament compounded using Composer 450; sensor diameter 20 mm, height 25 mm</x:v>
      </x:c>
      <x:c r="M49" s="12" t="str">
        <x:v>PDF pp. 3–5; Figs. 1–2; Tables 1–2</x:v>
      </x:c>
      <x:c r="N49" s="12" t="str">
        <x:v>Batch 06</x:v>
      </x:c>
    </x:row>
    <x:row r="50" ht="15" hidden="0" customHeight="1">
      <x:c r="A50" s="12" t="str">
        <x:v>S061</x:v>
      </x:c>
      <x:c r="B50" s="12"/>
      <x:c r="C50" s="12"/>
      <x:c r="D50" s="12" t="str">
        <x:v>Printer model NR</x:v>
      </x:c>
      <x:c r="E50" s="12" t="str">
        <x:v>FFF</x:v>
      </x:c>
      <x:c r="F50" s="12" t="str">
        <x:v>NR</x:v>
      </x:c>
      <x:c r="G50" s="12" t="str">
        <x:v>210 nozzle; 50 bed</x:v>
      </x:c>
      <x:c r="H50" s="12" t="str">
        <x:v>50 mm/s</x:v>
      </x:c>
      <x:c r="I50" s="12" t="str">
        <x:v>NR</x:v>
      </x:c>
      <x:c r="J50" s="12" t="str">
        <x:v>Fourteen infill patterns</x:v>
      </x:c>
      <x:c r="K50" s="12" t="str">
        <x:v>20% and 100%</x:v>
      </x:c>
      <x:c r="L50" s="12" t="str">
        <x:v>Essential nozzle diameter and layer height not identified</x:v>
      </x:c>
      <x:c r="M50" s="12" t="str">
        <x:v>PDF pp. 3–5; Figs. 1–4</x:v>
      </x:c>
      <x:c r="N50" s="12" t="str">
        <x:v>Batch 06</x:v>
      </x:c>
    </x:row>
    <x:row r="51" ht="15" hidden="0" customHeight="1">
      <x:c r="A51" s="12" t="str">
        <x:v>S063</x:v>
      </x:c>
      <x:c r="B51" s="12"/>
      <x:c r="C51" s="12"/>
      <x:c r="D51" s="12" t="str">
        <x:v>WANHAO Duplicator 9</x:v>
      </x:c>
      <x:c r="E51" s="12" t="str">
        <x:v>FFF</x:v>
      </x:c>
      <x:c r="F51" s="12" t="n">
        <x:v>0.4</x:v>
      </x:c>
      <x:c r="G51" s="12" t="str">
        <x:v>210 nozzle; 60 bed</x:v>
      </x:c>
      <x:c r="H51" s="12" t="str">
        <x:v>15 mm/s</x:v>
      </x:c>
      <x:c r="I51" s="12" t="n">
        <x:v>0.4</x:v>
      </x:c>
      <x:c r="J51" s="12" t="str">
        <x:v>Honeycomb; start angle 0°</x:v>
      </x:c>
      <x:c r="K51" s="12" t="str">
        <x:v>20, 40 or 60%</x:v>
      </x:c>
      <x:c r="L51" s="12" t="str">
        <x:v>One perimeter; 15 × 15 × 10 mm</x:v>
      </x:c>
      <x:c r="M51" s="12" t="str">
        <x:v>PDF pp. 3–5; Figs. 1–3; Table 1</x:v>
      </x:c>
      <x:c r="N51" s="12" t="str">
        <x:v>Batch 06</x:v>
      </x:c>
    </x:row>
    <x:row r="52" ht="15" hidden="0" customHeight="1">
      <x:c r="A52" s="12" t="str">
        <x:v>S064</x:v>
      </x:c>
      <x:c r="B52" s="12"/>
      <x:c r="C52" s="12"/>
      <x:c r="D52" s="12" t="str">
        <x:v>Creality Ender 3 S1 Pro plus Musashi DIW</x:v>
      </x:c>
      <x:c r="E52" s="12" t="str">
        <x:v>Hybrid FFF/DIW</x:v>
      </x:c>
      <x:c r="F52" s="12" t="str">
        <x:v>NR</x:v>
      </x:c>
      <x:c r="G52" s="12" t="str">
        <x:v>230 nozzle; 30 bed</x:v>
      </x:c>
      <x:c r="H52" s="12" t="str">
        <x:v>100 mm/min</x:v>
      </x:c>
      <x:c r="I52" s="12" t="n">
        <x:v>0.2</x:v>
      </x:c>
      <x:c r="J52" s="12" t="str">
        <x:v>Alternating 45°/135° raster</x:v>
      </x:c>
      <x:c r="K52" s="12" t="str">
        <x:v>100%</x:v>
      </x:c>
      <x:c r="L52" s="12" t="str">
        <x:v>Grooves receive DIW sensing filament and are FFF encapsulated</x:v>
      </x:c>
      <x:c r="M52" s="12" t="str">
        <x:v>PDF pp. 2–4; Figs. 1–2; Table 1</x:v>
      </x:c>
      <x:c r="N52" s="12" t="str">
        <x:v>Batch 06</x:v>
      </x:c>
    </x:row>
    <x:row r="53" ht="15" hidden="0" customHeight="1">
      <x:c r="A53" s="12" t="str">
        <x:v>S065</x:v>
      </x:c>
      <x:c r="B53" s="12"/>
      <x:c r="C53" s="12"/>
      <x:c r="D53" s="12" t="str">
        <x:v>Printer model NR</x:v>
      </x:c>
      <x:c r="E53" s="12" t="str">
        <x:v>Direct FDM</x:v>
      </x:c>
      <x:c r="F53" s="12" t="n">
        <x:v>0.4</x:v>
      </x:c>
      <x:c r="G53" s="12" t="str">
        <x:v>NR</x:v>
      </x:c>
      <x:c r="H53" s="12" t="str">
        <x:v>NR</x:v>
      </x:c>
      <x:c r="I53" s="12" t="str">
        <x:v>NR</x:v>
      </x:c>
      <x:c r="J53" s="12" t="str">
        <x:v>Nozzle-engraved microgrooves</x:v>
      </x:c>
      <x:c r="K53" s="12" t="str">
        <x:v>NR</x:v>
      </x:c>
      <x:c r="L53" s="12" t="str">
        <x:v>Laser engraving: 0.4 W, 50 mm/s, 5 µm spacing, 20 passes</x:v>
      </x:c>
      <x:c r="M53" s="12" t="str">
        <x:v>PDF pp. 2–4; Figs. 1–2</x:v>
      </x:c>
      <x:c r="N53" s="12" t="str">
        <x:v>Batch 06</x:v>
      </x:c>
    </x:row>
    <x:row r="54" ht="15" hidden="0" customHeight="1">
      <x:c r="A54" s="12" t="str">
        <x:v>S066</x:v>
      </x:c>
      <x:c r="B54" s="12"/>
      <x:c r="C54" s="12"/>
      <x:c r="D54" s="12" t="str">
        <x:v>Ultimaker S5</x:v>
      </x:c>
      <x:c r="E54" s="12" t="str">
        <x:v>FDM</x:v>
      </x:c>
      <x:c r="F54" s="12" t="str">
        <x:v>NR</x:v>
      </x:c>
      <x:c r="G54" s="12" t="str">
        <x:v>NR</x:v>
      </x:c>
      <x:c r="H54" s="12" t="str">
        <x:v>NR</x:v>
      </x:c>
      <x:c r="I54" s="12" t="str">
        <x:v>~0.15 single layer</x:v>
      </x:c>
      <x:c r="J54" s="12" t="str">
        <x:v>Dogbone strain element</x:v>
      </x:c>
      <x:c r="K54" s="12" t="str">
        <x:v>NR</x:v>
      </x:c>
      <x:c r="L54" s="12" t="str">
        <x:v>Article directs fabrication details to prior work; current paper reports 115 mm length</x:v>
      </x:c>
      <x:c r="M54" s="12" t="str">
        <x:v>PDF pp. 2–3; Fig. 1</x:v>
      </x:c>
      <x:c r="N54" s="12" t="str">
        <x:v>Batch 06</x:v>
      </x:c>
    </x:row>
    <x:row r="55" ht="15" hidden="0" customHeight="1">
      <x:c r="A55" s="12" t="str">
        <x:v>S067</x:v>
      </x:c>
      <x:c r="B55" s="12"/>
      <x:c r="C55" s="12"/>
      <x:c r="D55" s="12" t="str">
        <x:v>Bambu Lab P1S</x:v>
      </x:c>
      <x:c r="E55" s="12" t="str">
        <x:v>FDM</x:v>
      </x:c>
      <x:c r="F55" s="12" t="str">
        <x:v>NR</x:v>
      </x:c>
      <x:c r="G55" s="12" t="str">
        <x:v>NR</x:v>
      </x:c>
      <x:c r="H55" s="12" t="str">
        <x:v>NR</x:v>
      </x:c>
      <x:c r="I55" s="12" t="str">
        <x:v>NR</x:v>
      </x:c>
      <x:c r="J55" s="12" t="str">
        <x:v>Insole with 80° slanted walls</x:v>
      </x:c>
      <x:c r="K55" s="12" t="str">
        <x:v>NR</x:v>
      </x:c>
      <x:c r="L55" s="12" t="str">
        <x:v>TPE 83A; TENG wall thickness 2.0 mm</x:v>
      </x:c>
      <x:c r="M55" s="12" t="str">
        <x:v>PDF pp. 2–4; Figs. 1–2</x:v>
      </x:c>
      <x:c r="N55" s="12" t="str">
        <x:v>Batch 06</x:v>
      </x:c>
    </x:row>
    <x:row r="56" ht="15" hidden="0" customHeight="1">
      <x:c r="A56" s="12" t="str">
        <x:v>S068</x:v>
      </x:c>
      <x:c r="B56" s="12"/>
      <x:c r="C56" s="12"/>
      <x:c r="D56" s="12" t="str">
        <x:v>AIMPLAS multi-head printer</x:v>
      </x:c>
      <x:c r="E56" s="12" t="str">
        <x:v>FFF plus DIW</x:v>
      </x:c>
      <x:c r="F56" s="12" t="n">
        <x:v>0.8</x:v>
      </x:c>
      <x:c r="G56" s="12" t="str">
        <x:v>230 nozzle; 40 bed</x:v>
      </x:c>
      <x:c r="H56" s="12" t="str">
        <x:v>20 mm/s</x:v>
      </x:c>
      <x:c r="I56" s="12" t="n">
        <x:v>0.1</x:v>
      </x:c>
      <x:c r="J56" s="12" t="str">
        <x:v>0° linear raster</x:v>
      </x:c>
      <x:c r="K56" s="12" t="str">
        <x:v>100%</x:v>
      </x:c>
      <x:c r="L56" s="12" t="str">
        <x:v>Silver IDE: 0.2 mm nozzle, 10 mm/s, 1 bar; cured 120 °C for 15 min</x:v>
      </x:c>
      <x:c r="M56" s="12" t="str">
        <x:v>PDF pp. 2–4; Figs. 1–2; Table 1</x:v>
      </x:c>
      <x:c r="N56" s="12" t="str">
        <x:v>Batch 06</x:v>
      </x:c>
    </x:row>
    <x:row r="57" ht="24" hidden="0" customHeight="1">
      <x:c r="A57" s="12" t="str">
        <x:v>S069</x:v>
      </x:c>
      <x:c r="B57" s="12"/>
      <x:c r="C57" s="12"/>
      <x:c r="D57" s="12" t="str">
        <x:v>SOVOL V01; Ultimaker 2+; Mosaic Element HT</x:v>
      </x:c>
      <x:c r="E57" s="12" t="str">
        <x:v>FFF</x:v>
      </x:c>
      <x:c r="F57" s="12" t="n">
        <x:v>0.4</x:v>
      </x:c>
      <x:c r="G57" s="12" t="str">
        <x:v>PP 230 nozzle; 90 bed</x:v>
      </x:c>
      <x:c r="H57" s="12" t="str">
        <x:v>See cited SI</x:v>
      </x:c>
      <x:c r="I57" s="12" t="str">
        <x:v>0.1–0.35</x:v>
      </x:c>
      <x:c r="J57" s="12" t="str">
        <x:v>Multiple surface patterns</x:v>
      </x:c>
      <x:c r="K57" s="12" t="str">
        <x:v>NR</x:v>
      </x:c>
      <x:c r="L57" s="12" t="str">
        <x:v>Z offset 0.15 mm; 30 × 30 mm prototypes directly printed on fabric</x:v>
      </x:c>
      <x:c r="M57" s="12" t="str">
        <x:v>PDF pp. 2–3; Fig. 1; Tables S1–S2 cited</x:v>
      </x:c>
      <x:c r="N57" s="12" t="str">
        <x:v>Batch 06</x:v>
      </x:c>
    </x:row>
    <x:row r="58" ht="15" hidden="0" customHeight="1">
      <x:c r="A58" s="12" t="str">
        <x:v>S070</x:v>
      </x:c>
      <x:c r="B58" s="12"/>
      <x:c r="C58" s="12"/>
      <x:c r="D58" s="12" t="str">
        <x:v>Ultimaker S5</x:v>
      </x:c>
      <x:c r="E58" s="12" t="str">
        <x:v>FDM</x:v>
      </x:c>
      <x:c r="F58" s="12" t="n">
        <x:v>0.4</x:v>
      </x:c>
      <x:c r="G58" s="12" t="str">
        <x:v>228 nozzle; 60 bed</x:v>
      </x:c>
      <x:c r="H58" s="12" t="str">
        <x:v>20 or 40 mm/s</x:v>
      </x:c>
      <x:c r="I58" s="12" t="n">
        <x:v>0.1</x:v>
      </x:c>
      <x:c r="J58" s="12" t="str">
        <x:v>Gyroid</x:v>
      </x:c>
      <x:c r="K58" s="12" t="str">
        <x:v>50%</x:v>
      </x:c>
      <x:c r="L58" s="12" t="str">
        <x:v>TPU 85A/95A; cooling 20%; flow 100%; embedded 10-mm FBG</x:v>
      </x:c>
      <x:c r="M58" s="12" t="str">
        <x:v>PDF pp. 3–4; Figs. 1–2</x:v>
      </x:c>
      <x:c r="N58" s="12" t="str">
        <x:v>Batch 07</x:v>
      </x:c>
    </x:row>
    <x:row r="59" ht="24" hidden="0" customHeight="1">
      <x:c r="A59" s="12" t="str">
        <x:v>S071</x:v>
      </x:c>
      <x:c r="B59" s="12"/>
      <x:c r="C59" s="12"/>
      <x:c r="D59" s="12" t="str">
        <x:v>Printer model NR</x:v>
      </x:c>
      <x:c r="E59" s="12" t="str">
        <x:v>FDM</x:v>
      </x:c>
      <x:c r="F59" s="12" t="str">
        <x:v>NR</x:v>
      </x:c>
      <x:c r="G59" s="12" t="str">
        <x:v>240 nozzle; 50 bed</x:v>
      </x:c>
      <x:c r="H59" s="12" t="str">
        <x:v>NR</x:v>
      </x:c>
      <x:c r="I59" s="12" t="str">
        <x:v>NR</x:v>
      </x:c>
      <x:c r="J59" s="12" t="str">
        <x:v>P-type TPMS</x:v>
      </x:c>
      <x:c r="K59" s="12" t="str">
        <x:v>30, 45, 60% and gradients</x:v>
      </x:c>
      <x:c r="L59" s="12" t="str">
        <x:v>30×30×30 mm; 5×5×5 cells; five graphene dip-coating cycles</x:v>
      </x:c>
      <x:c r="M59" s="12" t="str">
        <x:v>PDF pp. 2–4; Figs. 1–2</x:v>
      </x:c>
      <x:c r="N59" s="12" t="str">
        <x:v>Batch 07</x:v>
      </x:c>
    </x:row>
    <x:row r="60" ht="24" hidden="0" customHeight="1">
      <x:c r="A60" s="12" t="str">
        <x:v>S073</x:v>
      </x:c>
      <x:c r="B60" s="12"/>
      <x:c r="C60" s="12"/>
      <x:c r="D60" s="12" t="str">
        <x:v>Custom/unspecified continuous-fiber FDM platform</x:v>
      </x:c>
      <x:c r="E60" s="12" t="str">
        <x:v>Continuous-fiber FDM</x:v>
      </x:c>
      <x:c r="F60" s="12" t="str">
        <x:v>NR</x:v>
      </x:c>
      <x:c r="G60" s="12" t="str">
        <x:v>200 nozzle; 50 bed</x:v>
      </x:c>
      <x:c r="H60" s="12" t="str">
        <x:v>100 mm/min</x:v>
      </x:c>
      <x:c r="I60" s="12" t="n">
        <x:v>0.25</x:v>
      </x:c>
      <x:c r="J60" s="12" t="str">
        <x:v>Star structures with/without central cross</x:v>
      </x:c>
      <x:c r="K60" s="12" t="str">
        <x:v>NR</x:v>
      </x:c>
      <x:c r="L60" s="12" t="str">
        <x:v>Continuous-fiber feed 100 mm/min; fiber content 79%</x:v>
      </x:c>
      <x:c r="M60" s="12" t="str">
        <x:v>PDF pp. 3–5; Figs. 1–3; Table 2</x:v>
      </x:c>
      <x:c r="N60" s="12" t="str">
        <x:v>Batch 07</x:v>
      </x:c>
    </x:row>
    <x:row r="61" ht="15" hidden="0" customHeight="1">
      <x:c r="A61" s="12" t="str">
        <x:v>S074</x:v>
      </x:c>
      <x:c r="B61" s="12"/>
      <x:c r="C61" s="12"/>
      <x:c r="D61" s="12" t="str">
        <x:v>Ultimaker S5</x:v>
      </x:c>
      <x:c r="E61" s="12" t="str">
        <x:v>Dual-material FDM</x:v>
      </x:c>
      <x:c r="F61" s="12" t="str">
        <x:v>NR</x:v>
      </x:c>
      <x:c r="G61" s="12" t="str">
        <x:v>PLA 200; TPU 228</x:v>
      </x:c>
      <x:c r="H61" s="12" t="str">
        <x:v>45 mm/s</x:v>
      </x:c>
      <x:c r="I61" s="12" t="str">
        <x:v>NR</x:v>
      </x:c>
      <x:c r="J61" s="12" t="str">
        <x:v>Triangular</x:v>
      </x:c>
      <x:c r="K61" s="12" t="str">
        <x:v>100%</x:v>
      </x:c>
      <x:c r="L61" s="12" t="str">
        <x:v>Printing paused after layer 8 to embed pre-tensioned FBG</x:v>
      </x:c>
      <x:c r="M61" s="12" t="str">
        <x:v>PDF pp. 3–4; Figs. 1–2</x:v>
      </x:c>
      <x:c r="N61" s="12" t="str">
        <x:v>Batch 07</x:v>
      </x:c>
    </x:row>
    <x:row r="62" ht="15" hidden="0" customHeight="1">
      <x:c r="A62" s="12" t="str">
        <x:v>S075</x:v>
      </x:c>
      <x:c r="B62" s="12"/>
      <x:c r="C62" s="12"/>
      <x:c r="D62" s="12" t="str">
        <x:v>Ultimaker S5</x:v>
      </x:c>
      <x:c r="E62" s="12" t="str">
        <x:v>FDM</x:v>
      </x:c>
      <x:c r="F62" s="12" t="str">
        <x:v>0.4 line width</x:v>
      </x:c>
      <x:c r="G62" s="12" t="str">
        <x:v>250 nozzle; 30 bed</x:v>
      </x:c>
      <x:c r="H62" s="12" t="str">
        <x:v>25 mm/s</x:v>
      </x:c>
      <x:c r="I62" s="12" t="n">
        <x:v>0.15</x:v>
      </x:c>
      <x:c r="J62" s="12" t="str">
        <x:v>90° raster; dogbone</x:v>
      </x:c>
      <x:c r="K62" s="12" t="str">
        <x:v>100%</x:v>
      </x:c>
      <x:c r="L62" s="12" t="str">
        <x:v>Two perimeter walls; 115×18.9×0.15 mm; active length 70.4 mm</x:v>
      </x:c>
      <x:c r="M62" s="12" t="str">
        <x:v>PDF pp. 2–3; Fig. 1</x:v>
      </x:c>
      <x:c r="N62" s="12" t="str">
        <x:v>Batch 07</x:v>
      </x:c>
    </x:row>
    <x:row r="63" ht="24" hidden="0" customHeight="1">
      <x:c r="A63" s="12" t="str">
        <x:v>S076</x:v>
      </x:c>
      <x:c r="B63" s="12"/>
      <x:c r="C63" s="12"/>
      <x:c r="D63" s="12" t="str">
        <x:v>RepRap x350Pro / Ultimaker / Raise3D Pro2 named inconsistently</x:v>
      </x:c>
      <x:c r="E63" s="12" t="str">
        <x:v>FFF/FDM</x:v>
      </x:c>
      <x:c r="F63" s="12" t="n">
        <x:v>0.4</x:v>
      </x:c>
      <x:c r="G63" s="12" t="str">
        <x:v>250–260 nozzle; 60 bed</x:v>
      </x:c>
      <x:c r="H63" s="12" t="str">
        <x:v>20 mm/s</x:v>
      </x:c>
      <x:c r="I63" s="12" t="n">
        <x:v>0.1</x:v>
      </x:c>
      <x:c r="J63" s="12" t="str">
        <x:v>20×20-mm films; thickness variants</x:v>
      </x:c>
      <x:c r="K63" s="12" t="str">
        <x:v>NR</x:v>
      </x:c>
      <x:c r="L63" s="12" t="str">
        <x:v>Article names three printer platforms for related steps; films 0.1, 0.3 and 0.4 mm</x:v>
      </x:c>
      <x:c r="M63" s="12" t="str">
        <x:v>PDF pp. 3–4; Figs. 1–2; Table S2 cited</x:v>
      </x:c>
      <x:c r="N63" s="12" t="str">
        <x:v>Batch 07</x:v>
      </x:c>
    </x:row>
    <x:row r="64" ht="15" hidden="0" customHeight="1">
      <x:c r="A64" s="12" t="str">
        <x:v>S077</x:v>
      </x:c>
      <x:c r="B64" s="12"/>
      <x:c r="C64" s="12"/>
      <x:c r="D64" s="12" t="str">
        <x:v>Tenlog platform; exact model NR</x:v>
      </x:c>
      <x:c r="E64" s="12" t="str">
        <x:v>FDM</x:v>
      </x:c>
      <x:c r="F64" s="12" t="n">
        <x:v>0.4</x:v>
      </x:c>
      <x:c r="G64" s="12" t="str">
        <x:v>240 nozzle; 30 bed</x:v>
      </x:c>
      <x:c r="H64" s="12" t="str">
        <x:v>25 mm/s</x:v>
      </x:c>
      <x:c r="I64" s="12" t="n">
        <x:v>0.1</x:v>
      </x:c>
      <x:c r="J64" s="12" t="str">
        <x:v>Layer-by-layer graphene deposition</x:v>
      </x:c>
      <x:c r="K64" s="12" t="str">
        <x:v>100%</x:v>
      </x:c>
      <x:c r="L64" s="12" t="str">
        <x:v>Shell 1.6 mm; top/bottom 2 mm; no retraction; flow 100%</x:v>
      </x:c>
      <x:c r="M64" s="12" t="str">
        <x:v>PDF pp. 3–4; Fig. 1</x:v>
      </x:c>
      <x:c r="N64" s="12" t="str">
        <x:v>Batch 07</x:v>
      </x:c>
    </x:row>
    <x:row r="65" ht="36" hidden="0" customHeight="1">
      <x:c r="A65" s="12" t="str">
        <x:v>S078</x:v>
      </x:c>
      <x:c r="B65" s="12"/>
      <x:c r="C65" s="12"/>
      <x:c r="D65" s="12" t="str">
        <x:v>Mori M3145K</x:v>
      </x:c>
      <x:c r="E65" s="12" t="str">
        <x:v>FDM</x:v>
      </x:c>
      <x:c r="F65" s="12" t="n">
        <x:v>0.6</x:v>
      </x:c>
      <x:c r="G65" s="12" t="str">
        <x:v>200 nozzle; 50 bed</x:v>
      </x:c>
      <x:c r="H65" s="12" t="str">
        <x:v>10 mm/s</x:v>
      </x:c>
      <x:c r="I65" s="12" t="n">
        <x:v>0.4</x:v>
      </x:c>
      <x:c r="J65" s="12" t="str">
        <x:v>90° raster for tensile samples</x:v>
      </x:c>
      <x:c r="K65" s="12" t="str">
        <x:v>50% (table); tensile specimen 60% in main text</x:v>
      </x:c>
      <x:c r="L65" s="12" t="str">
        <x:v>Compression/tensile geometry and 90° tensile raster reported</x:v>
      </x:c>
      <x:c r="M65" s="12" t="str">
        <x:v>Main article Experimental section; Supplementary Table S1</x:v>
      </x:c>
      <x:c r="N65" s="12" t="str">
        <x:v>Supplement verified 2026-09-03</x:v>
      </x:c>
    </x:row>
    <x:row r="66" ht="15" hidden="0" customHeight="1">
      <x:c r="A66" s="12" t="str">
        <x:v>S079</x:v>
      </x:c>
      <x:c r="B66" s="12"/>
      <x:c r="C66" s="12"/>
      <x:c r="D66" s="12" t="str">
        <x:v>Printer model NR</x:v>
      </x:c>
      <x:c r="E66" s="12" t="str">
        <x:v>FDM</x:v>
      </x:c>
      <x:c r="F66" s="12" t="str">
        <x:v>NR</x:v>
      </x:c>
      <x:c r="G66" s="12" t="str">
        <x:v>220 nozzle</x:v>
      </x:c>
      <x:c r="H66" s="12" t="str">
        <x:v>NR</x:v>
      </x:c>
      <x:c r="I66" s="12" t="n">
        <x:v>0.2</x:v>
      </x:c>
      <x:c r="J66" s="12" t="str">
        <x:v>Lidnoid, Gyroid, Neovius and Split P TPMS</x:v>
      </x:c>
      <x:c r="K66" s="12" t="str">
        <x:v>100%</x:v>
      </x:c>
      <x:c r="L66" s="12" t="str">
        <x:v>20-mm diameter, 10-mm thickness; four porosities 76.4–79.0%</x:v>
      </x:c>
      <x:c r="M66" s="12" t="str">
        <x:v>PDF pp. 2–3; Fig. 1</x:v>
      </x:c>
      <x:c r="N66" s="12" t="str">
        <x:v>Batch 07</x:v>
      </x:c>
    </x:row>
    <x:row r="67" ht="15" hidden="0" customHeight="1">
      <x:c r="A67" s="12" t="str">
        <x:v>S080</x:v>
      </x:c>
      <x:c r="B67" s="12"/>
      <x:c r="C67" s="12"/>
      <x:c r="D67" s="12" t="str">
        <x:v>Model NR</x:v>
      </x:c>
      <x:c r="E67" s="12" t="str">
        <x:v>FDM</x:v>
      </x:c>
      <x:c r="F67" s="12" t="n">
        <x:v>0.4</x:v>
      </x:c>
      <x:c r="G67" s="12" t="str">
        <x:v>240 nozzle; bed NR</x:v>
      </x:c>
      <x:c r="H67" s="12" t="str">
        <x:v>15 mm s⁻¹</x:v>
      </x:c>
      <x:c r="I67" s="12" t="str">
        <x:v>NR</x:v>
      </x:c>
      <x:c r="J67" s="12" t="str">
        <x:v>TPMS: 4×4×3 cells</x:v>
      </x:c>
      <x:c r="K67" s="12" t="str">
        <x:v>100%</x:v>
      </x:c>
      <x:c r="L67" s="12" t="str">
        <x:v>25.1×25.1×18.8 mm; 40% volume fraction; 12 dip-coating cycles selected</x:v>
      </x:c>
      <x:c r="M67" s="12" t="str">
        <x:v>PDF pp. 4–5; Figs. 1–3</x:v>
      </x:c>
      <x:c r="N67" s="12" t="str">
        <x:v>Batch 08</x:v>
      </x:c>
    </x:row>
    <x:row r="68" ht="15" hidden="0" customHeight="1">
      <x:c r="A68" s="12" t="str">
        <x:v>S081</x:v>
      </x:c>
      <x:c r="B68" s="12"/>
      <x:c r="C68" s="12"/>
      <x:c r="D68" s="12" t="str">
        <x:v>Creality Ender-3</x:v>
      </x:c>
      <x:c r="E68" s="12" t="str">
        <x:v>FDM</x:v>
      </x:c>
      <x:c r="F68" s="12" t="str">
        <x:v>NR</x:v>
      </x:c>
      <x:c r="G68" s="12" t="str">
        <x:v>228 nozzle; bed NR</x:v>
      </x:c>
      <x:c r="H68" s="12" t="str">
        <x:v>15% printer setting</x:v>
      </x:c>
      <x:c r="I68" s="12" t="str">
        <x:v>NR</x:v>
      </x:c>
      <x:c r="J68" s="12" t="str">
        <x:v>Lines</x:v>
      </x:c>
      <x:c r="K68" s="12" t="str">
        <x:v>30%</x:v>
      </x:c>
      <x:c r="L68" s="12" t="str">
        <x:v>35.1×30×2.5 mm thumb body; printing paused to prestretch and embed FBG</x:v>
      </x:c>
      <x:c r="M68" s="12" t="str">
        <x:v>PDF pp. 3–4; Figs. 1–2; Table I</x:v>
      </x:c>
      <x:c r="N68" s="12" t="str">
        <x:v>Batch 08</x:v>
      </x:c>
    </x:row>
    <x:row r="69" ht="24" hidden="0" customHeight="1">
      <x:c r="A69" s="12" t="str">
        <x:v>S082</x:v>
      </x:c>
      <x:c r="B69" s="12"/>
      <x:c r="C69" s="12"/>
      <x:c r="D69" s="12" t="str">
        <x:v>ET-K1</x:v>
      </x:c>
      <x:c r="E69" s="12" t="str">
        <x:v>FFF</x:v>
      </x:c>
      <x:c r="F69" s="12" t="str">
        <x:v>NR</x:v>
      </x:c>
      <x:c r="G69" s="12" t="str">
        <x:v>200 nozzle; bed NR</x:v>
      </x:c>
      <x:c r="H69" s="12" t="str">
        <x:v>Feed/printing speed NR</x:v>
      </x:c>
      <x:c r="I69" s="12" t="str">
        <x:v>NR</x:v>
      </x:c>
      <x:c r="J69" s="12" t="str">
        <x:v>Continuous fibre</x:v>
      </x:c>
      <x:c r="K69" s="12" t="str">
        <x:v>NA</x:v>
      </x:c>
      <x:c r="L69" s="12" t="str">
        <x:v>Wellzoom extruder: 190 °C, 60 rpm; fibre ~400 µm; sensor length 70 mm, electrode spacing 30 mm</x:v>
      </x:c>
      <x:c r="M69" s="12" t="str">
        <x:v>PDF p. 4; Fig. 1</x:v>
      </x:c>
      <x:c r="N69" s="12" t="str">
        <x:v>Batch 08</x:v>
      </x:c>
    </x:row>
    <x:row r="70" ht="15" hidden="0" customHeight="1">
      <x:c r="A70" s="12" t="str">
        <x:v>S084</x:v>
      </x:c>
      <x:c r="B70" s="12"/>
      <x:c r="C70" s="12"/>
      <x:c r="D70" s="12" t="str">
        <x:v>ET-K1</x:v>
      </x:c>
      <x:c r="E70" s="12" t="str">
        <x:v>FFF</x:v>
      </x:c>
      <x:c r="F70" s="12" t="str">
        <x:v>NR</x:v>
      </x:c>
      <x:c r="G70" s="12" t="str">
        <x:v>200 nozzle; bed NR</x:v>
      </x:c>
      <x:c r="H70" s="12" t="str">
        <x:v>10 cm min⁻¹</x:v>
      </x:c>
      <x:c r="I70" s="12" t="str">
        <x:v>NR</x:v>
      </x:c>
      <x:c r="J70" s="12" t="str">
        <x:v>Continuous fibre</x:v>
      </x:c>
      <x:c r="K70" s="12" t="str">
        <x:v>NA</x:v>
      </x:c>
      <x:c r="L70" s="12" t="str">
        <x:v>Wellzoom extruder: 190 °C, 60 rpm; fibre ~400 µm; electrode spacing 30 mm</x:v>
      </x:c>
      <x:c r="M70" s="12" t="str">
        <x:v>PDF p. 4; Fig. 1</x:v>
      </x:c>
      <x:c r="N70" s="12" t="str">
        <x:v>Batch 08</x:v>
      </x:c>
    </x:row>
    <x:row r="71" ht="24" hidden="0" customHeight="1">
      <x:c r="A71" s="12" t="str">
        <x:v>S085</x:v>
      </x:c>
      <x:c r="B71" s="12"/>
      <x:c r="C71" s="12"/>
      <x:c r="D71" s="12" t="str">
        <x:v>Customized desktop FDM printer</x:v>
      </x:c>
      <x:c r="E71" s="12" t="str">
        <x:v>FDM</x:v>
      </x:c>
      <x:c r="F71" s="12" t="n">
        <x:v>0.35</x:v>
      </x:c>
      <x:c r="G71" s="12" t="str">
        <x:v>200 nozzle; bed NR</x:v>
      </x:c>
      <x:c r="H71" s="12" t="str">
        <x:v>3600 mm min⁻¹</x:v>
      </x:c>
      <x:c r="I71" s="12" t="n">
        <x:v>0.2</x:v>
      </x:c>
      <x:c r="J71" s="12" t="str">
        <x:v>Straight, SZ, TZ and RZ paths</x:v>
      </x:c>
      <x:c r="K71" s="12" t="str">
        <x:v>NA</x:v>
      </x:c>
      <x:c r="L71" s="12" t="str">
        <x:v>0.4-mm line interval; three deposited layers on TPU film; nozzle-to-film distance 0.1 mm</x:v>
      </x:c>
      <x:c r="M71" s="12" t="str">
        <x:v>PDF pp. 2–4; Figs. 1–3</x:v>
      </x:c>
      <x:c r="N71" s="12" t="str">
        <x:v>Batch 08</x:v>
      </x:c>
    </x:row>
    <x:row r="72" ht="24" hidden="0" customHeight="1">
      <x:c r="A72" s="12" t="str">
        <x:v>S086</x:v>
      </x:c>
      <x:c r="B72" s="12"/>
      <x:c r="C72" s="12"/>
      <x:c r="D72" s="12" t="str">
        <x:v>MakerBot Replicator 2</x:v>
      </x:c>
      <x:c r="E72" s="12" t="str">
        <x:v>FDM</x:v>
      </x:c>
      <x:c r="F72" s="12" t="str">
        <x:v>NR</x:v>
      </x:c>
      <x:c r="G72" s="12" t="str">
        <x:v>215 nozzle; bed NR</x:v>
      </x:c>
      <x:c r="H72" s="12" t="str">
        <x:v>20 mm s⁻¹</x:v>
      </x:c>
      <x:c r="I72" s="12" t="n">
        <x:v>0.2</x:v>
      </x:c>
      <x:c r="J72" s="12" t="str">
        <x:v>Layered TPU with interlaminar Ag coating</x:v>
      </x:c>
      <x:c r="K72" s="12" t="str">
        <x:v>NR</x:v>
      </x:c>
      <x:c r="L72" s="12" t="str">
        <x:v>Silver paste brushed on every filament layer; dried 150 °C for 20 min; 200-W microwave post-treatment</x:v>
      </x:c>
      <x:c r="M72" s="12" t="str">
        <x:v>PDF pp. 2–4; Figs. 1–3</x:v>
      </x:c>
      <x:c r="N72" s="12" t="str">
        <x:v>Batch 08</x:v>
      </x:c>
    </x:row>
    <x:row r="73" ht="24" hidden="0" customHeight="1">
      <x:c r="A73" s="12" t="str">
        <x:v>S087</x:v>
      </x:c>
      <x:c r="B73" s="12"/>
      <x:c r="C73" s="12"/>
      <x:c r="D73" s="12" t="str">
        <x:v>Shanghai Fochif platform; model NR</x:v>
      </x:c>
      <x:c r="E73" s="12" t="str">
        <x:v>FDM</x:v>
      </x:c>
      <x:c r="F73" s="12" t="str">
        <x:v>0.3 or 0.5</x:v>
      </x:c>
      <x:c r="G73" s="12" t="str">
        <x:v>Extrusion temperature NR</x:v>
      </x:c>
      <x:c r="H73" s="12" t="str">
        <x:v>XY 17 mm s⁻¹; Z extrusion 0.02 mm s⁻¹</x:v>
      </x:c>
      <x:c r="I73" s="12" t="str">
        <x:v>NR</x:v>
      </x:c>
      <x:c r="J73" s="12" t="str">
        <x:v>Seven-layer 3D network</x:v>
      </x:c>
      <x:c r="K73" s="12" t="str">
        <x:v>NR</x:v>
      </x:c>
      <x:c r="L73" s="12" t="str">
        <x:v>0.5×0.5-mm pores, 16-mm diameter and 0.5-mm wire diameter in reference configuration</x:v>
      </x:c>
      <x:c r="M73" s="12" t="str">
        <x:v>PDF pp. 2–3; Figs. 1–3</x:v>
      </x:c>
      <x:c r="N73" s="12" t="str">
        <x:v>Batch 08</x:v>
      </x:c>
    </x:row>
    <x:row r="74" ht="15" hidden="0" customHeight="1">
      <x:c r="A74" s="12" t="str">
        <x:v>S088</x:v>
      </x:c>
      <x:c r="B74" s="12"/>
      <x:c r="C74" s="12"/>
      <x:c r="D74" s="12" t="str">
        <x:v>Model NR</x:v>
      </x:c>
      <x:c r="E74" s="12" t="str">
        <x:v>FDM</x:v>
      </x:c>
      <x:c r="F74" s="12" t="str">
        <x:v>NR</x:v>
      </x:c>
      <x:c r="G74" s="12" t="str">
        <x:v>220 nozzle; bed NR</x:v>
      </x:c>
      <x:c r="H74" s="12" t="str">
        <x:v>60 mm s⁻¹</x:v>
      </x:c>
      <x:c r="I74" s="12" t="str">
        <x:v>NR</x:v>
      </x:c>
      <x:c r="J74" s="12" t="str">
        <x:v>Line</x:v>
      </x:c>
      <x:c r="K74" s="12" t="str">
        <x:v>80%</x:v>
      </x:c>
      <x:c r="L74" s="12" t="str">
        <x:v>Ring cross-section 2×4 mm; printing paused at 50% to embed FBG</x:v>
      </x:c>
      <x:c r="M74" s="12" t="str">
        <x:v>PDF pp. 4–6; Figs. 2–3; Table 1</x:v>
      </x:c>
      <x:c r="N74" s="12" t="str">
        <x:v>Batch 08</x:v>
      </x:c>
    </x:row>
    <x:row r="75" ht="15" hidden="0" customHeight="1">
      <x:c r="A75" s="12" t="str">
        <x:v>S089</x:v>
      </x:c>
      <x:c r="B75" s="12"/>
      <x:c r="C75" s="12"/>
      <x:c r="D75" s="12" t="str">
        <x:v>ET-K1</x:v>
      </x:c>
      <x:c r="E75" s="12" t="str">
        <x:v>FFF</x:v>
      </x:c>
      <x:c r="F75" s="12" t="n">
        <x:v>0.4</x:v>
      </x:c>
      <x:c r="G75" s="12" t="str">
        <x:v>220 nozzle; 70 bed</x:v>
      </x:c>
      <x:c r="H75" s="12" t="str">
        <x:v>20 mm s⁻¹</x:v>
      </x:c>
      <x:c r="I75" s="12" t="n">
        <x:v>0.1</x:v>
      </x:c>
      <x:c r="J75" s="12" t="str">
        <x:v>90° interlayer angle</x:v>
      </x:c>
      <x:c r="K75" s="12" t="str">
        <x:v>100%</x:v>
      </x:c>
      <x:c r="L75" s="12" t="str">
        <x:v>50×10×1 mm; feed filament extruded at 210 °C and 100 rpm</x:v>
      </x:c>
      <x:c r="M75" s="12" t="str">
        <x:v>PDF pp. 11–13; Fig. 1; Table 2</x:v>
      </x:c>
      <x:c r="N75" s="12" t="str">
        <x:v>Batch 08</x:v>
      </x:c>
    </x:row>
    <x:row r="76" ht="36" hidden="0" customHeight="1">
      <x:c r="A76" s="12" t="str">
        <x:v>S090</x:v>
      </x:c>
      <x:c r="B76" s="12"/>
      <x:c r="C76" s="12"/>
      <x:c r="D76" s="12" t="str">
        <x:v>nScrypt 3Dn with nFD pump</x:v>
      </x:c>
      <x:c r="E76" s="12" t="str">
        <x:v>FDM for soft PLA; flow-based direct writing for functional inks</x:v>
      </x:c>
      <x:c r="F76" s="12" t="str">
        <x:v>NR for FDM; 0.125 for silver dispensing</x:v>
      </x:c>
      <x:c r="G76" s="12" t="str">
        <x:v>FDM extrusion temperature NR; post-print cures 120–160 °C</x:v>
      </x:c>
      <x:c r="H76" s="12" t="str">
        <x:v>NR</x:v>
      </x:c>
      <x:c r="I76" s="12" t="str">
        <x:v>NR</x:v>
      </x:c>
      <x:c r="J76" s="12" t="str">
        <x:v>Mask opening defines channel; patterns converted to g-code with Slic3r</x:v>
      </x:c>
      <x:c r="K76" s="12" t="str">
        <x:v>NR</x:v>
      </x:c>
      <x:c r="L76" s="12" t="str">
        <x:v>Soft-PLA substrate and mask directly extruded; printer XYZ resolution 0.5 µm; channel dimensions and thicknesses reported for characterized devices</x:v>
      </x:c>
      <x:c r="M76" s="12" t="str">
        <x:v>PDF pp. 2–5; Figs. 1 and 3; Table 1</x:v>
      </x:c>
      <x:c r="N76" s="12" t="str">
        <x:v>Batch 09</x:v>
      </x:c>
    </x:row>
    <x:row r="77" ht="24" hidden="0" customHeight="1">
      <x:c r="A77" s="12" t="str">
        <x:v>S091</x:v>
      </x:c>
      <x:c r="B77" s="12"/>
      <x:c r="C77" s="12"/>
      <x:c r="D77" s="12" t="str">
        <x:v>MakerBot Replicator 2X Experimental Printer</x:v>
      </x:c>
      <x:c r="E77" s="12" t="str">
        <x:v>FDM</x:v>
      </x:c>
      <x:c r="F77" s="12" t="n">
        <x:v>0.8</x:v>
      </x:c>
      <x:c r="G77" s="12" t="str">
        <x:v>220 nozzle; 60 bed</x:v>
      </x:c>
      <x:c r="H77" s="12" t="str">
        <x:v>25 mm s⁻¹</x:v>
      </x:c>
      <x:c r="I77" s="12" t="n">
        <x:v>0.1</x:v>
      </x:c>
      <x:c r="J77" s="12" t="str">
        <x:v>Internal raster parallel to resistance-measurement direction</x:v>
      </x:c>
      <x:c r="K77" s="12" t="str">
        <x:v>NR</x:v>
      </x:c>
      <x:c r="L77" s="12" t="str">
        <x:v>Composite feedstock extruded through 1.56-mm die at 200 °C; 1- and 3-layer dogbones; dimensions in Fig. 9</x:v>
      </x:c>
      <x:c r="M77" s="12" t="str">
        <x:v>PDF pp. 2–3 and 7–8; Figs. 2 and 9</x:v>
      </x:c>
      <x:c r="N77" s="12" t="str">
        <x:v>Batch 09</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779999732971191" hidden="0" customWidth="1"/>
    <x:col min="2" max="2" width="11.670000076293945" hidden="0" customWidth="1"/>
    <x:col min="3" max="3" width="11.670000076293945" hidden="0" customWidth="1"/>
    <x:col min="4" max="4" width="36.66999816894531" hidden="0" customWidth="1"/>
    <x:col min="5" max="5" width="47.779998779296875" hidden="0" customWidth="1"/>
    <x:col min="6" max="6" width="18.329999923706055" hidden="0" customWidth="1"/>
    <x:col min="7" max="7" width="40" hidden="0" customWidth="1"/>
    <x:col min="8" max="8" width="52.220001220703125" hidden="0" customWidth="1"/>
    <x:col min="9" max="9" width="28.889999389648438" hidden="0" customWidth="1"/>
    <x:col min="10" max="10" width="13.329999923706055" hidden="0" customWidth="1"/>
  </x:cols>
  <x:sheetData>
    <x:row r="1" ht="24" hidden="0" customHeight="1">
      <x:c r="A1" s="11" t="str">
        <x:v>Integration ID</x:v>
      </x:c>
      <x:c r="B1" s="11" t="str">
        <x:v>Stable Study ID</x:v>
      </x:c>
      <x:c r="C1" s="11" t="str">
        <x:v>Sensor ID</x:v>
      </x:c>
      <x:c r="D1" s="11" t="str">
        <x:v>Substrate/assembly or configuration</x:v>
      </x:c>
      <x:c r="E1" s="11" t="str">
        <x:v>Attachment/interface or FDM role</x:v>
      </x:c>
      <x:c r="F1" s="11" t="str">
        <x:v>Final assembly tested</x:v>
      </x:c>
      <x:c r="G1" s="11" t="str">
        <x:v>Device/participant basis</x:v>
      </x:c>
      <x:c r="H1" s="11" t="str">
        <x:v>Interface evidence</x:v>
      </x:c>
      <x:c r="I1" s="11" t="str">
        <x:v>Evidence locator</x:v>
      </x:c>
      <x:c r="J1" s="11" t="str">
        <x:v>Authoritative source</x:v>
      </x:c>
    </x:row>
    <x:row r="2" ht="24" hidden="0" customHeight="1">
      <x:c r="A2" s="12" t="str">
        <x:v>I001</x:v>
      </x:c>
      <x:c r="B2" s="12" t="str">
        <x:v>S001</x:v>
      </x:c>
      <x:c r="C2" s="12" t="str">
        <x:v>S001-C01</x:v>
      </x:c>
      <x:c r="D2" s="12" t="str">
        <x:v>TPU insole</x:v>
      </x:c>
      <x:c r="E2" s="12" t="str">
        <x:v>FBGs housed in PTFE capillaries within printed grooves and filled with PDMS</x:v>
      </x:c>
      <x:c r="F2" s="12" t="str">
        <x:v>Yes</x:v>
      </x:c>
      <x:c r="G2" s="12" t="str">
        <x:v>No participant/device-count detail beyond five volunteers</x:v>
      </x:c>
      <x:c r="H2" s="12" t="str">
        <x:v>No adhesion or interface-retention metric reported</x:v>
      </x:c>
      <x:c r="I2" s="12" t="str">
        <x:v>PDF pp. 4-7, Fig. 1-2</x:v>
      </x:c>
      <x:c r="J2" s="12" t="str">
        <x:v>Pilot</x:v>
      </x:c>
    </x:row>
    <x:row r="3" ht="15" hidden="0" customHeight="1">
      <x:c r="A3" s="12" t="str">
        <x:v>I002</x:v>
      </x:c>
      <x:c r="B3" s="12" t="str">
        <x:v>S002</x:v>
      </x:c>
      <x:c r="C3" s="12" t="str">
        <x:v>S002-C01</x:v>
      </x:c>
      <x:c r="D3" s="12" t="str">
        <x:v>Standalone printed electrode</x:v>
      </x:c>
      <x:c r="E3" s="12" t="str">
        <x:v>Fe-cluster/Nafion drop-cast on CB-PLA</x:v>
      </x:c>
      <x:c r="F3" s="12" t="str">
        <x:v>No</x:v>
      </x:c>
      <x:c r="G3" s="12" t="str">
        <x:v>Six separately prepared 3DPEs compared</x:v>
      </x:c>
      <x:c r="H3" s="12" t="str">
        <x:v>No final wearable assembly or attachment test</x:v>
      </x:c>
      <x:c r="I3" s="12" t="str">
        <x:v>PDF pp. 4-10</x:v>
      </x:c>
      <x:c r="J3" s="12" t="str">
        <x:v>Pilot</x:v>
      </x:c>
    </x:row>
    <x:row r="4" ht="24" hidden="0" customHeight="1">
      <x:c r="A4" s="12" t="str">
        <x:v>S004-C01-I01</x:v>
      </x:c>
      <x:c r="B4" s="12" t="str">
        <x:v>S004</x:v>
      </x:c>
      <x:c r="C4" s="12" t="str">
        <x:v>S004-C01</x:v>
      </x:c>
      <x:c r="D4" s="12" t="str">
        <x:v>TPU/E-TPU composite strain sensor</x:v>
      </x:c>
      <x:c r="E4" s="12" t="str">
        <x:v>Conductive E-TPU sensing grid co-printed within TPU</x:v>
      </x:c>
      <x:c r="F4" s="12" t="str">
        <x:v>Yes</x:v>
      </x:c>
      <x:c r="G4" s="12" t="str">
        <x:v>One selected architecture; number of separately fabricated devices not reported</x:v>
      </x:c>
      <x:c r="H4" s="12" t="str">
        <x:v>See configuration record and study-specific L7 decision; no additional evidence inferred.</x:v>
      </x:c>
      <x:c r="I4" s="12" t="str">
        <x:v>PDF pp. 2–3, 9–13; Figs. 5–8</x:v>
      </x:c>
      <x:c r="J4" s="12" t="str">
        <x:v>Batch 01</x:v>
      </x:c>
    </x:row>
    <x:row r="5" ht="24" hidden="0" customHeight="1">
      <x:c r="A5" s="12" t="str">
        <x:v>S005-C01-I01</x:v>
      </x:c>
      <x:c r="B5" s="12" t="str">
        <x:v>S005</x:v>
      </x:c>
      <x:c r="C5" s="12" t="str">
        <x:v>S005-C01</x:v>
      </x:c>
      <x:c r="D5" s="12" t="str">
        <x:v>FBG-embedded flexible chest sensor</x:v>
      </x:c>
      <x:c r="E5" s="12" t="str">
        <x:v>Printed flexible polymer protects the FBG and transfers chest deformation</x:v>
      </x:c>
      <x:c r="F5" s="12" t="str">
        <x:v>Yes</x:v>
      </x:c>
      <x:c r="G5" s="12" t="str">
        <x:v>Six design configurations; sensor F selected; configurations are not replicates</x:v>
      </x:c>
      <x:c r="H5" s="12" t="str">
        <x:v>See configuration record and study-specific L7 decision; no additional evidence inferred.</x:v>
      </x:c>
      <x:c r="I5" s="12" t="str">
        <x:v>PDF pp. 3–7; Figs. 1–5; Table 1</x:v>
      </x:c>
      <x:c r="J5" s="12" t="str">
        <x:v>Batch 01</x:v>
      </x:c>
    </x:row>
    <x:row r="6" ht="24" hidden="0" customHeight="1">
      <x:c r="A6" s="12" t="str">
        <x:v>I004</x:v>
      </x:c>
      <x:c r="B6" s="12" t="str">
        <x:v>S007</x:v>
      </x:c>
      <x:c r="C6" s="12" t="str">
        <x:v>S007-C01</x:v>
      </x:c>
      <x:c r="D6" s="12" t="str">
        <x:v>Scalp/electrode interface</x:v>
      </x:c>
      <x:c r="E6" s="12" t="str">
        <x:v>Whole printed electrode dip-coated with Ag/AgCl; direct dry contact</x:v>
      </x:c>
      <x:c r="F6" s="12" t="str">
        <x:v>Yes</x:v>
      </x:c>
      <x:c r="G6" s="12" t="str">
        <x:v>Participant count not explicit</x:v>
      </x:c>
      <x:c r="H6" s="12" t="str">
        <x:v>Contact pressure/impedance tested; coating cracks after prolonged use reported qualitatively</x:v>
      </x:c>
      <x:c r="I6" s="12" t="str">
        <x:v>PDF pp. 4-7, 10-11</x:v>
      </x:c>
      <x:c r="J6" s="12" t="str">
        <x:v>Pilot</x:v>
      </x:c>
    </x:row>
    <x:row r="7" ht="24" hidden="0" customHeight="1">
      <x:c r="A7" s="12" t="str">
        <x:v>S008-C01-I01</x:v>
      </x:c>
      <x:c r="B7" s="12" t="str">
        <x:v>S008</x:v>
      </x:c>
      <x:c r="C7" s="12" t="str">
        <x:v>S008-C01</x:v>
      </x:c>
      <x:c r="D7" s="12" t="str">
        <x:v>Wireless origami pressure-sensing insole</x:v>
      </x:c>
      <x:c r="E7" s="12" t="str">
        <x:v>FFF TPU origami is the deformable load-transfer structure surrounding DIW LC sensors</x:v>
      </x:c>
      <x:c r="F7" s="12" t="str">
        <x:v>Yes</x:v>
      </x:c>
      <x:c r="G7" s="12" t="str">
        <x:v>Four LC locations in one insole; no separate-insole replication</x:v>
      </x:c>
      <x:c r="H7" s="12" t="str">
        <x:v>See configuration record and study-specific L7 decision; no additional evidence inferred.</x:v>
      </x:c>
      <x:c r="I7" s="12" t="str">
        <x:v>PDF pp. 5–10; Figs. 3–5</x:v>
      </x:c>
      <x:c r="J7" s="12" t="str">
        <x:v>Batch 01</x:v>
      </x:c>
    </x:row>
    <x:row r="8" ht="24" hidden="0" customHeight="1">
      <x:c r="A8" s="12" t="str">
        <x:v>S010-C01-I01</x:v>
      </x:c>
      <x:c r="B8" s="12" t="str">
        <x:v>S010</x:v>
      </x:c>
      <x:c r="C8" s="12" t="str">
        <x:v>S010-C01</x:v>
      </x:c>
      <x:c r="D8" s="12" t="str">
        <x:v>SoHapS soft haptic actuator with built-in force sensor</x:v>
      </x:c>
      <x:c r="E8" s="12" t="str">
        <x:v>Conductive and nonconductive TPU force sensor is monolithically FDM printed with actuator</x:v>
      </x:c>
      <x:c r="F8" s="12" t="str">
        <x:v>Yes</x:v>
      </x:c>
      <x:c r="G8" s="12" t="str">
        <x:v>Single SoHapS used in reported tasks; multiple-device study proposed as future work</x:v>
      </x:c>
      <x:c r="H8" s="12" t="str">
        <x:v>See configuration record and study-specific L7 decision; no additional evidence inferred.</x:v>
      </x:c>
      <x:c r="I8" s="12" t="str">
        <x:v>PDF pp. 3–4, 6–15; Figs. 1–13</x:v>
      </x:c>
      <x:c r="J8" s="12" t="str">
        <x:v>Batch 01</x:v>
      </x:c>
    </x:row>
    <x:row r="9" ht="24" hidden="0" customHeight="1">
      <x:c r="A9" s="12" t="str">
        <x:v>I005</x:v>
      </x:c>
      <x:c r="B9" s="12" t="str">
        <x:v>S011</x:v>
      </x:c>
      <x:c r="C9" s="12" t="str">
        <x:v>S011-C01</x:v>
      </x:c>
      <x:c r="D9" s="12" t="str">
        <x:v>Filaflex insole case</x:v>
      </x:c>
      <x:c r="E9" s="12" t="str">
        <x:v>Sixteen sensors fixed in lower case; perimeter glued; wiring with conductive glue and insulation tape</x:v>
      </x:c>
      <x:c r="F9" s="12" t="str">
        <x:v>Yes</x:v>
      </x:c>
      <x:c r="G9" s="12" t="str">
        <x:v>One healthy female participant</x:v>
      </x:c>
      <x:c r="H9" s="12" t="str">
        <x:v>Sensitivity outside versus inside insole quantified</x:v>
      </x:c>
      <x:c r="I9" s="12" t="str">
        <x:v>PDF pp. 5, 12-14</x:v>
      </x:c>
      <x:c r="J9" s="12" t="str">
        <x:v>Pilot</x:v>
      </x:c>
    </x:row>
    <x:row r="10" ht="24" hidden="0" customHeight="1">
      <x:c r="A10" s="12" t="str">
        <x:v>S012-C01-I01</x:v>
      </x:c>
      <x:c r="B10" s="12" t="str">
        <x:v>S012</x:v>
      </x:c>
      <x:c r="C10" s="12" t="str">
        <x:v>S012-C01</x:v>
      </x:c>
      <x:c r="D10" s="12" t="str">
        <x:v>Printed bipolar and multielectrode sEMG structures</x:v>
      </x:c>
      <x:c r="E10" s="12" t="str">
        <x:v>Carbon-black TPU electrodes co-printed with insulating TPU</x:v>
      </x:c>
      <x:c r="F10" s="12" t="str">
        <x:v>Yes</x:v>
      </x:c>
      <x:c r="G10" s="12" t="str">
        <x:v>Several geometry variants and an 8-electrode band; independent fabrication replicates not reported</x:v>
      </x:c>
      <x:c r="H10" s="12" t="str">
        <x:v>See configuration record and study-specific L7 decision; no additional evidence inferred.</x:v>
      </x:c>
      <x:c r="I10" s="12" t="str">
        <x:v>PDF pp. 4–9; Figs. 1–8; Table 2</x:v>
      </x:c>
      <x:c r="J10" s="12" t="str">
        <x:v>Batch 01</x:v>
      </x:c>
    </x:row>
    <x:row r="11" ht="24" hidden="0" customHeight="1">
      <x:c r="A11" s="12" t="str">
        <x:v>S013-C01-I01</x:v>
      </x:c>
      <x:c r="B11" s="12" t="str">
        <x:v>S013</x:v>
      </x:c>
      <x:c r="C11" s="12" t="str">
        <x:v>S013-C01</x:v>
      </x:c>
      <x:c r="D11" s="12" t="str">
        <x:v>Three-electrode wearable e-finger</x:v>
      </x:c>
      <x:c r="E11" s="12" t="str">
        <x:v>CB-PLA electrodes and TPU finger holder are dual-extrusion printed</x:v>
      </x:c>
      <x:c r="F11" s="12" t="str">
        <x:v>Yes</x:v>
      </x:c>
      <x:c r="G11" s="12" t="str">
        <x:v>Five e-fingers used for between-device analytical precision</x:v>
      </x:c>
      <x:c r="H11" s="12" t="str">
        <x:v>See configuration record and study-specific L7 decision; no additional evidence inferred.</x:v>
      </x:c>
      <x:c r="I11" s="12" t="str">
        <x:v>PDF pp. 3–7; Figs. 1–6; Table 1</x:v>
      </x:c>
      <x:c r="J11" s="12" t="str">
        <x:v>Batch 01</x:v>
      </x:c>
    </x:row>
    <x:row r="12" ht="24" hidden="0" customHeight="1">
      <x:c r="A12" s="12" t="str">
        <x:v>S014-C01-I01</x:v>
      </x:c>
      <x:c r="B12" s="12" t="str">
        <x:v>S014</x:v>
      </x:c>
      <x:c r="C12" s="12" t="str">
        <x:v>S014-C01</x:v>
      </x:c>
      <x:c r="D12" s="12" t="str">
        <x:v>FBG embedded in TPU 85A or TPU 95A</x:v>
      </x:c>
      <x:c r="E12" s="12" t="str">
        <x:v>Printed TPU embeds/protects fiber and transfers strain</x:v>
      </x:c>
      <x:c r="F12" s="12" t="str">
        <x:v>Yes</x:v>
      </x:c>
      <x:c r="G12" s="12" t="str">
        <x:v>Two material configurations; functional-device replication not reported</x:v>
      </x:c>
      <x:c r="H12" s="12" t="str">
        <x:v>See configuration record and study-specific L7 decision; no additional evidence inferred.</x:v>
      </x:c>
      <x:c r="I12" s="12" t="str">
        <x:v>PDF pp. 4–11; Figs. 1–9</x:v>
      </x:c>
      <x:c r="J12" s="12" t="str">
        <x:v>Batch 01</x:v>
      </x:c>
    </x:row>
    <x:row r="13" ht="24" hidden="0" customHeight="1">
      <x:c r="A13" s="12" t="str">
        <x:v>S015-C01-I01</x:v>
      </x:c>
      <x:c r="B13" s="12" t="str">
        <x:v>S015</x:v>
      </x:c>
      <x:c r="C13" s="12" t="str">
        <x:v>S015-C01</x:v>
      </x:c>
      <x:c r="D13" s="12" t="str">
        <x:v>FDM jaw-motion headgear with flex and inertial sensors</x:v>
      </x:c>
      <x:c r="E13" s="12" t="str">
        <x:v>Printed arches/brackets position sensors and transmit jaw motion</x:v>
      </x:c>
      <x:c r="F13" s="12" t="str">
        <x:v>Yes</x:v>
      </x:c>
      <x:c r="G13" s="12" t="str">
        <x:v>Single prototype; two commercial flex channels are not independent printed devices</x:v>
      </x:c>
      <x:c r="H13" s="12" t="str">
        <x:v>See configuration record and study-specific L7 decision; no additional evidence inferred.</x:v>
      </x:c>
      <x:c r="I13" s="12" t="str">
        <x:v>PDF pp. 3–7; Figs. 1–6</x:v>
      </x:c>
      <x:c r="J13" s="12" t="str">
        <x:v>Batch 01</x:v>
      </x:c>
    </x:row>
    <x:row r="14" ht="15" hidden="0" customHeight="1">
      <x:c r="A14" s="12" t="str">
        <x:v>I006</x:v>
      </x:c>
      <x:c r="B14" s="12" t="str">
        <x:v>S017</x:v>
      </x:c>
      <x:c r="C14" s="12" t="str">
        <x:v>S017-C01</x:v>
      </x:c>
      <x:c r="D14" s="12" t="str">
        <x:v>Body attachment at knee</x:v>
      </x:c>
      <x:c r="E14" s="12" t="str">
        <x:v>Attachment method NR</x:v>
      </x:c>
      <x:c r="F14" s="12" t="str">
        <x:v>Yes</x:v>
      </x:c>
      <x:c r="G14" s="12" t="str">
        <x:v>Participant count NR</x:v>
      </x:c>
      <x:c r="H14" s="12" t="str">
        <x:v>Motion signals shown; no attachment/integration retention test</x:v>
      </x:c>
      <x:c r="I14" s="12" t="str">
        <x:v>PDF pp. 3, 5</x:v>
      </x:c>
      <x:c r="J14" s="12" t="str">
        <x:v>Pilot</x:v>
      </x:c>
    </x:row>
    <x:row r="15" ht="24" hidden="0" customHeight="1">
      <x:c r="A15" s="12" t="str">
        <x:v>S018-C01-I01</x:v>
      </x:c>
      <x:c r="B15" s="12" t="str">
        <x:v>S018</x:v>
      </x:c>
      <x:c r="C15" s="12" t="str">
        <x:v>S018-C01</x:v>
      </x:c>
      <x:c r="D15" s="12" t="str">
        <x:v>Pneumatic-chamber insole</x:v>
      </x:c>
      <x:c r="E15" s="12" t="str">
        <x:v>Printed sealed TPU chambers, conduits and insole transfer plantar load</x:v>
      </x:c>
      <x:c r="F15" s="12" t="str">
        <x:v>Yes</x:v>
      </x:c>
      <x:c r="G15" s="12" t="str">
        <x:v>One left-foot insole; heel and forefoot chambers are channels</x:v>
      </x:c>
      <x:c r="H15" s="12" t="str">
        <x:v>See configuration record and study-specific L7 decision; no additional evidence inferred.</x:v>
      </x:c>
      <x:c r="I15" s="12" t="str">
        <x:v>PDF pp. 3–6; Figs. 1–3</x:v>
      </x:c>
      <x:c r="J15" s="12" t="str">
        <x:v>Batch 02</x:v>
      </x:c>
    </x:row>
    <x:row r="16" ht="24" hidden="0" customHeight="1">
      <x:c r="A16" s="12" t="str">
        <x:v>S019-C01-I01</x:v>
      </x:c>
      <x:c r="B16" s="12" t="str">
        <x:v>S019</x:v>
      </x:c>
      <x:c r="C16" s="12" t="str">
        <x:v>S019-C01</x:v>
      </x:c>
      <x:c r="D16" s="12" t="str">
        <x:v>CNT/TPU printed strain sensor</x:v>
      </x:c>
      <x:c r="E16" s="12" t="str">
        <x:v>Conductive filament is directly printed as the sensing strip</x:v>
      </x:c>
      <x:c r="F16" s="12" t="str">
        <x:v>Yes</x:v>
      </x:c>
      <x:c r="G16" s="12" t="str">
        <x:v>Three orientations; five samples per orientation</x:v>
      </x:c>
      <x:c r="H16" s="12" t="str">
        <x:v>See configuration record and study-specific L7 decision; no additional evidence inferred.</x:v>
      </x:c>
      <x:c r="I16" s="12" t="str">
        <x:v>PDF pp. 2–7; Figs. 1–7</x:v>
      </x:c>
      <x:c r="J16" s="12" t="str">
        <x:v>Batch 02</x:v>
      </x:c>
    </x:row>
    <x:row r="17" ht="24" hidden="0" customHeight="1">
      <x:c r="A17" s="12" t="str">
        <x:v>S020-C01-I01</x:v>
      </x:c>
      <x:c r="B17" s="12" t="str">
        <x:v>S020</x:v>
      </x:c>
      <x:c r="C17" s="12" t="str">
        <x:v>S020-C01</x:v>
      </x:c>
      <x:c r="D17" s="12" t="str">
        <x:v>Flexible parallel-plate pressure sensor</x:v>
      </x:c>
      <x:c r="E17" s="12" t="str">
        <x:v>Conductive TPU plates and nonconductive TPU substrate/encapsulation are FFF printed</x:v>
      </x:c>
      <x:c r="F17" s="12" t="str">
        <x:v>Yes</x:v>
      </x:c>
      <x:c r="G17" s="12" t="str">
        <x:v>Four separately printed sensors integrated into one cuff</x:v>
      </x:c>
      <x:c r="H17" s="12" t="str">
        <x:v>See configuration record and study-specific L7 decision; no additional evidence inferred.</x:v>
      </x:c>
      <x:c r="I17" s="12" t="str">
        <x:v>PDF pp. 5–9; Figs. 5–6</x:v>
      </x:c>
      <x:c r="J17" s="12" t="str">
        <x:v>Batch 02</x:v>
      </x:c>
    </x:row>
    <x:row r="18" ht="24" hidden="0" customHeight="1">
      <x:c r="A18" s="12" t="str">
        <x:v>S021-C01-I01</x:v>
      </x:c>
      <x:c r="B18" s="12" t="str">
        <x:v>S021</x:v>
      </x:c>
      <x:c r="C18" s="12" t="str">
        <x:v>S021-C01</x:v>
      </x:c>
      <x:c r="D18" s="12" t="str">
        <x:v>Hybrid POF/FBG data glove</x:v>
      </x:c>
      <x:c r="E18" s="12" t="str">
        <x:v>FDM TPU skeleton fixes, protects and mechanically decouples optical sensing units</x:v>
      </x:c>
      <x:c r="F18" s="12" t="str">
        <x:v>Yes</x:v>
      </x:c>
      <x:c r="G18" s="12" t="str">
        <x:v>Fourteen sensing nodes on one glove; one volunteer</x:v>
      </x:c>
      <x:c r="H18" s="12" t="str">
        <x:v>See configuration record and study-specific L7 decision; no additional evidence inferred.</x:v>
      </x:c>
      <x:c r="I18" s="12" t="str">
        <x:v>PDF pp. 3–10; Figs. 1–8</x:v>
      </x:c>
      <x:c r="J18" s="12" t="str">
        <x:v>Batch 02</x:v>
      </x:c>
    </x:row>
    <x:row r="19" ht="24" hidden="0" customHeight="1">
      <x:c r="A19" s="12" t="str">
        <x:v>S022-C01-I01</x:v>
      </x:c>
      <x:c r="B19" s="12" t="str">
        <x:v>S022</x:v>
      </x:c>
      <x:c r="C19" s="12" t="str">
        <x:v>S022-C01</x:v>
      </x:c>
      <x:c r="D19" s="12" t="str">
        <x:v>CB-impregnated TPU TPMS scaffold</x:v>
      </x:c>
      <x:c r="E19" s="12" t="str">
        <x:v>Printed porous TPU scaffold is the deformable sensing architecture</x:v>
      </x:c>
      <x:c r="F19" s="12" t="str">
        <x:v>Yes</x:v>
      </x:c>
      <x:c r="G19" s="12" t="str">
        <x:v>TPMS, honeycomb and lattice variants; functional-device replicate basis unclear</x:v>
      </x:c>
      <x:c r="H19" s="12" t="str">
        <x:v>See configuration record and study-specific L7 decision; no additional evidence inferred.</x:v>
      </x:c>
      <x:c r="I19" s="12" t="str">
        <x:v>PDF pp. 1–7; Figs. 1–6</x:v>
      </x:c>
      <x:c r="J19" s="12" t="str">
        <x:v>Batch 02</x:v>
      </x:c>
    </x:row>
    <x:row r="20" ht="24" hidden="0" customHeight="1">
      <x:c r="A20" s="12" t="str">
        <x:v>S023-C01-I01</x:v>
      </x:c>
      <x:c r="B20" s="12" t="str">
        <x:v>S023</x:v>
      </x:c>
      <x:c r="C20" s="12" t="str">
        <x:v>S023-C01</x:v>
      </x:c>
      <x:c r="D20" s="12" t="str">
        <x:v>TPU matrix with embedded carbon-fibre cloth</x:v>
      </x:c>
      <x:c r="E20" s="12" t="str">
        <x:v>FFF TPU matrix embeds and load-couples the carbon-fibre conductive layer</x:v>
      </x:c>
      <x:c r="F20" s="12" t="str">
        <x:v>Component-level</x:v>
      </x:c>
      <x:c r="G20" s="12" t="str">
        <x:v>Four CFC constructions; three parallel samples per cyclic condition</x:v>
      </x:c>
      <x:c r="H20" s="12" t="str">
        <x:v>See configuration record and study-specific L7 decision; no additional evidence inferred.</x:v>
      </x:c>
      <x:c r="I20" s="12" t="str">
        <x:v>PDF pp. 3–11; Figs. 2–9</x:v>
      </x:c>
      <x:c r="J20" s="12" t="str">
        <x:v>Batch 02</x:v>
      </x:c>
    </x:row>
    <x:row r="21" ht="24" hidden="0" customHeight="1">
      <x:c r="A21" s="12" t="str">
        <x:v>S024-C01-I01</x:v>
      </x:c>
      <x:c r="B21" s="12" t="str">
        <x:v>S024</x:v>
      </x:c>
      <x:c r="C21" s="12" t="str">
        <x:v>S024-C01</x:v>
      </x:c>
      <x:c r="D21" s="12" t="str">
        <x:v>Hourglass-crack conductive TPU strain sensor</x:v>
      </x:c>
      <x:c r="E21" s="12" t="str">
        <x:v>FDM conductive TPU film becomes the active cracked sensing layer</x:v>
      </x:c>
      <x:c r="F21" s="12" t="str">
        <x:v>Yes</x:v>
      </x:c>
      <x:c r="G21" s="12" t="str">
        <x:v>Geometry groups reported; independent-device count not reported</x:v>
      </x:c>
      <x:c r="H21" s="12" t="str">
        <x:v>See configuration record and study-specific L7 decision; no additional evidence inferred.</x:v>
      </x:c>
      <x:c r="I21" s="12" t="str">
        <x:v>PDF pp. 2–10; Figs. 1–6</x:v>
      </x:c>
      <x:c r="J21" s="12" t="str">
        <x:v>Batch 02</x:v>
      </x:c>
    </x:row>
    <x:row r="22" ht="24" hidden="0" customHeight="1">
      <x:c r="A22" s="12" t="str">
        <x:v>S025-C01-I01</x:v>
      </x:c>
      <x:c r="B22" s="12" t="str">
        <x:v>S025</x:v>
      </x:c>
      <x:c r="C22" s="12" t="str">
        <x:v>S025-C01</x:v>
      </x:c>
      <x:c r="D22" s="12" t="str">
        <x:v>FFF pillar pH HMN patch</x:v>
      </x:c>
      <x:c r="E22" s="12" t="str">
        <x:v>FFF CB-PLA pillars are the conductive working/reference electrode cores</x:v>
      </x:c>
      <x:c r="F22" s="12" t="str">
        <x:v>Yes; ex vivo</x:v>
      </x:c>
      <x:c r="G22" s="12" t="str">
        <x:v>Six HMNs and four independently fabricated complete patches compared</x:v>
      </x:c>
      <x:c r="H22" s="12" t="str">
        <x:v>See configuration record and study-specific L7 decision; no additional evidence inferred.</x:v>
      </x:c>
      <x:c r="I22" s="12" t="str">
        <x:v>PDF pp. 2–10; Figs. 1–6; Table 1</x:v>
      </x:c>
      <x:c r="J22" s="12" t="str">
        <x:v>Batch 02</x:v>
      </x:c>
    </x:row>
    <x:row r="23" ht="24" hidden="0" customHeight="1">
      <x:c r="A23" s="12" t="str">
        <x:v>S028-C01-I01</x:v>
      </x:c>
      <x:c r="B23" s="12" t="str">
        <x:v>S028</x:v>
      </x:c>
      <x:c r="C23" s="12" t="str">
        <x:v>S028-C01</x:v>
      </x:c>
      <x:c r="D23" s="12" t="str">
        <x:v>Continuously printed capacitive pressure sensor</x:v>
      </x:c>
      <x:c r="E23" s="12" t="str">
        <x:v>FDM prints both conductive plates and TPU dielectric</x:v>
      </x:c>
      <x:c r="F23" s="12" t="str">
        <x:v>Application-specific component</x:v>
      </x:c>
      <x:c r="G23" s="12" t="str">
        <x:v>Three material/infill designs; five units per design</x:v>
      </x:c>
      <x:c r="H23" s="12" t="str">
        <x:v>See configuration record and study-specific L7 decision; no additional evidence inferred.</x:v>
      </x:c>
      <x:c r="I23" s="12" t="str">
        <x:v>PDF pp. 4–7; Figs. 1–3</x:v>
      </x:c>
      <x:c r="J23" s="12" t="str">
        <x:v>Batch 03</x:v>
      </x:c>
    </x:row>
    <x:row r="24" ht="24" hidden="0" customHeight="1">
      <x:c r="A24" s="12" t="str">
        <x:v>S029-C01-I01</x:v>
      </x:c>
      <x:c r="B24" s="12" t="str">
        <x:v>S029</x:v>
      </x:c>
      <x:c r="C24" s="12" t="str">
        <x:v>S029-C01</x:v>
      </x:c>
      <x:c r="D24" s="12" t="str">
        <x:v>U-shaped conductive-TPU bend sensor</x:v>
      </x:c>
      <x:c r="E24" s="12" t="str">
        <x:v>Conductive TPU is the directly printed sensing trace</x:v>
      </x:c>
      <x:c r="F24" s="12" t="str">
        <x:v>Prototype glove demonstrated</x:v>
      </x:c>
      <x:c r="G24" s="12" t="str">
        <x:v>Five thickness variants; two manufacturing sets of 15 sensors</x:v>
      </x:c>
      <x:c r="H24" s="12" t="str">
        <x:v>See configuration record and study-specific L7 decision; no additional evidence inferred.</x:v>
      </x:c>
      <x:c r="I24" s="12" t="str">
        <x:v>PDF pp. 8–14, 22–23; Figs. 3–9, 15</x:v>
      </x:c>
      <x:c r="J24" s="12" t="str">
        <x:v>Batch 03</x:v>
      </x:c>
    </x:row>
    <x:row r="25" ht="24" hidden="0" customHeight="1">
      <x:c r="A25" s="12" t="str">
        <x:v>S031-C01-I01</x:v>
      </x:c>
      <x:c r="B25" s="12" t="str">
        <x:v>S031</x:v>
      </x:c>
      <x:c r="C25" s="12" t="str">
        <x:v>S031-C01</x:v>
      </x:c>
      <x:c r="D25" s="12" t="str">
        <x:v>Knee-worn goniometer</x:v>
      </x:c>
      <x:c r="E25" s="12" t="str">
        <x:v>Printed ABS arms maintain encoder/magnet alignment and transfer joint rotation</x:v>
      </x:c>
      <x:c r="F25" s="12" t="str">
        <x:v>Yes; complete strapped wearable</x:v>
      </x:c>
      <x:c r="G25" s="12" t="str">
        <x:v>One wearable used across nine participants</x:v>
      </x:c>
      <x:c r="H25" s="12" t="str">
        <x:v>See configuration record and study-specific L7 decision; no additional evidence inferred.</x:v>
      </x:c>
      <x:c r="I25" s="12" t="str">
        <x:v>PDF pp. 3–8; Figs. 1–7</x:v>
      </x:c>
      <x:c r="J25" s="12" t="str">
        <x:v>Batch 03</x:v>
      </x:c>
    </x:row>
    <x:row r="26" ht="24" hidden="0" customHeight="1">
      <x:c r="A26" s="12" t="str">
        <x:v>S032-C01-I01</x:v>
      </x:c>
      <x:c r="B26" s="12" t="str">
        <x:v>S032</x:v>
      </x:c>
      <x:c r="C26" s="12" t="str">
        <x:v>S032-C01</x:v>
      </x:c>
      <x:c r="D26" s="12" t="str">
        <x:v>Fiber-free DSCFO probe</x:v>
      </x:c>
      <x:c r="E26" s="12" t="str">
        <x:v>Printed opaque probe fixes sources, detector and 15 mm spacing</x:v>
      </x:c>
      <x:c r="F26" s="12" t="str">
        <x:v>Yes; taped on skin</x:v>
      </x:c>
      <x:c r="G26" s="12" t="str">
        <x:v>One described probe; five participants</x:v>
      </x:c>
      <x:c r="H26" s="12" t="str">
        <x:v>See configuration record and study-specific L7 decision; no additional evidence inferred.</x:v>
      </x:c>
      <x:c r="I26" s="12" t="str">
        <x:v>PDF pp. 3–9; Figs. 1, 4, 7–8</x:v>
      </x:c>
      <x:c r="J26" s="12" t="str">
        <x:v>Batch 03</x:v>
      </x:c>
    </x:row>
    <x:row r="27" ht="24" hidden="0" customHeight="1">
      <x:c r="A27" s="12" t="str">
        <x:v>S033-C01-I01</x:v>
      </x:c>
      <x:c r="B27" s="12" t="str">
        <x:v>S033</x:v>
      </x:c>
      <x:c r="C27" s="12" t="str">
        <x:v>S033-C01</x:v>
      </x:c>
      <x:c r="D27" s="12" t="str">
        <x:v>CNT-embedded 3D TPE network</x:v>
      </x:c>
      <x:c r="E27" s="12" t="str">
        <x:v>FDM network becomes the active CNT/TPE sensing architecture</x:v>
      </x:c>
      <x:c r="F27" s="12" t="str">
        <x:v>Yes; attached to body sites</x:v>
      </x:c>
      <x:c r="G27" s="12" t="str">
        <x:v>Thickness/concentration/architecture variants; replicate basis NR</x:v>
      </x:c>
      <x:c r="H27" s="12" t="str">
        <x:v>Peel-off force in N was plotted over time for coated, embedded and unmodified TPE sensing units on test tape.</x:v>
      </x:c>
      <x:c r="I27" s="12" t="str">
        <x:v>Supplementary Fig. S2, SI p. 2</x:v>
      </x:c>
      <x:c r="J27" s="12" t="str">
        <x:v>Supplement verified 2026-09-03</x:v>
      </x:c>
    </x:row>
    <x:row r="28" ht="24" hidden="0" customHeight="1">
      <x:c r="A28" s="12" t="str">
        <x:v>S034-C01-I01</x:v>
      </x:c>
      <x:c r="B28" s="12" t="str">
        <x:v>S034</x:v>
      </x:c>
      <x:c r="C28" s="12" t="str">
        <x:v>S034-C01</x:v>
      </x:c>
      <x:c r="D28" s="12" t="str">
        <x:v>ABS microfluidic-on-fabric ion sensor</x:v>
      </x:c>
      <x:c r="E28" s="12" t="str">
        <x:v>FDM microfluidic structure collects/routes sample and provides modular electrode port</x:v>
      </x:c>
      <x:c r="F28" s="12" t="str">
        <x:v>Yes; sweat collection demonstration</x:v>
      </x:c>
      <x:c r="G28" s="12" t="str">
        <x:v>Three complete sensor devices used for accuracy tests</x:v>
      </x:c>
      <x:c r="H28" s="12" t="str">
        <x:v>See configuration record and study-specific L7 decision; no additional evidence inferred.</x:v>
      </x:c>
      <x:c r="I28" s="12" t="str">
        <x:v>PDF pp. 2–8; Figs. 1–5</x:v>
      </x:c>
      <x:c r="J28" s="12" t="str">
        <x:v>Batch 03</x:v>
      </x:c>
    </x:row>
    <x:row r="29" ht="24" hidden="0" customHeight="1">
      <x:c r="A29" s="12" t="str">
        <x:v>S035-C01-I01</x:v>
      </x:c>
      <x:c r="B29" s="12" t="str">
        <x:v>S035</x:v>
      </x:c>
      <x:c r="C29" s="12" t="str">
        <x:v>S035-C01</x:v>
      </x:c>
      <x:c r="D29" s="12" t="str">
        <x:v>Electrochemical e-ring</x:v>
      </x:c>
      <x:c r="E29" s="12" t="str">
        <x:v>FDM prints conductive electrodes and flexible ring holder together</x:v>
      </x:c>
      <x:c r="F29" s="12" t="str">
        <x:v>Yes; on-body proof of concept</x:v>
      </x:c>
      <x:c r="G29" s="12" t="str">
        <x:v>Six rings for reference potential; four rings for glucose response</x:v>
      </x:c>
      <x:c r="H29" s="12" t="str">
        <x:v>See configuration record and study-specific L7 decision; no additional evidence inferred.</x:v>
      </x:c>
      <x:c r="I29" s="12" t="str">
        <x:v>PDF pp. 1–5; Figs. 1–4</x:v>
      </x:c>
      <x:c r="J29" s="12" t="str">
        <x:v>Batch 03</x:v>
      </x:c>
    </x:row>
    <x:row r="30" ht="24" hidden="0" customHeight="1">
      <x:c r="A30" s="12" t="str">
        <x:v>S036-C01-I01</x:v>
      </x:c>
      <x:c r="B30" s="12" t="str">
        <x:v>S036</x:v>
      </x:c>
      <x:c r="C30" s="12" t="str">
        <x:v>S036-C01</x:v>
      </x:c>
      <x:c r="D30" s="12" t="str">
        <x:v>Monolithic floating-electrode sweat-rate sensor</x:v>
      </x:c>
      <x:c r="E30" s="12" t="str">
        <x:v>FFF prints electrodes, insulators, channel and seal in one process</x:v>
      </x:c>
      <x:c r="F30" s="12" t="str">
        <x:v>Yes; iontophoresis and cycling</x:v>
      </x:c>
      <x:c r="G30" s="12" t="str">
        <x:v>Two participants; independent device count NR</x:v>
      </x:c>
      <x:c r="H30" s="12" t="str">
        <x:v>See configuration record and study-specific L7 decision; no additional evidence inferred.</x:v>
      </x:c>
      <x:c r="I30" s="12" t="str">
        <x:v>PDF pp. 2–10; Figs. 1–6</x:v>
      </x:c>
      <x:c r="J30" s="12" t="str">
        <x:v>Batch 03</x:v>
      </x:c>
    </x:row>
    <x:row r="31" ht="24" hidden="0" customHeight="1">
      <x:c r="A31" s="12" t="str">
        <x:v>S037-C01-I01</x:v>
      </x:c>
      <x:c r="B31" s="12" t="str">
        <x:v>S037</x:v>
      </x:c>
      <x:c r="C31" s="12" t="str">
        <x:v>S037-C01</x:v>
      </x:c>
      <x:c r="D31" s="12" t="str">
        <x:v>Soft two-axis fingertip sensor</x:v>
      </x:c>
      <x:c r="E31" s="12" t="str">
        <x:v>Multimaterial FDM forms the sensing gauges and compliant strap</x:v>
      </x:c>
      <x:c r="F31" s="12" t="str">
        <x:v>Application-specific phantom test</x:v>
      </x:c>
      <x:c r="G31" s="12" t="str">
        <x:v>Inside and outside configurations; two prototypes</x:v>
      </x:c>
      <x:c r="H31" s="12" t="str">
        <x:v>See configuration record and study-specific L7 decision; no additional evidence inferred.</x:v>
      </x:c>
      <x:c r="I31" s="12" t="str">
        <x:v>PDF pp. 1–10; Figs. 1–16</x:v>
      </x:c>
      <x:c r="J31" s="12" t="str">
        <x:v>Batch 03</x:v>
      </x:c>
    </x:row>
    <x:row r="32" ht="24" hidden="0" customHeight="1">
      <x:c r="A32" s="12" t="str">
        <x:v>S038-C01-I01</x:v>
      </x:c>
      <x:c r="B32" s="12" t="str">
        <x:v>S038</x:v>
      </x:c>
      <x:c r="C32" s="12" t="str">
        <x:v>S038-C01</x:v>
      </x:c>
      <x:c r="D32" s="12" t="str">
        <x:v>Multimaterial uniaxial/biaxial strain sensors and glove</x:v>
      </x:c>
      <x:c r="E32" s="12" t="str">
        <x:v>Conductive TPU/MWCNT traces are embedded in a printed TPU platform</x:v>
      </x:c>
      <x:c r="F32" s="12" t="str">
        <x:v>Yes; printed glove prototype</x:v>
      </x:c>
      <x:c r="G32" s="12" t="str">
        <x:v>Five architectures; number of independently fabricated units per architecture NR</x:v>
      </x:c>
      <x:c r="H32" s="12" t="str">
        <x:v>See configuration record and study-specific L7 decision; no additional evidence inferred.</x:v>
      </x:c>
      <x:c r="I32" s="12" t="str">
        <x:v>PDF pp. 3–12; Figs. 1–11</x:v>
      </x:c>
      <x:c r="J32" s="12" t="str">
        <x:v>Batch 04</x:v>
      </x:c>
    </x:row>
    <x:row r="33" ht="24" hidden="0" customHeight="1">
      <x:c r="A33" s="12" t="str">
        <x:v>S039-C01-I01</x:v>
      </x:c>
      <x:c r="B33" s="12" t="str">
        <x:v>S039</x:v>
      </x:c>
      <x:c r="C33" s="12" t="str">
        <x:v>S039-C01</x:v>
      </x:c>
      <x:c r="D33" s="12" t="str">
        <x:v>Microcrack-based FDM strain gauge</x:v>
      </x:c>
      <x:c r="E33" s="12" t="str">
        <x:v>Printed TPU grooves concentrate strain and define the crack array</x:v>
      </x:c>
      <x:c r="F33" s="12" t="str">
        <x:v>Yes; attached gauges and printed finger glove</x:v>
      </x:c>
      <x:c r="G33" s="12" t="str">
        <x:v>Four separate samples per FSG type</x:v>
      </x:c>
      <x:c r="H33" s="12" t="str">
        <x:v>See configuration record and study-specific L7 decision; no additional evidence inferred.</x:v>
      </x:c>
      <x:c r="I33" s="12" t="str">
        <x:v>PDF pp. 3–9; Figs. 2–10</x:v>
      </x:c>
      <x:c r="J33" s="12" t="str">
        <x:v>Batch 04</x:v>
      </x:c>
    </x:row>
    <x:row r="34" ht="36" hidden="0" customHeight="1">
      <x:c r="A34" s="12" t="str">
        <x:v>S043-C01-I01</x:v>
      </x:c>
      <x:c r="B34" s="12" t="str">
        <x:v>S043</x:v>
      </x:c>
      <x:c r="C34" s="12" t="str">
        <x:v>S043-C01</x:v>
      </x:c>
      <x:c r="D34" s="12" t="str">
        <x:v>Fully printed three-electrode wristband</x:v>
      </x:c>
      <x:c r="E34" s="12" t="str">
        <x:v>FFF produces conductive working/counter/reference electrodes and flexible wristband</x:v>
      </x:c>
      <x:c r="F34" s="12" t="str">
        <x:v>Prototype worn; measurements performed with artificial sweat</x:v>
      </x:c>
      <x:c r="G34" s="12" t="str">
        <x:v>Device count for analytical tests NR</x:v>
      </x:c>
      <x:c r="H34" s="12" t="str">
        <x:v>See configuration record and study-specific L7 decision; no additional evidence inferred.</x:v>
      </x:c>
      <x:c r="I34" s="12" t="str">
        <x:v>PDF pp. 3, 10–12; Figs. 6–8</x:v>
      </x:c>
      <x:c r="J34" s="12" t="str">
        <x:v>Batch 04</x:v>
      </x:c>
    </x:row>
    <x:row r="35" ht="24" hidden="0" customHeight="1">
      <x:c r="A35" s="12" t="str">
        <x:v>S044-C01-I01</x:v>
      </x:c>
      <x:c r="B35" s="12" t="str">
        <x:v>S044</x:v>
      </x:c>
      <x:c r="C35" s="12" t="str">
        <x:v>S044-C01</x:v>
      </x:c>
      <x:c r="D35" s="12" t="str">
        <x:v>GNP/TPU honeycomb pressure sensor</x:v>
      </x:c>
      <x:c r="E35" s="12" t="str">
        <x:v>FDM prints the active GNP/TPU honeycomb sensing structure</x:v>
      </x:c>
      <x:c r="F35" s="12" t="str">
        <x:v>Yes; directly attached for demonstrations</x:v>
      </x:c>
      <x:c r="G35" s="12" t="str">
        <x:v>Three architectures; independent device count NR</x:v>
      </x:c>
      <x:c r="H35" s="12" t="str">
        <x:v>See configuration record and study-specific L7 decision; no additional evidence inferred.</x:v>
      </x:c>
      <x:c r="I35" s="12" t="str">
        <x:v>PDF pp. 4, 8–11; Figs. 1, 5–6</x:v>
      </x:c>
      <x:c r="J35" s="12" t="str">
        <x:v>Batch 04</x:v>
      </x:c>
    </x:row>
    <x:row r="36" ht="24" hidden="0" customHeight="1">
      <x:c r="A36" s="12" t="str">
        <x:v>S046-C01-I01</x:v>
      </x:c>
      <x:c r="B36" s="12" t="str">
        <x:v>S046</x:v>
      </x:c>
      <x:c r="C36" s="12" t="str">
        <x:v>S046-C01</x:v>
      </x:c>
      <x:c r="D36" s="12" t="str">
        <x:v>PVDF/CFO magnetoelectric finger sleeve</x:v>
      </x:c>
      <x:c r="E36" s="12" t="str">
        <x:v>Composite sleeve is directly FDM printed to the author’s finger size</x:v>
      </x:c>
      <x:c r="F36" s="12" t="str">
        <x:v>Yes</x:v>
      </x:c>
      <x:c r="G36" s="12" t="str">
        <x:v>One demonstrated sleeve</x:v>
      </x:c>
      <x:c r="H36" s="12" t="str">
        <x:v>See configuration record and study-specific L7 decision; no additional evidence inferred.</x:v>
      </x:c>
      <x:c r="I36" s="12" t="str">
        <x:v>PDF pp. 2, 5–6; Fig. 4; Supplementary Fig. S5 cited</x:v>
      </x:c>
      <x:c r="J36" s="12" t="str">
        <x:v>Batch 04</x:v>
      </x:c>
    </x:row>
    <x:row r="37" ht="24" hidden="0" customHeight="1">
      <x:c r="A37" s="12" t="str">
        <x:v>S046-C02-I01</x:v>
      </x:c>
      <x:c r="B37" s="12" t="str">
        <x:v>S046</x:v>
      </x:c>
      <x:c r="C37" s="12" t="str">
        <x:v>S046-C02</x:v>
      </x:c>
      <x:c r="D37" s="12" t="str">
        <x:v>PVDF/CFO Z-spring insole sensor</x:v>
      </x:c>
      <x:c r="E37" s="12" t="str">
        <x:v>Composite spring is FDM printed and embedded in an insole</x:v>
      </x:c>
      <x:c r="F37" s="12" t="str">
        <x:v>Yes</x:v>
      </x:c>
      <x:c r="G37" s="12" t="str">
        <x:v>One demonstrated spring</x:v>
      </x:c>
      <x:c r="H37" s="12" t="str">
        <x:v>See configuration record and study-specific L7 decision; no additional evidence inferred.</x:v>
      </x:c>
      <x:c r="I37" s="12" t="str">
        <x:v>PDF pp. 6–7; Fig. 5</x:v>
      </x:c>
      <x:c r="J37" s="12" t="str">
        <x:v>Batch 04</x:v>
      </x:c>
    </x:row>
    <x:row r="38" ht="24" hidden="0" customHeight="1">
      <x:c r="A38" s="12" t="str">
        <x:v>S047-C01-I01</x:v>
      </x:c>
      <x:c r="B38" s="12" t="str">
        <x:v>S047</x:v>
      </x:c>
      <x:c r="C38" s="12" t="str">
        <x:v>S047-C01</x:v>
      </x:c>
      <x:c r="D38" s="12" t="str">
        <x:v>Patient-specific pressure-monitoring burn mask</x:v>
      </x:c>
      <x:c r="E38" s="12" t="str">
        <x:v>Printed mask positions sensors, concentrates/transfers pressure and provides attachment</x:v>
      </x:c>
      <x:c r="F38" s="12" t="str">
        <x:v>Yes; two patients for four weeks</x:v>
      </x:c>
      <x:c r="G38" s="12" t="str">
        <x:v>Two patient-specific masks; two sensors per patient</x:v>
      </x:c>
      <x:c r="H38" s="12" t="str">
        <x:v>See configuration record and study-specific L7 decision; no additional evidence inferred.</x:v>
      </x:c>
      <x:c r="I38" s="12" t="str">
        <x:v>PDF pp. 3–13; Figs. 2–12; Table 1</x:v>
      </x:c>
      <x:c r="J38" s="12" t="str">
        <x:v>Batch 04</x:v>
      </x:c>
    </x:row>
    <x:row r="39" ht="24" hidden="0" customHeight="1">
      <x:c r="A39" s="12" t="str">
        <x:v>S048-C01-I01</x:v>
      </x:c>
      <x:c r="B39" s="12" t="str">
        <x:v>S048</x:v>
      </x:c>
      <x:c r="C39" s="12" t="str">
        <x:v>S048-C01</x:v>
      </x:c>
      <x:c r="D39" s="12" t="str">
        <x:v>Graphene-impregnated TPU strain/pressure sensors</x:v>
      </x:c>
      <x:c r="E39" s="12" t="str">
        <x:v>FDM defines the active TPU architecture; graphene is deposited during printing and embedded by foaming</x:v>
      </x:c>
      <x:c r="F39" s="12" t="str">
        <x:v>Yes; body-mounted demonstrations</x:v>
      </x:c>
      <x:c r="G39" s="12" t="str">
        <x:v>Multiple material/pattern variants; independent device count NR</x:v>
      </x:c>
      <x:c r="H39" s="12" t="str">
        <x:v>See configuration record and study-specific L7 decision; no additional evidence inferred.</x:v>
      </x:c>
      <x:c r="I39" s="12" t="str">
        <x:v>PDF pp. 3–9; Figs. 1, 4–9</x:v>
      </x:c>
      <x:c r="J39" s="12" t="str">
        <x:v>Batch 04</x:v>
      </x:c>
    </x:row>
    <x:row r="40" ht="24" hidden="0" customHeight="1">
      <x:c r="A40" s="12" t="str">
        <x:v>S050-C01-I01</x:v>
      </x:c>
      <x:c r="B40" s="12" t="str">
        <x:v>S050</x:v>
      </x:c>
      <x:c r="C40" s="12" t="str">
        <x:v>S050-C01</x:v>
      </x:c>
      <x:c r="D40" s="12" t="str">
        <x:v>Two FBG-instrumented shank supports</x:v>
      </x:c>
      <x:c r="E40" s="12" t="str">
        <x:v>Printed ABS/TPU support transfers load and embeds the optical sensor</x:v>
      </x:c>
      <x:c r="F40" s="12" t="str">
        <x:v>Yes</x:v>
      </x:c>
      <x:c r="G40" s="12" t="str">
        <x:v>Two support structures; one FBG each</x:v>
      </x:c>
      <x:c r="H40" s="12" t="str">
        <x:v>See configuration record and study-specific L7 decision; no additional evidence inferred.</x:v>
      </x:c>
      <x:c r="I40" s="12" t="str">
        <x:v>PDF pp. 3–7; Figs. 1–5</x:v>
      </x:c>
      <x:c r="J40" s="12" t="str">
        <x:v>Batch 05</x:v>
      </x:c>
    </x:row>
    <x:row r="41" ht="24" hidden="0" customHeight="1">
      <x:c r="A41" s="12" t="str">
        <x:v>S051-C01-I01</x:v>
      </x:c>
      <x:c r="B41" s="12" t="str">
        <x:v>S051</x:v>
      </x:c>
      <x:c r="C41" s="12" t="str">
        <x:v>S051-C01</x:v>
      </x:c>
      <x:c r="D41" s="12" t="str">
        <x:v>Thermopile earable with hearing aid</x:v>
      </x:c>
      <x:c r="E41" s="12" t="str">
        <x:v>Printed TPU layers align components and contain injected Galinstan microchannels</x:v>
      </x:c>
      <x:c r="F41" s="12" t="str">
        <x:v>Yes</x:v>
      </x:c>
      <x:c r="G41" s="12" t="str">
        <x:v>One subject; device count NR</x:v>
      </x:c>
      <x:c r="H41" s="12" t="str">
        <x:v>See configuration record and study-specific L7 decision; no additional evidence inferred.</x:v>
      </x:c>
      <x:c r="I41" s="12" t="str">
        <x:v>PDF pp. 2–7; Figs. 1–5</x:v>
      </x:c>
      <x:c r="J41" s="12" t="str">
        <x:v>Batch 05</x:v>
      </x:c>
    </x:row>
    <x:row r="42" ht="24" hidden="0" customHeight="1">
      <x:c r="A42" s="12" t="str">
        <x:v>S052-C01-I01</x:v>
      </x:c>
      <x:c r="B42" s="12" t="str">
        <x:v>S052</x:v>
      </x:c>
      <x:c r="C42" s="12" t="str">
        <x:v>S052-C01</x:v>
      </x:c>
      <x:c r="D42" s="12" t="str">
        <x:v>PVDF/MMT I-shaped piezoelectric lattice</x:v>
      </x:c>
      <x:c r="E42" s="12" t="str">
        <x:v>FDM prints the active piezoelectric metamaterial</x:v>
      </x:c>
      <x:c r="F42" s="12" t="str">
        <x:v>Yes</x:v>
      </x:c>
      <x:c r="G42" s="12" t="str">
        <x:v>Batch variation stated; exact complete-device count not stated</x:v>
      </x:c>
      <x:c r="H42" s="12" t="str">
        <x:v>See configuration record and study-specific L7 decision; no additional evidence inferred.</x:v>
      </x:c>
      <x:c r="I42" s="12" t="str">
        <x:v>PDF pp. 2, 8–11; Figs. 1, 4–6</x:v>
      </x:c>
      <x:c r="J42" s="12" t="str">
        <x:v>Batch 05</x:v>
      </x:c>
    </x:row>
    <x:row r="43" ht="24" hidden="0" customHeight="1">
      <x:c r="A43" s="12" t="str">
        <x:v>S053-C01-I01</x:v>
      </x:c>
      <x:c r="B43" s="12" t="str">
        <x:v>S053</x:v>
      </x:c>
      <x:c r="C43" s="12" t="str">
        <x:v>S053-C01</x:v>
      </x:c>
      <x:c r="D43" s="12" t="str">
        <x:v>MXene/MWCNT/TPU TPMS pressure sensor</x:v>
      </x:c>
      <x:c r="E43" s="12" t="str">
        <x:v>FDM prints the active porous conductive structure</x:v>
      </x:c>
      <x:c r="F43" s="12" t="str">
        <x:v>Yes</x:v>
      </x:c>
      <x:c r="G43" s="12" t="str">
        <x:v>Porosity variants; replicate device count NR</x:v>
      </x:c>
      <x:c r="H43" s="12" t="str">
        <x:v>See configuration record and study-specific L7 decision; no additional evidence inferred.</x:v>
      </x:c>
      <x:c r="I43" s="12" t="str">
        <x:v>PDF pp. 3, 9–13; Figs. 2, 7–9</x:v>
      </x:c>
      <x:c r="J43" s="12" t="str">
        <x:v>Batch 05</x:v>
      </x:c>
    </x:row>
    <x:row r="44" ht="24" hidden="0" customHeight="1">
      <x:c r="A44" s="12" t="str">
        <x:v>S054-C01-I01</x:v>
      </x:c>
      <x:c r="B44" s="12" t="str">
        <x:v>S054</x:v>
      </x:c>
      <x:c r="C44" s="12" t="str">
        <x:v>S054-C01</x:v>
      </x:c>
      <x:c r="D44" s="12" t="str">
        <x:v>Filaflex hexagonal overload-history element</x:v>
      </x:c>
      <x:c r="E44" s="12" t="str">
        <x:v>FDM prints the complete thin-wall mechanical sensing element</x:v>
      </x:c>
      <x:c r="F44" s="12" t="str">
        <x:v>Application-specific bench validation</x:v>
      </x:c>
      <x:c r="G44" s="12" t="str">
        <x:v>26 independently printed specimens</x:v>
      </x:c>
      <x:c r="H44" s="12" t="str">
        <x:v>See configuration record and study-specific L7 decision; no additional evidence inferred.</x:v>
      </x:c>
      <x:c r="I44" s="12" t="str">
        <x:v>PDF pp. 3–8; Figs. 1–7; Appendix 1</x:v>
      </x:c>
      <x:c r="J44" s="12" t="str">
        <x:v>Batch 05</x:v>
      </x:c>
    </x:row>
    <x:row r="45" ht="24" hidden="0" customHeight="1">
      <x:c r="A45" s="12" t="str">
        <x:v>S055-C01-I01</x:v>
      </x:c>
      <x:c r="B45" s="12" t="str">
        <x:v>S055</x:v>
      </x:c>
      <x:c r="C45" s="12" t="str">
        <x:v>S055-C01</x:v>
      </x:c>
      <x:c r="D45" s="12" t="str">
        <x:v>PVDF piezoelectric patch</x:v>
      </x:c>
      <x:c r="E45" s="12" t="str">
        <x:v>FDM prints the active PVDF layer</x:v>
      </x:c>
      <x:c r="F45" s="12" t="str">
        <x:v>Yes</x:v>
      </x:c>
      <x:c r="G45" s="12" t="str">
        <x:v>Layer-count variants; replicate complete-device count NR</x:v>
      </x:c>
      <x:c r="H45" s="12" t="str">
        <x:v>See configuration record and study-specific L7 decision; no additional evidence inferred.</x:v>
      </x:c>
      <x:c r="I45" s="12" t="str">
        <x:v>PDF pp. 3–9; Figs. 1–10</x:v>
      </x:c>
      <x:c r="J45" s="12" t="str">
        <x:v>Batch 05</x:v>
      </x:c>
    </x:row>
    <x:row r="46" ht="24" hidden="0" customHeight="1">
      <x:c r="A46" s="12" t="str">
        <x:v>S056-C01-I01</x:v>
      </x:c>
      <x:c r="B46" s="12" t="str">
        <x:v>S056</x:v>
      </x:c>
      <x:c r="C46" s="12" t="str">
        <x:v>S056-C01</x:v>
      </x:c>
      <x:c r="D46" s="12" t="str">
        <x:v>Printed capacitive, pressure and strain sensors</x:v>
      </x:c>
      <x:c r="E46" s="12" t="str">
        <x:v>FDM prints the functional conductive composite structures</x:v>
      </x:c>
      <x:c r="F46" s="12" t="str">
        <x:v>Yes</x:v>
      </x:c>
      <x:c r="G46" s="12" t="str">
        <x:v>Material specimens replicated; final-device count NR</x:v>
      </x:c>
      <x:c r="H46" s="12" t="str">
        <x:v>See configuration record and study-specific L7 decision; no additional evidence inferred.</x:v>
      </x:c>
      <x:c r="I46" s="12" t="str">
        <x:v>PDF pp. 3–15; Figs. 1–9</x:v>
      </x:c>
      <x:c r="J46" s="12" t="str">
        <x:v>Batch 05</x:v>
      </x:c>
    </x:row>
    <x:row r="47" ht="24" hidden="0" customHeight="1">
      <x:c r="A47" s="12" t="str">
        <x:v>S057-C01-I01</x:v>
      </x:c>
      <x:c r="B47" s="12" t="str">
        <x:v>S057</x:v>
      </x:c>
      <x:c r="C47" s="12" t="str">
        <x:v>S057-C01</x:v>
      </x:c>
      <x:c r="D47" s="12" t="str">
        <x:v>CNT/TPU TPMS strain sensor</x:v>
      </x:c>
      <x:c r="E47" s="12" t="str">
        <x:v>FDM prints the active conductive TPMS structure</x:v>
      </x:c>
      <x:c r="F47" s="12" t="str">
        <x:v>Yes</x:v>
      </x:c>
      <x:c r="G47" s="12" t="str">
        <x:v>Structural variants; final-device replicate count NR</x:v>
      </x:c>
      <x:c r="H47" s="12" t="str">
        <x:v>See configuration record and study-specific L7 decision; no additional evidence inferred.</x:v>
      </x:c>
      <x:c r="I47" s="12" t="str">
        <x:v>PDF pp. 3–15; Figs. 1–10</x:v>
      </x:c>
      <x:c r="J47" s="12" t="str">
        <x:v>Batch 05</x:v>
      </x:c>
    </x:row>
    <x:row r="48" ht="24" hidden="0" customHeight="1">
      <x:c r="A48" s="12" t="str">
        <x:v>S058-C01-I01</x:v>
      </x:c>
      <x:c r="B48" s="12" t="str">
        <x:v>S058</x:v>
      </x:c>
      <x:c r="C48" s="12" t="str">
        <x:v>S058-C01</x:v>
      </x:c>
      <x:c r="D48" s="12" t="str">
        <x:v>Encapsulated TPE pressure sensor and insole array</x:v>
      </x:c>
      <x:c r="E48" s="12" t="str">
        <x:v>FDM prints the active porous TPE structure</x:v>
      </x:c>
      <x:c r="F48" s="12" t="str">
        <x:v>Yes</x:v>
      </x:c>
      <x:c r="G48" s="12" t="str">
        <x:v>25 devices from five batches; six participants</x:v>
      </x:c>
      <x:c r="H48" s="12" t="str">
        <x:v>See configuration record and study-specific L7 decision; no additional evidence inferred.</x:v>
      </x:c>
      <x:c r="I48" s="12" t="str">
        <x:v>PDF pp. 3–13; Figs. 1–8</x:v>
      </x:c>
      <x:c r="J48" s="12" t="str">
        <x:v>Batch 05</x:v>
      </x:c>
    </x:row>
    <x:row r="49" ht="24" hidden="0" customHeight="1">
      <x:c r="A49" s="12" t="str">
        <x:v>S059-C01-I01</x:v>
      </x:c>
      <x:c r="B49" s="12" t="str">
        <x:v>S059</x:v>
      </x:c>
      <x:c r="C49" s="12" t="str">
        <x:v>S059-C01</x:v>
      </x:c>
      <x:c r="D49" s="12" t="str">
        <x:v>Integrated CB–TPU respiration sensor and dry ECG electrodes</x:v>
      </x:c>
      <x:c r="E49" s="12" t="str">
        <x:v>IDEX FDM co-prints functional and insulating materials in one wearable system</x:v>
      </x:c>
      <x:c r="F49" s="12" t="str">
        <x:v>Yes</x:v>
      </x:c>
      <x:c r="G49" s="12" t="str">
        <x:v>Six design variants; five volunteers; replicate complete-device count NR</x:v>
      </x:c>
      <x:c r="H49" s="12" t="str">
        <x:v>See configuration record and study-specific L7 decision; no additional evidence inferred.</x:v>
      </x:c>
      <x:c r="I49" s="12" t="str">
        <x:v>PDF pp. 3–15; Figs. 1–9</x:v>
      </x:c>
      <x:c r="J49" s="12" t="str">
        <x:v>Batch 05</x:v>
      </x:c>
    </x:row>
    <x:row r="50" ht="24" hidden="0" customHeight="1">
      <x:c r="A50" s="12" t="str">
        <x:v>S060-C01-I01</x:v>
      </x:c>
      <x:c r="B50" s="12" t="str">
        <x:v>S060</x:v>
      </x:c>
      <x:c r="C50" s="12" t="str">
        <x:v>S060-C01</x:v>
      </x:c>
      <x:c r="D50" s="12" t="str">
        <x:v>TPU/MWCNT gyroid piezoresistive sensor and four-element smart midsole</x:v>
      </x:c>
      <x:c r="E50" s="12" t="str">
        <x:v>FFF prints the active conductive gyroid network</x:v>
      </x:c>
      <x:c r="F50" s="12" t="str">
        <x:v>Yes; one instrumented shoe</x:v>
      </x:c>
      <x:c r="G50" s="12" t="str">
        <x:v>Nine composition/cell-size configurations; one sensor per configuration</x:v>
      </x:c>
      <x:c r="H50" s="12" t="str">
        <x:v>See configuration record and study-specific L7 decision; no additional evidence inferred.</x:v>
      </x:c>
      <x:c r="I50" s="12" t="str">
        <x:v>PDF pp. 3–13; Figs. 1–9</x:v>
      </x:c>
      <x:c r="J50" s="12" t="str">
        <x:v>Batch 06</x:v>
      </x:c>
    </x:row>
    <x:row r="51" ht="24" hidden="0" customHeight="1">
      <x:c r="A51" s="12" t="str">
        <x:v>S061-C01-I01</x:v>
      </x:c>
      <x:c r="B51" s="12" t="str">
        <x:v>S061</x:v>
      </x:c>
      <x:c r="C51" s="12" t="str">
        <x:v>S061-C01</x:v>
      </x:c>
      <x:c r="D51" s="12" t="str">
        <x:v>PLA microstrip patch antenna pressure sensor on airplane splint</x:v>
      </x:c>
      <x:c r="E51" s="12" t="str">
        <x:v>FFF prints the dielectric substrate that governs the antenna response</x:v>
      </x:c>
      <x:c r="F51" s="12" t="str">
        <x:v>Yes; assembled splint comparison</x:v>
      </x:c>
      <x:c r="G51" s="12" t="str">
        <x:v>Device replicate count NR</x:v>
      </x:c>
      <x:c r="H51" s="12" t="str">
        <x:v>See configuration record and study-specific L7 decision; no additional evidence inferred.</x:v>
      </x:c>
      <x:c r="I51" s="12" t="str">
        <x:v>PDF pp. 3–10; Figs. 1–13; Table 1</x:v>
      </x:c>
      <x:c r="J51" s="12" t="str">
        <x:v>Batch 06</x:v>
      </x:c>
    </x:row>
    <x:row r="52" ht="24" hidden="0" customHeight="1">
      <x:c r="A52" s="12" t="str">
        <x:v>S063-C01-I01</x:v>
      </x:c>
      <x:c r="B52" s="12" t="str">
        <x:v>S063</x:v>
      </x:c>
      <x:c r="C52" s="12" t="str">
        <x:v>S063-C01</x:v>
      </x:c>
      <x:c r="D52" s="12" t="str">
        <x:v>CNT-embedded TPU honeycomb pressure sensor</x:v>
      </x:c>
      <x:c r="E52" s="12" t="str">
        <x:v>FFF prints the active porous TPU structure before CNT embedding</x:v>
      </x:c>
      <x:c r="F52" s="12" t="str">
        <x:v>Yes</x:v>
      </x:c>
      <x:c r="G52" s="12" t="str">
        <x:v>Architecture/material variants; complete-device count NR</x:v>
      </x:c>
      <x:c r="H52" s="12" t="str">
        <x:v>See configuration record and study-specific L7 decision; no additional evidence inferred.</x:v>
      </x:c>
      <x:c r="I52" s="12" t="str">
        <x:v>PDF pp. 3–11; Figs. 1–8</x:v>
      </x:c>
      <x:c r="J52" s="12" t="str">
        <x:v>Batch 06</x:v>
      </x:c>
    </x:row>
    <x:row r="53" ht="24" hidden="0" customHeight="1">
      <x:c r="A53" s="12" t="str">
        <x:v>S064-C01-I01</x:v>
      </x:c>
      <x:c r="B53" s="12" t="str">
        <x:v>S064</x:v>
      </x:c>
      <x:c r="C53" s="12" t="str">
        <x:v>S064-C01</x:v>
      </x:c>
      <x:c r="D53" s="12" t="str">
        <x:v>Embedded conductive path in FFF TPE soft structure</x:v>
      </x:c>
      <x:c r="E53" s="12" t="str">
        <x:v>FFF forms the soft host and grooves; DIW deposits the sensing path before FFF encapsulation</x:v>
      </x:c>
      <x:c r="F53" s="12" t="str">
        <x:v>Yes</x:v>
      </x:c>
      <x:c r="G53" s="12" t="str">
        <x:v>Five specimens were used at different impact velocities; no same-condition replicate comparison</x:v>
      </x:c>
      <x:c r="H53" s="12" t="str">
        <x:v>See configuration record and study-specific L7 decision; no additional evidence inferred.</x:v>
      </x:c>
      <x:c r="I53" s="12" t="str">
        <x:v>PDF pp. 2–10; Figs. 1–9</x:v>
      </x:c>
      <x:c r="J53" s="12" t="str">
        <x:v>Batch 06</x:v>
      </x:c>
    </x:row>
    <x:row r="54" ht="24" hidden="0" customHeight="1">
      <x:c r="A54" s="12" t="str">
        <x:v>S065-C01-I01</x:v>
      </x:c>
      <x:c r="B54" s="12" t="str">
        <x:v>S065</x:v>
      </x:c>
      <x:c r="C54" s="12" t="str">
        <x:v>S065-C01</x:v>
      </x:c>
      <x:c r="D54" s="12" t="str">
        <x:v>Microgrooved PEDOT:PSS-coated TPE pressure sensor</x:v>
      </x:c>
      <x:c r="E54" s="12" t="str">
        <x:v>FDM directly forms the microstructured compliant substrate</x:v>
      </x:c>
      <x:c r="F54" s="12" t="str">
        <x:v>Yes</x:v>
      </x:c>
      <x:c r="G54" s="12" t="str">
        <x:v>Four separately fabricated devices quantitatively compared</x:v>
      </x:c>
      <x:c r="H54" s="12" t="str">
        <x:v>See configuration record and study-specific L7 decision; no additional evidence inferred.</x:v>
      </x:c>
      <x:c r="I54" s="12" t="str">
        <x:v>PDF pp. 2–9; Figs. 1–7</x:v>
      </x:c>
      <x:c r="J54" s="12" t="str">
        <x:v>Batch 06</x:v>
      </x:c>
    </x:row>
    <x:row r="55" ht="24" hidden="0" customHeight="1">
      <x:c r="A55" s="12" t="str">
        <x:v>S066-C01-I01</x:v>
      </x:c>
      <x:c r="B55" s="12" t="str">
        <x:v>S066</x:v>
      </x:c>
      <x:c r="C55" s="12" t="str">
        <x:v>S066-C01</x:v>
      </x:c>
      <x:c r="D55" s="12" t="str">
        <x:v>CB-TPU respiratory strain sensor with wearable electronics</x:v>
      </x:c>
      <x:c r="E55" s="12" t="str">
        <x:v>FDM prints the conductive strain element</x:v>
      </x:c>
      <x:c r="F55" s="12" t="str">
        <x:v>Yes</x:v>
      </x:c>
      <x:c r="G55" s="12" t="str">
        <x:v>13 participants; number of separately fabricated sensor systems NR</x:v>
      </x:c>
      <x:c r="H55" s="12" t="str">
        <x:v>See configuration record and study-specific L7 decision; no additional evidence inferred.</x:v>
      </x:c>
      <x:c r="I55" s="12" t="str">
        <x:v>PDF pp. 2–8; Figs. 1–8; Table I</x:v>
      </x:c>
      <x:c r="J55" s="12" t="str">
        <x:v>Batch 06</x:v>
      </x:c>
    </x:row>
    <x:row r="56" ht="24" hidden="0" customHeight="1">
      <x:c r="A56" s="12" t="str">
        <x:v>S067-C01-I01</x:v>
      </x:c>
      <x:c r="B56" s="12" t="str">
        <x:v>S067</x:v>
      </x:c>
      <x:c r="C56" s="12" t="str">
        <x:v>S067-C01</x:v>
      </x:c>
      <x:c r="D56" s="12" t="str">
        <x:v>Two-unit triboelectric insole</x:v>
      </x:c>
      <x:c r="E56" s="12" t="str">
        <x:v>FDM prints the TPE insole and triboelectric structures</x:v>
      </x:c>
      <x:c r="F56" s="12" t="str">
        <x:v>Yes</x:v>
      </x:c>
      <x:c r="G56" s="12" t="str">
        <x:v>Participant and independent-device counts NR</x:v>
      </x:c>
      <x:c r="H56" s="12" t="str">
        <x:v>See configuration record and study-specific L7 decision; no additional evidence inferred.</x:v>
      </x:c>
      <x:c r="I56" s="12" t="str">
        <x:v>PDF pp. 2–9; Figs. 1–8</x:v>
      </x:c>
      <x:c r="J56" s="12" t="str">
        <x:v>Batch 06</x:v>
      </x:c>
    </x:row>
    <x:row r="57" ht="24" hidden="0" customHeight="1">
      <x:c r="A57" s="12" t="str">
        <x:v>S068-C01-I01</x:v>
      </x:c>
      <x:c r="B57" s="12" t="str">
        <x:v>S068</x:v>
      </x:c>
      <x:c r="C57" s="12" t="str">
        <x:v>S068-C01</x:v>
      </x:c>
      <x:c r="D57" s="12" t="str">
        <x:v>TPU/CB/Ag-IDE strain sensor</x:v>
      </x:c>
      <x:c r="E57" s="12" t="str">
        <x:v>FFF prints the active TPU/CB strip; silver IDE is added by DIW</x:v>
      </x:c>
      <x:c r="F57" s="12" t="str">
        <x:v>Yes</x:v>
      </x:c>
      <x:c r="G57" s="12" t="str">
        <x:v>Three repeated tests were on the same sample, not separate devices</x:v>
      </x:c>
      <x:c r="H57" s="12" t="str">
        <x:v>See configuration record and study-specific L7 decision; no additional evidence inferred.</x:v>
      </x:c>
      <x:c r="I57" s="12" t="str">
        <x:v>PDF pp. 2–10; Figs. 1–7</x:v>
      </x:c>
      <x:c r="J57" s="12" t="str">
        <x:v>Batch 06</x:v>
      </x:c>
    </x:row>
    <x:row r="58" ht="24" hidden="0" customHeight="1">
      <x:c r="A58" s="12" t="str">
        <x:v>S069-C01-I01</x:v>
      </x:c>
      <x:c r="B58" s="12" t="str">
        <x:v>S069</x:v>
      </x:c>
      <x:c r="C58" s="12" t="str">
        <x:v>S069-C01</x:v>
      </x:c>
      <x:c r="D58" s="12" t="str">
        <x:v>PP–EcoFlex textile triboelectric nanogenerator</x:v>
      </x:c>
      <x:c r="E58" s="12" t="str">
        <x:v>FFF directly prints the PP triboactive layer on conductive fabric</x:v>
      </x:c>
      <x:c r="F58" s="12" t="str">
        <x:v>Yes; textile device and human-touch system</x:v>
      </x:c>
      <x:c r="G58" s="12" t="str">
        <x:v>Material/geometry variants; separate-device replicate count NR</x:v>
      </x:c>
      <x:c r="H58" s="12" t="str">
        <x:v>See configuration record and study-specific L7 decision; no additional evidence inferred.</x:v>
      </x:c>
      <x:c r="I58" s="12" t="str">
        <x:v>PDF pp. 2–12; Figs. 1–11</x:v>
      </x:c>
      <x:c r="J58" s="12" t="str">
        <x:v>Batch 06</x:v>
      </x:c>
    </x:row>
    <x:row r="59" ht="24" hidden="0" customHeight="1">
      <x:c r="A59" s="12" t="str">
        <x:v>S070-C01-I01</x:v>
      </x:c>
      <x:c r="B59" s="12" t="str">
        <x:v>S070</x:v>
      </x:c>
      <x:c r="C59" s="12" t="str">
        <x:v>S070-C01</x:v>
      </x:c>
      <x:c r="D59" s="12" t="str">
        <x:v>Embedded-FBG TPU sensor; 85A/95A at 20/40 mm s⁻¹</x:v>
      </x:c>
      <x:c r="E59" s="12" t="str">
        <x:v>FDM body transfers deformation/environmental changes to the embedded FBG</x:v>
      </x:c>
      <x:c r="F59" s="12" t="str">
        <x:v>Yes</x:v>
      </x:c>
      <x:c r="G59" s="12" t="str">
        <x:v>Four process/material configurations; one sensor per configuration</x:v>
      </x:c>
      <x:c r="H59" s="12" t="str">
        <x:v>See configuration record and study-specific L7 decision; no additional evidence inferred.</x:v>
      </x:c>
      <x:c r="I59" s="12" t="str">
        <x:v>PDF pp. 3–9; Figs. 1–12</x:v>
      </x:c>
      <x:c r="J59" s="12" t="str">
        <x:v>Batch 07</x:v>
      </x:c>
    </x:row>
    <x:row r="60" ht="24" hidden="0" customHeight="1">
      <x:c r="A60" s="12" t="str">
        <x:v>S071-C01-I01</x:v>
      </x:c>
      <x:c r="B60" s="12" t="str">
        <x:v>S071</x:v>
      </x:c>
      <x:c r="C60" s="12" t="str">
        <x:v>S071-C01</x:v>
      </x:c>
      <x:c r="D60" s="12" t="str">
        <x:v>Graphene-coated P-type TPMS TPU pressure sensor</x:v>
      </x:c>
      <x:c r="E60" s="12" t="str">
        <x:v>FDM defines the compliant TPMS sensing architecture before conductive coating</x:v>
      </x:c>
      <x:c r="F60" s="12" t="str">
        <x:v>Yes</x:v>
      </x:c>
      <x:c r="G60" s="12" t="str">
        <x:v>Six TPMS volume-fraction/gradient configurations; complete-device replicate count not reported</x:v>
      </x:c>
      <x:c r="H60" s="12" t="str">
        <x:v>See configuration record and study-specific L7 decision; no additional evidence inferred.</x:v>
      </x:c>
      <x:c r="I60" s="12" t="str">
        <x:v>PDF pp. 2–10; Figs. 1–12</x:v>
      </x:c>
      <x:c r="J60" s="12" t="str">
        <x:v>Batch 07</x:v>
      </x:c>
    </x:row>
    <x:row r="61" ht="24" hidden="0" customHeight="1">
      <x:c r="A61" s="12" t="str">
        <x:v>S073-C01-I01</x:v>
      </x:c>
      <x:c r="B61" s="12" t="str">
        <x:v>S073</x:v>
      </x:c>
      <x:c r="C61" s="12" t="str">
        <x:v>S073-C01</x:v>
      </x:c>
      <x:c r="D61" s="12" t="str">
        <x:v>Continuous-carbon-fiber/TPU star metamaterial sensor</x:v>
      </x:c>
      <x:c r="E61" s="12" t="str">
        <x:v>FDM co-deposits TPU and continuous carbon fiber into the active sensing architecture</x:v>
      </x:c>
      <x:c r="F61" s="12" t="str">
        <x:v>Yes</x:v>
      </x:c>
      <x:c r="G61" s="12" t="str">
        <x:v>Cross/no-cross and loading variants; same-condition device replicate count not reported</x:v>
      </x:c>
      <x:c r="H61" s="12" t="str">
        <x:v>See configuration record and study-specific L7 decision; no additional evidence inferred.</x:v>
      </x:c>
      <x:c r="I61" s="12" t="str">
        <x:v>PDF pp. 3–13; Figs. 1–10</x:v>
      </x:c>
      <x:c r="J61" s="12" t="str">
        <x:v>Batch 07</x:v>
      </x:c>
    </x:row>
    <x:row r="62" ht="24" hidden="0" customHeight="1">
      <x:c r="A62" s="12" t="str">
        <x:v>S074-C01-I01</x:v>
      </x:c>
      <x:c r="B62" s="12" t="str">
        <x:v>S074</x:v>
      </x:c>
      <x:c r="C62" s="12" t="str">
        <x:v>S074-C01</x:v>
      </x:c>
      <x:c r="D62" s="12" t="str">
        <x:v>Dual-material FBG wearable sensor</x:v>
      </x:c>
      <x:c r="E62" s="12" t="str">
        <x:v>FDM TPU body and PLA flanges position and mechanically couple the embedded FBG</x:v>
      </x:c>
      <x:c r="F62" s="12" t="str">
        <x:v>Yes</x:v>
      </x:c>
      <x:c r="G62" s="12" t="str">
        <x:v>Two nominally identical devices fabricated; only one used for metrological characterization</x:v>
      </x:c>
      <x:c r="H62" s="12" t="str">
        <x:v>See configuration record and study-specific L7 decision; no additional evidence inferred.</x:v>
      </x:c>
      <x:c r="I62" s="12" t="str">
        <x:v>PDF pp. 3–9; Figs. 1–13</x:v>
      </x:c>
      <x:c r="J62" s="12" t="str">
        <x:v>Batch 07</x:v>
      </x:c>
    </x:row>
    <x:row r="63" ht="24" hidden="0" customHeight="1">
      <x:c r="A63" s="12" t="str">
        <x:v>S075-C01-I01</x:v>
      </x:c>
      <x:c r="B63" s="12" t="str">
        <x:v>S075</x:v>
      </x:c>
      <x:c r="C63" s="12" t="str">
        <x:v>S075-C01</x:v>
      </x:c>
      <x:c r="D63" s="12" t="str">
        <x:v>Bare single-layer CB-TPU strain sensor (BS)</x:v>
      </x:c>
      <x:c r="E63" s="12" t="str">
        <x:v>FDM directly prints the active conductive dogbone</x:v>
      </x:c>
      <x:c r="F63" s="12" t="str">
        <x:v>No external substrate</x:v>
      </x:c>
      <x:c r="G63" s="12" t="str">
        <x:v>One of three nominally identical printed sensors</x:v>
      </x:c>
      <x:c r="H63" s="12" t="str">
        <x:v>See configuration record and study-specific L7 decision; no additional evidence inferred.</x:v>
      </x:c>
      <x:c r="I63" s="12" t="str">
        <x:v>PDF pp. 2–8; Figs. 1–6</x:v>
      </x:c>
      <x:c r="J63" s="12" t="str">
        <x:v>Batch 07</x:v>
      </x:c>
    </x:row>
    <x:row r="64" ht="24" hidden="0" customHeight="1">
      <x:c r="A64" s="12" t="str">
        <x:v>S075-C02-I01</x:v>
      </x:c>
      <x:c r="B64" s="12" t="str">
        <x:v>S075</x:v>
      </x:c>
      <x:c r="C64" s="12" t="str">
        <x:v>S075-C02</x:v>
      </x:c>
      <x:c r="D64" s="12" t="str">
        <x:v>Kinesiology-tape-integrated sensor (TS)</x:v>
      </x:c>
      <x:c r="E64" s="12" t="str">
        <x:v>Printed CB-TPU element is embedded between tape liners</x:v>
      </x:c>
      <x:c r="F64" s="12" t="str">
        <x:v>Yes</x:v>
      </x:c>
      <x:c r="G64" s="12" t="str">
        <x:v>One printed sensor assigned to this integration condition</x:v>
      </x:c>
      <x:c r="H64" s="12" t="str">
        <x:v>See configuration record and study-specific L7 decision; no additional evidence inferred.</x:v>
      </x:c>
      <x:c r="I64" s="12" t="str">
        <x:v>PDF pp. 2–8; Figs. 1–7</x:v>
      </x:c>
      <x:c r="J64" s="12" t="str">
        <x:v>Batch 07</x:v>
      </x:c>
    </x:row>
    <x:row r="65" ht="24" hidden="0" customHeight="1">
      <x:c r="A65" s="12" t="str">
        <x:v>S075-C03-I01</x:v>
      </x:c>
      <x:c r="B65" s="12" t="str">
        <x:v>S075</x:v>
      </x:c>
      <x:c r="C65" s="12" t="str">
        <x:v>S075-C03</x:v>
      </x:c>
      <x:c r="D65" s="12" t="str">
        <x:v>Silicone-integrated sensor (SS)</x:v>
      </x:c>
      <x:c r="E65" s="12" t="str">
        <x:v>Printed CB-TPU element is encapsulated in Ecoflex silicone</x:v>
      </x:c>
      <x:c r="F65" s="12" t="str">
        <x:v>Yes</x:v>
      </x:c>
      <x:c r="G65" s="12" t="str">
        <x:v>One printed sensor assigned to this integration condition</x:v>
      </x:c>
      <x:c r="H65" s="12" t="str">
        <x:v>See configuration record and study-specific L7 decision; no additional evidence inferred.</x:v>
      </x:c>
      <x:c r="I65" s="12" t="str">
        <x:v>PDF pp. 2–7; Figs. 1–6</x:v>
      </x:c>
      <x:c r="J65" s="12" t="str">
        <x:v>Batch 07</x:v>
      </x:c>
    </x:row>
    <x:row r="66" ht="24" hidden="0" customHeight="1">
      <x:c r="A66" s="12" t="str">
        <x:v>S076-C01-I01</x:v>
      </x:c>
      <x:c r="B66" s="12" t="str">
        <x:v>S076</x:v>
      </x:c>
      <x:c r="C66" s="12" t="str">
        <x:v>S076-C01</x:v>
      </x:c>
      <x:c r="D66" s="12" t="str">
        <x:v>FFF PVDF hybrid piezoelectric–triboelectric nanogenerator</x:v>
      </x:c>
      <x:c r="E66" s="12" t="str">
        <x:v>FFF produces the active PVDF film assembled into the nanogenerator</x:v>
      </x:c>
      <x:c r="F66" s="12" t="str">
        <x:v>Yes</x:v>
      </x:c>
      <x:c r="G66" s="12" t="str">
        <x:v>Thickness variants; three poled films used only for d33 material characterization</x:v>
      </x:c>
      <x:c r="H66" s="12" t="str">
        <x:v>See configuration record and study-specific L7 decision; no additional evidence inferred.</x:v>
      </x:c>
      <x:c r="I66" s="12" t="str">
        <x:v>PDF pp. 3–8; Figs. 1–6</x:v>
      </x:c>
      <x:c r="J66" s="12" t="str">
        <x:v>Batch 07</x:v>
      </x:c>
    </x:row>
    <x:row r="67" ht="24" hidden="0" customHeight="1">
      <x:c r="A67" s="12" t="str">
        <x:v>S077-C01-I01</x:v>
      </x:c>
      <x:c r="B67" s="12" t="str">
        <x:v>S077</x:v>
      </x:c>
      <x:c r="C67" s="12" t="str">
        <x:v>S077-C01</x:v>
      </x:c>
      <x:c r="D67" s="12" t="str">
        <x:v>TPU/graphene/PEDOT:PSS multifunctional sensor</x:v>
      </x:c>
      <x:c r="E67" s="12" t="str">
        <x:v>FDM creates the TPU body and pauses enable conductive layer integration</x:v>
      </x:c>
      <x:c r="F67" s="12" t="str">
        <x:v>Yes</x:v>
      </x:c>
      <x:c r="G67" s="12" t="str">
        <x:v>Measurements stated as repeated three times; separate-device basis not specified</x:v>
      </x:c>
      <x:c r="H67" s="12" t="str">
        <x:v>See configuration record and study-specific L7 decision; no additional evidence inferred.</x:v>
      </x:c>
      <x:c r="I67" s="12" t="str">
        <x:v>PDF pp. 3–15; Figs. 1–7</x:v>
      </x:c>
      <x:c r="J67" s="12" t="str">
        <x:v>Batch 07</x:v>
      </x:c>
    </x:row>
    <x:row r="68" ht="24" hidden="0" customHeight="1">
      <x:c r="A68" s="12" t="str">
        <x:v>S078-C01-I01</x:v>
      </x:c>
      <x:c r="B68" s="12" t="str">
        <x:v>S078</x:v>
      </x:c>
      <x:c r="C68" s="12" t="str">
        <x:v>S078-C01</x:v>
      </x:c>
      <x:c r="D68" s="12" t="str">
        <x:v>Microwave-treated TPU/CNT porous sensor</x:v>
      </x:c>
      <x:c r="E68" s="12" t="str">
        <x:v>FDM creates porous TPU geometry; CNTs are surface-embedded by microwave treatment</x:v>
      </x:c>
      <x:c r="F68" s="12" t="str">
        <x:v>Yes</x:v>
      </x:c>
      <x:c r="G68" s="12" t="str">
        <x:v>CNT loading and microwave variants; separate-device count not reported</x:v>
      </x:c>
      <x:c r="H68" s="12" t="str">
        <x:v>See configuration record and study-specific L7 decision; no additional evidence inferred.</x:v>
      </x:c>
      <x:c r="I68" s="12" t="str">
        <x:v>PDF pp. 3–8; Figs. 1–6</x:v>
      </x:c>
      <x:c r="J68" s="12" t="str">
        <x:v>Batch 07</x:v>
      </x:c>
    </x:row>
    <x:row r="69" ht="24" hidden="0" customHeight="1">
      <x:c r="A69" s="12" t="str">
        <x:v>S079-C01-I01</x:v>
      </x:c>
      <x:c r="B69" s="12" t="str">
        <x:v>S079</x:v>
      </x:c>
      <x:c r="C69" s="12" t="str">
        <x:v>S079-C01</x:v>
      </x:c>
      <x:c r="D69" s="12" t="str">
        <x:v>TPU/MXene-SA/MWCNT TPMS pressure sensor</x:v>
      </x:c>
      <x:c r="E69" s="12" t="str">
        <x:v>FDM directly forms the conductive TPMS sensing body</x:v>
      </x:c>
      <x:c r="F69" s="12" t="str">
        <x:v>Yes</x:v>
      </x:c>
      <x:c r="G69" s="12" t="str">
        <x:v>Four structures; repeated curves among samples mentioned but individual device data/dispersion not shown</x:v>
      </x:c>
      <x:c r="H69" s="12" t="str">
        <x:v>See configuration record and study-specific L7 decision; no additional evidence inferred.</x:v>
      </x:c>
      <x:c r="I69" s="12" t="str">
        <x:v>PDF pp. 2–12; Figs. 1–8</x:v>
      </x:c>
      <x:c r="J69" s="12" t="str">
        <x:v>Batch 07</x:v>
      </x:c>
    </x:row>
    <x:row r="70" ht="36" hidden="0" customHeight="1">
      <x:c r="A70" s="12" t="str">
        <x:v>S080-C01-I01</x:v>
      </x:c>
      <x:c r="B70" s="12" t="str">
        <x:v>S080</x:v>
      </x:c>
      <x:c r="C70" s="12" t="str">
        <x:v>S080-C01</x:v>
      </x:c>
      <x:c r="D70" s="12" t="str">
        <x:v>Graphene-coated TPU TPMS sensors: Primitive, Diamond, Gyroid and I-WP</x:v>
      </x:c>
      <x:c r="E70" s="12" t="str">
        <x:v>FDM defines the porous compliant architecture; dip-coated graphene provides conductivity</x:v>
      </x:c>
      <x:c r="F70" s="12" t="str">
        <x:v>Yes</x:v>
      </x:c>
      <x:c r="G70" s="12" t="str">
        <x:v>Four topology variants at 40% volume fraction; same-condition complete-device replicate count not reported</x:v>
      </x:c>
      <x:c r="H70" s="12" t="str">
        <x:v>See configuration record and study-specific L7 decision; no additional evidence inferred.</x:v>
      </x:c>
      <x:c r="I70" s="12" t="str">
        <x:v>PDF pp. 4–12; Figs. 1–8</x:v>
      </x:c>
      <x:c r="J70" s="12" t="str">
        <x:v>Batch 08</x:v>
      </x:c>
    </x:row>
    <x:row r="71" ht="24" hidden="0" customHeight="1">
      <x:c r="A71" s="12" t="str">
        <x:v>S081-C01-I01</x:v>
      </x:c>
      <x:c r="B71" s="12" t="str">
        <x:v>S081</x:v>
      </x:c>
      <x:c r="C71" s="12" t="str">
        <x:v>S081-C01</x:v>
      </x:c>
      <x:c r="D71" s="12" t="str">
        <x:v>TPU thumb-shaped device with embedded 5-mm FBG</x:v>
      </x:c>
      <x:c r="E71" s="12" t="str">
        <x:v>FDM body embeds and mechanically couples the FBG to thumb/plunger force</x:v>
      </x:c>
      <x:c r="F71" s="12" t="str">
        <x:v>Yes</x:v>
      </x:c>
      <x:c r="G71" s="12" t="str">
        <x:v>One characterized device; two patient procedures; seven tests are repeated measurements, not devices</x:v>
      </x:c>
      <x:c r="H71" s="12" t="str">
        <x:v>See configuration record and study-specific L7 decision; no additional evidence inferred.</x:v>
      </x:c>
      <x:c r="I71" s="12" t="str">
        <x:v>PDF pp. 3–7; Figs. 1–8; Table I</x:v>
      </x:c>
      <x:c r="J71" s="12" t="str">
        <x:v>Batch 08</x:v>
      </x:c>
    </x:row>
    <x:row r="72" ht="24" hidden="0" customHeight="1">
      <x:c r="A72" s="12" t="str">
        <x:v>S082-C01-I01</x:v>
      </x:c>
      <x:c r="B72" s="12" t="str">
        <x:v>S082</x:v>
      </x:c>
      <x:c r="C72" s="12" t="str">
        <x:v>S082-C01</x:v>
      </x:c>
      <x:c r="D72" s="12" t="str">
        <x:v>CNT/SBS@TPU fibre sensor with SBS:TPU ratios 7:3 to 3:7</x:v>
      </x:c>
      <x:c r="E72" s="12" t="str">
        <x:v>FFF extrudes the active conductive fibre</x:v>
      </x:c>
      <x:c r="F72" s="12" t="str">
        <x:v>Yes</x:v>
      </x:c>
      <x:c r="G72" s="12" t="str">
        <x:v>Composition variants; same-condition complete-device replicate count not reported</x:v>
      </x:c>
      <x:c r="H72" s="12" t="str">
        <x:v>See configuration record and study-specific L7 decision; no additional evidence inferred.</x:v>
      </x:c>
      <x:c r="I72" s="12" t="str">
        <x:v>PDF pp. 4–12; Figs. 1–7</x:v>
      </x:c>
      <x:c r="J72" s="12" t="str">
        <x:v>Batch 08</x:v>
      </x:c>
    </x:row>
    <x:row r="73" ht="24" hidden="0" customHeight="1">
      <x:c r="A73" s="12" t="str">
        <x:v>S084-C01-I01</x:v>
      </x:c>
      <x:c r="B73" s="12" t="str">
        <x:v>S084</x:v>
      </x:c>
      <x:c r="C73" s="12" t="str">
        <x:v>S084-C01</x:v>
      </x:c>
      <x:c r="D73" s="12" t="str">
        <x:v>CNT/SBS@TPU fibre sensors with 1–3 wt% CNT and CNT/SBS controls</x:v>
      </x:c>
      <x:c r="E73" s="12" t="str">
        <x:v>FFF extrudes the active conductive fibre</x:v>
      </x:c>
      <x:c r="F73" s="12" t="str">
        <x:v>Yes</x:v>
      </x:c>
      <x:c r="G73" s="12" t="str">
        <x:v>CNT-loading and structural controls; same-condition complete-device replicate count not reported</x:v>
      </x:c>
      <x:c r="H73" s="12" t="str">
        <x:v>See configuration record and study-specific L7 decision; no additional evidence inferred.</x:v>
      </x:c>
      <x:c r="I73" s="12" t="str">
        <x:v>PDF pp. 4–11; Figs. 1–8</x:v>
      </x:c>
      <x:c r="J73" s="12" t="str">
        <x:v>Batch 08</x:v>
      </x:c>
    </x:row>
    <x:row r="74" ht="24" hidden="0" customHeight="1">
      <x:c r="A74" s="12" t="str">
        <x:v>S085-C01-I01</x:v>
      </x:c>
      <x:c r="B74" s="12" t="str">
        <x:v>S085</x:v>
      </x:c>
      <x:c r="C74" s="12" t="str">
        <x:v>S085-C01</x:v>
      </x:c>
      <x:c r="D74" s="12" t="str">
        <x:v>CB/TPU paths in straight, SZ, TZ and RZ configurations on TPU film</x:v>
      </x:c>
      <x:c r="E74" s="12" t="str">
        <x:v>FDM deposits active conductive paths bonded to the flexible film substrate</x:v>
      </x:c>
      <x:c r="F74" s="12" t="str">
        <x:v>Yes</x:v>
      </x:c>
      <x:c r="G74" s="12" t="str">
        <x:v>Geometry variants; same-condition complete-device replicate count not reported</x:v>
      </x:c>
      <x:c r="H74" s="12" t="str">
        <x:v>See configuration record and study-specific L7 decision; no additional evidence inferred.</x:v>
      </x:c>
      <x:c r="I74" s="12" t="str">
        <x:v>PDF pp. 2–4, 8–12; Figs. 1–18</x:v>
      </x:c>
      <x:c r="J74" s="12" t="str">
        <x:v>Batch 08</x:v>
      </x:c>
    </x:row>
    <x:row r="75" ht="24" hidden="0" customHeight="1">
      <x:c r="A75" s="12" t="str">
        <x:v>S086-C01-I01</x:v>
      </x:c>
      <x:c r="B75" s="12" t="str">
        <x:v>S086</x:v>
      </x:c>
      <x:c r="C75" s="12" t="str">
        <x:v>S086-C01</x:v>
      </x:c>
      <x:c r="D75" s="12" t="str">
        <x:v>Microwave-sintered TPU/Ag layered strain sensor</x:v>
      </x:c>
      <x:c r="E75" s="12" t="str">
        <x:v>FDM builds TPU layers while silver paste is applied between laminas; microwave treatment bonds the structure</x:v>
      </x:c>
      <x:c r="F75" s="12" t="str">
        <x:v>Yes</x:v>
      </x:c>
      <x:c r="G75" s="12" t="str">
        <x:v>Process/time and thickness variants; five trials concern silver content, not complete sensors</x:v>
      </x:c>
      <x:c r="H75" s="12" t="str">
        <x:v>See configuration record and study-specific L7 decision; no additional evidence inferred.</x:v>
      </x:c>
      <x:c r="I75" s="12" t="str">
        <x:v>PDF pp. 2–9; Figs. 1–6</x:v>
      </x:c>
      <x:c r="J75" s="12" t="str">
        <x:v>Batch 08</x:v>
      </x:c>
    </x:row>
    <x:row r="76" ht="24" hidden="0" customHeight="1">
      <x:c r="A76" s="12" t="str">
        <x:v>S087-C01-I01</x:v>
      </x:c>
      <x:c r="B76" s="12" t="str">
        <x:v>S087</x:v>
      </x:c>
      <x:c r="C76" s="12" t="str">
        <x:v>S087-C01</x:v>
      </x:c>
      <x:c r="D76" s="12" t="str">
        <x:v>Surface-filled graphene/SEBS 3D-network sensor</x:v>
      </x:c>
      <x:c r="E76" s="12" t="str">
        <x:v>FDM forms the SEBS network; graphene is thermally embedded into its surface</x:v>
      </x:c>
      <x:c r="F76" s="12" t="str">
        <x:v>Yes</x:v>
      </x:c>
      <x:c r="G76" s="12" t="str">
        <x:v>Process/geometry/material variants; same-condition complete-device replicate count not reported</x:v>
      </x:c>
      <x:c r="H76" s="12" t="str">
        <x:v>See configuration record and study-specific L7 decision; no additional evidence inferred.</x:v>
      </x:c>
      <x:c r="I76" s="12" t="str">
        <x:v>PDF pp. 2–7; Figs. 1–5</x:v>
      </x:c>
      <x:c r="J76" s="12" t="str">
        <x:v>Batch 08</x:v>
      </x:c>
    </x:row>
    <x:row r="77" ht="24" hidden="0" customHeight="1">
      <x:c r="A77" s="12" t="str">
        <x:v>S088-C01-I01</x:v>
      </x:c>
      <x:c r="B77" s="12" t="str">
        <x:v>S088</x:v>
      </x:c>
      <x:c r="C77" s="12" t="str">
        <x:v>S088-C01</x:v>
      </x:c>
      <x:c r="D77" s="12" t="str">
        <x:v>Flexible PLA ring with embedded FBG for elbow</x:v>
      </x:c>
      <x:c r="E77" s="12" t="str">
        <x:v>FDM embeds and couples the FBG within the wearable ring</x:v>
      </x:c>
      <x:c r="F77" s="12" t="str">
        <x:v>Yes</x:v>
      </x:c>
      <x:c r="G77" s="12" t="str">
        <x:v>One ring/application calibration; three repeat tests are same-device measurements</x:v>
      </x:c>
      <x:c r="H77" s="12" t="str">
        <x:v>See configuration record and study-specific L7 decision; no additional evidence inferred.</x:v>
      </x:c>
      <x:c r="I77" s="12" t="str">
        <x:v>PDF pp. 4–10; Figs. 1–8; Table 1</x:v>
      </x:c>
      <x:c r="J77" s="12" t="str">
        <x:v>Batch 08</x:v>
      </x:c>
    </x:row>
    <x:row r="78" ht="24" hidden="0" customHeight="1">
      <x:c r="A78" s="12" t="str">
        <x:v>S088-C02-I01</x:v>
      </x:c>
      <x:c r="B78" s="12" t="str">
        <x:v>S088</x:v>
      </x:c>
      <x:c r="C78" s="12" t="str">
        <x:v>S088-C02</x:v>
      </x:c>
      <x:c r="D78" s="12" t="str">
        <x:v>Flexible PLA ring with embedded FBG for knee</x:v>
      </x:c>
      <x:c r="E78" s="12" t="str">
        <x:v>FDM embeds and couples the FBG within the wearable ring</x:v>
      </x:c>
      <x:c r="F78" s="12" t="str">
        <x:v>Yes</x:v>
      </x:c>
      <x:c r="G78" s="12" t="str">
        <x:v>Second ring/application; total complete devices fewer than three</x:v>
      </x:c>
      <x:c r="H78" s="12" t="str">
        <x:v>See configuration record and study-specific L7 decision; no additional evidence inferred.</x:v>
      </x:c>
      <x:c r="I78" s="12" t="str">
        <x:v>PDF pp. 10–12; Figs. 9–10</x:v>
      </x:c>
      <x:c r="J78" s="12" t="str">
        <x:v>Batch 08</x:v>
      </x:c>
    </x:row>
    <x:row r="79" ht="24" hidden="0" customHeight="1">
      <x:c r="A79" s="12" t="str">
        <x:v>S089-C01-I01</x:v>
      </x:c>
      <x:c r="B79" s="12" t="str">
        <x:v>S089</x:v>
      </x:c>
      <x:c r="C79" s="12" t="str">
        <x:v>S089-C01</x:v>
      </x:c>
      <x:c r="D79" s="12" t="str">
        <x:v>CNT/TPU, GNP/TPU and CNT/GNP(3:1)/TPU printed strain sensors</x:v>
      </x:c>
      <x:c r="E79" s="12" t="str">
        <x:v>FFF directly prints the active nanocomposite sensing strip</x:v>
      </x:c>
      <x:c r="F79" s="12" t="str">
        <x:v>Yes</x:v>
      </x:c>
      <x:c r="G79" s="12" t="str">
        <x:v>Nanofiller/composition variants; same-condition complete-device replicate count not reported</x:v>
      </x:c>
      <x:c r="H79" s="12" t="str">
        <x:v>See configuration record and study-specific L7 decision; no additional evidence inferred.</x:v>
      </x:c>
      <x:c r="I79" s="12" t="str">
        <x:v>PDF pp. 10–35; Figs. 1–10</x:v>
      </x:c>
      <x:c r="J79" s="12" t="str">
        <x:v>Batch 08</x:v>
      </x:c>
    </x:row>
    <x:row r="80" ht="36" hidden="0" customHeight="1">
      <x:c r="A80" s="12" t="str">
        <x:v>S090-C01-I01</x:v>
      </x:c>
      <x:c r="B80" s="12" t="str">
        <x:v>S090</x:v>
      </x:c>
      <x:c r="C80" s="12" t="str">
        <x:v>S090-C01</x:v>
      </x:c>
      <x:c r="D80" s="12" t="str">
        <x:v>OECT on FDM-printed soft-PLA substrate with FDM-printed insulating mask</x:v>
      </x:c>
      <x:c r="E80" s="12" t="str">
        <x:v>FDM creates the retained substrate and mask; the mask defines the active channel and isolates source/drain contacts from electrolyte</x:v>
      </x:c>
      <x:c r="F80" s="12" t="str">
        <x:v>Yes</x:v>
      </x:c>
      <x:c r="G80" s="12" t="str">
        <x:v>Soft-PLA device metrics are reported across multiple devices; active PEDOT:PSS and silver layers are direct-written, not FDM-extruded</x:v>
      </x:c>
      <x:c r="H80" s="12" t="str">
        <x:v>See configuration record and study-specific L7 decision; no additional evidence inferred.</x:v>
      </x:c>
      <x:c r="I80" s="12" t="str">
        <x:v>PDF pp. 2–5; Figs. 1c and 3c–e; Table 1</x:v>
      </x:c>
      <x:c r="J80" s="12" t="str">
        <x:v>Batch 09</x:v>
      </x:c>
    </x:row>
    <x:row r="81" ht="24" hidden="0" customHeight="1">
      <x:c r="A81" s="12" t="str">
        <x:v>S090-C02-I01</x:v>
      </x:c>
      <x:c r="B81" s="12" t="str">
        <x:v>S090</x:v>
      </x:c>
      <x:c r="C81" s="12" t="str">
        <x:v>S090-C02</x:v>
      </x:c>
      <x:c r="D81" s="12" t="str">
        <x:v>OECT on PET or direct-written PDMS substrate</x:v>
      </x:c>
      <x:c r="E81" s="12" t="str">
        <x:v>No thermoplastic-filament FDM contribution to the PDMS sensing configuration; retained to distinguish study configurations</x:v>
      </x:c>
      <x:c r="F81" s="12" t="str">
        <x:v>Yes</x:v>
      </x:c>
      <x:c r="G81" s="12" t="str">
        <x:v>Ion and pH sensing results were obtained on the PDMS configuration rather than the FDM soft-PLA configuration</x:v>
      </x:c>
      <x:c r="H81" s="12" t="str">
        <x:v>See configuration record and study-specific L7 decision; no additional evidence inferred.</x:v>
      </x:c>
      <x:c r="I81" s="12" t="str">
        <x:v>PDF pp. 2, 6–7; Fig. 4; Table 2</x:v>
      </x:c>
      <x:c r="J81" s="12" t="str">
        <x:v>Batch 09</x:v>
      </x:c>
    </x:row>
    <x:row r="82" ht="36" hidden="0" customHeight="1">
      <x:c r="A82" s="12" t="str">
        <x:v>S091-C01-I01</x:v>
      </x:c>
      <x:c r="B82" s="12" t="str">
        <x:v>S091</x:v>
      </x:c>
      <x:c r="C82" s="12" t="str">
        <x:v>S091-C01</x:v>
      </x:c>
      <x:c r="D82" s="12" t="str">
        <x:v>One-layer and three-layer PVDF/MWCNT dogbone strips with 1–15 wt% MWCNT</x:v>
      </x:c>
      <x:c r="E82" s="12" t="str">
        <x:v>FDM directly prints the active conductive nanocomposite strip</x:v>
      </x:c>
      <x:c r="F82" s="12" t="str">
        <x:v>Yes</x:v>
      </x:c>
      <x:c r="G82" s="12" t="str">
        <x:v>Three specimens per MWCNT ratio were measured for one-layer baseline resistance; VOC-test device count is not stated</x:v>
      </x:c>
      <x:c r="H82" s="12" t="str">
        <x:v>See configuration record and study-specific L7 decision; no additional evidence inferred.</x:v>
      </x:c>
      <x:c r="I82" s="12" t="str">
        <x:v>PDF pp. 2–8; Figs. 2, 6–11; Table 1</x:v>
      </x:c>
      <x:c r="J82" s="12" t="str">
        <x:v>Batch 09</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779999732971191" hidden="0" customWidth="1"/>
    <x:col min="2" max="2" width="11.670000076293945" hidden="0" customWidth="1"/>
    <x:col min="3" max="3" width="11.670000076293945" hidden="0" customWidth="1"/>
    <x:col min="4" max="4" width="31.110000610351562" hidden="0" customWidth="1"/>
    <x:col min="5" max="5" width="55.560001373291016" hidden="0" customWidth="1"/>
    <x:col min="6" max="6" width="42.220001220703125" hidden="0" customWidth="1"/>
    <x:col min="7" max="7" width="32.220001220703125" hidden="0" customWidth="1"/>
    <x:col min="8" max="8" width="37.779998779296875" hidden="0" customWidth="1"/>
    <x:col min="9" max="9" width="41.11000061035156" hidden="0" customWidth="1"/>
    <x:col min="10" max="10" width="28.889999389648438" hidden="0" customWidth="1"/>
    <x:col min="11" max="11" width="13.329999923706055" hidden="0" customWidth="1"/>
  </x:cols>
  <x:sheetData>
    <x:row r="1" ht="24" hidden="0" customHeight="1">
      <x:c r="A1" s="11" t="str">
        <x:v>Experiment ID</x:v>
      </x:c>
      <x:c r="B1" s="11" t="str">
        <x:v>Stable Study ID</x:v>
      </x:c>
      <x:c r="C1" s="11" t="str">
        <x:v>Sensor ID</x:v>
      </x:c>
      <x:c r="D1" s="11" t="str">
        <x:v>Experiment</x:v>
      </x:c>
      <x:c r="E1" s="11" t="str">
        <x:v>Protocol/purpose</x:v>
      </x:c>
      <x:c r="F1" s="11" t="str">
        <x:v>Range/exposure</x:v>
      </x:c>
      <x:c r="G1" s="11" t="str">
        <x:v>Repetitions</x:v>
      </x:c>
      <x:c r="H1" s="11" t="str">
        <x:v>Reference/instrument</x:v>
      </x:c>
      <x:c r="I1" s="11" t="str">
        <x:v>Unit basis</x:v>
      </x:c>
      <x:c r="J1" s="11" t="str">
        <x:v>Evidence locator</x:v>
      </x:c>
      <x:c r="K1" s="11" t="str">
        <x:v>Authoritative source</x:v>
      </x:c>
    </x:row>
    <x:row r="2" ht="15" hidden="0" customHeight="1">
      <x:c r="A2" s="12" t="str">
        <x:v>E001</x:v>
      </x:c>
      <x:c r="B2" s="12" t="str">
        <x:v>S001</x:v>
      </x:c>
      <x:c r="C2" s="12" t="str">
        <x:v>S001-C01</x:v>
      </x:c>
      <x:c r="D2" s="12" t="str">
        <x:v>Bench calibration</x:v>
      </x:c>
      <x:c r="E2" s="12" t="str">
        <x:v>Three loading cycles at six insole positions</x:v>
      </x:c>
      <x:c r="F2" s="12" t="str">
        <x:v>20-1000 N</x:v>
      </x:c>
      <x:c r="G2" s="12" t="str">
        <x:v>3 cycles</x:v>
      </x:c>
      <x:c r="H2" s="12" t="str">
        <x:v>Calibrated masses checked with precision scale</x:v>
      </x:c>
      <x:c r="I2" s="12" t="str">
        <x:v>Device count NR</x:v>
      </x:c>
      <x:c r="J2" s="12" t="str">
        <x:v>PDF p. 6; Fig. 3-4</x:v>
      </x:c>
      <x:c r="K2" s="12" t="str">
        <x:v>Pilot</x:v>
      </x:c>
    </x:row>
    <x:row r="3" ht="15" hidden="0" customHeight="1">
      <x:c r="A3" s="12" t="str">
        <x:v>E002</x:v>
      </x:c>
      <x:c r="B3" s="12" t="str">
        <x:v>S001</x:v>
      </x:c>
      <x:c r="C3" s="12" t="str">
        <x:v>S001-C01</x:v>
      </x:c>
      <x:c r="D3" s="12" t="str">
        <x:v>Force-platform comparison</x:v>
      </x:c>
      <x:c r="E3" s="12" t="str">
        <x:v>Compare insole waveform with force platform during gait</x:v>
      </x:c>
      <x:c r="F3" s="12" t="str">
        <x:v>Walking; conditions otherwise NR</x:v>
      </x:c>
      <x:c r="G3" s="12" t="str">
        <x:v>NR</x:v>
      </x:c>
      <x:c r="H3" s="12" t="str">
        <x:v>Independent force platform</x:v>
      </x:c>
      <x:c r="I3" s="12" t="str">
        <x:v>One insole; five volunteers</x:v>
      </x:c>
      <x:c r="J3" s="12" t="str">
        <x:v>PDF pp. 6-7, 14; Fig. 7</x:v>
      </x:c>
      <x:c r="K3" s="12" t="str">
        <x:v>Pilot</x:v>
      </x:c>
    </x:row>
    <x:row r="4" ht="15" hidden="0" customHeight="1">
      <x:c r="A4" s="12" t="str">
        <x:v>E003</x:v>
      </x:c>
      <x:c r="B4" s="12" t="str">
        <x:v>S002</x:v>
      </x:c>
      <x:c r="C4" s="12" t="str">
        <x:v>S002-C01</x:v>
      </x:c>
      <x:c r="D4" s="12" t="str">
        <x:v>Glucose calibration</x:v>
      </x:c>
      <x:c r="E4" s="12" t="str">
        <x:v>DPV response across glucose concentration</x:v>
      </x:c>
      <x:c r="F4" s="12" t="str">
        <x:v>25-500 micromolar</x:v>
      </x:c>
      <x:c r="G4" s="12" t="str">
        <x:v>n=3 stated for plotted points</x:v>
      </x:c>
      <x:c r="H4" s="12" t="str">
        <x:v>Prepared glucose standards</x:v>
      </x:c>
      <x:c r="I4" s="12" t="str">
        <x:v>Device allocation to replicates unclear</x:v>
      </x:c>
      <x:c r="J4" s="12" t="str">
        <x:v>PDF pp. 6-7; Fig. 3-4</x:v>
      </x:c>
      <x:c r="K4" s="12" t="str">
        <x:v>Pilot</x:v>
      </x:c>
    </x:row>
    <x:row r="5" ht="15" hidden="0" customHeight="1">
      <x:c r="A5" s="12" t="str">
        <x:v>E004</x:v>
      </x:c>
      <x:c r="B5" s="12" t="str">
        <x:v>S002</x:v>
      </x:c>
      <x:c r="C5" s="12" t="str">
        <x:v>S002-C01</x:v>
      </x:c>
      <x:c r="D5" s="12" t="str">
        <x:v>Repeatability</x:v>
      </x:c>
      <x:c r="E5" s="12" t="str">
        <x:v>Ten repetitive glucose responses on one 3DPE</x:v>
      </x:c>
      <x:c r="F5" s="12" t="str">
        <x:v>Concentration NR in repeatability paragraph</x:v>
      </x:c>
      <x:c r="G5" s="12" t="str">
        <x:v>10 measurements</x:v>
      </x:c>
      <x:c r="H5" s="12" t="str">
        <x:v>DPV method</x:v>
      </x:c>
      <x:c r="I5" s="12" t="str">
        <x:v>One electrode</x:v>
      </x:c>
      <x:c r="J5" s="12" t="str">
        <x:v>PDF pp. 7-8; Fig. 5</x:v>
      </x:c>
      <x:c r="K5" s="12" t="str">
        <x:v>Pilot</x:v>
      </x:c>
    </x:row>
    <x:row r="6" ht="15" hidden="0" customHeight="1">
      <x:c r="A6" s="12" t="str">
        <x:v>E005</x:v>
      </x:c>
      <x:c r="B6" s="12" t="str">
        <x:v>S002</x:v>
      </x:c>
      <x:c r="C6" s="12" t="str">
        <x:v>S002-C01</x:v>
      </x:c>
      <x:c r="D6" s="12" t="str">
        <x:v>Between-device reproducibility</x:v>
      </x:c>
      <x:c r="E6" s="12" t="str">
        <x:v>Compare six different 3DPEs</x:v>
      </x:c>
      <x:c r="F6" s="12" t="str">
        <x:v>Same stated assay conditions</x:v>
      </x:c>
      <x:c r="G6" s="12" t="str">
        <x:v>6 devices</x:v>
      </x:c>
      <x:c r="H6" s="12" t="str">
        <x:v>DPV method</x:v>
      </x:c>
      <x:c r="I6" s="12" t="str">
        <x:v>Six independently prepared 3DPEs</x:v>
      </x:c>
      <x:c r="J6" s="12" t="str">
        <x:v>PDF pp. 7-8; Fig. 5</x:v>
      </x:c>
      <x:c r="K6" s="12" t="str">
        <x:v>Pilot</x:v>
      </x:c>
    </x:row>
    <x:row r="7" ht="15" hidden="0" customHeight="1">
      <x:c r="A7" s="12" t="str">
        <x:v>E006</x:v>
      </x:c>
      <x:c r="B7" s="12" t="str">
        <x:v>S002</x:v>
      </x:c>
      <x:c r="C7" s="12" t="str">
        <x:v>S002-C01</x:v>
      </x:c>
      <x:c r="D7" s="12" t="str">
        <x:v>Artificial-sweat/interference evaluation</x:v>
      </x:c>
      <x:c r="E7" s="12" t="str">
        <x:v>Glucose recovery and interferent response in artificial sweat</x:v>
      </x:c>
      <x:c r="F7" s="12" t="str">
        <x:v>pH 4; urea, uric acid, lactic acid</x:v>
      </x:c>
      <x:c r="G7" s="12" t="str">
        <x:v>n=3</x:v>
      </x:c>
      <x:c r="H7" s="12" t="str">
        <x:v>Spiked artificial sweat</x:v>
      </x:c>
      <x:c r="I7" s="12" t="str">
        <x:v>Device allocation NR</x:v>
      </x:c>
      <x:c r="J7" s="12" t="str">
        <x:v>PDF pp. 8-10; Fig. 6-7</x:v>
      </x:c>
      <x:c r="K7" s="12" t="str">
        <x:v>Pilot</x:v>
      </x:c>
    </x:row>
    <x:row r="8" ht="15" hidden="0" customHeight="1">
      <x:c r="A8" s="12" t="str">
        <x:v>E009</x:v>
      </x:c>
      <x:c r="B8" s="12" t="str">
        <x:v>S007</x:v>
      </x:c>
      <x:c r="C8" s="12" t="str">
        <x:v>S007-C01</x:v>
      </x:c>
      <x:c r="D8" s="12" t="str">
        <x:v>Bulk-resistance loading loop</x:v>
      </x:c>
      <x:c r="E8" s="12" t="str">
        <x:v>Mass increased then decreased</x:v>
      </x:c>
      <x:c r="F8" s="12" t="str">
        <x:v>50-350-50 g</x:v>
      </x:c>
      <x:c r="G8" s="12" t="str">
        <x:v>One loading-unloading loop</x:v>
      </x:c>
      <x:c r="H8" s="12" t="str">
        <x:v>Mass loading and multimeter</x:v>
      </x:c>
      <x:c r="I8" s="12" t="str">
        <x:v>Nine geometry variants; replicate count NR</x:v>
      </x:c>
      <x:c r="J8" s="12" t="str">
        <x:v>PDF pp. 5-6, 8-9; Table 3</x:v>
      </x:c>
      <x:c r="K8" s="12" t="str">
        <x:v>Pilot</x:v>
      </x:c>
    </x:row>
    <x:row r="9" ht="24" hidden="0" customHeight="1">
      <x:c r="A9" s="12" t="str">
        <x:v>E010</x:v>
      </x:c>
      <x:c r="B9" s="12" t="str">
        <x:v>S007</x:v>
      </x:c>
      <x:c r="C9" s="12" t="str">
        <x:v>S007-C01</x:v>
      </x:c>
      <x:c r="D9" s="12" t="str">
        <x:v>Contact-impedance test</x:v>
      </x:c>
      <x:c r="E9" s="12" t="str">
        <x:v>Impedance versus frequency and contact force</x:v>
      </x:c>
      <x:c r="F9" s="12" t="str">
        <x:v>20-1000 Hz; 135 g and 150-400 g contexts</x:v>
      </x:c>
      <x:c r="G9" s="12" t="str">
        <x:v>NR</x:v>
      </x:c>
      <x:c r="H9" s="12" t="str">
        <x:v>Agilent impedance analyser; embedded reference electrode</x:v>
      </x:c>
      <x:c r="I9" s="12" t="str">
        <x:v>Replicate device count NR</x:v>
      </x:c>
      <x:c r="J9" s="12" t="str">
        <x:v>PDF pp. 5-6, 9-10; Fig. 4-5</x:v>
      </x:c>
      <x:c r="K9" s="12" t="str">
        <x:v>Pilot</x:v>
      </x:c>
    </x:row>
    <x:row r="10" ht="15" hidden="0" customHeight="1">
      <x:c r="A10" s="12" t="str">
        <x:v>E011</x:v>
      </x:c>
      <x:c r="B10" s="12" t="str">
        <x:v>S007</x:v>
      </x:c>
      <x:c r="C10" s="12" t="str">
        <x:v>S007-C01</x:v>
      </x:c>
      <x:c r="D10" s="12" t="str">
        <x:v>EEG/noise demonstration</x:v>
      </x:c>
      <x:c r="E10" s="12" t="str">
        <x:v>Eyes-open/closed EEG and 3-minute noise measurement</x:v>
      </x:c>
      <x:c r="F10" s="12" t="str">
        <x:v>0.3-100 Hz; 150 g for noise</x:v>
      </x:c>
      <x:c r="G10" s="12" t="str">
        <x:v>NR</x:v>
      </x:c>
      <x:c r="H10" s="12" t="str">
        <x:v>Commercial electrode comparison</x:v>
      </x:c>
      <x:c r="I10" s="12" t="str">
        <x:v>Participant count/device count NR</x:v>
      </x:c>
      <x:c r="J10" s="12" t="str">
        <x:v>PDF pp. 6-7, 10-12; Fig. 6-7</x:v>
      </x:c>
      <x:c r="K10" s="12" t="str">
        <x:v>Pilot</x:v>
      </x:c>
    </x:row>
    <x:row r="11" ht="24" hidden="0" customHeight="1">
      <x:c r="A11" s="12" t="str">
        <x:v>E012</x:v>
      </x:c>
      <x:c r="B11" s="12" t="str">
        <x:v>S011</x:v>
      </x:c>
      <x:c r="C11" s="12" t="str">
        <x:v>S011-C01</x:v>
      </x:c>
      <x:c r="D11" s="12" t="str">
        <x:v>Pressure calibration</x:v>
      </x:c>
      <x:c r="E11" s="12" t="str">
        <x:v>Three pressure-loading cycles on 16 sensors</x:v>
      </x:c>
      <x:c r="F11" s="12" t="str">
        <x:v>41.5-872.4 kPa</x:v>
      </x:c>
      <x:c r="G11" s="12" t="str">
        <x:v>3 cycles</x:v>
      </x:c>
      <x:c r="H11" s="12" t="str">
        <x:v>Applied weights/pressure setup</x:v>
      </x:c>
      <x:c r="I11" s="12" t="str">
        <x:v>16 sensors; fabrication independence inferred from separate physical units but print-batch count NR</x:v>
      </x:c>
      <x:c r="J11" s="12" t="str">
        <x:v>PDF pp. 5-6, 8-9; Fig. 4-5</x:v>
      </x:c>
      <x:c r="K11" s="12" t="str">
        <x:v>Pilot</x:v>
      </x:c>
    </x:row>
    <x:row r="12" ht="15" hidden="0" customHeight="1">
      <x:c r="A12" s="12" t="str">
        <x:v>E013</x:v>
      </x:c>
      <x:c r="B12" s="12" t="str">
        <x:v>S011</x:v>
      </x:c>
      <x:c r="C12" s="12" t="str">
        <x:v>S011-C01</x:v>
      </x:c>
      <x:c r="D12" s="12" t="str">
        <x:v>Dynamic durability</x:v>
      </x:c>
      <x:c r="E12" s="12" t="str">
        <x:v>Repeated loading</x:v>
      </x:c>
      <x:c r="F12" s="12" t="str">
        <x:v>872.4 kPa; 40 steps/min</x:v>
      </x:c>
      <x:c r="G12" s="12" t="str">
        <x:v>2280 cycles over 1 h</x:v>
      </x:c>
      <x:c r="H12" s="12" t="str">
        <x:v>Mechanical loading setup</x:v>
      </x:c>
      <x:c r="I12" s="12" t="str">
        <x:v>Device count NR for durability trace</x:v>
      </x:c>
      <x:c r="J12" s="12" t="str">
        <x:v>PDF pp. 9-10; Fig. 6</x:v>
      </x:c>
      <x:c r="K12" s="12" t="str">
        <x:v>Pilot</x:v>
      </x:c>
    </x:row>
    <x:row r="13" ht="15" hidden="0" customHeight="1">
      <x:c r="A13" s="12" t="str">
        <x:v>E014</x:v>
      </x:c>
      <x:c r="B13" s="12" t="str">
        <x:v>S011</x:v>
      </x:c>
      <x:c r="C13" s="12" t="str">
        <x:v>S011-C01</x:v>
      </x:c>
      <x:c r="D13" s="12" t="str">
        <x:v>Integration comparison</x:v>
      </x:c>
      <x:c r="E13" s="12" t="str">
        <x:v>Compare bare-sensor and in-insole sensitivity</x:v>
      </x:c>
      <x:c r="F13" s="12" t="str">
        <x:v>41.5-872.4 kPa</x:v>
      </x:c>
      <x:c r="G13" s="12" t="str">
        <x:v>NR</x:v>
      </x:c>
      <x:c r="H13" s="12" t="str">
        <x:v>Same pressure calibration</x:v>
      </x:c>
      <x:c r="I13" s="12" t="str">
        <x:v>16-sensor insole</x:v>
      </x:c>
      <x:c r="J13" s="12" t="str">
        <x:v>PDF p. 12; Fig. 9</x:v>
      </x:c>
      <x:c r="K13" s="12" t="str">
        <x:v>Pilot</x:v>
      </x:c>
    </x:row>
    <x:row r="14" ht="15" hidden="0" customHeight="1">
      <x:c r="A14" s="12" t="str">
        <x:v>E015</x:v>
      </x:c>
      <x:c r="B14" s="12" t="str">
        <x:v>S011</x:v>
      </x:c>
      <x:c r="C14" s="12" t="str">
        <x:v>S011-C01</x:v>
      </x:c>
      <x:c r="D14" s="12" t="str">
        <x:v>On-body plantar-pressure test</x:v>
      </x:c>
      <x:c r="E14" s="12" t="str">
        <x:v>Walking/standing on instrumented insole</x:v>
      </x:c>
      <x:c r="F14" s="12" t="str">
        <x:v>Participant: female, 27 y, 59 kg, 1.69 m, shoe 39</x:v>
      </x:c>
      <x:c r="G14" s="12" t="str">
        <x:v>NR</x:v>
      </x:c>
      <x:c r="H14" s="12" t="str">
        <x:v>Insole channels</x:v>
      </x:c>
      <x:c r="I14" s="12" t="str">
        <x:v>One participant</x:v>
      </x:c>
      <x:c r="J14" s="12" t="str">
        <x:v>PDF pp. 12-14; Fig. 10-11</x:v>
      </x:c>
      <x:c r="K14" s="12" t="str">
        <x:v>Pilot</x:v>
      </x:c>
    </x:row>
    <x:row r="15" ht="15" hidden="0" customHeight="1">
      <x:c r="A15" s="12" t="str">
        <x:v>E016</x:v>
      </x:c>
      <x:c r="B15" s="12" t="str">
        <x:v>S017</x:v>
      </x:c>
      <x:c r="C15" s="12" t="str">
        <x:v>S017-C01</x:v>
      </x:c>
      <x:c r="D15" s="12" t="str">
        <x:v>TENG electrical characterization</x:v>
      </x:c>
      <x:c r="E15" s="12" t="str">
        <x:v>Output versus frequency and load</x:v>
      </x:c>
      <x:c r="F15" s="12" t="str">
        <x:v>20 N; 2-5 Hz; 30 megaohm optimum</x:v>
      </x:c>
      <x:c r="G15" s="12" t="str">
        <x:v>NR</x:v>
      </x:c>
      <x:c r="H15" s="12" t="str">
        <x:v>Linear motor and electrical instruments</x:v>
      </x:c>
      <x:c r="I15" s="12" t="str">
        <x:v>Device count NR</x:v>
      </x:c>
      <x:c r="J15" s="12" t="str">
        <x:v>PDF pp. 2-4; Fig. 2-3</x:v>
      </x:c>
      <x:c r="K15" s="12" t="str">
        <x:v>Pilot</x:v>
      </x:c>
    </x:row>
    <x:row r="16" ht="24" hidden="0" customHeight="1">
      <x:c r="A16" s="12" t="str">
        <x:v>E017</x:v>
      </x:c>
      <x:c r="B16" s="12" t="str">
        <x:v>S017</x:v>
      </x:c>
      <x:c r="C16" s="12" t="str">
        <x:v>S017-C01</x:v>
      </x:c>
      <x:c r="D16" s="12" t="str">
        <x:v>Humidity/use exposure</x:v>
      </x:c>
      <x:c r="E16" s="12" t="str">
        <x:v>Output under different humidity and after buckling</x:v>
      </x:c>
      <x:c r="F16" s="12" t="str">
        <x:v>Humidity levels visible only in Fig. 4; buckled and recovered states</x:v>
      </x:c>
      <x:c r="G16" s="12" t="str">
        <x:v>NR</x:v>
      </x:c>
      <x:c r="H16" s="12" t="str">
        <x:v>Environmental/buckling comparison</x:v>
      </x:c>
      <x:c r="I16" s="12" t="str">
        <x:v>Device count NR</x:v>
      </x:c>
      <x:c r="J16" s="12" t="str">
        <x:v>PDF pp. 4-5; Fig. 4</x:v>
      </x:c>
      <x:c r="K16" s="12" t="str">
        <x:v>Pilot</x:v>
      </x:c>
    </x:row>
    <x:row r="17" ht="15" hidden="0" customHeight="1">
      <x:c r="A17" s="12" t="str">
        <x:v>E018</x:v>
      </x:c>
      <x:c r="B17" s="12" t="str">
        <x:v>S017</x:v>
      </x:c>
      <x:c r="C17" s="12" t="str">
        <x:v>S017-C01</x:v>
      </x:c>
      <x:c r="D17" s="12" t="str">
        <x:v>Cyclic durability</x:v>
      </x:c>
      <x:c r="E17" s="12" t="str">
        <x:v>Repeated operation</x:v>
      </x:c>
      <x:c r="F17" s="12" t="str">
        <x:v>Test load/frequency not fully repeated in durability sentence</x:v>
      </x:c>
      <x:c r="G17" s="12" t="str">
        <x:v>1600 cycles</x:v>
      </x:c>
      <x:c r="H17" s="12" t="str">
        <x:v>Electrical output trace</x:v>
      </x:c>
      <x:c r="I17" s="12" t="str">
        <x:v>Device count NR</x:v>
      </x:c>
      <x:c r="J17" s="12" t="str">
        <x:v>PDF pp. 4-5; Fig. 5</x:v>
      </x:c>
      <x:c r="K17" s="12" t="str">
        <x:v>Pilot</x:v>
      </x:c>
    </x:row>
    <x:row r="18" ht="15" hidden="0" customHeight="1">
      <x:c r="A18" s="12" t="str">
        <x:v>E019</x:v>
      </x:c>
      <x:c r="B18" s="12" t="str">
        <x:v>S017</x:v>
      </x:c>
      <x:c r="C18" s="12" t="str">
        <x:v>S017-C01</x:v>
      </x:c>
      <x:c r="D18" s="12" t="str">
        <x:v>Body-motion demonstration</x:v>
      </x:c>
      <x:c r="E18" s="12" t="str">
        <x:v>Skipping, squat, walk, run, knee motion</x:v>
      </x:c>
      <x:c r="F18" s="12" t="str">
        <x:v>Application motion; attachment method NR</x:v>
      </x:c>
      <x:c r="G18" s="12" t="str">
        <x:v>NR</x:v>
      </x:c>
      <x:c r="H18" s="12" t="str">
        <x:v>Signal traces</x:v>
      </x:c>
      <x:c r="I18" s="12" t="str">
        <x:v>Participant count NR</x:v>
      </x:c>
      <x:c r="J18" s="12" t="str">
        <x:v>PDF pp. 3, 5; Fig. 5</x:v>
      </x:c>
      <x:c r="K18" s="12" t="str">
        <x:v>Pilot</x:v>
      </x:c>
    </x:row>
    <x:row r="19" ht="24" hidden="0" customHeight="1">
      <x:c r="A19" s="12" t="str">
        <x:v>S004-E01</x:v>
      </x:c>
      <x:c r="B19" s="12" t="str">
        <x:v>S004</x:v>
      </x:c>
      <x:c r="C19" s="12"/>
      <x:c r="D19" s="12" t="str">
        <x:v>Strain calibration and cyclic response</x:v>
      </x:c>
      <x:c r="E19" s="12" t="str">
        <x:v>UTM tensile strain with simultaneous resistance</x:v>
      </x:c>
      <x:c r="F19" s="12" t="str">
        <x:v>0–200% reported; small-strain 0.05–0.5%; stepwise 10–70%; rates including 1 mm/s</x:v>
      </x:c>
      <x:c r="G19" s="12" t="str">
        <x:v>Cyclic traces shown; exact same-condition cycle count not stated</x:v>
      </x:c>
      <x:c r="H19" s="12" t="str">
        <x:v>UTM; Keysight instruments</x:v>
      </x:c>
      <x:c r="I19" s="12" t="str">
        <x:v>Device count NR</x:v>
      </x:c>
      <x:c r="J19" s="12" t="str">
        <x:v>PDF pp. 3, 8–11; Figs. 5–6</x:v>
      </x:c>
      <x:c r="K19" s="12" t="str">
        <x:v>Batch 01</x:v>
      </x:c>
    </x:row>
    <x:row r="20" ht="24" hidden="0" customHeight="1">
      <x:c r="A20" s="12" t="str">
        <x:v>S004-E02</x:v>
      </x:c>
      <x:c r="B20" s="12" t="str">
        <x:v>S004</x:v>
      </x:c>
      <x:c r="C20" s="12"/>
      <x:c r="D20" s="12" t="str">
        <x:v>On-body demonstrations</x:v>
      </x:c>
      <x:c r="E20" s="12" t="str">
        <x:v>Finger/wrist motions, breathing, gait and squat</x:v>
      </x:c>
      <x:c r="F20" s="12" t="str">
        <x:v>Application motions; Tegaderm attachment</x:v>
      </x:c>
      <x:c r="G20" s="12" t="str">
        <x:v>Multiple motion cycles shown; participant/device counts NR</x:v>
      </x:c>
      <x:c r="H20" s="12" t="str">
        <x:v>Resistance response</x:v>
      </x:c>
      <x:c r="I20" s="12" t="str">
        <x:v>NR</x:v>
      </x:c>
      <x:c r="J20" s="12" t="str">
        <x:v>PDF pp. 11–13; Figs. 7–8</x:v>
      </x:c>
      <x:c r="K20" s="12" t="str">
        <x:v>Batch 01</x:v>
      </x:c>
    </x:row>
    <x:row r="21" ht="24" hidden="0" customHeight="1">
      <x:c r="A21" s="12" t="str">
        <x:v>S005-E01</x:v>
      </x:c>
      <x:c r="B21" s="12" t="str">
        <x:v>S005</x:v>
      </x:c>
      <x:c r="C21" s="12"/>
      <x:c r="D21" s="12" t="str">
        <x:v>Bench dynamic characterization</x:v>
      </x:c>
      <x:c r="E21" s="12" t="str">
        <x:v>Piezoelectric-stage displacement across cardiac/respiratory frequencies</x:v>
      </x:c>
      <x:c r="F21" s="12" t="str">
        <x:v>150 µm at 0.5–10 Hz; 450 µm at 0.1–0.3 Hz</x:v>
      </x:c>
      <x:c r="G21" s="12" t="str">
        <x:v>One increasing/decreasing frequency loop stated</x:v>
      </x:c>
      <x:c r="H21" s="12" t="str">
        <x:v>Piezoelectric stage</x:v>
      </x:c>
      <x:c r="I21" s="12" t="str">
        <x:v>Six configuration-specific sensors</x:v>
      </x:c>
      <x:c r="J21" s="12" t="str">
        <x:v>PDF pp. 4–6; Fig. 4; Table 1</x:v>
      </x:c>
      <x:c r="K21" s="12" t="str">
        <x:v>Batch 01</x:v>
      </x:c>
    </x:row>
    <x:row r="22" ht="15" hidden="0" customHeight="1">
      <x:c r="A22" s="12" t="str">
        <x:v>S005-E02</x:v>
      </x:c>
      <x:c r="B22" s="12" t="str">
        <x:v>S005</x:v>
      </x:c>
      <x:c r="C22" s="12"/>
      <x:c r="D22" s="12" t="str">
        <x:v>On-body validation</x:v>
      </x:c>
      <x:c r="E22" s="12" t="str">
        <x:v>Apnea and normal breathing compared with BioHarness</x:v>
      </x:c>
      <x:c r="F22" s="12" t="str">
        <x:v>Three tests/user: 30 s apnea + 90 s normal breathing</x:v>
      </x:c>
      <x:c r="G22" s="12" t="str">
        <x:v>Three tests for each of three users</x:v>
      </x:c>
      <x:c r="H22" s="12" t="str">
        <x:v>BioHarness RR and ECG HR</x:v>
      </x:c>
      <x:c r="I22" s="12" t="str">
        <x:v>One selected sensor; three users</x:v>
      </x:c>
      <x:c r="J22" s="12" t="str">
        <x:v>PDF pp. 7–10; Figs. 5–9</x:v>
      </x:c>
      <x:c r="K22" s="12" t="str">
        <x:v>Batch 01</x:v>
      </x:c>
    </x:row>
    <x:row r="23" ht="24" hidden="0" customHeight="1">
      <x:c r="A23" s="12" t="str">
        <x:v>S008-E01</x:v>
      </x:c>
      <x:c r="B23" s="12" t="str">
        <x:v>S008</x:v>
      </x:c>
      <x:c r="C23" s="12"/>
      <x:c r="D23" s="12" t="str">
        <x:v>Pressure calibration</x:v>
      </x:c>
      <x:c r="E23" s="12" t="str">
        <x:v>Compression of origami block over LC sensor</x:v>
      </x:c>
      <x:c r="F23" s="12" t="str">
        <x:v>0–40 kPa; 15–30 lb insole weights</x:v>
      </x:c>
      <x:c r="G23" s="12" t="str">
        <x:v>Replicate count not reported; SD reported for weight tests</x:v>
      </x:c>
      <x:c r="H23" s="12" t="str">
        <x:v>Compression tester and VNA S21</x:v>
      </x:c>
      <x:c r="I23" s="12" t="str">
        <x:v>One insole/system; unit count unclear</x:v>
      </x:c>
      <x:c r="J23" s="12" t="str">
        <x:v>PDF pp. 7–9; Figs. 4–5</x:v>
      </x:c>
      <x:c r="K23" s="12" t="str">
        <x:v>Batch 01</x:v>
      </x:c>
    </x:row>
    <x:row r="24" ht="15" hidden="0" customHeight="1">
      <x:c r="A24" s="12" t="str">
        <x:v>S008-E02</x:v>
      </x:c>
      <x:c r="B24" s="12" t="str">
        <x:v>S008</x:v>
      </x:c>
      <x:c r="C24" s="12"/>
      <x:c r="D24" s="12" t="str">
        <x:v>Wearable posture demonstration</x:v>
      </x:c>
      <x:c r="E24" s="12" t="str">
        <x:v>Forefoot/hindfoot pressure with complete insole</x:v>
      </x:c>
      <x:c r="F24" s="12" t="str">
        <x:v>Low/high pressure postures; readout at 6 cm</x:v>
      </x:c>
      <x:c r="G24" s="12" t="str">
        <x:v>NR</x:v>
      </x:c>
      <x:c r="H24" s="12" t="str">
        <x:v>VNA and UWB antennas</x:v>
      </x:c>
      <x:c r="I24" s="12" t="str">
        <x:v>One male volunteer; one insole</x:v>
      </x:c>
      <x:c r="J24" s="12" t="str">
        <x:v>PDF pp. 8–10; Fig. 5</x:v>
      </x:c>
      <x:c r="K24" s="12" t="str">
        <x:v>Batch 01</x:v>
      </x:c>
    </x:row>
    <x:row r="25" ht="15" hidden="0" customHeight="1">
      <x:c r="A25" s="12" t="str">
        <x:v>S010-E01</x:v>
      </x:c>
      <x:c r="B25" s="12" t="str">
        <x:v>S010</x:v>
      </x:c>
      <x:c r="C25" s="12"/>
      <x:c r="D25" s="12" t="str">
        <x:v>Static and dynamic characterization</x:v>
      </x:c>
      <x:c r="E25" s="12" t="str">
        <x:v>Pneumatic pressure, force-reference and resistance response</x:v>
      </x:c>
      <x:c r="F25" s="12" t="str">
        <x:v>0–250 kPa in 50 kPa steps; sinusoidal amplitudes/frequencies</x:v>
      </x:c>
      <x:c r="G25" s="12" t="str">
        <x:v>Cyclic traces at multiple conditions; count NR</x:v>
      </x:c>
      <x:c r="H25" s="12" t="str">
        <x:v>Festo regulator and K6D27 six-axis force sensor</x:v>
      </x:c>
      <x:c r="I25" s="12" t="str">
        <x:v>One device reported</x:v>
      </x:c>
      <x:c r="J25" s="12" t="str">
        <x:v>PDF pp. 6–11; Figs. 3–10</x:v>
      </x:c>
      <x:c r="K25" s="12" t="str">
        <x:v>Batch 01</x:v>
      </x:c>
    </x:row>
    <x:row r="26" ht="24" hidden="0" customHeight="1">
      <x:c r="A26" s="12" t="str">
        <x:v>S010-E02</x:v>
      </x:c>
      <x:c r="B26" s="12" t="str">
        <x:v>S010</x:v>
      </x:c>
      <x:c r="C26" s="12"/>
      <x:c r="D26" s="12" t="str">
        <x:v>Worn biofeedback tasks</x:v>
      </x:c>
      <x:c r="E26" s="12" t="str">
        <x:v>Gripping-state and finger-angle communication between two people</x:v>
      </x:c>
      <x:c r="F26" s="12" t="str">
        <x:v>Three grip states and mapped finger angles</x:v>
      </x:c>
      <x:c r="G26" s="12" t="str">
        <x:v>Multiple randomized test points; exact total only figure-based</x:v>
      </x:c>
      <x:c r="H26" s="12" t="str">
        <x:v>Video/task outcomes</x:v>
      </x:c>
      <x:c r="I26" s="12" t="str">
        <x:v>Two subjects; one SoHapS</x:v>
      </x:c>
      <x:c r="J26" s="12" t="str">
        <x:v>PDF pp. 12–15; Figs. 12–13</x:v>
      </x:c>
      <x:c r="K26" s="12" t="str">
        <x:v>Batch 01</x:v>
      </x:c>
    </x:row>
    <x:row r="27" ht="24" hidden="0" customHeight="1">
      <x:c r="A27" s="12" t="str">
        <x:v>S012-E01</x:v>
      </x:c>
      <x:c r="B27" s="12" t="str">
        <x:v>S012</x:v>
      </x:c>
      <x:c r="C27" s="12"/>
      <x:c r="D27" s="12" t="str">
        <x:v>sEMG comparison</x:v>
      </x:c>
      <x:c r="E27" s="12" t="str">
        <x:v>Printed electrodes versus Ag/AgCl during contractions and 0–5 kg load</x:v>
      </x:c>
      <x:c r="F27" s="12" t="str">
        <x:v>Three 1 s isometric and three concentric contractions; load increased 1 kg each 10 s</x:v>
      </x:c>
      <x:c r="G27" s="12" t="str">
        <x:v>Three contractions; mean/SD and inferential tests</x:v>
      </x:c>
      <x:c r="H27" s="12" t="str">
        <x:v>Ag/AgCl electrodes; TMSi Refa</x:v>
      </x:c>
      <x:c r="I27" s="12" t="str">
        <x:v>Six volunteers; device replication NR</x:v>
      </x:c>
      <x:c r="J27" s="12" t="str">
        <x:v>PDF pp. 5–7, 9–12; Figs. 5, 10–16</x:v>
      </x:c>
      <x:c r="K27" s="12" t="str">
        <x:v>Batch 01</x:v>
      </x:c>
    </x:row>
    <x:row r="28" ht="15" hidden="0" customHeight="1">
      <x:c r="A28" s="12" t="str">
        <x:v>S012-E02</x:v>
      </x:c>
      <x:c r="B28" s="12" t="str">
        <x:v>S012</x:v>
      </x:c>
      <x:c r="C28" s="12"/>
      <x:c r="D28" s="12" t="str">
        <x:v>Moisture/geometry conditions</x:v>
      </x:c>
      <x:c r="E28" s="12" t="str">
        <x:v>Dry versus tap-water-moistened printed electrodes and different geometries</x:v>
      </x:c>
      <x:c r="F28" s="12" t="str">
        <x:v>Dry/wet; diameters 5–16 mm and IED 10–30 mm</x:v>
      </x:c>
      <x:c r="G28" s="12" t="str">
        <x:v>NR</x:v>
      </x:c>
      <x:c r="H28" s="12" t="str">
        <x:v>Ag/AgCl comparator</x:v>
      </x:c>
      <x:c r="I28" s="12" t="str">
        <x:v>Geometry variants; six volunteers</x:v>
      </x:c>
      <x:c r="J28" s="12" t="str">
        <x:v>PDF pp. 6–7, 11–12; Figs. 14–16</x:v>
      </x:c>
      <x:c r="K28" s="12" t="str">
        <x:v>Batch 01</x:v>
      </x:c>
    </x:row>
    <x:row r="29" ht="15" hidden="0" customHeight="1">
      <x:c r="A29" s="12" t="str">
        <x:v>S012-E03</x:v>
      </x:c>
      <x:c r="B29" s="12" t="str">
        <x:v>S012</x:v>
      </x:c>
      <x:c r="C29" s="12"/>
      <x:c r="D29" s="12" t="str">
        <x:v>Gesture classification</x:v>
      </x:c>
      <x:c r="E29" s="12" t="str">
        <x:v>Printed eight-electrode band versus eight Ag/AgCl electrodes</x:v>
      </x:c>
      <x:c r="F29" s="12" t="str">
        <x:v>Six classes; 30%, 50%, 70% MVC; 10-fold cross-validation</x:v>
      </x:c>
      <x:c r="G29" s="12" t="str">
        <x:v>Protocol repeated once per electrode type</x:v>
      </x:c>
      <x:c r="H29" s="12" t="str">
        <x:v>LDA and SVM</x:v>
      </x:c>
      <x:c r="I29" s="12" t="str">
        <x:v>Three volunteers</x:v>
      </x:c>
      <x:c r="J29" s="12" t="str">
        <x:v>PDF pp. 7–9, 12–13; Table 3</x:v>
      </x:c>
      <x:c r="K29" s="12" t="str">
        <x:v>Batch 01</x:v>
      </x:c>
    </x:row>
    <x:row r="30" ht="24" hidden="0" customHeight="1">
      <x:c r="A30" s="12" t="str">
        <x:v>S013-E01</x:v>
      </x:c>
      <x:c r="B30" s="12" t="str">
        <x:v>S013</x:v>
      </x:c>
      <x:c r="C30" s="12"/>
      <x:c r="D30" s="12" t="str">
        <x:v>Analytical calibration</x:v>
      </x:c>
      <x:c r="E30" s="12" t="str">
        <x:v>DPV in whiskey, vodka, gin and beer</x:v>
      </x:c>
      <x:c r="F30" s="12" t="str">
        <x:v>FLU 2–16 mg/L; SCO 2–26 mg/L; KET 0.5–4 mmol/L; PAR 2–16 mg/L</x:v>
      </x:c>
      <x:c r="G30" s="12" t="str">
        <x:v>Eight within-finger and five between-finger measurements</x:v>
      </x:c>
      <x:c r="H30" s="12" t="str">
        <x:v>Prepared spikes and DPV</x:v>
      </x:c>
      <x:c r="I30" s="12" t="str">
        <x:v>Five separate e-fingers for between-device comparison</x:v>
      </x:c>
      <x:c r="J30" s="12" t="str">
        <x:v>PDF pp. 3, 5–7; Figs. 4–6; Table 1</x:v>
      </x:c>
      <x:c r="K30" s="12" t="str">
        <x:v>Batch 01</x:v>
      </x:c>
    </x:row>
    <x:row r="31" ht="24" hidden="0" customHeight="1">
      <x:c r="A31" s="12" t="str">
        <x:v>S013-E02</x:v>
      </x:c>
      <x:c r="B31" s="12" t="str">
        <x:v>S013</x:v>
      </x:c>
      <x:c r="C31" s="12"/>
      <x:c r="D31" s="12" t="str">
        <x:v>Reference stability/lifetime</x:v>
      </x:c>
      <x:c r="E31" s="12" t="str">
        <x:v>Reference potentials and daily post-wash response</x:v>
      </x:c>
      <x:c r="F31" s="12" t="str">
        <x:v>15 repeated DPVs; four/day over 12 days; distilled-water wash and room storage</x:v>
      </x:c>
      <x:c r="G31" s="12" t="str">
        <x:v>15 repeats; 12-day series</x:v>
      </x:c>
      <x:c r="H31" s="12" t="str">
        <x:v>DPV</x:v>
      </x:c>
      <x:c r="I31" s="12" t="str">
        <x:v>Six reference electrodes; e-finger device count for 12-day series unclear</x:v>
      </x:c>
      <x:c r="J31" s="12" t="str">
        <x:v>PDF p. 4; Supporting Figs. S1–S2 cited</x:v>
      </x:c>
      <x:c r="K31" s="12" t="str">
        <x:v>Batch 01</x:v>
      </x:c>
    </x:row>
    <x:row r="32" ht="15" hidden="0" customHeight="1">
      <x:c r="A32" s="12" t="str">
        <x:v>S014-E01</x:v>
      </x:c>
      <x:c r="B32" s="12" t="str">
        <x:v>S014</x:v>
      </x:c>
      <x:c r="C32" s="12"/>
      <x:c r="D32" s="12" t="str">
        <x:v>Strain/temperature calibration</x:v>
      </x:c>
      <x:c r="E32" s="12" t="str">
        <x:v>Instron strain and climate-chamber response</x:v>
      </x:c>
      <x:c r="F32" s="12" t="str">
        <x:v>0–1% strain; 20–50 °C</x:v>
      </x:c>
      <x:c r="G32" s="12" t="str">
        <x:v>Ten strain tests per sensor</x:v>
      </x:c>
      <x:c r="H32" s="12" t="str">
        <x:v>Instron 500 N; bare FBG temperature reference</x:v>
      </x:c>
      <x:c r="I32" s="12" t="str">
        <x:v>One functional sensor per material</x:v>
      </x:c>
      <x:c r="J32" s="12" t="str">
        <x:v>PDF pp. 6–7; Figs. 3–4</x:v>
      </x:c>
      <x:c r="K32" s="12" t="str">
        <x:v>Batch 01</x:v>
      </x:c>
    </x:row>
    <x:row r="33" ht="15" hidden="0" customHeight="1">
      <x:c r="A33" s="12" t="str">
        <x:v>S014-E02</x:v>
      </x:c>
      <x:c r="B33" s="12" t="str">
        <x:v>S014</x:v>
      </x:c>
      <x:c r="C33" s="12"/>
      <x:c r="D33" s="12" t="str">
        <x:v>Hysteresis and pull-out</x:v>
      </x:c>
      <x:c r="E33" s="12" t="str">
        <x:v>Ten load/unload cycles and fiber-interface pull-out</x:v>
      </x:c>
      <x:c r="F33" s="12" t="str">
        <x:v>0–1% at 5.4 and 10.8 mm/min; pull-out 5 mm/min to 10 mm</x:v>
      </x:c>
      <x:c r="G33" s="12" t="str">
        <x:v>10 cycles; three pull-out specimens/material</x:v>
      </x:c>
      <x:c r="H33" s="12" t="str">
        <x:v>Instron 500 N</x:v>
      </x:c>
      <x:c r="I33" s="12" t="str">
        <x:v>Two functional material variants; six interface specimens</x:v>
      </x:c>
      <x:c r="J33" s="12" t="str">
        <x:v>PDF pp. 7–9; Figs. 5–6</x:v>
      </x:c>
      <x:c r="K33" s="12" t="str">
        <x:v>Batch 01</x:v>
      </x:c>
    </x:row>
    <x:row r="34" ht="15" hidden="0" customHeight="1">
      <x:c r="A34" s="12" t="str">
        <x:v>S014-E03</x:v>
      </x:c>
      <x:c r="B34" s="12" t="str">
        <x:v>S014</x:v>
      </x:c>
      <x:c r="C34" s="12"/>
      <x:c r="D34" s="12" t="str">
        <x:v>On-body shoulder evaluation</x:v>
      </x:c>
      <x:c r="E34" s="12" t="str">
        <x:v>Three flexion/extension planes with removal and reapplication</x:v>
      </x:c>
      <x:c r="F34" s="12" t="str">
        <x:v>0–90° free-speed motion; three acquisitions/sensor/person</x:v>
      </x:c>
      <x:c r="G34" s="12" t="str">
        <x:v>Three acquisitions separated by reapplication</x:v>
      </x:c>
      <x:c r="H34" s="12" t="str">
        <x:v>FBG output; no motion-capture reference</x:v>
      </x:c>
      <x:c r="I34" s="12" t="str">
        <x:v>Eight volunteers; two sensors</x:v>
      </x:c>
      <x:c r="J34" s="12" t="str">
        <x:v>PDF pp. 9–14; Figs. 7–10</x:v>
      </x:c>
      <x:c r="K34" s="12" t="str">
        <x:v>Batch 01</x:v>
      </x:c>
    </x:row>
    <x:row r="35" ht="15" hidden="0" customHeight="1">
      <x:c r="A35" s="12" t="str">
        <x:v>S015-E01</x:v>
      </x:c>
      <x:c r="B35" s="12" t="str">
        <x:v>S015</x:v>
      </x:c>
      <x:c r="C35" s="12"/>
      <x:c r="D35" s="12" t="str">
        <x:v>Tabletop calibration</x:v>
      </x:c>
      <x:c r="E35" s="12" t="str">
        <x:v>Eight jaw-opening positions compared with electronic calipers</x:v>
      </x:c>
      <x:c r="F35" s="12" t="str">
        <x:v>Partial to maximum opening</x:v>
      </x:c>
      <x:c r="G35" s="12" t="str">
        <x:v>Eight positions; repeat structure NR</x:v>
      </x:c>
      <x:c r="H35" s="12" t="str">
        <x:v>Electronic calipers</x:v>
      </x:c>
      <x:c r="I35" s="12" t="str">
        <x:v>One prototype</x:v>
      </x:c>
      <x:c r="J35" s="12" t="str">
        <x:v>PDF p. 3; Fig. 3</x:v>
      </x:c>
      <x:c r="K35" s="12" t="str">
        <x:v>Batch 01</x:v>
      </x:c>
    </x:row>
    <x:row r="36" ht="24" hidden="0" customHeight="1">
      <x:c r="A36" s="12" t="str">
        <x:v>S015-E02</x:v>
      </x:c>
      <x:c r="B36" s="12" t="str">
        <x:v>S015</x:v>
      </x:c>
      <x:c r="C36" s="12"/>
      <x:c r="D36" s="12" t="str">
        <x:v>On-body feasibility</x:v>
      </x:c>
      <x:c r="E36" s="12" t="str">
        <x:v>Jaw-opening, protrusion, excursion and fricative tasks</x:v>
      </x:c>
      <x:c r="F36" s="12" t="str">
        <x:v>Each action 5 s</x:v>
      </x:c>
      <x:c r="G36" s="12" t="str">
        <x:v>Five practice repetitions unrecorded; data from sixth set onward</x:v>
      </x:c>
      <x:c r="H36" s="12" t="str">
        <x:v>Flex sensors and ADXL345 outputs</x:v>
      </x:c>
      <x:c r="I36" s="12" t="str">
        <x:v>Two participants; one prototype</x:v>
      </x:c>
      <x:c r="J36" s="12" t="str">
        <x:v>PDF pp. 3–8; Figs. 4–6; Table 1</x:v>
      </x:c>
      <x:c r="K36" s="12" t="str">
        <x:v>Batch 01</x:v>
      </x:c>
    </x:row>
    <x:row r="37" ht="24" hidden="0" customHeight="1">
      <x:c r="A37" s="12" t="str">
        <x:v>S018-E01</x:v>
      </x:c>
      <x:c r="B37" s="12" t="str">
        <x:v>S018</x:v>
      </x:c>
      <x:c r="C37" s="12"/>
      <x:c r="D37" s="12" t="str">
        <x:v>Walking validation</x:v>
      </x:c>
      <x:c r="E37" s="12" t="str">
        <x:v>One participant walked at slow, normal and fast self-selected speeds on force plates; model training/validation used insole pressure signals</x:v>
      </x:c>
      <x:c r="F37" s="12" t="str">
        <x:v>258 left steps recorded; 235 retained; three 1-min trials per speed</x:v>
      </x:c>
      <x:c r="G37" s="12" t="str">
        <x:v>Three trials per speed</x:v>
      </x:c>
      <x:c r="H37" s="12" t="str">
        <x:v>Force plates and optical motion capture</x:v>
      </x:c>
      <x:c r="I37" s="12" t="str">
        <x:v>Repeated human observations from one insole</x:v>
      </x:c>
      <x:c r="J37" s="12" t="str">
        <x:v>PDF pp. 5–10; Figs. 3–6</x:v>
      </x:c>
      <x:c r="K37" s="12" t="str">
        <x:v>Batch 02</x:v>
      </x:c>
    </x:row>
    <x:row r="38" ht="15" hidden="0" customHeight="1">
      <x:c r="A38" s="12" t="str">
        <x:v>S019-E01</x:v>
      </x:c>
      <x:c r="B38" s="12" t="str">
        <x:v>S019</x:v>
      </x:c>
      <x:c r="C38" s="12"/>
      <x:c r="D38" s="12" t="str">
        <x:v>Orientation and replication</x:v>
      </x:c>
      <x:c r="E38" s="12" t="str">
        <x:v>Five sensors per print orientation tested in tension</x:v>
      </x:c>
      <x:c r="F38" s="12" t="str">
        <x:v>0–6% strain; 1 mm/s</x:v>
      </x:c>
      <x:c r="G38" s="12" t="str">
        <x:v>n=5 per orientation</x:v>
      </x:c>
      <x:c r="H38" s="12" t="str">
        <x:v>Custom UTM/load cell and source meter</x:v>
      </x:c>
      <x:c r="I38" s="12" t="str">
        <x:v>Separate printed sensors</x:v>
      </x:c>
      <x:c r="J38" s="12" t="str">
        <x:v>PDF pp. 3–4; Fig. 3</x:v>
      </x:c>
      <x:c r="K38" s="12" t="str">
        <x:v>Batch 02</x:v>
      </x:c>
    </x:row>
    <x:row r="39" ht="15" hidden="0" customHeight="1">
      <x:c r="A39" s="12" t="str">
        <x:v>S019-E02</x:v>
      </x:c>
      <x:c r="B39" s="12" t="str">
        <x:v>S019</x:v>
      </x:c>
      <x:c r="C39" s="12"/>
      <x:c r="D39" s="12" t="str">
        <x:v>Durability and environment</x:v>
      </x:c>
      <x:c r="E39" s="12" t="str">
        <x:v>Frequency, temperature and long-cycle response</x:v>
      </x:c>
      <x:c r="F39" s="12" t="str">
        <x:v>0.75–6 Hz; 20–30 °C; 10,000 cycles at 2 Hz</x:v>
      </x:c>
      <x:c r="G39" s="12" t="str">
        <x:v>Cycle count stated</x:v>
      </x:c>
      <x:c r="H39" s="12" t="str">
        <x:v>UTM/source meter</x:v>
      </x:c>
      <x:c r="I39" s="12" t="str">
        <x:v>Selected 45° sensor</x:v>
      </x:c>
      <x:c r="J39" s="12" t="str">
        <x:v>PDF pp. 5–7; Figs. 5–6</x:v>
      </x:c>
      <x:c r="K39" s="12" t="str">
        <x:v>Batch 02</x:v>
      </x:c>
    </x:row>
    <x:row r="40" ht="15" hidden="0" customHeight="1">
      <x:c r="A40" s="12" t="str">
        <x:v>S020-E01</x:v>
      </x:c>
      <x:c r="B40" s="12" t="str">
        <x:v>S020</x:v>
      </x:c>
      <x:c r="C40" s="12"/>
      <x:c r="D40" s="12" t="str">
        <x:v>Bench reliability characterization</x:v>
      </x:c>
      <x:c r="E40" s="12" t="str">
        <x:v>Frequency, high-load cycling, location, repeatability and four-sensor comparison</x:v>
      </x:c>
      <x:c r="F40" s="12" t="str">
        <x:v>0.1–2 Hz; 10–85 N; 10–200 cycles depending test</x:v>
      </x:c>
      <x:c r="G40" s="12" t="str">
        <x:v>Four separate sensors; up to 200 cycles</x:v>
      </x:c>
      <x:c r="H40" s="12" t="str">
        <x:v>Test bench force reference</x:v>
      </x:c>
      <x:c r="I40" s="12" t="str">
        <x:v>Device and repeated-measurement levels separated</x:v>
      </x:c>
      <x:c r="J40" s="12" t="str">
        <x:v>PDF pp. 7–12; Figs. 7–9</x:v>
      </x:c>
      <x:c r="K40" s="12" t="str">
        <x:v>Batch 02</x:v>
      </x:c>
    </x:row>
    <x:row r="41" ht="15" hidden="0" customHeight="1">
      <x:c r="A41" s="12" t="str">
        <x:v>S020-E02</x:v>
      </x:c>
      <x:c r="B41" s="12" t="str">
        <x:v>S020</x:v>
      </x:c>
      <x:c r="C41" s="12"/>
      <x:c r="D41" s="12" t="str">
        <x:v>Human-in-loop calibration</x:v>
      </x:c>
      <x:c r="E41" s="12" t="str">
        <x:v>Seven participants repeatedly lifted a 1.5 kg can while wearing the sensorized cuff</x:v>
      </x:c>
      <x:c r="F41" s="12" t="str">
        <x:v>One minute per participant; forces to ~55 N</x:v>
      </x:c>
      <x:c r="G41" s="12" t="str">
        <x:v>Seven participants</x:v>
      </x:c>
      <x:c r="H41" s="12" t="str">
        <x:v>Robot end-effector force</x:v>
      </x:c>
      <x:c r="I41" s="12" t="str">
        <x:v>Four sensors in one cuff</x:v>
      </x:c>
      <x:c r="J41" s="12" t="str">
        <x:v>PDF pp. 9, 12–13; Figs. 10–12</x:v>
      </x:c>
      <x:c r="K41" s="12" t="str">
        <x:v>Batch 02</x:v>
      </x:c>
    </x:row>
    <x:row r="42" ht="24" hidden="0" customHeight="1">
      <x:c r="A42" s="12" t="str">
        <x:v>S021-E01</x:v>
      </x:c>
      <x:c r="B42" s="12" t="str">
        <x:v>S021</x:v>
      </x:c>
      <x:c r="C42" s="12"/>
      <x:c r="D42" s="12" t="str">
        <x:v>Angle calibration and cross-session validation</x:v>
      </x:c>
      <x:c r="E42" s="12" t="str">
        <x:v>Hybrid glove calibrated against IMUs; validation on a different day after complete removal and re-wearing</x:v>
      </x:c>
      <x:c r="F42" s="12" t="str">
        <x:v>2764 model samples; 3781 independent validation samples</x:v>
      </x:c>
      <x:c r="G42" s="12" t="str">
        <x:v>One volunteer; two sessions</x:v>
      </x:c>
      <x:c r="H42" s="12" t="str">
        <x:v>IMU reference angles</x:v>
      </x:c>
      <x:c r="I42" s="12" t="str">
        <x:v>Repeated wearing, not separate devices</x:v>
      </x:c>
      <x:c r="J42" s="12" t="str">
        <x:v>PDF pp. 5–10; Figs. 3–8</x:v>
      </x:c>
      <x:c r="K42" s="12" t="str">
        <x:v>Batch 02</x:v>
      </x:c>
    </x:row>
    <x:row r="43" ht="24" hidden="0" customHeight="1">
      <x:c r="A43" s="12" t="str">
        <x:v>S022-E01</x:v>
      </x:c>
      <x:c r="B43" s="12" t="str">
        <x:v>S022</x:v>
      </x:c>
      <x:c r="C43" s="12"/>
      <x:c r="D43" s="12" t="str">
        <x:v>Mechanical/electrical characterization</x:v>
      </x:c>
      <x:c r="E43" s="12" t="str">
        <x:v>Compression and piezoresistive response of scaffold architectures</x:v>
      </x:c>
      <x:c r="F43" s="12" t="str">
        <x:v>0–70% strain; 0.1–2.2 MPa; 5 mm/min</x:v>
      </x:c>
      <x:c r="G43" s="12" t="str">
        <x:v>n=5 per architecture for mechanical tests; functional n unclear</x:v>
      </x:c>
      <x:c r="H43" s="12" t="str">
        <x:v>Universal tester and digital multimeter</x:v>
      </x:c>
      <x:c r="I43" s="12" t="str">
        <x:v>Architecture comparison</x:v>
      </x:c>
      <x:c r="J43" s="12" t="str">
        <x:v>PDF pp. 2–7; Figs. 1–4</x:v>
      </x:c>
      <x:c r="K43" s="12" t="str">
        <x:v>Batch 02</x:v>
      </x:c>
    </x:row>
    <x:row r="44" ht="15" hidden="0" customHeight="1">
      <x:c r="A44" s="12" t="str">
        <x:v>S022-E02</x:v>
      </x:c>
      <x:c r="B44" s="12" t="str">
        <x:v>S022</x:v>
      </x:c>
      <x:c r="C44" s="12"/>
      <x:c r="D44" s="12" t="str">
        <x:v>Durability and humidity</x:v>
      </x:c>
      <x:c r="E44" s="12" t="str">
        <x:v>1000 compression-release cycles and humidity-resistance test</x:v>
      </x:c>
      <x:c r="F44" s="12" t="str">
        <x:v>40–60% strain; 23–85% RH</x:v>
      </x:c>
      <x:c r="G44" s="12" t="str">
        <x:v>1000 cycles</x:v>
      </x:c>
      <x:c r="H44" s="12" t="str">
        <x:v>Mechanical/electrical setup</x:v>
      </x:c>
      <x:c r="I44" s="12" t="str">
        <x:v>Humidity result located only in SI</x:v>
      </x:c>
      <x:c r="J44" s="12" t="str">
        <x:v>PDF pp. 5, 8; Fig. 4h; cited Fig. S9</x:v>
      </x:c>
      <x:c r="K44" s="12" t="str">
        <x:v>Batch 02</x:v>
      </x:c>
    </x:row>
    <x:row r="45" ht="24" hidden="0" customHeight="1">
      <x:c r="A45" s="12" t="str">
        <x:v>S023-E01</x:v>
      </x:c>
      <x:c r="B45" s="12" t="str">
        <x:v>S023</x:v>
      </x:c>
      <x:c r="C45" s="12"/>
      <x:c r="D45" s="12" t="str">
        <x:v>Cyclic electromechanical testing</x:v>
      </x:c>
      <x:c r="E45" s="12" t="str">
        <x:v>Three samples per construction/deformation condition stretched together while resistance of each was recorded</x:v>
      </x:c>
      <x:c r="F45" s="12" t="str">
        <x:v>10–50% deformation; 10,000 cycles</x:v>
      </x:c>
      <x:c r="G45" s="12" t="str">
        <x:v>n=3 per condition</x:v>
      </x:c>
      <x:c r="H45" s="12" t="str">
        <x:v>Mark-10 tester and individual resistance channels</x:v>
      </x:c>
      <x:c r="I45" s="12" t="str">
        <x:v>Separate samples</x:v>
      </x:c>
      <x:c r="J45" s="12" t="str">
        <x:v>PDF pp. 5–10; Figs. 2, 5–8</x:v>
      </x:c>
      <x:c r="K45" s="12" t="str">
        <x:v>Batch 02</x:v>
      </x:c>
    </x:row>
    <x:row r="46" ht="15" hidden="0" customHeight="1">
      <x:c r="A46" s="12" t="str">
        <x:v>S023-E02</x:v>
      </x:c>
      <x:c r="B46" s="12" t="str">
        <x:v>S023</x:v>
      </x:c>
      <x:c r="C46" s="12"/>
      <x:c r="D46" s="12" t="str">
        <x:v>Sensor demonstration</x:v>
      </x:c>
      <x:c r="E46" s="12" t="str">
        <x:v>Previously cycled 106 µm CFC structure retested as a strain sensor</x:v>
      </x:c>
      <x:c r="F46" s="12" t="str">
        <x:v>0–10% at 0.5 mm/min after 10,000 cycles at 50%</x:v>
      </x:c>
      <x:c r="G46" s="12" t="str">
        <x:v>Four displayed cycles</x:v>
      </x:c>
      <x:c r="H46" s="12" t="str">
        <x:v>Tensile tester/resistance measurement</x:v>
      </x:c>
      <x:c r="I46" s="12" t="str">
        <x:v>One selected sample</x:v>
      </x:c>
      <x:c r="J46" s="12" t="str">
        <x:v>PDF p. 11; Fig. 9</x:v>
      </x:c>
      <x:c r="K46" s="12" t="str">
        <x:v>Batch 02</x:v>
      </x:c>
    </x:row>
    <x:row r="47" ht="15" hidden="0" customHeight="1">
      <x:c r="A47" s="12" t="str">
        <x:v>S024-E01</x:v>
      </x:c>
      <x:c r="B47" s="12" t="str">
        <x:v>S024</x:v>
      </x:c>
      <x:c r="C47" s="12"/>
      <x:c r="D47" s="12" t="str">
        <x:v>Strain characterization and durability</x:v>
      </x:c>
      <x:c r="E47" s="12" t="str">
        <x:v>Geometry, speed, response/recovery, 8000-cycle and overstretch tests</x:v>
      </x:c>
      <x:c r="F47" s="12" t="str">
        <x:v>Linear range ~15.5%; 8000 cycles at 6%; overstretch to 50%</x:v>
      </x:c>
      <x:c r="G47" s="12" t="str">
        <x:v>Cycle counts stated</x:v>
      </x:c>
      <x:c r="H47" s="12" t="str">
        <x:v>Universal tester and LCR bridge</x:v>
      </x:c>
      <x:c r="I47" s="12" t="str">
        <x:v>Device count not stated</x:v>
      </x:c>
      <x:c r="J47" s="12" t="str">
        <x:v>PDF pp. 4–8; Figs. 2–5</x:v>
      </x:c>
      <x:c r="K47" s="12" t="str">
        <x:v>Batch 02</x:v>
      </x:c>
    </x:row>
    <x:row r="48" ht="24" hidden="0" customHeight="1">
      <x:c r="A48" s="12" t="str">
        <x:v>S024-E02</x:v>
      </x:c>
      <x:c r="B48" s="12" t="str">
        <x:v>S024</x:v>
      </x:c>
      <x:c r="C48" s="12"/>
      <x:c r="D48" s="12" t="str">
        <x:v>Environmental/interface tests</x:v>
      </x:c>
      <x:c r="E48" s="12" t="str">
        <x:v>Humidity/temperature response in SI and lap-shear adhesion of encapsulation</x:v>
      </x:c>
      <x:c r="F48" s="12" t="str">
        <x:v>60 °C and 80% RH for 3 and 7 days; abrasive-paper polishing</x:v>
      </x:c>
      <x:c r="G48" s="12" t="str">
        <x:v>NR</x:v>
      </x:c>
      <x:c r="H48" s="12" t="str">
        <x:v>Humidity chamber and lap-shear setup</x:v>
      </x:c>
      <x:c r="I48" s="12" t="str">
        <x:v>Interface coupon/device basis unclear</x:v>
      </x:c>
      <x:c r="J48" s="12" t="str">
        <x:v>Main article p. 7; Supplementary Figs. S4-S5</x:v>
      </x:c>
      <x:c r="K48" s="12" t="str">
        <x:v>Supplement verified 2026-09-03</x:v>
      </x:c>
    </x:row>
    <x:row r="49" ht="15" hidden="0" customHeight="1">
      <x:c r="A49" s="12" t="str">
        <x:v>S025-E01</x:v>
      </x:c>
      <x:c r="B49" s="12" t="str">
        <x:v>S025</x:v>
      </x:c>
      <x:c r="C49" s="12"/>
      <x:c r="D49" s="12" t="str">
        <x:v>Analytical performance</x:v>
      </x:c>
      <x:c r="E49" s="12" t="str">
        <x:v>Dynamic pH calibration, repeatability, reversibility, stability and lifetime</x:v>
      </x:c>
      <x:c r="F49" s="12" t="str">
        <x:v>pH 6–8 primary; broader pH 2–12 pillar test</x:v>
      </x:c>
      <x:c r="G49" s="12" t="str">
        <x:v>3 cycles; six HMNs; n=3 lifetime</x:v>
      </x:c>
      <x:c r="H49" s="12" t="str">
        <x:v>Commercial buffers/electrode</x:v>
      </x:c>
      <x:c r="I49" s="12" t="str">
        <x:v>Single HMNs and complete patches distinguished</x:v>
      </x:c>
      <x:c r="J49" s="12" t="str">
        <x:v>PDF pp. 4–9; Figs. 2–5</x:v>
      </x:c>
      <x:c r="K49" s="12" t="str">
        <x:v>Batch 02</x:v>
      </x:c>
    </x:row>
    <x:row r="50" ht="24" hidden="0" customHeight="1">
      <x:c r="A50" s="12" t="str">
        <x:v>S025-E02</x:v>
      </x:c>
      <x:c r="B50" s="12" t="str">
        <x:v>S025</x:v>
      </x:c>
      <x:c r="C50" s="12"/>
      <x:c r="D50" s="12" t="str">
        <x:v>Use-related and ex-vivo validation</x:v>
      </x:c>
      <x:c r="E50" s="12" t="str">
        <x:v>Repeated rat-skin insertion, 22 versus 34 °C calibration and conditioned-skin pH measurement</x:v>
      </x:c>
      <x:c r="F50" s="12" t="str">
        <x:v>1, 3, 5 and 10 insertions; triplicate insertions; four skin samples</x:v>
      </x:c>
      <x:c r="G50" s="12" t="str">
        <x:v>Three patches per skin sample; four complete patches for reproducibility</x:v>
      </x:c>
      <x:c r="H50" s="12" t="str">
        <x:v>Commercial pH electrode</x:v>
      </x:c>
      <x:c r="I50" s="12" t="str">
        <x:v>Complete HMN patches</x:v>
      </x:c>
      <x:c r="J50" s="12" t="str">
        <x:v>PDF pp. 6–10; Figs. 3, 5–6; Table 1</x:v>
      </x:c>
      <x:c r="K50" s="12" t="str">
        <x:v>Batch 02</x:v>
      </x:c>
    </x:row>
    <x:row r="51" ht="24" hidden="0" customHeight="1">
      <x:c r="A51" s="12" t="str">
        <x:v>S028-E01</x:v>
      </x:c>
      <x:c r="B51" s="12" t="str">
        <x:v>S028</x:v>
      </x:c>
      <x:c r="C51" s="12"/>
      <x:c r="D51" s="12" t="str">
        <x:v>Dynamic calibration</x:v>
      </x:c>
      <x:c r="E51" s="12" t="str">
        <x:v>Five sensors per design underwent sinusoidal compression; first 20 complete cycles were used for per-cycle calibration metrics</x:v>
      </x:c>
      <x:c r="F51" s="12" t="str">
        <x:v>14.33 N/cm² preload to 23.88–71.65 N/cm²; 1, 3, 5, 7 Hz</x:v>
      </x:c>
      <x:c r="G51" s="12" t="str">
        <x:v>Five units/design; 16 conditions/unit; 20 cycles/condition</x:v>
      </x:c>
      <x:c r="H51" s="12" t="str">
        <x:v>Electrodynamic load frame, synchronized load cell and capacitance converter</x:v>
      </x:c>
      <x:c r="I51" s="12" t="str">
        <x:v>Separate devices and within-test cycles distinguished</x:v>
      </x:c>
      <x:c r="J51" s="12" t="str">
        <x:v>PDF pp. 7–17; Figs. 3–10; Tables 2–4</x:v>
      </x:c>
      <x:c r="K51" s="12" t="str">
        <x:v>Batch 03</x:v>
      </x:c>
    </x:row>
    <x:row r="52" ht="24" hidden="0" customHeight="1">
      <x:c r="A52" s="12" t="str">
        <x:v>S029-E01</x:v>
      </x:c>
      <x:c r="B52" s="12" t="str">
        <x:v>S029</x:v>
      </x:c>
      <x:c r="C52" s="12"/>
      <x:c r="D52" s="12" t="str">
        <x:v>Geometry/process optimization</x:v>
      </x:c>
      <x:c r="E52" s="12" t="str">
        <x:v>Thickness and print-speed variants were bent through 0–90° on a servo-controlled fixture</x:v>
      </x:c>
      <x:c r="F52" s="12" t="str">
        <x:v>0.2–1.0 mm thickness; 30–50 mm/s printing; 20 bending cycles in speed/aging comparisons</x:v>
      </x:c>
      <x:c r="G52" s="12" t="str">
        <x:v>Variant-level tests; unit counts not consistently stated</x:v>
      </x:c>
      <x:c r="H52" s="12" t="str">
        <x:v>Servo motor, Arduino readout and commercial bend sensor</x:v>
      </x:c>
      <x:c r="I52" s="12" t="str">
        <x:v>Variants not assumed to be replicates</x:v>
      </x:c>
      <x:c r="J52" s="12" t="str">
        <x:v>PDF pp. 11–15; Figs. 5–10; Tables 2–4</x:v>
      </x:c>
      <x:c r="K52" s="12" t="str">
        <x:v>Batch 03</x:v>
      </x:c>
    </x:row>
    <x:row r="53" ht="24" hidden="0" customHeight="1">
      <x:c r="A53" s="12" t="str">
        <x:v>S029-E02</x:v>
      </x:c>
      <x:c r="B53" s="12" t="str">
        <x:v>S029</x:v>
      </x:c>
      <x:c r="C53" s="12"/>
      <x:c r="D53" s="12" t="str">
        <x:v>Manufacturing consistency and endurance</x:v>
      </x:c>
      <x:c r="E53" s="12" t="str">
        <x:v>Two independently fabricated sets were compared; selected sensor underwent cyclic bending</x:v>
      </x:c>
      <x:c r="F53" s="12" t="str">
        <x:v>15 raw + 15 glove-mounted sensors; 700 cycles 0–90°</x:v>
      </x:c>
      <x:c r="G53" s="12" t="str">
        <x:v>n=15 per set; 700 cycles</x:v>
      </x:c>
      <x:c r="H53" s="12" t="str">
        <x:v>Controlled bending platform</x:v>
      </x:c>
      <x:c r="I53" s="12" t="str">
        <x:v>Separate units for batch comparison; same-device endurance</x:v>
      </x:c>
      <x:c r="J53" s="12" t="str">
        <x:v>PDF pp. 12–18; Figs. 8–11; Tables 3–5</x:v>
      </x:c>
      <x:c r="K53" s="12" t="str">
        <x:v>Batch 03</x:v>
      </x:c>
    </x:row>
    <x:row r="54" ht="15" hidden="0" customHeight="1">
      <x:c r="A54" s="12" t="str">
        <x:v>S029-E03</x:v>
      </x:c>
      <x:c r="B54" s="12" t="str">
        <x:v>S029</x:v>
      </x:c>
      <x:c r="C54" s="12"/>
      <x:c r="D54" s="12" t="str">
        <x:v>Prototype glove</x:v>
      </x:c>
      <x:c r="E54" s="12" t="str">
        <x:v>Sensor integrated on a glove and signals acquired during relax/fist motion</x:v>
      </x:c>
      <x:c r="F54" s="12" t="str">
        <x:v>Finger-joint movement</x:v>
      </x:c>
      <x:c r="G54" s="12" t="str">
        <x:v>NR</x:v>
      </x:c>
      <x:c r="H54" s="12" t="str">
        <x:v>Inverse polynomial/Arduino</x:v>
      </x:c>
      <x:c r="I54" s="12" t="str">
        <x:v>Prototype demonstration</x:v>
      </x:c>
      <x:c r="J54" s="12" t="str">
        <x:v>PDF pp. 22–23; Fig. 15</x:v>
      </x:c>
      <x:c r="K54" s="12" t="str">
        <x:v>Batch 03</x:v>
      </x:c>
    </x:row>
    <x:row r="55" ht="15" hidden="0" customHeight="1">
      <x:c r="A55" s="12" t="str">
        <x:v>S031-E01</x:v>
      </x:c>
      <x:c r="B55" s="12" t="str">
        <x:v>S031</x:v>
      </x:c>
      <x:c r="C55" s="12"/>
      <x:c r="D55" s="12" t="str">
        <x:v>Reference comparison</x:v>
      </x:c>
      <x:c r="E55" s="12" t="str">
        <x:v>Wearable and commercial goniometer compared at four static angles</x:v>
      </x:c>
      <x:c r="F55" s="12" t="str">
        <x:v>0°, 30°, 60°, 90°</x:v>
      </x:c>
      <x:c r="G55" s="12" t="str">
        <x:v>Four angle points</x:v>
      </x:c>
      <x:c r="H55" s="12" t="str">
        <x:v>Commercial goniometer</x:v>
      </x:c>
      <x:c r="I55" s="12" t="str">
        <x:v>One wearable</x:v>
      </x:c>
      <x:c r="J55" s="12" t="str">
        <x:v>PDF pp. 6, 8; Figs. 6, 8</x:v>
      </x:c>
      <x:c r="K55" s="12" t="str">
        <x:v>Batch 03</x:v>
      </x:c>
    </x:row>
    <x:row r="56" ht="24" hidden="0" customHeight="1">
      <x:c r="A56" s="12" t="str">
        <x:v>S031-E02</x:v>
      </x:c>
      <x:c r="B56" s="12" t="str">
        <x:v>S031</x:v>
      </x:c>
      <x:c r="C56" s="12"/>
      <x:c r="D56" s="12" t="str">
        <x:v>Walking validation</x:v>
      </x:c>
      <x:c r="E56" s="12" t="str">
        <x:v>Nine participants wore the goniometer and Aktos-t system while walking 20 s at three speeds; first six gait cycles analyzed</x:v>
      </x:c>
      <x:c r="F56" s="12" t="str">
        <x:v>4.0, 4.5, 5.0 km/h</x:v>
      </x:c>
      <x:c r="G56" s="12" t="str">
        <x:v>9 participants; 6 cycles/speed</x:v>
      </x:c>
      <x:c r="H56" s="12" t="str">
        <x:v>Aktos-t IMUs</x:v>
      </x:c>
      <x:c r="I56" s="12" t="str">
        <x:v>Repeated observations from one wearable</x:v>
      </x:c>
      <x:c r="J56" s="12" t="str">
        <x:v>PDF pp. 6–11; Figs. 6–9; Tables 1–3</x:v>
      </x:c>
      <x:c r="K56" s="12" t="str">
        <x:v>Batch 03</x:v>
      </x:c>
    </x:row>
    <x:row r="57" ht="24" hidden="0" customHeight="1">
      <x:c r="A57" s="12" t="str">
        <x:v>S032-E01</x:v>
      </x:c>
      <x:c r="B57" s="12" t="str">
        <x:v>S032</x:v>
      </x:c>
      <x:c r="C57" s="12"/>
      <x:c r="D57" s="12" t="str">
        <x:v>Phantom validation</x:v>
      </x:c>
      <x:c r="E57" s="12" t="str">
        <x:v>DSCFO sensitivity/SNR and absorption changes assessed in tissue phantoms and compared concurrently with Imagent</x:v>
      </x:c>
      <x:c r="F57" s="12" t="str">
        <x:v>Source-detector/exposure variants; ink titration</x:v>
      </x:c>
      <x:c r="G57" s="12" t="str">
        <x:v>20 points per titration step</x:v>
      </x:c>
      <x:c r="H57" s="12" t="str">
        <x:v>Imagent frequency-domain NIRS</x:v>
      </x:c>
      <x:c r="I57" s="12" t="str">
        <x:v>Probe count NR</x:v>
      </x:c>
      <x:c r="J57" s="12" t="str">
        <x:v>PDF pp. 5–8; Figs. 2–6</x:v>
      </x:c>
      <x:c r="K57" s="12" t="str">
        <x:v>Batch 03</x:v>
      </x:c>
    </x:row>
    <x:row r="58" ht="15" hidden="0" customHeight="1">
      <x:c r="A58" s="12" t="str">
        <x:v>S032-E02</x:v>
      </x:c>
      <x:c r="B58" s="12" t="str">
        <x:v>S032</x:v>
      </x:c>
      <x:c r="C58" s="12"/>
      <x:c r="D58" s="12" t="str">
        <x:v>Forearm occlusion</x:v>
      </x:c>
      <x:c r="E58" s="12" t="str">
        <x:v>Probe taped to forearm during baseline, cuff occlusion and recovery</x:v>
      </x:c>
      <x:c r="F58" s="12" t="str">
        <x:v>2 min baseline; 5 min at 220 mmHg; 5 min recovery</x:v>
      </x:c>
      <x:c r="G58" s="12" t="str">
        <x:v>5 adults; one occlusion sequence each</x:v>
      </x:c>
      <x:c r="H58" s="12" t="str">
        <x:v>Physiological cuff perturbation; skin thermistor</x:v>
      </x:c>
      <x:c r="I58" s="12" t="str">
        <x:v>Participants are not separate devices</x:v>
      </x:c>
      <x:c r="J58" s="12" t="str">
        <x:v>PDF pp. 7–9; Figs. 4, 7–8</x:v>
      </x:c>
      <x:c r="K58" s="12" t="str">
        <x:v>Batch 03</x:v>
      </x:c>
    </x:row>
    <x:row r="59" ht="24" hidden="0" customHeight="1">
      <x:c r="A59" s="12" t="str">
        <x:v>S033-E01</x:v>
      </x:c>
      <x:c r="B59" s="12" t="str">
        <x:v>S033</x:v>
      </x:c>
      <x:c r="C59" s="12"/>
      <x:c r="D59" s="12" t="str">
        <x:v>Strain/pressure characterization</x:v>
      </x:c>
      <x:c r="E59" s="12" t="str">
        <x:v>Architecture, thickness and CNT-concentration variants tested under controlled tension or compression</x:v>
      </x:c>
      <x:c r="F59" s="12" t="str">
        <x:v>Tension to 800%; pressure including &lt;200 Pa; 10 kPa cyclic loading</x:v>
      </x:c>
      <x:c r="G59" s="12" t="str">
        <x:v>1000 pressure cycles; replicate count NR</x:v>
      </x:c>
      <x:c r="H59" s="12" t="str">
        <x:v>Universal tester and LCR meter</x:v>
      </x:c>
      <x:c r="I59" s="12" t="str">
        <x:v>Variants not assumed to be replicates</x:v>
      </x:c>
      <x:c r="J59" s="12" t="str">
        <x:v>PDF pp. 3–7; Figs. 3–4</x:v>
      </x:c>
      <x:c r="K59" s="12" t="str">
        <x:v>Batch 03</x:v>
      </x:c>
    </x:row>
    <x:row r="60" ht="24" hidden="0" customHeight="1">
      <x:c r="A60" s="12" t="str">
        <x:v>S033-E02</x:v>
      </x:c>
      <x:c r="B60" s="12" t="str">
        <x:v>S033</x:v>
      </x:c>
      <x:c r="C60" s="12"/>
      <x:c r="D60" s="12" t="str">
        <x:v>Adhesion and body demonstrations</x:v>
      </x:c>
      <x:c r="E60" s="12" t="str">
        <x:v>CNT/TPE samples peeled from standard tape; sensors attached to elbow, throat and face</x:v>
      </x:c>
      <x:c r="F60" s="12" t="str">
        <x:v>20±2 °C, 65±2% RH for peel; body motions/vocalization</x:v>
      </x:c>
      <x:c r="G60" s="12" t="str">
        <x:v>NR</x:v>
      </x:c>
      <x:c r="H60" s="12" t="str">
        <x:v>Universal tester for peel; qualitative body-motion classes</x:v>
      </x:c>
      <x:c r="I60" s="12" t="str">
        <x:v>Supplement contains peel-force plot</x:v>
      </x:c>
      <x:c r="J60" s="12" t="str">
        <x:v>PDF pp. 3, 6–7; Figs. 1, 5; Fig. S2 cited</x:v>
      </x:c>
      <x:c r="K60" s="12" t="str">
        <x:v>Batch 03</x:v>
      </x:c>
    </x:row>
    <x:row r="61" ht="24" hidden="0" customHeight="1">
      <x:c r="A61" s="12" t="str">
        <x:v>S034-E01</x:v>
      </x:c>
      <x:c r="B61" s="12" t="str">
        <x:v>S034</x:v>
      </x:c>
      <x:c r="C61" s="12"/>
      <x:c r="D61" s="12" t="str">
        <x:v>Structural and reuse tests</x:v>
      </x:c>
      <x:c r="E61" s="12" t="str">
        <x:v>Microfluidic/fabric devices were characterized and repeatedly washed; electrode and full-device reuse assessed</x:v>
      </x:c>
      <x:c r="F61" s="12" t="str">
        <x:v>50/50 water/ethanol wash; 60–70 structural cycles; 30 electrode/device cycles</x:v>
      </x:c>
      <x:c r="G61" s="12" t="str">
        <x:v>N=3 where stated</x:v>
      </x:c>
      <x:c r="H61" s="12" t="str">
        <x:v>Dye leakage and potentiometric response</x:v>
      </x:c>
      <x:c r="I61" s="12" t="str">
        <x:v>Repeated use of devices; exact unit basis varies by experiment</x:v>
      </x:c>
      <x:c r="J61" s="12" t="str">
        <x:v>PDF pp. 3–7; Figs. 1, 3</x:v>
      </x:c>
      <x:c r="K61" s="12" t="str">
        <x:v>Batch 03</x:v>
      </x:c>
    </x:row>
    <x:row r="62" ht="24" hidden="0" customHeight="1">
      <x:c r="A62" s="12" t="str">
        <x:v>S034-E02</x:v>
      </x:c>
      <x:c r="B62" s="12" t="str">
        <x:v>S034</x:v>
      </x:c>
      <x:c r="C62" s="12"/>
      <x:c r="D62" s="12" t="str">
        <x:v>Analytical/biofluid validation</x:v>
      </x:c>
      <x:c r="E62" s="12" t="str">
        <x:v>Calibration, recovery, selectivity and urine/saliva/sweat measurements compared with ion chromatography</x:v>
      </x:c>
      <x:c r="F62" s="12" t="str">
        <x:v>5–500 mM calibration; physiological samples</x:v>
      </x:c>
      <x:c r="G62" s="12" t="str">
        <x:v>Three sensor devices; N=3 biofluid results</x:v>
      </x:c>
      <x:c r="H62" s="12" t="str">
        <x:v>Ion chromatography</x:v>
      </x:c>
      <x:c r="I62" s="12" t="str">
        <x:v>Separate complete devices stated for accuracy testing</x:v>
      </x:c>
      <x:c r="J62" s="12" t="str">
        <x:v>PDF pp. 4–8; Figs. 4–5</x:v>
      </x:c>
      <x:c r="K62" s="12" t="str">
        <x:v>Batch 03</x:v>
      </x:c>
    </x:row>
    <x:row r="63" ht="24" hidden="0" customHeight="1">
      <x:c r="A63" s="12" t="str">
        <x:v>S035-E01</x:v>
      </x:c>
      <x:c r="B63" s="12" t="str">
        <x:v>S035</x:v>
      </x:c>
      <x:c r="C63" s="12"/>
      <x:c r="D63" s="12" t="str">
        <x:v>Analytical performance and replication</x:v>
      </x:c>
      <x:c r="E63" s="12" t="str">
        <x:v>Artificial-sweat calibration, interference, within-ring and between-ring precision</x:v>
      </x:c>
      <x:c r="F63" s="12" t="str">
        <x:v>12.5–400 μmol/L glucose</x:v>
      </x:c>
      <x:c r="G63" s="12" t="str">
        <x:v>Six repeats same ring; four rings glucose; six rings reference potential</x:v>
      </x:c>
      <x:c r="H63" s="12" t="str">
        <x:v>Portable potentiostat; commercial calomel electrode for reference tests</x:v>
      </x:c>
      <x:c r="I63" s="12" t="str">
        <x:v>Within- and between-device results separated</x:v>
      </x:c>
      <x:c r="J63" s="12" t="str">
        <x:v>PDF pp. 3–4; Figs. 2–3; Figs. S1–S4 cited</x:v>
      </x:c>
      <x:c r="K63" s="12" t="str">
        <x:v>Batch 03</x:v>
      </x:c>
    </x:row>
    <x:row r="64" ht="24" hidden="0" customHeight="1">
      <x:c r="A64" s="12" t="str">
        <x:v>S035-E02</x:v>
      </x:c>
      <x:c r="B64" s="12" t="str">
        <x:v>S035</x:v>
      </x:c>
      <x:c r="C64" s="12"/>
      <x:c r="D64" s="12" t="str">
        <x:v>Stability, bending and on-body test</x:v>
      </x:c>
      <x:c r="E64" s="12" t="str">
        <x:v>Triplicate daily measurements for 10 days, 15 bending cycles, and one-volunteer pre/post-meal test</x:v>
      </x:c>
      <x:c r="F64" s="12" t="str">
        <x:v>10 days ambient storage/washing; 15 bends; before, 1 h and 2 h after meal</x:v>
      </x:c>
      <x:c r="G64" s="12" t="str">
        <x:v>Triplicate/day; one volunteer</x:v>
      </x:c>
      <x:c r="H64" s="12" t="str">
        <x:v>Commercial blood glucose meter for on-body trend</x:v>
      </x:c>
      <x:c r="I64" s="12" t="str">
        <x:v>Selected ring(s); device count for stability NR</x:v>
      </x:c>
      <x:c r="J64" s="12" t="str">
        <x:v>PDF pp. 3–5; Fig. 4; Fig. S5 cited</x:v>
      </x:c>
      <x:c r="K64" s="12" t="str">
        <x:v>Batch 03</x:v>
      </x:c>
    </x:row>
    <x:row r="65" ht="24" hidden="0" customHeight="1">
      <x:c r="A65" s="12" t="str">
        <x:v>S036-E01</x:v>
      </x:c>
      <x:c r="B65" s="12" t="str">
        <x:v>S036</x:v>
      </x:c>
      <x:c r="C65" s="12"/>
      <x:c r="D65" s="12" t="str">
        <x:v>Off-body calibration and robustness</x:v>
      </x:c>
      <x:c r="E65" s="12" t="str">
        <x:v>Artificial sweat delivered by syringe pump; timing and impedance transitions compared; temperature and concentration varied</x:v>
      </x:c>
      <x:c r="F65" s="12" t="str">
        <x:v>0.5–10 μL/min; 24–40 °C; 0.5×–1.25× artificial sweat</x:v>
      </x:c>
      <x:c r="G65" s="12" t="str">
        <x:v>54 validation points; n=6–8 at selected rates</x:v>
      </x:c>
      <x:c r="H65" s="12" t="str">
        <x:v>Syringe pump and visual timer</x:v>
      </x:c>
      <x:c r="I65" s="12" t="str">
        <x:v>Independent-device count NR</x:v>
      </x:c>
      <x:c r="J65" s="12" t="str">
        <x:v>PDF pp. 7–9; Fig. S7–S10 and Tables S2–S5 cited</x:v>
      </x:c>
      <x:c r="K65" s="12" t="str">
        <x:v>Batch 03</x:v>
      </x:c>
    </x:row>
    <x:row r="66" ht="24" hidden="0" customHeight="1">
      <x:c r="A66" s="12" t="str">
        <x:v>S036-E02</x:v>
      </x:c>
      <x:c r="B66" s="12" t="str">
        <x:v>S036</x:v>
      </x:c>
      <x:c r="C66" s="12"/>
      <x:c r="D66" s="12" t="str">
        <x:v>On-body iontophoresis/cycling</x:v>
      </x:c>
      <x:c r="E66" s="12" t="str">
        <x:v>Arm-mounted sensor compared with visual timing and cotton-patch methods</x:v>
      </x:c>
      <x:c r="F66" s="12" t="str">
        <x:v>22 °C; 35–40% RH; 10 min iontophoresis or 30 min cycling after warm-up</x:v>
      </x:c>
      <x:c r="G66" s="12" t="str">
        <x:v>Two male participants</x:v>
      </x:c>
      <x:c r="H66" s="12" t="str">
        <x:v>Timer; cotton patch; body mass and physiological measures</x:v>
      </x:c>
      <x:c r="I66" s="12" t="str">
        <x:v>Participants are not separate devices</x:v>
      </x:c>
      <x:c r="J66" s="12" t="str">
        <x:v>PDF pp. 3–4, 9–10; Figs. 5–6; Tables S6–S10 cited</x:v>
      </x:c>
      <x:c r="K66" s="12" t="str">
        <x:v>Batch 03</x:v>
      </x:c>
    </x:row>
    <x:row r="67" ht="15" hidden="0" customHeight="1">
      <x:c r="A67" s="12" t="str">
        <x:v>S037-E01</x:v>
      </x:c>
      <x:c r="B67" s="12" t="str">
        <x:v>S037</x:v>
      </x:c>
      <x:c r="C67" s="12"/>
      <x:c r="D67" s="12" t="str">
        <x:v>Conductive-filament characterization</x:v>
      </x:c>
      <x:c r="E67" s="12" t="str">
        <x:v>Fresh filament samples cycled at four strain rates</x:v>
      </x:c>
      <x:c r="F67" s="12" t="str">
        <x:v>1, 5, 10, 20 strain/min; to ~140% length</x:v>
      </x:c>
      <x:c r="G67" s="12" t="str">
        <x:v>10 cycles/rate; fresh sample each rate</x:v>
      </x:c>
      <x:c r="H67" s="12" t="str">
        <x:v>Linear actuator, load cell and four-wire resistance</x:v>
      </x:c>
      <x:c r="I67" s="12" t="str">
        <x:v>Material specimens, not complete devices</x:v>
      </x:c>
      <x:c r="J67" s="12" t="str">
        <x:v>PDF pp. 4–7; Figs. 5, 9–10</x:v>
      </x:c>
      <x:c r="K67" s="12" t="str">
        <x:v>Batch 03</x:v>
      </x:c>
    </x:row>
    <x:row r="68" ht="15" hidden="0" customHeight="1">
      <x:c r="A68" s="12" t="str">
        <x:v>S037-E02</x:v>
      </x:c>
      <x:c r="B68" s="12" t="str">
        <x:v>S037</x:v>
      </x:c>
      <x:c r="C68" s="12"/>
      <x:c r="D68" s="12" t="str">
        <x:v>Fingertip-sensor characterization</x:v>
      </x:c>
      <x:c r="E68" s="12" t="str">
        <x:v>Inside/outside sensors loaded at angles separating normal and shear components</x:v>
      </x:c>
      <x:c r="F68" s="12" t="str">
        <x:v>±90°; 0.5 Hz; 10 N for 20 s</x:v>
      </x:c>
      <x:c r="G68" s="12" t="str">
        <x:v>~10 cycles/condition; cycles 2–9 averaged</x:v>
      </x:c>
      <x:c r="H68" s="12" t="str">
        <x:v>Linear actuator and load cell</x:v>
      </x:c>
      <x:c r="I68" s="12" t="str">
        <x:v>Two prototype configurations</x:v>
      </x:c>
      <x:c r="J68" s="12" t="str">
        <x:v>PDF pp. 5–10; Figs. 8, 11–16</x:v>
      </x:c>
      <x:c r="K68" s="12" t="str">
        <x:v>Batch 03</x:v>
      </x:c>
    </x:row>
    <x:row r="69" ht="24" hidden="0" customHeight="1">
      <x:c r="A69" s="12" t="str">
        <x:v>S038-E01</x:v>
      </x:c>
      <x:c r="B69" s="12" t="str">
        <x:v>S038</x:v>
      </x:c>
      <x:c r="C69" s="12"/>
      <x:c r="D69" s="12" t="str">
        <x:v>Architecture and cyclic strain characterization</x:v>
      </x:c>
      <x:c r="E69" s="12" t="str">
        <x:v>Five printed architectures were loaded and unloaded while resistance was acquired</x:v>
      </x:c>
      <x:c r="F69" s="12" t="str">
        <x:v>10–100% single-cycle strain; principal repeated tests to 50%</x:v>
      </x:c>
      <x:c r="G69" s="12" t="str">
        <x:v>20 cycles per architecture/direction</x:v>
      </x:c>
      <x:c r="H69" s="12" t="str">
        <x:v>Custom tensile machine and voltage-divider resistance measurement</x:v>
      </x:c>
      <x:c r="I69" s="12" t="str">
        <x:v>Architecture variants; separate replicate count NR</x:v>
      </x:c>
      <x:c r="J69" s="12" t="str">
        <x:v>PDF pp. 5, 8–11; Figs. 7–10</x:v>
      </x:c>
      <x:c r="K69" s="12" t="str">
        <x:v>Batch 04</x:v>
      </x:c>
    </x:row>
    <x:row r="70" ht="15" hidden="0" customHeight="1">
      <x:c r="A70" s="12" t="str">
        <x:v>S038-E02</x:v>
      </x:c>
      <x:c r="B70" s="12" t="str">
        <x:v>S038</x:v>
      </x:c>
      <x:c r="C70" s="12"/>
      <x:c r="D70" s="12" t="str">
        <x:v>Wearable glove demonstration</x:v>
      </x:c>
      <x:c r="E70" s="12" t="str">
        <x:v>Printed finger sensors were flexed at approximately 0°, 45° and 120°</x:v>
      </x:c>
      <x:c r="F70" s="12" t="str">
        <x:v>Three finger positions</x:v>
      </x:c>
      <x:c r="G70" s="12" t="str">
        <x:v>Three flexions per finger</x:v>
      </x:c>
      <x:c r="H70" s="12" t="str">
        <x:v>Known finger angles; resistance acquisition</x:v>
      </x:c>
      <x:c r="I70" s="12" t="str">
        <x:v>One prototype glove</x:v>
      </x:c>
      <x:c r="J70" s="12" t="str">
        <x:v>PDF p. 12; Fig. 11</x:v>
      </x:c>
      <x:c r="K70" s="12" t="str">
        <x:v>Batch 04</x:v>
      </x:c>
    </x:row>
    <x:row r="71" ht="24" hidden="0" customHeight="1">
      <x:c r="A71" s="12" t="str">
        <x:v>S039-E01</x:v>
      </x:c>
      <x:c r="B71" s="12" t="str">
        <x:v>S039</x:v>
      </x:c>
      <x:c r="C71" s="12"/>
      <x:c r="D71" s="12" t="str">
        <x:v>Resolution and between-device comparison</x:v>
      </x:c>
      <x:c r="E71" s="12" t="str">
        <x:v>Flat and 200/300/400 µm FSGs were stretched over six small-strain levels</x:v>
      </x:c>
      <x:c r="F71" s="12" t="str">
        <x:v>0.33–1.67% strain</x:v>
      </x:c>
      <x:c r="G71" s="12" t="str">
        <x:v>Four separate samples per FSG type; five transient repetitions</x:v>
      </x:c>
      <x:c r="H71" s="12" t="str">
        <x:v>Controlled translation and resistance measurement</x:v>
      </x:c>
      <x:c r="I71" s="12" t="str">
        <x:v>Separate-device averages and deviations reported</x:v>
      </x:c>
      <x:c r="J71" s="12" t="str">
        <x:v>PDF pp. 3–5; Figs. 3–4</x:v>
      </x:c>
      <x:c r="K71" s="12" t="str">
        <x:v>Batch 04</x:v>
      </x:c>
    </x:row>
    <x:row r="72" ht="24" hidden="0" customHeight="1">
      <x:c r="A72" s="12" t="str">
        <x:v>S039-E02</x:v>
      </x:c>
      <x:c r="B72" s="12" t="str">
        <x:v>S039</x:v>
      </x:c>
      <x:c r="C72" s="12"/>
      <x:c r="D72" s="12" t="str">
        <x:v>Endurance and human-worn demonstrations</x:v>
      </x:c>
      <x:c r="E72" s="12" t="str">
        <x:v>Optimized 2-FSG underwent cycling and was then used for pulse, voice, hand and finger-glove demonstrations</x:v>
      </x:c>
      <x:c r="F72" s="12" t="str">
        <x:v>500 cycles at 1% strain; body-motion protocols</x:v>
      </x:c>
      <x:c r="G72" s="12" t="str">
        <x:v>500 bench cycles; words/motions repeated three times</x:v>
      </x:c>
      <x:c r="H72" s="12" t="str">
        <x:v>Controlled stretching; exercise state and defined finger angles</x:v>
      </x:c>
      <x:c r="I72" s="12" t="str">
        <x:v>Bench specimen plus human-worn prototypes</x:v>
      </x:c>
      <x:c r="J72" s="12" t="str">
        <x:v>PDF pp. 5–9; Figs. 5, 7–10</x:v>
      </x:c>
      <x:c r="K72" s="12" t="str">
        <x:v>Batch 04</x:v>
      </x:c>
    </x:row>
    <x:row r="73" ht="24" hidden="0" customHeight="1">
      <x:c r="A73" s="12" t="str">
        <x:v>S043-E01</x:v>
      </x:c>
      <x:c r="B73" s="12" t="str">
        <x:v>S043</x:v>
      </x:c>
      <x:c r="C73" s="12"/>
      <x:c r="D73" s="12" t="str">
        <x:v>Electrode/electroanalytical characterization</x:v>
      </x:c>
      <x:c r="E73" s="12" t="str">
        <x:v>Eight filament formulations and surface treatments were evaluated with benchmark redox probes and UA calibration</x:v>
      </x:c>
      <x:c r="F73" s="12" t="str">
        <x:v>UA 2.5–100 µmol/L linear range</x:v>
      </x:c>
      <x:c r="G73" s="12" t="str">
        <x:v>Replicate basis for sensor calibration NR</x:v>
      </x:c>
      <x:c r="H73" s="12" t="str">
        <x:v>Commercial reference/counter electrodes and potentiostat</x:v>
      </x:c>
      <x:c r="I73" s="12" t="str">
        <x:v>Material/formulation variants not treated as replicates</x:v>
      </x:c>
      <x:c r="J73" s="12" t="str">
        <x:v>PDF pp. 3–11; Figs. 3–6; Tables 1–3</x:v>
      </x:c>
      <x:c r="K73" s="12" t="str">
        <x:v>Batch 04</x:v>
      </x:c>
    </x:row>
    <x:row r="74" ht="24" hidden="0" customHeight="1">
      <x:c r="A74" s="12" t="str">
        <x:v>S043-E02</x:v>
      </x:c>
      <x:c r="B74" s="12" t="str">
        <x:v>S043</x:v>
      </x:c>
      <x:c r="C74" s="12"/>
      <x:c r="D74" s="12" t="str">
        <x:v>Integrated wristband recovery test</x:v>
      </x:c>
      <x:c r="E74" s="12" t="str">
        <x:v>Fully printed three-electrode wristband measured two UA spikes in artificial sweat</x:v>
      </x:c>
      <x:c r="F74" s="12" t="str">
        <x:v>10 and 20 µmol/L UA spikes</x:v>
      </x:c>
      <x:c r="G74" s="12" t="str">
        <x:v>Mean ± SD reported; number of separate devices NR</x:v>
      </x:c>
      <x:c r="H74" s="12" t="str">
        <x:v>Standard-addition calibration</x:v>
      </x:c>
      <x:c r="I74" s="12" t="str">
        <x:v>Complete wristband tested horizontally; forearm photograph shown</x:v>
      </x:c>
      <x:c r="J74" s="12" t="str">
        <x:v>PDF pp. 11–12; Figs. 7–8; Table 4</x:v>
      </x:c>
      <x:c r="K74" s="12" t="str">
        <x:v>Batch 04</x:v>
      </x:c>
    </x:row>
    <x:row r="75" ht="24" hidden="0" customHeight="1">
      <x:c r="A75" s="12" t="str">
        <x:v>S044-E01</x:v>
      </x:c>
      <x:c r="B75" s="12" t="str">
        <x:v>S044</x:v>
      </x:c>
      <x:c r="C75" s="12"/>
      <x:c r="D75" s="12" t="str">
        <x:v>Structure, sensitivity and durability</x:v>
      </x:c>
      <x:c r="E75" s="12" t="str">
        <x:v>Three honeycomb architectures were compressed; selected sensor underwent speed, hysteresis and endurance tests</x:v>
      </x:c>
      <x:c r="F75" s="12" t="str">
        <x:v>0–30% characterization; 10% strain endurance; 5–40 mm/min</x:v>
      </x:c>
      <x:c r="G75" s="12" t="str">
        <x:v>500 cycles</x:v>
      </x:c>
      <x:c r="H75" s="12" t="str">
        <x:v>Universal test machine and data logger</x:v>
      </x:c>
      <x:c r="I75" s="12" t="str">
        <x:v>Architecture variants; independent device count NR</x:v>
      </x:c>
      <x:c r="J75" s="12" t="str">
        <x:v>PDF pp. 4, 8–10; Figs. 5–6</x:v>
      </x:c>
      <x:c r="K75" s="12" t="str">
        <x:v>Batch 04</x:v>
      </x:c>
    </x:row>
    <x:row r="76" ht="24" hidden="0" customHeight="1">
      <x:c r="A76" s="12" t="str">
        <x:v>S044-E02</x:v>
      </x:c>
      <x:c r="B76" s="12" t="str">
        <x:v>S044</x:v>
      </x:c>
      <x:c r="C76" s="12"/>
      <x:c r="D76" s="12" t="str">
        <x:v>Human-motion demonstrations</x:v>
      </x:c>
      <x:c r="E76" s="12" t="str">
        <x:v>Sensor was attached to neck and foot for pulse/swallowing and standing/walking responses</x:v>
      </x:c>
      <x:c r="F76" s="12" t="str">
        <x:v>Small throat motion to full body weight; nine steps reported</x:v>
      </x:c>
      <x:c r="G76" s="12" t="str">
        <x:v>Repeated steps; device count NR</x:v>
      </x:c>
      <x:c r="H76" s="12" t="str">
        <x:v>Body actions as application stimuli</x:v>
      </x:c>
      <x:c r="I76" s="12" t="str">
        <x:v>One or unspecified sensor units</x:v>
      </x:c>
      <x:c r="J76" s="12" t="str">
        <x:v>PDF pp. 10–11; Fig. 6e–f</x:v>
      </x:c>
      <x:c r="K76" s="12" t="str">
        <x:v>Batch 04</x:v>
      </x:c>
    </x:row>
    <x:row r="77" ht="24" hidden="0" customHeight="1">
      <x:c r="A77" s="12" t="str">
        <x:v>S046-E01</x:v>
      </x:c>
      <x:c r="B77" s="12" t="str">
        <x:v>S046</x:v>
      </x:c>
      <x:c r="C77" s="12"/>
      <x:c r="D77" s="12" t="str">
        <x:v>Mechanoelectric and magnetoelectric characterization</x:v>
      </x:c>
      <x:c r="E77" s="12" t="str">
        <x:v>Composite variants were struck by weights and exposed to periodic magnetic fields</x:v>
      </x:c>
      <x:c r="F77" s="12" t="str">
        <x:v>10/30/50 g from 10/15/20 cm; 0.5 and 2 Hz magnetic field</x:v>
      </x:c>
      <x:c r="G77" s="12" t="str">
        <x:v>Periodic signals shown; explicit cycle count NR</x:v>
      </x:c>
      <x:c r="H77" s="12" t="str">
        <x:v>Digital source meter; controlled weights and reciprocating magnet</x:v>
      </x:c>
      <x:c r="I77" s="12" t="str">
        <x:v>Composition variants; device count NR</x:v>
      </x:c>
      <x:c r="J77" s="12" t="str">
        <x:v>PDF pp. 2, 4–6; Figs. 3–4</x:v>
      </x:c>
      <x:c r="K77" s="12" t="str">
        <x:v>Batch 04</x:v>
      </x:c>
    </x:row>
    <x:row r="78" ht="24" hidden="0" customHeight="1">
      <x:c r="A78" s="12" t="str">
        <x:v>S046-E02</x:v>
      </x:c>
      <x:c r="B78" s="12" t="str">
        <x:v>S046</x:v>
      </x:c>
      <x:c r="C78" s="12"/>
      <x:c r="D78" s="12" t="str">
        <x:v>Finger-sleeve and insole demonstrations</x:v>
      </x:c>
      <x:c r="E78" s="12" t="str">
        <x:v>Finger sleeve sensed a changing magnetic field; Z spring in an author’s insole recorded walking</x:v>
      </x:c>
      <x:c r="F78" s="12" t="str">
        <x:v>Magnetic field frequencies; walking at 0.6 and 1.5 Hz</x:v>
      </x:c>
      <x:c r="G78" s="12" t="str">
        <x:v>Repeated periodic traces; cycle count NR</x:v>
      </x:c>
      <x:c r="H78" s="12" t="str">
        <x:v>Motor-driven magnet and stated walking frequencies</x:v>
      </x:c>
      <x:c r="I78" s="12" t="str">
        <x:v>One sleeve and one spring</x:v>
      </x:c>
      <x:c r="J78" s="12" t="str">
        <x:v>PDF pp. 5–7; Figs. 4–5; Supplementary Fig. S5 cited</x:v>
      </x:c>
      <x:c r="K78" s="12" t="str">
        <x:v>Batch 04</x:v>
      </x:c>
    </x:row>
    <x:row r="79" ht="24" hidden="0" customHeight="1">
      <x:c r="A79" s="12" t="str">
        <x:v>S047-E01</x:v>
      </x:c>
      <x:c r="B79" s="12" t="str">
        <x:v>S047</x:v>
      </x:c>
      <x:c r="C79" s="12"/>
      <x:c r="D79" s="12" t="str">
        <x:v>Sensor grouping and patient-specific calibration</x:v>
      </x:c>
      <x:c r="E79" s="12" t="str">
        <x:v>Eight FSR modules were screened with weights; selected sensors were calibrated in the mask against PicoPress at the skin</x:v>
      </x:c>
      <x:c r="F79" s="12" t="str">
        <x:v>6–120 g screening; 15 and 25 mmHg clinical calibration</x:v>
      </x:c>
      <x:c r="G79" s="12" t="str">
        <x:v>Eight sensor modules screened; two masks</x:v>
      </x:c>
      <x:c r="H79" s="12" t="str">
        <x:v>Weights and PicoPress air-cell measurement</x:v>
      </x:c>
      <x:c r="I79" s="12" t="str">
        <x:v>Commercial sensors; two FDM masks</x:v>
      </x:c>
      <x:c r="J79" s="12" t="str">
        <x:v>PDF pp. 7–9; Figs. 6–8</x:v>
      </x:c>
      <x:c r="K79" s="12" t="str">
        <x:v>Batch 04</x:v>
      </x:c>
    </x:row>
    <x:row r="80" ht="24" hidden="0" customHeight="1">
      <x:c r="A80" s="12" t="str">
        <x:v>S047-E02</x:v>
      </x:c>
      <x:c r="B80" s="12" t="str">
        <x:v>S047</x:v>
      </x:c>
      <x:c r="C80" s="12"/>
      <x:c r="D80" s="12" t="str">
        <x:v>Four-week clinical feasibility study</x:v>
      </x:c>
      <x:c r="E80" s="12" t="str">
        <x:v>Two patients wore masks approximately 12 h/day and monitored pressure; scar/interface outcomes were assessed before and after four weeks</x:v>
      </x:c>
      <x:c r="F80" s="12" t="str">
        <x:v>Target pressure 15–25 mmHg; four weeks</x:v>
      </x:c>
      <x:c r="G80" s="12" t="str">
        <x:v>Two patients; two sensors per patient</x:v>
      </x:c>
      <x:c r="H80" s="12" t="str">
        <x:v>Continuous logged pressure; clinical skin/scar measures</x:v>
      </x:c>
      <x:c r="I80" s="12" t="str">
        <x:v>Two patient-specific masks</x:v>
      </x:c>
      <x:c r="J80" s="12" t="str">
        <x:v>PDF pp. 7, 9–13; Figs. 9–12; Table 1</x:v>
      </x:c>
      <x:c r="K80" s="12" t="str">
        <x:v>Batch 04</x:v>
      </x:c>
    </x:row>
    <x:row r="81" ht="24" hidden="0" customHeight="1">
      <x:c r="A81" s="12" t="str">
        <x:v>S048-E01</x:v>
      </x:c>
      <x:c r="B81" s="12" t="str">
        <x:v>S048</x:v>
      </x:c>
      <x:c r="C81" s="12"/>
      <x:c r="D81" s="12" t="str">
        <x:v>Liquid/solvent exposure</x:v>
      </x:c>
      <x:c r="E81" s="12" t="str">
        <x:v>Printed sensors were immersed and ultrasonicated; resistance was measured every 30 min after drying/cooling</x:v>
      </x:c>
      <x:c r="F81" s="12" t="str">
        <x:v>Water, acetone, ethanol and IPA; 4 h</x:v>
      </x:c>
      <x:c r="G81" s="12" t="str">
        <x:v>Nine time points per exposure; unit count NR</x:v>
      </x:c>
      <x:c r="H81" s="12" t="str">
        <x:v>Resistance measurement before/during exposure</x:v>
      </x:c>
      <x:c r="I81" s="12" t="str">
        <x:v>Same specimen over time</x:v>
      </x:c>
      <x:c r="J81" s="12" t="str">
        <x:v>PDF pp. 4–6; Fig. 4; Fig. S7 cited</x:v>
      </x:c>
      <x:c r="K81" s="12" t="str">
        <x:v>Batch 04</x:v>
      </x:c>
    </x:row>
    <x:row r="82" ht="24" hidden="0" customHeight="1">
      <x:c r="A82" s="12" t="str">
        <x:v>S048-E02</x:v>
      </x:c>
      <x:c r="B82" s="12" t="str">
        <x:v>S048</x:v>
      </x:c>
      <x:c r="C82" s="12"/>
      <x:c r="D82" s="12" t="str">
        <x:v>Compression and tensile endurance</x:v>
      </x:c>
      <x:c r="E82" s="12" t="str">
        <x:v>Foam sensors were compressed at several strains/speeds; wiggle sensor underwent long tensile cycling</x:v>
      </x:c>
      <x:c r="F82" s="12" t="str">
        <x:v>Compression to 80–90%; tensile 25% at 30 mm/min</x:v>
      </x:c>
      <x:c r="G82" s="12" t="str">
        <x:v>Five compression cycles/condition; tensile trace beyond 1500 cycles</x:v>
      </x:c>
      <x:c r="H82" s="12" t="str">
        <x:v>Universal mechanical testing and electrical acquisition</x:v>
      </x:c>
      <x:c r="I82" s="12" t="str">
        <x:v>Independent device count NR</x:v>
      </x:c>
      <x:c r="J82" s="12" t="str">
        <x:v>PDF pp. 6–8; Figs. 5–8; Fig. S10 cited</x:v>
      </x:c>
      <x:c r="K82" s="12" t="str">
        <x:v>Batch 04</x:v>
      </x:c>
    </x:row>
    <x:row r="83" ht="15" hidden="0" customHeight="1">
      <x:c r="A83" s="12" t="str">
        <x:v>S048-E03</x:v>
      </x:c>
      <x:c r="B83" s="12" t="str">
        <x:v>S048</x:v>
      </x:c>
      <x:c r="C83" s="12"/>
      <x:c r="D83" s="12" t="str">
        <x:v>Human-motion demonstrations</x:v>
      </x:c>
      <x:c r="E83" s="12" t="str">
        <x:v>Sensors were attached at several body sites to record bending, speech and tapping</x:v>
      </x:c>
      <x:c r="F83" s="12" t="str">
        <x:v>Wrist 0–90°; cheek, knee, hand and heel actions</x:v>
      </x:c>
      <x:c r="G83" s="12" t="str">
        <x:v>Repeated traces; count NR</x:v>
      </x:c>
      <x:c r="H83" s="12" t="str">
        <x:v>Body motions as application stimuli</x:v>
      </x:c>
      <x:c r="I83" s="12" t="str">
        <x:v>Device count NR</x:v>
      </x:c>
      <x:c r="J83" s="12" t="str">
        <x:v>PDF p. 8; Fig. 9</x:v>
      </x:c>
      <x:c r="K83" s="12" t="str">
        <x:v>Batch 04</x:v>
      </x:c>
    </x:row>
    <x:row r="84" ht="24" hidden="0" customHeight="1">
      <x:c r="A84" s="12" t="str">
        <x:v>S050-E01</x:v>
      </x:c>
      <x:c r="B84" s="12" t="str">
        <x:v>S050</x:v>
      </x:c>
      <x:c r="C84" s="12"/>
      <x:c r="D84" s="12" t="str">
        <x:v>Force, creep and temperature calibration</x:v>
      </x:c>
      <x:c r="E84" s="12" t="str">
        <x:v>Loads 0–40 N in 10 N steps; 20 N creep for 10 min; temperature 25–45 °C in 5 °C steps</x:v>
      </x:c>
      <x:c r="F84" s="12" t="str">
        <x:v>0–40 N; 25–45 °C</x:v>
      </x:c>
      <x:c r="G84" s="12" t="str">
        <x:v>Calibration points and stabilization periods stated</x:v>
      </x:c>
      <x:c r="H84" s="12" t="str">
        <x:v>Load cell, thermoelectric module and FBG interrogator</x:v>
      </x:c>
      <x:c r="I84" s="12" t="str">
        <x:v>Two support/FBG assemblies</x:v>
      </x:c>
      <x:c r="J84" s="12" t="str">
        <x:v>PDF pp. 6–9; Figs. 4–7</x:v>
      </x:c>
      <x:c r="K84" s="12" t="str">
        <x:v>Batch 05</x:v>
      </x:c>
    </x:row>
    <x:row r="85" ht="24" hidden="0" customHeight="1">
      <x:c r="A85" s="12" t="str">
        <x:v>S050-E02</x:v>
      </x:c>
      <x:c r="B85" s="12" t="str">
        <x:v>S050</x:v>
      </x:c>
      <x:c r="C85" s="12"/>
      <x:c r="D85" s="12" t="str">
        <x:v>Wearable-robot validation</x:v>
      </x:c>
      <x:c r="E85" s="12" t="str">
        <x:v>Seven load cases and five flexion/extension cycles were compared with reference forces</x:v>
      </x:c>
      <x:c r="F85" s="12" t="str">
        <x:v>Application loads ~10–15 N</x:v>
      </x:c>
      <x:c r="G85" s="12" t="str">
        <x:v>Five motion cycles</x:v>
      </x:c>
      <x:c r="H85" s="12" t="str">
        <x:v>Wearable robot and external reference</x:v>
      </x:c>
      <x:c r="I85" s="12" t="str">
        <x:v>Two support/FBG assemblies</x:v>
      </x:c>
      <x:c r="J85" s="12" t="str">
        <x:v>PDF pp. 7–10; Figs. 5, 8</x:v>
      </x:c>
      <x:c r="K85" s="12" t="str">
        <x:v>Batch 05</x:v>
      </x:c>
    </x:row>
    <x:row r="86" ht="24" hidden="0" customHeight="1">
      <x:c r="A86" s="12" t="str">
        <x:v>S051-E01</x:v>
      </x:c>
      <x:c r="B86" s="12" t="str">
        <x:v>S051</x:v>
      </x:c>
      <x:c r="C86" s="12"/>
      <x:c r="D86" s="12" t="str">
        <x:v>Calibration and environmental/on-body validation</x:v>
      </x:c>
      <x:c r="E86" s="12" t="str">
        <x:v>Thermistor/IR calibration followed by wear in rooms at 6–40 °C and cycling exercise</x:v>
      </x:c>
      <x:c r="F86" s="12" t="str">
        <x:v>20–50 °C calibration; rooms 6,12,17,23,30,40 °C</x:v>
      </x:c>
      <x:c r="G86" s="12" t="str">
        <x:v>Time-series observations; repeated-device count NR</x:v>
      </x:c>
      <x:c r="H86" s="12" t="str">
        <x:v>Reference temperature instruments and exercise protocol</x:v>
      </x:c>
      <x:c r="I86" s="12" t="str">
        <x:v>One subject; device count NR</x:v>
      </x:c>
      <x:c r="J86" s="12" t="str">
        <x:v>PDF pp. 3–7; Figs. 3–5</x:v>
      </x:c>
      <x:c r="K86" s="12" t="str">
        <x:v>Batch 05</x:v>
      </x:c>
    </x:row>
    <x:row r="87" ht="24" hidden="0" customHeight="1">
      <x:c r="A87" s="12" t="str">
        <x:v>S052-E01</x:v>
      </x:c>
      <x:c r="B87" s="12" t="str">
        <x:v>S052</x:v>
      </x:c>
      <x:c r="C87" s="12"/>
      <x:c r="D87" s="12" t="str">
        <x:v>Mechanical and piezoelectric durability</x:v>
      </x:c>
      <x:c r="E87" s="12" t="str">
        <x:v>Metamaterials were mechanically cycled; selected generator/sensor underwent repeated loading</x:v>
      </x:c>
      <x:c r="F87" s="12" t="str">
        <x:v>200 tensile cycles; 5000 vertical-loading cycles</x:v>
      </x:c>
      <x:c r="G87" s="12" t="str">
        <x:v>200 and 5000 cycles</x:v>
      </x:c>
      <x:c r="H87" s="12" t="str">
        <x:v>Mechanical tester and electrical acquisition</x:v>
      </x:c>
      <x:c r="I87" s="12" t="str">
        <x:v>Architecture variants; exact unit count NR</x:v>
      </x:c>
      <x:c r="J87" s="12" t="str">
        <x:v>PDF pp. 6–9; Figs. 3–4</x:v>
      </x:c>
      <x:c r="K87" s="12" t="str">
        <x:v>Batch 05</x:v>
      </x:c>
    </x:row>
    <x:row r="88" ht="24" hidden="0" customHeight="1">
      <x:c r="A88" s="12" t="str">
        <x:v>S052-E02</x:v>
      </x:c>
      <x:c r="B88" s="12" t="str">
        <x:v>S052</x:v>
      </x:c>
      <x:c r="C88" s="12"/>
      <x:c r="D88" s="12" t="str">
        <x:v>Wearable object recognition</x:v>
      </x:c>
      <x:c r="E88" s="12" t="str">
        <x:v>Hand-worn I-shaped sensor classified five manipulated objects</x:v>
      </x:c>
      <x:c r="F88" s="12" t="str">
        <x:v>Five classes</x:v>
      </x:c>
      <x:c r="G88" s="12" t="str">
        <x:v>Dataset split described; independent-session validation NR</x:v>
      </x:c>
      <x:c r="H88" s="12" t="str">
        <x:v>CNN classifier</x:v>
      </x:c>
      <x:c r="I88" s="12" t="str">
        <x:v>Wearable assembly; number of devices NR</x:v>
      </x:c>
      <x:c r="J88" s="12" t="str">
        <x:v>PDF pp. 10–12; Fig. 6</x:v>
      </x:c>
      <x:c r="K88" s="12" t="str">
        <x:v>Batch 05</x:v>
      </x:c>
    </x:row>
    <x:row r="89" ht="24" hidden="0" customHeight="1">
      <x:c r="A89" s="12" t="str">
        <x:v>S053-E01</x:v>
      </x:c>
      <x:c r="B89" s="12" t="str">
        <x:v>S053</x:v>
      </x:c>
      <x:c r="C89" s="12"/>
      <x:c r="D89" s="12" t="str">
        <x:v>Pressure performance and durability</x:v>
      </x:c>
      <x:c r="E89" s="12" t="str">
        <x:v>Porosity variants were compressed and the selected sensor underwent long-duration/cyclic tests</x:v>
      </x:c>
      <x:c r="F89" s="12" t="str">
        <x:v>Up to 56 MPa; 1000 cycles at 30%; 10,000 s</x:v>
      </x:c>
      <x:c r="G89" s="12" t="str">
        <x:v>1000 cycles plus rapid-cycle response test</x:v>
      </x:c>
      <x:c r="H89" s="12" t="str">
        <x:v>Mechanical tester and resistance acquisition</x:v>
      </x:c>
      <x:c r="I89" s="12" t="str">
        <x:v>Architecture variants; replicate unit count NR</x:v>
      </x:c>
      <x:c r="J89" s="12" t="str">
        <x:v>PDF pp. 9–12; Figs. 7–8</x:v>
      </x:c>
      <x:c r="K89" s="12" t="str">
        <x:v>Batch 05</x:v>
      </x:c>
    </x:row>
    <x:row r="90" ht="15" hidden="0" customHeight="1">
      <x:c r="A90" s="12" t="str">
        <x:v>S053-E02</x:v>
      </x:c>
      <x:c r="B90" s="12" t="str">
        <x:v>S053</x:v>
      </x:c>
      <x:c r="C90" s="12"/>
      <x:c r="D90" s="12" t="str">
        <x:v>Human-motion demonstrations</x:v>
      </x:c>
      <x:c r="E90" s="12" t="str">
        <x:v>Signals were recorded for speech, pinching, sitting/standing, walking and a fall</x:v>
      </x:c>
      <x:c r="F90" s="12" t="str">
        <x:v>Application-specific forces</x:v>
      </x:c>
      <x:c r="G90" s="12" t="str">
        <x:v>Repeated traces; counts partly stated</x:v>
      </x:c>
      <x:c r="H90" s="12" t="str">
        <x:v>Body actions as reference</x:v>
      </x:c>
      <x:c r="I90" s="12" t="str">
        <x:v>Device count NR</x:v>
      </x:c>
      <x:c r="J90" s="12" t="str">
        <x:v>PDF pp. 12–13; Fig. 9</x:v>
      </x:c>
      <x:c r="K90" s="12" t="str">
        <x:v>Batch 05</x:v>
      </x:c>
    </x:row>
    <x:row r="91" ht="24" hidden="0" customHeight="1">
      <x:c r="A91" s="12" t="str">
        <x:v>S054-E01</x:v>
      </x:c>
      <x:c r="B91" s="12" t="str">
        <x:v>S054</x:v>
      </x:c>
      <x:c r="C91" s="12"/>
      <x:c r="D91" s="12" t="str">
        <x:v>Simulated plantar overloading</x:v>
      </x:c>
      <x:c r="E91" s="12" t="str">
        <x:v>Five specimens received 2000 then 14,000 cycles; 21 received 2000 cycles at randomized overload levels</x:v>
      </x:c>
      <x:c r="F91" s="12" t="str">
        <x:v>50–150% of Pmax; 1 Hz</x:v>
      </x:c>
      <x:c r="G91" s="12" t="str">
        <x:v>26 specimens; 2000 or 14,000 cycles</x:v>
      </x:c>
      <x:c r="H91" s="12" t="str">
        <x:v>Mechanical test machine</x:v>
      </x:c>
      <x:c r="I91" s="12" t="str">
        <x:v>26 separately fabricated specimens</x:v>
      </x:c>
      <x:c r="J91" s="12" t="str">
        <x:v>PDF pp. 3–7; Figs. 1–6; Appendix 1</x:v>
      </x:c>
      <x:c r="K91" s="12" t="str">
        <x:v>Batch 05</x:v>
      </x:c>
    </x:row>
    <x:row r="92" ht="24" hidden="0" customHeight="1">
      <x:c r="A92" s="12" t="str">
        <x:v>S055-E01</x:v>
      </x:c>
      <x:c r="B92" s="12" t="str">
        <x:v>S055</x:v>
      </x:c>
      <x:c r="C92" s="12"/>
      <x:c r="D92" s="12" t="str">
        <x:v>Force/frequency/layer and durability testing</x:v>
      </x:c>
      <x:c r="E92" s="12" t="str">
        <x:v>Layer variants were tapped under controlled force/frequency; selected sensor was cycled</x:v>
      </x:c>
      <x:c r="F92" s="12" t="str">
        <x:v>0.5–2 N; 50–200 Hz; &gt;11,600 cycles</x:v>
      </x:c>
      <x:c r="G92" s="12" t="str">
        <x:v>&gt;11,600 cycles</x:v>
      </x:c>
      <x:c r="H92" s="12" t="str">
        <x:v>Controlled excitation and voltage acquisition</x:v>
      </x:c>
      <x:c r="I92" s="12" t="str">
        <x:v>Layer variants; replicate unit count NR</x:v>
      </x:c>
      <x:c r="J92" s="12" t="str">
        <x:v>PDF pp. 4–8; Figs. 3–8</x:v>
      </x:c>
      <x:c r="K92" s="12" t="str">
        <x:v>Batch 05</x:v>
      </x:c>
    </x:row>
    <x:row r="93" ht="15" hidden="0" customHeight="1">
      <x:c r="A93" s="12" t="str">
        <x:v>S055-E02</x:v>
      </x:c>
      <x:c r="B93" s="12" t="str">
        <x:v>S055</x:v>
      </x:c>
      <x:c r="C93" s="12"/>
      <x:c r="D93" s="12" t="str">
        <x:v>Human-motion testing</x:v>
      </x:c>
      <x:c r="E93" s="12" t="str">
        <x:v>Body-worn sensor recorded walking, in-place motion, running and jumping</x:v>
      </x:c>
      <x:c r="F93" s="12" t="str">
        <x:v>Application-specific loading</x:v>
      </x:c>
      <x:c r="G93" s="12" t="str">
        <x:v>Repeated traces; unit/participant count NR</x:v>
      </x:c>
      <x:c r="H93" s="12" t="str">
        <x:v>Human motion</x:v>
      </x:c>
      <x:c r="I93" s="12" t="str">
        <x:v>Device count NR</x:v>
      </x:c>
      <x:c r="J93" s="12" t="str">
        <x:v>PDF pp. 8–9; Figs. 9–10</x:v>
      </x:c>
      <x:c r="K93" s="12" t="str">
        <x:v>Batch 05</x:v>
      </x:c>
    </x:row>
    <x:row r="94" ht="24" hidden="0" customHeight="1">
      <x:c r="A94" s="12" t="str">
        <x:v>S056-E01</x:v>
      </x:c>
      <x:c r="B94" s="12" t="str">
        <x:v>S056</x:v>
      </x:c>
      <x:c r="C94" s="12"/>
      <x:c r="D94" s="12" t="str">
        <x:v>Pressure and strain characterization</x:v>
      </x:c>
      <x:c r="E94" s="12" t="str">
        <x:v>Printed pressure and three strain geometries were tested across their operating ranges</x:v>
      </x:c>
      <x:c r="F94" s="12" t="str">
        <x:v>Pressure 0–80 kPa; strain 0–40% depending on geometry</x:v>
      </x:c>
      <x:c r="G94" s="12" t="str">
        <x:v>20 cycles per reported durability test</x:v>
      </x:c>
      <x:c r="H94" s="12" t="str">
        <x:v>Mechanical loading and electrical acquisition</x:v>
      </x:c>
      <x:c r="I94" s="12" t="str">
        <x:v>Final-device replicate count NR</x:v>
      </x:c>
      <x:c r="J94" s="12" t="str">
        <x:v>PDF pp. 8–13; Figs. 5–8</x:v>
      </x:c>
      <x:c r="K94" s="12" t="str">
        <x:v>Batch 05</x:v>
      </x:c>
    </x:row>
    <x:row r="95" ht="24" hidden="0" customHeight="1">
      <x:c r="A95" s="12" t="str">
        <x:v>S056-E02</x:v>
      </x:c>
      <x:c r="B95" s="12" t="str">
        <x:v>S056</x:v>
      </x:c>
      <x:c r="C95" s="12"/>
      <x:c r="D95" s="12" t="str">
        <x:v>Environmental and wearable demonstrations</x:v>
      </x:c>
      <x:c r="E95" s="12" t="str">
        <x:v>Capacitive sensor responded to liquids/humidity/sweat; sensors recorded insole and joint/HMI signals</x:v>
      </x:c>
      <x:c r="F95" s="12" t="str">
        <x:v>Declared liquids, humidity and body motions</x:v>
      </x:c>
      <x:c r="G95" s="12" t="str">
        <x:v>Repeated traces</x:v>
      </x:c>
      <x:c r="H95" s="12" t="str">
        <x:v>Declared exposure and body action</x:v>
      </x:c>
      <x:c r="I95" s="12" t="str">
        <x:v>Device count NR</x:v>
      </x:c>
      <x:c r="J95" s="12" t="str">
        <x:v>PDF pp. 7–15; Figs. 4, 8–9</x:v>
      </x:c>
      <x:c r="K95" s="12" t="str">
        <x:v>Batch 05</x:v>
      </x:c>
    </x:row>
    <x:row r="96" ht="24" hidden="0" customHeight="1">
      <x:c r="A96" s="12" t="str">
        <x:v>S057-E01</x:v>
      </x:c>
      <x:c r="B96" s="12" t="str">
        <x:v>S057</x:v>
      </x:c>
      <x:c r="C96" s="12"/>
      <x:c r="D96" s="12" t="str">
        <x:v>Structure comparison and endurance</x:v>
      </x:c>
      <x:c r="E96" s="12" t="str">
        <x:v>Nine TPMS structures were compared; selected devices were cycled at three strain levels</x:v>
      </x:c>
      <x:c r="F96" s="12" t="str">
        <x:v>5, 10 and 15% strain; 500 cycles</x:v>
      </x:c>
      <x:c r="G96" s="12" t="str">
        <x:v>500 cycles</x:v>
      </x:c>
      <x:c r="H96" s="12" t="str">
        <x:v>Mechanical tester and resistance acquisition</x:v>
      </x:c>
      <x:c r="I96" s="12" t="str">
        <x:v>Material specimens n=5; final sensor count NR</x:v>
      </x:c>
      <x:c r="J96" s="12" t="str">
        <x:v>PDF pp. 6–12; Figs. 4–8</x:v>
      </x:c>
      <x:c r="K96" s="12" t="str">
        <x:v>Batch 05</x:v>
      </x:c>
    </x:row>
    <x:row r="97" ht="15" hidden="0" customHeight="1">
      <x:c r="A97" s="12" t="str">
        <x:v>S057-E02</x:v>
      </x:c>
      <x:c r="B97" s="12" t="str">
        <x:v>S057</x:v>
      </x:c>
      <x:c r="C97" s="12"/>
      <x:c r="D97" s="12" t="str">
        <x:v>Wearable demonstrations</x:v>
      </x:c>
      <x:c r="E97" s="12" t="str">
        <x:v>Sensors recorded insole loading and finger, wrist, cough and swallowing motion</x:v>
      </x:c>
      <x:c r="F97" s="12" t="str">
        <x:v>Application-specific strain</x:v>
      </x:c>
      <x:c r="G97" s="12" t="str">
        <x:v>Repeated traces</x:v>
      </x:c>
      <x:c r="H97" s="12" t="str">
        <x:v>Body actions</x:v>
      </x:c>
      <x:c r="I97" s="12" t="str">
        <x:v>Device count NR</x:v>
      </x:c>
      <x:c r="J97" s="12" t="str">
        <x:v>PDF pp. 12–15; Figs. 9–10</x:v>
      </x:c>
      <x:c r="K97" s="12" t="str">
        <x:v>Batch 05</x:v>
      </x:c>
    </x:row>
    <x:row r="98" ht="24" hidden="0" customHeight="1">
      <x:c r="A98" s="12" t="str">
        <x:v>S058-E01</x:v>
      </x:c>
      <x:c r="B98" s="12" t="str">
        <x:v>S058</x:v>
      </x:c>
      <x:c r="C98" s="12"/>
      <x:c r="D98" s="12" t="str">
        <x:v>Performance, environment and durability</x:v>
      </x:c>
      <x:c r="E98" s="12" t="str">
        <x:v>Sensors were tested across force, humidity, temperature and sweat; long-cycle loading/bending was applied</x:v>
      </x:c>
      <x:c r="F98" s="12" t="str">
        <x:v>2–250 N; RH 10–90%; 10–40 °C; artificial sweat</x:v>
      </x:c>
      <x:c r="G98" s="12" t="str">
        <x:v>20,000 loading and 5000 bending cycles</x:v>
      </x:c>
      <x:c r="H98" s="12" t="str">
        <x:v>Controlled loads/exposures and electrical acquisition</x:v>
      </x:c>
      <x:c r="I98" s="12" t="str">
        <x:v>25 devices from five batches</x:v>
      </x:c>
      <x:c r="J98" s="12" t="str">
        <x:v>PDF pp. 5–10; Figs. 3–6</x:v>
      </x:c>
      <x:c r="K98" s="12" t="str">
        <x:v>Batch 05</x:v>
      </x:c>
    </x:row>
    <x:row r="99" ht="15" hidden="0" customHeight="1">
      <x:c r="A99" s="12" t="str">
        <x:v>S058-E02</x:v>
      </x:c>
      <x:c r="B99" s="12" t="str">
        <x:v>S058</x:v>
      </x:c>
      <x:c r="C99" s="12"/>
      <x:c r="D99" s="12" t="str">
        <x:v>Gait recognition</x:v>
      </x:c>
      <x:c r="E99" s="12" t="str">
        <x:v>Three-sensor insoles recorded six participants and five locomotor states</x:v>
      </x:c>
      <x:c r="F99" s="12" t="str">
        <x:v>9331 windows; five states</x:v>
      </x:c>
      <x:c r="G99" s="12" t="str">
        <x:v>Six participants</x:v>
      </x:c>
      <x:c r="H99" s="12" t="str">
        <x:v>Instrumented insole and LOSO validation</x:v>
      </x:c>
      <x:c r="I99" s="12" t="str">
        <x:v>Multiple insoles/devices</x:v>
      </x:c>
      <x:c r="J99" s="12" t="str">
        <x:v>PDF pp. 10–13; Figs. 7–8</x:v>
      </x:c>
      <x:c r="K99" s="12" t="str">
        <x:v>Batch 05</x:v>
      </x:c>
    </x:row>
    <x:row r="100" ht="36" hidden="0" customHeight="1">
      <x:c r="A100" s="12" t="str">
        <x:v>S059-E01</x:v>
      </x:c>
      <x:c r="B100" s="12" t="str">
        <x:v>S059</x:v>
      </x:c>
      <x:c r="C100" s="12"/>
      <x:c r="D100" s="12" t="str">
        <x:v>Strain/electrode characterization</x:v>
      </x:c>
      <x:c r="E100" s="12" t="str">
        <x:v>Strain designs were tested at several rates and frequencies; electrode impedance was measured dry and after water moistening</x:v>
      </x:c>
      <x:c r="F100" s="12" t="str">
        <x:v>0–10% strain; 12–48 cycles/min; dry/moistened electrodes</x:v>
      </x:c>
      <x:c r="G100" s="12" t="str">
        <x:v>30 conditioning cycles; 20 dynamic cycles; 1000-cycle endurance; five impedance repetitions</x:v>
      </x:c>
      <x:c r="H100" s="12" t="str">
        <x:v>Mechanical tester and impedance analyzer</x:v>
      </x:c>
      <x:c r="I100" s="12" t="str">
        <x:v>Design variants, not replicate complete systems</x:v>
      </x:c>
      <x:c r="J100" s="12" t="str">
        <x:v>PDF pp. 5–11; Figs. 3–6</x:v>
      </x:c>
      <x:c r="K100" s="12" t="str">
        <x:v>Batch 05</x:v>
      </x:c>
    </x:row>
    <x:row r="101" ht="24" hidden="0" customHeight="1">
      <x:c r="A101" s="12" t="str">
        <x:v>S059-E02</x:v>
      </x:c>
      <x:c r="B101" s="12" t="str">
        <x:v>S059</x:v>
      </x:c>
      <x:c r="C101" s="12"/>
      <x:c r="D101" s="12" t="str">
        <x:v>Cardiorespiratory comparison</x:v>
      </x:c>
      <x:c r="E101" s="12" t="str">
        <x:v>Five volunteers were measured during seated/standing eupnea and tachypnea against BioHarness</x:v>
      </x:c>
      <x:c r="F101" s="12" t="str">
        <x:v>Defined postures and breathing states</x:v>
      </x:c>
      <x:c r="G101" s="12" t="str">
        <x:v>Five volunteers</x:v>
      </x:c>
      <x:c r="H101" s="12" t="str">
        <x:v>BioHarness reference</x:v>
      </x:c>
      <x:c r="I101" s="12" t="str">
        <x:v>Integrated wearable system</x:v>
      </x:c>
      <x:c r="J101" s="12" t="str">
        <x:v>PDF pp. 11–15; Figs. 7–9</x:v>
      </x:c>
      <x:c r="K101" s="12" t="str">
        <x:v>Batch 05</x:v>
      </x:c>
    </x:row>
    <x:row r="102" ht="24" hidden="0" customHeight="1">
      <x:c r="A102" s="12" t="str">
        <x:v>S060-E01</x:v>
      </x:c>
      <x:c r="B102" s="12" t="str">
        <x:v>S060</x:v>
      </x:c>
      <x:c r="C102" s="12"/>
      <x:c r="D102" s="12" t="str">
        <x:v>Configuration comparison and endurance</x:v>
      </x:c>
      <x:c r="E102" s="12" t="str">
        <x:v>Nine composition/cell-size configurations were compressed; selected sensor underwent endurance testing</x:v>
      </x:c>
      <x:c r="F102" s="12" t="str">
        <x:v>0–2 mm; selected 0–1 mm</x:v>
      </x:c>
      <x:c r="G102" s="12" t="str">
        <x:v>Four cycles/configuration; 100 cycles selected sensor</x:v>
      </x:c>
      <x:c r="H102" s="12" t="str">
        <x:v>Mechanical tester and resistance acquisition</x:v>
      </x:c>
      <x:c r="I102" s="12" t="str">
        <x:v>One sensor per configuration</x:v>
      </x:c>
      <x:c r="J102" s="12" t="str">
        <x:v>PDF pp. 6–11; Figs. 4–7</x:v>
      </x:c>
      <x:c r="K102" s="12" t="str">
        <x:v>Batch 06</x:v>
      </x:c>
    </x:row>
    <x:row r="103" ht="15" hidden="0" customHeight="1">
      <x:c r="A103" s="12" t="str">
        <x:v>S060-E02</x:v>
      </x:c>
      <x:c r="B103" s="12" t="str">
        <x:v>S060</x:v>
      </x:c>
      <x:c r="C103" s="12"/>
      <x:c r="D103" s="12" t="str">
        <x:v>Smart-midsole demonstration</x:v>
      </x:c>
      <x:c r="E103" s="12" t="str">
        <x:v>Four sensors in one shoe recorded a controlled step</x:v>
      </x:c>
      <x:c r="F103" s="12" t="str">
        <x:v>One controlled step</x:v>
      </x:c>
      <x:c r="G103" s="12" t="str">
        <x:v>Single participant/author; repetition count NR</x:v>
      </x:c>
      <x:c r="H103" s="12" t="str">
        <x:v>Wireless resistance acquisition</x:v>
      </x:c>
      <x:c r="I103" s="12" t="str">
        <x:v>One instrumented shoe</x:v>
      </x:c>
      <x:c r="J103" s="12" t="str">
        <x:v>PDF pp. 11–13; Figs. 8–9</x:v>
      </x:c>
      <x:c r="K103" s="12" t="str">
        <x:v>Batch 06</x:v>
      </x:c>
    </x:row>
    <x:row r="104" ht="15" hidden="0" customHeight="1">
      <x:c r="A104" s="12" t="str">
        <x:v>S061-E01</x:v>
      </x:c>
      <x:c r="B104" s="12" t="str">
        <x:v>S061</x:v>
      </x:c>
      <x:c r="C104" s="12"/>
      <x:c r="D104" s="12" t="str">
        <x:v>Antenna pressure characterization</x:v>
      </x:c>
      <x:c r="E104" s="12" t="str">
        <x:v>Resonance and return loss measured from no load to 25 N</x:v>
      </x:c>
      <x:c r="F104" s="12" t="str">
        <x:v>0, 5, 10, 15, 20 and 25 N</x:v>
      </x:c>
      <x:c r="G104" s="12" t="str">
        <x:v>Repeated-device count NR</x:v>
      </x:c>
      <x:c r="H104" s="12" t="str">
        <x:v>Vector network analyzer</x:v>
      </x:c>
      <x:c r="I104" s="12" t="str">
        <x:v>One or unspecified antenna sensors</x:v>
      </x:c>
      <x:c r="J104" s="12" t="str">
        <x:v>PDF pp. 6–9; Figs. 7–11; Table 1</x:v>
      </x:c>
      <x:c r="K104" s="12" t="str">
        <x:v>Batch 06</x:v>
      </x:c>
    </x:row>
    <x:row r="105" ht="15" hidden="0" customHeight="1">
      <x:c r="A105" s="12" t="str">
        <x:v>S061-E02</x:v>
      </x:c>
      <x:c r="B105" s="12" t="str">
        <x:v>S061</x:v>
      </x:c>
      <x:c r="C105" s="12"/>
      <x:c r="D105" s="12" t="str">
        <x:v>Splint integration comparison</x:v>
      </x:c>
      <x:c r="E105" s="12" t="str">
        <x:v>Assembled sensor response was compared with and without declared wear/loading</x:v>
      </x:c>
      <x:c r="F105" s="12" t="str">
        <x:v>Two assembly states</x:v>
      </x:c>
      <x:c r="G105" s="12" t="str">
        <x:v>Count NR</x:v>
      </x:c>
      <x:c r="H105" s="12" t="str">
        <x:v>Vector network analyzer</x:v>
      </x:c>
      <x:c r="I105" s="12" t="str">
        <x:v>One splint assembly</x:v>
      </x:c>
      <x:c r="J105" s="12" t="str">
        <x:v>PDF pp. 9–10; Figs. 12–13</x:v>
      </x:c>
      <x:c r="K105" s="12" t="str">
        <x:v>Batch 06</x:v>
      </x:c>
    </x:row>
    <x:row r="106" ht="24" hidden="0" customHeight="1">
      <x:c r="A106" s="12" t="str">
        <x:v>S063-E01</x:v>
      </x:c>
      <x:c r="B106" s="12" t="str">
        <x:v>S063</x:v>
      </x:c>
      <x:c r="C106" s="12"/>
      <x:c r="D106" s="12" t="str">
        <x:v>Pressure characterization and endurance</x:v>
      </x:c>
      <x:c r="E106" s="12" t="str">
        <x:v>TPU/CNT grade and infill variants were compressed; selected sensor underwent repeated loading</x:v>
      </x:c>
      <x:c r="F106" s="12" t="str">
        <x:v>Low-pressure regime and up to 50% compression</x:v>
      </x:c>
      <x:c r="G106" s="12" t="str">
        <x:v>10-cycle protocols; 1000 cycles selected sensor</x:v>
      </x:c>
      <x:c r="H106" s="12" t="str">
        <x:v>Mechanical tester and potentiostat at 1 V</x:v>
      </x:c>
      <x:c r="I106" s="12" t="str">
        <x:v>Variant count reported; replicate devices NR</x:v>
      </x:c>
      <x:c r="J106" s="12" t="str">
        <x:v>PDF pp. 6–10; Figs. 5–7</x:v>
      </x:c>
      <x:c r="K106" s="12" t="str">
        <x:v>Batch 06</x:v>
      </x:c>
    </x:row>
    <x:row r="107" ht="15" hidden="0" customHeight="1">
      <x:c r="A107" s="12" t="str">
        <x:v>S063-E02</x:v>
      </x:c>
      <x:c r="B107" s="12" t="str">
        <x:v>S063</x:v>
      </x:c>
      <x:c r="C107" s="12"/>
      <x:c r="D107" s="12" t="str">
        <x:v>Foot-worn demonstration</x:v>
      </x:c>
      <x:c r="E107" s="12" t="str">
        <x:v>Sensor beneath dominant-foot insole recorded walking and running</x:v>
      </x:c>
      <x:c r="F107" s="12" t="str">
        <x:v>Walking and running</x:v>
      </x:c>
      <x:c r="G107" s="12" t="str">
        <x:v>Repeated traces; one participant</x:v>
      </x:c>
      <x:c r="H107" s="12" t="str">
        <x:v>Human activity</x:v>
      </x:c>
      <x:c r="I107" s="12" t="str">
        <x:v>One demonstrated sensor</x:v>
      </x:c>
      <x:c r="J107" s="12" t="str">
        <x:v>PDF pp. 10–11; Fig. 8</x:v>
      </x:c>
      <x:c r="K107" s="12" t="str">
        <x:v>Batch 06</x:v>
      </x:c>
    </x:row>
    <x:row r="108" ht="24" hidden="0" customHeight="1">
      <x:c r="A108" s="12" t="str">
        <x:v>S064-E01</x:v>
      </x:c>
      <x:c r="B108" s="12" t="str">
        <x:v>S064</x:v>
      </x:c>
      <x:c r="C108" s="12"/>
      <x:c r="D108" s="12" t="str">
        <x:v>Impact calibration</x:v>
      </x:c>
      <x:c r="E108" s="12" t="str">
        <x:v>Five printed specimens were struck at different velocities and compared with simulation</x:v>
      </x:c>
      <x:c r="F108" s="12" t="str">
        <x:v>0.4–2.0 m/s</x:v>
      </x:c>
      <x:c r="G108" s="12" t="str">
        <x:v>Two impacts per velocity</x:v>
      </x:c>
      <x:c r="H108" s="12" t="str">
        <x:v>High-speed/impact apparatus and finite-element model</x:v>
      </x:c>
      <x:c r="I108" s="12" t="str">
        <x:v>Five specimens, each assigned a different velocity</x:v>
      </x:c>
      <x:c r="J108" s="12" t="str">
        <x:v>PDF pp. 4–8; Figs. 3–6</x:v>
      </x:c>
      <x:c r="K108" s="12" t="str">
        <x:v>Batch 06</x:v>
      </x:c>
    </x:row>
    <x:row r="109" ht="15" hidden="0" customHeight="1">
      <x:c r="A109" s="12" t="str">
        <x:v>S064-E02</x:v>
      </x:c>
      <x:c r="B109" s="12" t="str">
        <x:v>S064</x:v>
      </x:c>
      <x:c r="C109" s="12"/>
      <x:c r="D109" s="12" t="str">
        <x:v>Application demonstrations</x:v>
      </x:c>
      <x:c r="E109" s="12" t="str">
        <x:v>Sensors were applied to helmet impact, finger bending and multi-sensor localization</x:v>
      </x:c>
      <x:c r="F109" s="12" t="str">
        <x:v>Application-specific impact/angles</x:v>
      </x:c>
      <x:c r="G109" s="12" t="str">
        <x:v>Repeated traces; counts partly unstated</x:v>
      </x:c>
      <x:c r="H109" s="12" t="str">
        <x:v>Impact/flexion inputs</x:v>
      </x:c>
      <x:c r="I109" s="12" t="str">
        <x:v>Integrated prototypes</x:v>
      </x:c>
      <x:c r="J109" s="12" t="str">
        <x:v>PDF pp. 8–10; Figs. 7–9</x:v>
      </x:c>
      <x:c r="K109" s="12" t="str">
        <x:v>Batch 06</x:v>
      </x:c>
    </x:row>
    <x:row r="110" ht="15" hidden="0" customHeight="1">
      <x:c r="A110" s="12" t="str">
        <x:v>S065-E01</x:v>
      </x:c>
      <x:c r="B110" s="12" t="str">
        <x:v>S065</x:v>
      </x:c>
      <x:c r="C110" s="12"/>
      <x:c r="D110" s="12" t="str">
        <x:v>Pressure response and repeatability</x:v>
      </x:c>
      <x:c r="E110" s="12" t="str">
        <x:v>Plain and microstructured sensors were pressure tested and cycled</x:v>
      </x:c>
      <x:c r="F110" s="12" t="str">
        <x:v>1.23–6.13 kPa</x:v>
      </x:c>
      <x:c r="G110" s="12" t="str">
        <x:v>10 cycles; four separately fabricated devices</x:v>
      </x:c>
      <x:c r="H110" s="12" t="str">
        <x:v>Controlled pressure and resistance acquisition</x:v>
      </x:c>
      <x:c r="I110" s="12" t="str">
        <x:v>Four devices quantitatively compared</x:v>
      </x:c>
      <x:c r="J110" s="12" t="str">
        <x:v>PDF pp. 5–8; Figs. 4–6</x:v>
      </x:c>
      <x:c r="K110" s="12" t="str">
        <x:v>Batch 06</x:v>
      </x:c>
    </x:row>
    <x:row r="111" ht="15" hidden="0" customHeight="1">
      <x:c r="A111" s="12" t="str">
        <x:v>S065-E02</x:v>
      </x:c>
      <x:c r="B111" s="12" t="str">
        <x:v>S065</x:v>
      </x:c>
      <x:c r="C111" s="12"/>
      <x:c r="D111" s="12" t="str">
        <x:v>Body/interface demonstrations</x:v>
      </x:c>
      <x:c r="E111" s="12" t="str">
        <x:v>Mouse clicking and finger bending produced repeated signals</x:v>
      </x:c>
      <x:c r="F111" s="12" t="str">
        <x:v>Finger bending ~45°</x:v>
      </x:c>
      <x:c r="G111" s="12" t="str">
        <x:v>Repeated traces</x:v>
      </x:c>
      <x:c r="H111" s="12" t="str">
        <x:v>Human motions</x:v>
      </x:c>
      <x:c r="I111" s="12" t="str">
        <x:v>Complete sensors</x:v>
      </x:c>
      <x:c r="J111" s="12" t="str">
        <x:v>PDF pp. 8–9; Fig. 7</x:v>
      </x:c>
      <x:c r="K111" s="12" t="str">
        <x:v>Batch 06</x:v>
      </x:c>
    </x:row>
    <x:row r="112" ht="24" hidden="0" customHeight="1">
      <x:c r="A112" s="12" t="str">
        <x:v>S066-E01</x:v>
      </x:c>
      <x:c r="B112" s="12" t="str">
        <x:v>S066</x:v>
      </x:c>
      <x:c r="C112" s="12"/>
      <x:c r="D112" s="12" t="str">
        <x:v>Static and dynamic respiratory validation</x:v>
      </x:c>
      <x:c r="E112" s="12" t="str">
        <x:v>13 volunteers completed paced breathing, walking, jogging and stairs against BioHarness</x:v>
      </x:c>
      <x:c r="F112" s="12" t="str">
        <x:v>Bradypnea/eupnea/tachypnea; three activities</x:v>
      </x:c>
      <x:c r="G112" s="12" t="str">
        <x:v>13 participants</x:v>
      </x:c>
      <x:c r="H112" s="12" t="str">
        <x:v>BioHarness 3.0 reference</x:v>
      </x:c>
      <x:c r="I112" s="12" t="str">
        <x:v>Complete wearable system; device count NR</x:v>
      </x:c>
      <x:c r="J112" s="12" t="str">
        <x:v>PDF pp. 4–8; Figs. 4–8; Table I</x:v>
      </x:c>
      <x:c r="K112" s="12" t="str">
        <x:v>Batch 06</x:v>
      </x:c>
    </x:row>
    <x:row r="113" ht="15" hidden="0" customHeight="1">
      <x:c r="A113" s="12" t="str">
        <x:v>S066-E02</x:v>
      </x:c>
      <x:c r="B113" s="12" t="str">
        <x:v>S066</x:v>
      </x:c>
      <x:c r="C113" s="12"/>
      <x:c r="D113" s="12" t="str">
        <x:v>Extended-use trace</x:v>
      </x:c>
      <x:c r="E113" s="12" t="str">
        <x:v>One participant wore the system during everyday activities</x:v>
      </x:c>
      <x:c r="F113" s="12" t="str">
        <x:v>42 min</x:v>
      </x:c>
      <x:c r="G113" s="12" t="str">
        <x:v>One participant</x:v>
      </x:c>
      <x:c r="H113" s="12" t="str">
        <x:v>Concurrent signals</x:v>
      </x:c>
      <x:c r="I113" s="12" t="str">
        <x:v>One system</x:v>
      </x:c>
      <x:c r="J113" s="12" t="str">
        <x:v>PDF pp. 7–8; Fig. 8</x:v>
      </x:c>
      <x:c r="K113" s="12" t="str">
        <x:v>Batch 06</x:v>
      </x:c>
    </x:row>
    <x:row r="114" ht="24" hidden="0" customHeight="1">
      <x:c r="A114" s="12" t="str">
        <x:v>S067-E01</x:v>
      </x:c>
      <x:c r="B114" s="12" t="str">
        <x:v>S067</x:v>
      </x:c>
      <x:c r="C114" s="12"/>
      <x:c r="D114" s="12" t="str">
        <x:v>Force, frequency, endurance and environment</x:v>
      </x:c>
      <x:c r="E114" s="12" t="str">
        <x:v>TENG response was measured versus force/frequency, then cycled and exposed to controlled temperature/humidity</x:v>
      </x:c>
      <x:c r="F114" s="12" t="str">
        <x:v>10–200 N; 1–3 Hz; 10–40 °C; RH 15–50%</x:v>
      </x:c>
      <x:c r="G114" s="12" t="str">
        <x:v>Nearly 10,000 impacts</x:v>
      </x:c>
      <x:c r="H114" s="12" t="str">
        <x:v>Mechanical actuation and environmental conditions</x:v>
      </x:c>
      <x:c r="I114" s="12" t="str">
        <x:v>Device count NR</x:v>
      </x:c>
      <x:c r="J114" s="12" t="str">
        <x:v>PDF pp. 4–7; Figs. 3–6</x:v>
      </x:c>
      <x:c r="K114" s="12" t="str">
        <x:v>Batch 06</x:v>
      </x:c>
    </x:row>
    <x:row r="115" ht="15" hidden="0" customHeight="1">
      <x:c r="A115" s="12" t="str">
        <x:v>S067-E02</x:v>
      </x:c>
      <x:c r="B115" s="12" t="str">
        <x:v>S067</x:v>
      </x:c>
      <x:c r="C115" s="12"/>
      <x:c r="D115" s="12" t="str">
        <x:v>Worn activity classification</x:v>
      </x:c>
      <x:c r="E115" s="12" t="str">
        <x:v>Insole recorded six activities for SVM classification</x:v>
      </x:c>
      <x:c r="F115" s="12" t="str">
        <x:v>Six activities; 412 samples</x:v>
      </x:c>
      <x:c r="G115" s="12" t="str">
        <x:v>Fivefold cross-validation</x:v>
      </x:c>
      <x:c r="H115" s="12" t="str">
        <x:v>Activity labels</x:v>
      </x:c>
      <x:c r="I115" s="12" t="str">
        <x:v>Participant/device count NR</x:v>
      </x:c>
      <x:c r="J115" s="12" t="str">
        <x:v>PDF pp. 7–9; Figs. 7–8</x:v>
      </x:c>
      <x:c r="K115" s="12" t="str">
        <x:v>Batch 06</x:v>
      </x:c>
    </x:row>
    <x:row r="116" ht="24" hidden="0" customHeight="1">
      <x:c r="A116" s="12" t="str">
        <x:v>S068-E01</x:v>
      </x:c>
      <x:c r="B116" s="12" t="str">
        <x:v>S068</x:v>
      </x:c>
      <x:c r="C116" s="12"/>
      <x:c r="D116" s="12" t="str">
        <x:v>Strain characterization and endurance</x:v>
      </x:c>
      <x:c r="E116" s="12" t="str">
        <x:v>TPU/CB and TPU/CB/Ag were compared through static, cyclic and frequency tests</x:v>
      </x:c>
      <x:c r="F116" s="12" t="str">
        <x:v>0–15% principal GF test; 2% endurance</x:v>
      </x:c>
      <x:c r="G116" s="12" t="str">
        <x:v>Three repeats on same sample; 20 cycles; 500 cycles</x:v>
      </x:c>
      <x:c r="H116" s="12" t="str">
        <x:v>Mechanical tester and four-wire resistance acquisition</x:v>
      </x:c>
      <x:c r="I116" s="12" t="str">
        <x:v>One sample of each sensor type for repeated GF tests</x:v>
      </x:c>
      <x:c r="J116" s="12" t="str">
        <x:v>PDF pp. 4–8; Figs. 4–6</x:v>
      </x:c>
      <x:c r="K116" s="12" t="str">
        <x:v>Batch 06</x:v>
      </x:c>
    </x:row>
    <x:row r="117" ht="15" hidden="0" customHeight="1">
      <x:c r="A117" s="12" t="str">
        <x:v>S068-E02</x:v>
      </x:c>
      <x:c r="B117" s="12" t="str">
        <x:v>S068</x:v>
      </x:c>
      <x:c r="C117" s="12"/>
      <x:c r="D117" s="12" t="str">
        <x:v>Human/robot demonstrations</x:v>
      </x:c>
      <x:c r="E117" s="12" t="str">
        <x:v>Sensor recorded multiple volunteer motions and deformation of a soft robotic link</x:v>
      </x:c>
      <x:c r="F117" s="12" t="str">
        <x:v>Application-specific strains</x:v>
      </x:c>
      <x:c r="G117" s="12" t="str">
        <x:v>Repeated traces; count NR</x:v>
      </x:c>
      <x:c r="H117" s="12" t="str">
        <x:v>Body and robot motion</x:v>
      </x:c>
      <x:c r="I117" s="12" t="str">
        <x:v>One or unspecified devices</x:v>
      </x:c>
      <x:c r="J117" s="12" t="str">
        <x:v>PDF pp. 8–10; Fig. 7</x:v>
      </x:c>
      <x:c r="K117" s="12" t="str">
        <x:v>Batch 06</x:v>
      </x:c>
    </x:row>
    <x:row r="118" ht="24" hidden="0" customHeight="1">
      <x:c r="A118" s="12" t="str">
        <x:v>S069-E01</x:v>
      </x:c>
      <x:c r="B118" s="12" t="str">
        <x:v>S069</x:v>
      </x:c>
      <x:c r="C118" s="12"/>
      <x:c r="D118" s="12" t="str">
        <x:v>TENG optimization and electrical output</x:v>
      </x:c>
      <x:c r="E118" s="12" t="str">
        <x:v>Polymer, textile, pattern, thickness, force, frequency and load-resistance effects were evaluated</x:v>
      </x:c>
      <x:c r="F118" s="12" t="str">
        <x:v>Up to 40 N and 8 Hz; loads 1 kΩ–1 GΩ</x:v>
      </x:c>
      <x:c r="G118" s="12" t="str">
        <x:v>Variant/device replication NR</x:v>
      </x:c>
      <x:c r="H118" s="12" t="str">
        <x:v>Mechanical actuation and electrical acquisition</x:v>
      </x:c>
      <x:c r="I118" s="12" t="str">
        <x:v>Material/geometry variants</x:v>
      </x:c>
      <x:c r="J118" s="12" t="str">
        <x:v>PDF pp. 4–11; Figs. 3–10; Table 1</x:v>
      </x:c>
      <x:c r="K118" s="12" t="str">
        <x:v>Batch 06</x:v>
      </x:c>
    </x:row>
    <x:row r="119" ht="24" hidden="0" customHeight="1">
      <x:c r="A119" s="12" t="str">
        <x:v>S069-E02</x:v>
      </x:c>
      <x:c r="B119" s="12" t="str">
        <x:v>S069</x:v>
      </x:c>
      <x:c r="C119" s="12"/>
      <x:c r="D119" s="12" t="str">
        <x:v>Durability, washing and adhesion</x:v>
      </x:c>
      <x:c r="E119" s="12" t="str">
        <x:v>Optimized textile TENG was cycled, hand-washed and peel tested</x:v>
      </x:c>
      <x:c r="F119" s="12" t="str">
        <x:v>20,000 cycles at 8 Hz/20 N; water and detergent 30 min</x:v>
      </x:c>
      <x:c r="G119" s="12" t="str">
        <x:v>20,000 cycles; device replicate count NR</x:v>
      </x:c>
      <x:c r="H119" s="12" t="str">
        <x:v>DIN EN ISO 11339 peel test and electrical output</x:v>
      </x:c>
      <x:c r="I119" s="12" t="str">
        <x:v>One or unspecified optimized devices</x:v>
      </x:c>
      <x:c r="J119" s="12" t="str">
        <x:v>PDF pp. 10–12; Fig. 10f–g; Figs. S10–S11 cited</x:v>
      </x:c>
      <x:c r="K119" s="12" t="str">
        <x:v>Batch 06</x:v>
      </x:c>
    </x:row>
    <x:row r="120" ht="24" hidden="0" customHeight="1">
      <x:c r="A120" s="12" t="str">
        <x:v>S070-E01</x:v>
      </x:c>
      <x:c r="B120" s="12" t="str">
        <x:v>S070</x:v>
      </x:c>
      <x:c r="C120" s="12"/>
      <x:c r="D120" s="12" t="str">
        <x:v>Strain, thermal and humidity characterization</x:v>
      </x:c>
      <x:c r="E120" s="12" t="str">
        <x:v>Four TPU/speed configurations were tested against controlled strain, temperature and RH</x:v>
      </x:c>
      <x:c r="F120" s="12" t="str">
        <x:v>0–1% strain; 20–45 °C; 25–75% RH</x:v>
      </x:c>
      <x:c r="G120" s="12" t="str">
        <x:v>10 strain repetitions; thermal/RH curves; 100-cycle hysteresis test</x:v>
      </x:c>
      <x:c r="H120" s="12" t="str">
        <x:v>Mechanical tester, climate/reference instruments and optical interrogator</x:v>
      </x:c>
      <x:c r="I120" s="12" t="str">
        <x:v>One sensor per configuration</x:v>
      </x:c>
      <x:c r="J120" s="12" t="str">
        <x:v>PDF pp. 4–7; Figs. 3–9</x:v>
      </x:c>
      <x:c r="K120" s="12" t="str">
        <x:v>Batch 07</x:v>
      </x:c>
    </x:row>
    <x:row r="121" ht="24" hidden="0" customHeight="1">
      <x:c r="A121" s="12" t="str">
        <x:v>S070-E02</x:v>
      </x:c>
      <x:c r="B121" s="12" t="str">
        <x:v>S070</x:v>
      </x:c>
      <x:c r="C121" s="12"/>
      <x:c r="D121" s="12" t="str">
        <x:v>Wearable demonstrations</x:v>
      </x:c>
      <x:c r="E121" s="12" t="str">
        <x:v>One volunteer completed knee flexion and respiratory/cardiac protocols</x:v>
      </x:c>
      <x:c r="F121" s="12" t="str">
        <x:v>Knee 0–90°; slow/fast movement; apnea/breathing</x:v>
      </x:c>
      <x:c r="G121" s="12" t="str">
        <x:v>Five slow and five fast knee cycles; respiratory intervals</x:v>
      </x:c>
      <x:c r="H121" s="12" t="str">
        <x:v>BioHarness/reference measurements where stated</x:v>
      </x:c>
      <x:c r="I121" s="12" t="str">
        <x:v>One participant and demonstrated device</x:v>
      </x:c>
      <x:c r="J121" s="12" t="str">
        <x:v>PDF pp. 7–9; Figs. 10–12</x:v>
      </x:c>
      <x:c r="K121" s="12" t="str">
        <x:v>Batch 07</x:v>
      </x:c>
    </x:row>
    <x:row r="122" ht="15" hidden="0" customHeight="1">
      <x:c r="A122" s="12" t="str">
        <x:v>S071-E01</x:v>
      </x:c>
      <x:c r="B122" s="12" t="str">
        <x:v>S071</x:v>
      </x:c>
      <x:c r="C122" s="12"/>
      <x:c r="D122" s="12" t="str">
        <x:v>TPMS compression and endurance</x:v>
      </x:c>
      <x:c r="E122" s="12" t="str">
        <x:v>Uniform/gradient TPMS sensors were compressed and selected sensors cycled</x:v>
      </x:c>
      <x:c r="F122" s="12" t="str">
        <x:v>Controlled compression; 3 and 20 mm min⁻¹</x:v>
      </x:c>
      <x:c r="G122" s="12" t="str">
        <x:v>1000 compression cycles</x:v>
      </x:c>
      <x:c r="H122" s="12" t="str">
        <x:v>Universal tester and Keithley 2450</x:v>
      </x:c>
      <x:c r="I122" s="12" t="str">
        <x:v>Configuration variants; complete-device replicates NR</x:v>
      </x:c>
      <x:c r="J122" s="12" t="str">
        <x:v>PDF pp. 3–9; Figs. 3–11</x:v>
      </x:c>
      <x:c r="K122" s="12" t="str">
        <x:v>Batch 07</x:v>
      </x:c>
    </x:row>
    <x:row r="123" ht="15" hidden="0" customHeight="1">
      <x:c r="A123" s="12" t="str">
        <x:v>S071-E02</x:v>
      </x:c>
      <x:c r="B123" s="12" t="str">
        <x:v>S071</x:v>
      </x:c>
      <x:c r="C123" s="12"/>
      <x:c r="D123" s="12" t="str">
        <x:v>Gait demonstration</x:v>
      </x:c>
      <x:c r="E123" s="12" t="str">
        <x:v>Five volunteers performed controlled slow and fast walking</x:v>
      </x:c>
      <x:c r="F123" s="12" t="str">
        <x:v>0.5 and 1.0 m s⁻¹</x:v>
      </x:c>
      <x:c r="G123" s="12" t="str">
        <x:v>Ten gait cycles per volunteer</x:v>
      </x:c>
      <x:c r="H123" s="12" t="str">
        <x:v>Speed-controlled walking protocol</x:v>
      </x:c>
      <x:c r="I123" s="12" t="str">
        <x:v>Five volunteers, age 24–26 years</x:v>
      </x:c>
      <x:c r="J123" s="12" t="str">
        <x:v>PDF pp. 9–10; Fig. 12</x:v>
      </x:c>
      <x:c r="K123" s="12" t="str">
        <x:v>Batch 07</x:v>
      </x:c>
    </x:row>
    <x:row r="124" ht="24" hidden="0" customHeight="1">
      <x:c r="A124" s="12" t="str">
        <x:v>S073-E01</x:v>
      </x:c>
      <x:c r="B124" s="12" t="str">
        <x:v>S073</x:v>
      </x:c>
      <x:c r="C124" s="12"/>
      <x:c r="D124" s="12" t="str">
        <x:v>Multimodal bench characterization</x:v>
      </x:c>
      <x:c r="E124" s="12" t="str">
        <x:v>Star sensors were loaded in strain/stress modes and heated</x:v>
      </x:c>
      <x:c r="F124" s="12" t="str">
        <x:v>0–180% strain; 0–1 MPa; 30–100 °C</x:v>
      </x:c>
      <x:c r="G124" s="12" t="str">
        <x:v>Repeated traces; central-cross sensor evaluated after stabilization</x:v>
      </x:c>
      <x:c r="H124" s="12" t="str">
        <x:v>Mechanical/electrical/thermal instruments</x:v>
      </x:c>
      <x:c r="I124" s="12" t="str">
        <x:v>Structure variants; device count NR</x:v>
      </x:c>
      <x:c r="J124" s="12" t="str">
        <x:v>PDF pp. 5–11; Figs. 4–8</x:v>
      </x:c>
      <x:c r="K124" s="12" t="str">
        <x:v>Batch 07</x:v>
      </x:c>
    </x:row>
    <x:row r="125" ht="24" hidden="0" customHeight="1">
      <x:c r="A125" s="12" t="str">
        <x:v>S073-E02</x:v>
      </x:c>
      <x:c r="B125" s="12" t="str">
        <x:v>S073</x:v>
      </x:c>
      <x:c r="C125" s="12"/>
      <x:c r="D125" s="12" t="str">
        <x:v>Wearable and robotic-control demonstrations</x:v>
      </x:c>
      <x:c r="E125" s="12" t="str">
        <x:v>Sensors measured arm/joint events and finger angles and drove a robotic/prosthetic hand</x:v>
      </x:c>
      <x:c r="F125" s="12" t="str">
        <x:v>Application-specific positions and motions</x:v>
      </x:c>
      <x:c r="G125" s="12" t="str">
        <x:v>Repeated traces; counts partly NR</x:v>
      </x:c>
      <x:c r="H125" s="12" t="str">
        <x:v>Motion/angle inputs and control system</x:v>
      </x:c>
      <x:c r="I125" s="12" t="str">
        <x:v>One or unspecified complete systems</x:v>
      </x:c>
      <x:c r="J125" s="12" t="str">
        <x:v>PDF pp. 10–13; Figs. 8–10</x:v>
      </x:c>
      <x:c r="K125" s="12" t="str">
        <x:v>Batch 07</x:v>
      </x:c>
    </x:row>
    <x:row r="126" ht="24" hidden="0" customHeight="1">
      <x:c r="A126" s="12" t="str">
        <x:v>S074-E01</x:v>
      </x:c>
      <x:c r="B126" s="12" t="str">
        <x:v>S074</x:v>
      </x:c>
      <x:c r="C126" s="12"/>
      <x:c r="D126" s="12" t="str">
        <x:v>Metrological characterization</x:v>
      </x:c>
      <x:c r="E126" s="12" t="str">
        <x:v>One sensor underwent temperature, strain, dynamic and endurance characterization</x:v>
      </x:c>
      <x:c r="F126" s="12" t="str">
        <x:v>~23–50 °C; 0–1% strain; 12–36 rpm</x:v>
      </x:c>
      <x:c r="G126" s="12" t="str">
        <x:v>Nine strain repetitions; 3×8 dynamic cycles; 110 cycles per speed</x:v>
      </x:c>
      <x:c r="H126" s="12" t="str">
        <x:v>Optical interrogator, mechanical tester and temperature reference</x:v>
      </x:c>
      <x:c r="I126" s="12" t="str">
        <x:v>One of two fabricated sensors characterized</x:v>
      </x:c>
      <x:c r="J126" s="12" t="str">
        <x:v>PDF pp. 4–6; Figs. 3–7</x:v>
      </x:c>
      <x:c r="K126" s="12" t="str">
        <x:v>Batch 07</x:v>
      </x:c>
    </x:row>
    <x:row r="127" ht="24" hidden="0" customHeight="1">
      <x:c r="A127" s="12" t="str">
        <x:v>S074-E02</x:v>
      </x:c>
      <x:c r="B127" s="12" t="str">
        <x:v>S074</x:v>
      </x:c>
      <x:c r="C127" s="12"/>
      <x:c r="D127" s="12" t="str">
        <x:v>Human physiological/biomechanical validation</x:v>
      </x:c>
      <x:c r="E127" s="12" t="str">
        <x:v>Eight participants completed breathing, heart-rate and trunk-flexion protocols</x:v>
      </x:c>
      <x:c r="F127" s="12" t="str">
        <x:v>Apnea/normal/fast breathing; slow/fast trunk flexion</x:v>
      </x:c>
      <x:c r="G127" s="12" t="str">
        <x:v>Participant-level comparisons; five slow and five fast flexions</x:v>
      </x:c>
      <x:c r="H127" s="12" t="str">
        <x:v>Zephyr BioHarness and reference timing</x:v>
      </x:c>
      <x:c r="I127" s="12" t="str">
        <x:v>Eight participants</x:v>
      </x:c>
      <x:c r="J127" s="12" t="str">
        <x:v>PDF pp. 6–9; Figs. 8–13</x:v>
      </x:c>
      <x:c r="K127" s="12" t="str">
        <x:v>Batch 07</x:v>
      </x:c>
    </x:row>
    <x:row r="128" ht="24" hidden="0" customHeight="1">
      <x:c r="A128" s="12" t="str">
        <x:v>S075-E01</x:v>
      </x:c>
      <x:c r="B128" s="12" t="str">
        <x:v>S075</x:v>
      </x:c>
      <x:c r="C128" s="12"/>
      <x:c r="D128" s="12" t="str">
        <x:v>Electromechanical and endurance tests</x:v>
      </x:c>
      <x:c r="E128" s="12" t="str">
        <x:v>BS, TS and SS underwent quasi-static, rate-dependent and endurance loading</x:v>
      </x:c>
      <x:c r="F128" s="12" t="str">
        <x:v>0–5% strain; 6–90 cycles min⁻¹</x:v>
      </x:c>
      <x:c r="G128" s="12" t="str">
        <x:v>Five quasi-static cycles; 20 cycles/rate; 1000 cycles at 48 cpm</x:v>
      </x:c>
      <x:c r="H128" s="12" t="str">
        <x:v>Instron 3365 and resistance acquisition</x:v>
      </x:c>
      <x:c r="I128" s="12" t="str">
        <x:v>One separately integrated sensor per configuration</x:v>
      </x:c>
      <x:c r="J128" s="12" t="str">
        <x:v>PDF pp. 4–6; Figs. 2–5</x:v>
      </x:c>
      <x:c r="K128" s="12" t="str">
        <x:v>Batch 07</x:v>
      </x:c>
    </x:row>
    <x:row r="129" ht="15" hidden="0" customHeight="1">
      <x:c r="A129" s="12" t="str">
        <x:v>S075-E02</x:v>
      </x:c>
      <x:c r="B129" s="12" t="str">
        <x:v>S075</x:v>
      </x:c>
      <x:c r="C129" s="12"/>
      <x:c r="D129" s="12" t="str">
        <x:v>Hygrothermal characterization</x:v>
      </x:c>
      <x:c r="E129" s="12" t="str">
        <x:v>All configurations were exposed to controlled temperature and RH cycles</x:v>
      </x:c>
      <x:c r="F129" s="12" t="str">
        <x:v>25–65 °C at 40% RH; 20–65% RH at 30 °C</x:v>
      </x:c>
      <x:c r="G129" s="12" t="str">
        <x:v>Three heating/cooling and three humidity cycles</x:v>
      </x:c>
      <x:c r="H129" s="12" t="str">
        <x:v>KBF-S ECO 240 chamber and GY-21 reference</x:v>
      </x:c>
      <x:c r="I129" s="12" t="str">
        <x:v>Three configurations</x:v>
      </x:c>
      <x:c r="J129" s="12" t="str">
        <x:v>PDF pp. 6–7; Fig. 6</x:v>
      </x:c>
      <x:c r="K129" s="12" t="str">
        <x:v>Batch 07</x:v>
      </x:c>
    </x:row>
    <x:row r="130" ht="24" hidden="0" customHeight="1">
      <x:c r="A130" s="12" t="str">
        <x:v>S075-E03</x:v>
      </x:c>
      <x:c r="B130" s="12" t="str">
        <x:v>S075</x:v>
      </x:c>
      <x:c r="C130" s="12"/>
      <x:c r="D130" s="12" t="str">
        <x:v>Physiological pilot tests</x:v>
      </x:c>
      <x:c r="E130" s="12" t="str">
        <x:v>Tape-integrated sensor measured paced breathing, sit-to-stand and elbow motion in one volunteer</x:v>
      </x:c>
      <x:c r="F130" s="12" t="str">
        <x:v>Breathing cues 3, 2 and 1 s; knee/elbow 0–90°</x:v>
      </x:c>
      <x:c r="G130" s="12" t="str">
        <x:v>Multiple sit-to-stand cycles; three controlled elbow cycles</x:v>
      </x:c>
      <x:c r="H130" s="12" t="str">
        <x:v>Smartphone breathing cue and electro-goniometer</x:v>
      </x:c>
      <x:c r="I130" s="12" t="str">
        <x:v>One healthy volunteer</x:v>
      </x:c>
      <x:c r="J130" s="12" t="str">
        <x:v>PDF pp. 7–8; Fig. 7</x:v>
      </x:c>
      <x:c r="K130" s="12" t="str">
        <x:v>Batch 07</x:v>
      </x:c>
    </x:row>
    <x:row r="131" ht="24" hidden="0" customHeight="1">
      <x:c r="A131" s="12" t="str">
        <x:v>S076-E01</x:v>
      </x:c>
      <x:c r="B131" s="12" t="str">
        <x:v>S076</x:v>
      </x:c>
      <x:c r="C131" s="12"/>
      <x:c r="D131" s="12" t="str">
        <x:v>Force/frequency/electrical characterization</x:v>
      </x:c>
      <x:c r="E131" s="12" t="str">
        <x:v>PVDF HPTENGs of different thicknesses were subjected to controlled vertical contact-separation</x:v>
      </x:c>
      <x:c r="F131" s="12" t="str">
        <x:v>Up to approximately 200 N; 1–5 Hz; 0.1–47 MΩ</x:v>
      </x:c>
      <x:c r="G131" s="12" t="str">
        <x:v>1000 cycles main article; approximately 5000 cycles in cited Fig. S9</x:v>
      </x:c>
      <x:c r="H131" s="12" t="str">
        <x:v>Pneumatic actuator, force measurement and oscilloscope</x:v>
      </x:c>
      <x:c r="I131" s="12" t="str">
        <x:v>Thickness variants; complete-device replicate count NR</x:v>
      </x:c>
      <x:c r="J131" s="12" t="str">
        <x:v>PDF pp. 3–7; Figs. 3–5; Figs. S4–S9 cited</x:v>
      </x:c>
      <x:c r="K131" s="12" t="str">
        <x:v>Batch 07</x:v>
      </x:c>
    </x:row>
    <x:row r="132" ht="15" hidden="0" customHeight="1">
      <x:c r="A132" s="12" t="str">
        <x:v>S076-E02</x:v>
      </x:c>
      <x:c r="B132" s="12" t="str">
        <x:v>S076</x:v>
      </x:c>
      <x:c r="C132" s="12"/>
      <x:c r="D132" s="12" t="str">
        <x:v>Tactile and wearable demonstrations</x:v>
      </x:c>
      <x:c r="E132" s="12" t="str">
        <x:v>Device detected finger taps, mouse clicks and repeated finger-joint bending</x:v>
      </x:c>
      <x:c r="F132" s="12" t="str">
        <x:v>Touch below 15 N and application-specific bending</x:v>
      </x:c>
      <x:c r="G132" s="12" t="str">
        <x:v>Repeated waveforms; counts partly NR</x:v>
      </x:c>
      <x:c r="H132" s="12" t="str">
        <x:v>Direct touch/motion inputs</x:v>
      </x:c>
      <x:c r="I132" s="12" t="str">
        <x:v>One or unspecified devices</x:v>
      </x:c>
      <x:c r="J132" s="12" t="str">
        <x:v>PDF pp. 7–8; Fig. 6</x:v>
      </x:c>
      <x:c r="K132" s="12" t="str">
        <x:v>Batch 07</x:v>
      </x:c>
    </x:row>
    <x:row r="133" ht="24" hidden="0" customHeight="1">
      <x:c r="A133" s="12" t="str">
        <x:v>S077-E01</x:v>
      </x:c>
      <x:c r="B133" s="12" t="str">
        <x:v>S077</x:v>
      </x:c>
      <x:c r="C133" s="12"/>
      <x:c r="D133" s="12" t="str">
        <x:v>Multifunctional bench characterization</x:v>
      </x:c>
      <x:c r="E133" s="12" t="str">
        <x:v>Hybrid sensor was tested under tensile strain, pressure, temperature and dynamic loading</x:v>
      </x:c>
      <x:c r="F133" s="12" t="str">
        <x:v>0–250% strain; 1–150 kPa; 0–90 °C</x:v>
      </x:c>
      <x:c r="G133" s="12" t="str">
        <x:v>Measurements stated as repeated three times; 6000 cycles reported</x:v>
      </x:c>
      <x:c r="H133" s="12" t="str">
        <x:v>Motorized stage, multimeter, LCR meter and UTM</x:v>
      </x:c>
      <x:c r="I133" s="12" t="str">
        <x:v>Separate-device basis of triplicates not stated</x:v>
      </x:c>
      <x:c r="J133" s="12" t="str">
        <x:v>PDF pp. 4–11; Figs. 4–5; Table 1</x:v>
      </x:c>
      <x:c r="K133" s="12" t="str">
        <x:v>Batch 07</x:v>
      </x:c>
    </x:row>
    <x:row r="134" ht="24" hidden="0" customHeight="1">
      <x:c r="A134" s="12" t="str">
        <x:v>S077-E02</x:v>
      </x:c>
      <x:c r="B134" s="12" t="str">
        <x:v>S077</x:v>
      </x:c>
      <x:c r="C134" s="12"/>
      <x:c r="D134" s="12" t="str">
        <x:v>Human and animal motion demonstrations</x:v>
      </x:c>
      <x:c r="E134" s="12" t="str">
        <x:v>Sensor measured pulse, voice, face/joint motion and rodent muscle activity</x:v>
      </x:c>
      <x:c r="F134" s="12" t="str">
        <x:v>Multiple body motions and post-anesthesia behavior</x:v>
      </x:c>
      <x:c r="G134" s="12" t="str">
        <x:v>Repeated motion traces; counts vary by demonstration</x:v>
      </x:c>
      <x:c r="H134" s="12" t="str">
        <x:v>Direct motion/behavioral observations</x:v>
      </x:c>
      <x:c r="I134" s="12" t="str">
        <x:v>Human participant(s) and rodent demonstration; exact n partly NR</x:v>
      </x:c>
      <x:c r="J134" s="12" t="str">
        <x:v>PDF pp. 10–15; Figs. 5–7</x:v>
      </x:c>
      <x:c r="K134" s="12" t="str">
        <x:v>Batch 07</x:v>
      </x:c>
    </x:row>
    <x:row r="135" ht="24" hidden="0" customHeight="1">
      <x:c r="A135" s="12" t="str">
        <x:v>S078-E01</x:v>
      </x:c>
      <x:c r="B135" s="12" t="str">
        <x:v>S078</x:v>
      </x:c>
      <x:c r="C135" s="12"/>
      <x:c r="D135" s="12" t="str">
        <x:v>Pressure/strain and endurance characterization</x:v>
      </x:c>
      <x:c r="E135" s="12" t="str">
        <x:v>Microwave-treated TPU/CNT sensors were tested in compression/tension and at different rates</x:v>
      </x:c>
      <x:c r="F135" s="12" t="str">
        <x:v>Pressure 0–5 kPa; tensile/compression strain 10–50%</x:v>
      </x:c>
      <x:c r="G135" s="12" t="str">
        <x:v>Five-cycle protocols; 200 cycles at 10% tensile strain</x:v>
      </x:c>
      <x:c r="H135" s="12" t="str">
        <x:v>Universal tester and Keithley 6517B</x:v>
      </x:c>
      <x:c r="I135" s="12" t="str">
        <x:v>Material/process variants; device count NR</x:v>
      </x:c>
      <x:c r="J135" s="12" t="str">
        <x:v>PDF pp. 5–7; Figs. 4–5</x:v>
      </x:c>
      <x:c r="K135" s="12" t="str">
        <x:v>Batch 07</x:v>
      </x:c>
    </x:row>
    <x:row r="136" ht="24" hidden="0" customHeight="1">
      <x:c r="A136" s="12" t="str">
        <x:v>S078-E02</x:v>
      </x:c>
      <x:c r="B136" s="12" t="str">
        <x:v>S078</x:v>
      </x:c>
      <x:c r="C136" s="12"/>
      <x:c r="D136" s="12" t="str">
        <x:v>Insole and finger-cover demonstrations</x:v>
      </x:c>
      <x:c r="E136" s="12" t="str">
        <x:v>Custom FDM sensors measured repeated finger bending and volunteer walking/running</x:v>
      </x:c>
      <x:c r="F136" s="12" t="str">
        <x:v>Finger flexion; walking and running</x:v>
      </x:c>
      <x:c r="G136" s="12" t="str">
        <x:v>Repeated traces; count NR</x:v>
      </x:c>
      <x:c r="H136" s="12" t="str">
        <x:v>Body motion</x:v>
      </x:c>
      <x:c r="I136" s="12" t="str">
        <x:v>Volunteer count and device replication NR</x:v>
      </x:c>
      <x:c r="J136" s="12" t="str">
        <x:v>PDF pp. 7–8; Fig. 6</x:v>
      </x:c>
      <x:c r="K136" s="12" t="str">
        <x:v>Batch 07</x:v>
      </x:c>
    </x:row>
    <x:row r="137" ht="24" hidden="0" customHeight="1">
      <x:c r="A137" s="12" t="str">
        <x:v>S079-E01</x:v>
      </x:c>
      <x:c r="B137" s="12" t="str">
        <x:v>S079</x:v>
      </x:c>
      <x:c r="C137" s="12"/>
      <x:c r="D137" s="12" t="str">
        <x:v>Pressure characterization and endurance</x:v>
      </x:c>
      <x:c r="E137" s="12" t="str">
        <x:v>Four TPMS structures were compression-tested; Split P underwent rate, response and endurance tests</x:v>
      </x:c>
      <x:c r="F137" s="12" t="str">
        <x:v>0–10 MPa; 5–400 mm min⁻¹</x:v>
      </x:c>
      <x:c r="G137" s="12" t="str">
        <x:v>Five rapid cycles; 10,000-s repeated loading; multi-pressure cycles</x:v>
      </x:c>
      <x:c r="H137" s="12" t="str">
        <x:v>Universal tester and DMM6550</x:v>
      </x:c>
      <x:c r="I137" s="12" t="str">
        <x:v>Same-structure samples mentioned but individual/dispersion results absent</x:v>
      </x:c>
      <x:c r="J137" s="12" t="str">
        <x:v>PDF pp. 5–10; Figs. 3–6</x:v>
      </x:c>
      <x:c r="K137" s="12" t="str">
        <x:v>Batch 07</x:v>
      </x:c>
    </x:row>
    <x:row r="138" ht="24" hidden="0" customHeight="1">
      <x:c r="A138" s="12" t="str">
        <x:v>S079-E02</x:v>
      </x:c>
      <x:c r="B138" s="12" t="str">
        <x:v>S079</x:v>
      </x:c>
      <x:c r="C138" s="12"/>
      <x:c r="D138" s="12" t="str">
        <x:v>Environmental and wearable tests</x:v>
      </x:c>
      <x:c r="E138" s="12" t="str">
        <x:v>Sensor was tested after temperature/water exposure and in body-motion and 4×4 foot-array applications</x:v>
      </x:c>
      <x:c r="F138" s="12" t="str">
        <x:v>40 °C, −35 °C and 24-h water immersion/rubbing; human motions</x:v>
      </x:c>
      <x:c r="G138" s="12" t="str">
        <x:v>Four post-exposure bending cycles; repeated body motions</x:v>
      </x:c>
      <x:c r="H138" s="12" t="str">
        <x:v>Declared environments and participant motion</x:v>
      </x:c>
      <x:c r="I138" s="12" t="str">
        <x:v>Two foot-array volunteers; other participant count NR</x:v>
      </x:c>
      <x:c r="J138" s="12" t="str">
        <x:v>PDF pp. 10–12; Figs. 7–8; Fig. S15 cited</x:v>
      </x:c>
      <x:c r="K138" s="12" t="str">
        <x:v>Batch 07</x:v>
      </x:c>
    </x:row>
    <x:row r="139" ht="24" hidden="0" customHeight="1">
      <x:c r="A139" s="12" t="str">
        <x:v>S080-E01</x:v>
      </x:c>
      <x:c r="B139" s="12" t="str">
        <x:v>S080</x:v>
      </x:c>
      <x:c r="C139" s="12"/>
      <x:c r="D139" s="12" t="str">
        <x:v>Compression and cyclic piezoresistive characterization</x:v>
      </x:c>
      <x:c r="E139" s="12" t="str">
        <x:v>Four TPMS sensors were compressed and resistance response compared</x:v>
      </x:c>
      <x:c r="F139" s="12" t="str">
        <x:v>Strain amplitudes 0.05, 0.10 and 0.15; detection tests 0.005–0.15</x:v>
      </x:c>
      <x:c r="G139" s="12" t="str">
        <x:v>300 compression cycles</x:v>
      </x:c>
      <x:c r="H139" s="12" t="str">
        <x:v>Hounsfield H10Ks and two-probe Arduino circuit</x:v>
      </x:c>
      <x:c r="I139" s="12" t="str">
        <x:v>Topology variants; complete-device replicates NR</x:v>
      </x:c>
      <x:c r="J139" s="12" t="str">
        <x:v>PDF pp. 4–7, 10; Figs. 4–7</x:v>
      </x:c>
      <x:c r="K139" s="12" t="str">
        <x:v>Batch 08</x:v>
      </x:c>
    </x:row>
    <x:row r="140" ht="24" hidden="0" customHeight="1">
      <x:c r="A140" s="12" t="str">
        <x:v>S080-E02</x:v>
      </x:c>
      <x:c r="B140" s="12" t="str">
        <x:v>S080</x:v>
      </x:c>
      <x:c r="C140" s="12"/>
      <x:c r="D140" s="12" t="str">
        <x:v>Biomonitoring demonstrations</x:v>
      </x:c>
      <x:c r="E140" s="12" t="str">
        <x:v>Diamond sensor measured respiration and Primitive sensor measured gait</x:v>
      </x:c>
      <x:c r="F140" s="12" t="str">
        <x:v>Respiration 18 s; gait 15 s</x:v>
      </x:c>
      <x:c r="G140" s="12" t="str">
        <x:v>Repeated physiological cycles; counts not stated</x:v>
      </x:c>
      <x:c r="H140" s="12" t="str">
        <x:v>Direct body-motion input</x:v>
      </x:c>
      <x:c r="I140" s="12" t="str">
        <x:v>Participant and device counts NR</x:v>
      </x:c>
      <x:c r="J140" s="12" t="str">
        <x:v>PDF pp. 8, 11–12; Fig. 8</x:v>
      </x:c>
      <x:c r="K140" s="12" t="str">
        <x:v>Batch 08</x:v>
      </x:c>
    </x:row>
    <x:row r="141" ht="15" hidden="0" customHeight="1">
      <x:c r="A141" s="12" t="str">
        <x:v>S081-E01</x:v>
      </x:c>
      <x:c r="B141" s="12" t="str">
        <x:v>S081</x:v>
      </x:c>
      <x:c r="C141" s="12"/>
      <x:c r="D141" s="12" t="str">
        <x:v>Metrological compression characterization</x:v>
      </x:c>
      <x:c r="E141" s="12" t="str">
        <x:v>Thumb device was loaded while force and FBG wavelength were recorded</x:v>
      </x:c>
      <x:c r="F141" s="12" t="str">
        <x:v>0–50 N at 2 mm min⁻¹</x:v>
      </x:c>
      <x:c r="G141" s="12" t="str">
        <x:v>Seven compression tests</x:v>
      </x:c>
      <x:c r="H141" s="12" t="str">
        <x:v>Instron 3365, 500-N load cell and optical interrogator</x:v>
      </x:c>
      <x:c r="I141" s="12" t="str">
        <x:v>One characterized device</x:v>
      </x:c>
      <x:c r="J141" s="12" t="str">
        <x:v>PDF pp. 4–5; Figs. 5–6</x:v>
      </x:c>
      <x:c r="K141" s="12" t="str">
        <x:v>Batch 08</x:v>
      </x:c>
    </x:row>
    <x:row r="142" ht="24" hidden="0" customHeight="1">
      <x:c r="A142" s="12" t="str">
        <x:v>S081-E02</x:v>
      </x:c>
      <x:c r="B142" s="12" t="str">
        <x:v>S081</x:v>
      </x:c>
      <x:c r="C142" s="12"/>
      <x:c r="D142" s="12" t="str">
        <x:v>Clinical feasibility</x:v>
      </x:c>
      <x:c r="E142" s="12" t="str">
        <x:v>One anesthesiologist used the device in epidural procedures; foot tap marked perceived loss of resistance</x:v>
      </x:c>
      <x:c r="F142" s="12" t="str">
        <x:v>Two epidural procedures</x:v>
      </x:c>
      <x:c r="G142" s="12" t="str">
        <x:v>Two trials</x:v>
      </x:c>
      <x:c r="H142" s="12" t="str">
        <x:v>FBG signal and three-axis foot accelerometer</x:v>
      </x:c>
      <x:c r="I142" s="12" t="str">
        <x:v>Two patients; one operator; device count NR</x:v>
      </x:c>
      <x:c r="J142" s="12" t="str">
        <x:v>PDF pp. 5–7; Figs. 7–8</x:v>
      </x:c>
      <x:c r="K142" s="12" t="str">
        <x:v>Batch 08</x:v>
      </x:c>
    </x:row>
    <x:row r="143" ht="24" hidden="0" customHeight="1">
      <x:c r="A143" s="12" t="str">
        <x:v>S082-E01</x:v>
      </x:c>
      <x:c r="B143" s="12" t="str">
        <x:v>S082</x:v>
      </x:c>
      <x:c r="C143" s="12"/>
      <x:c r="D143" s="12" t="str">
        <x:v>Strain characterization and endurance</x:v>
      </x:c>
      <x:c r="E143" s="12" t="str">
        <x:v>Composition variants were strained while relative resistance was recorded</x:v>
      </x:c>
      <x:c r="F143" s="12" t="str">
        <x:v>0.2–92% principal range; 0.05–0.5 Hz; endurance at 10% and 0.2 Hz</x:v>
      </x:c>
      <x:c r="G143" s="12" t="str">
        <x:v>2000 cycles</x:v>
      </x:c>
      <x:c r="H143" s="12" t="str">
        <x:v>MTS CMT4104 with source meter/picoammeter</x:v>
      </x:c>
      <x:c r="I143" s="12" t="str">
        <x:v>Composition variants; device count NR</x:v>
      </x:c>
      <x:c r="J143" s="12" t="str">
        <x:v>PDF pp. 5, 7–11; Figs. 4–6</x:v>
      </x:c>
      <x:c r="K143" s="12" t="str">
        <x:v>Batch 08</x:v>
      </x:c>
    </x:row>
    <x:row r="144" ht="15" hidden="0" customHeight="1">
      <x:c r="A144" s="12" t="str">
        <x:v>S082-E02</x:v>
      </x:c>
      <x:c r="B144" s="12" t="str">
        <x:v>S082</x:v>
      </x:c>
      <x:c r="C144" s="12"/>
      <x:c r="D144" s="12" t="str">
        <x:v>Wearable and tactile demonstrations</x:v>
      </x:c>
      <x:c r="E144" s="12" t="str">
        <x:v>Selected fibre measured joint/chest/face motions and pressure/tactile events</x:v>
      </x:c>
      <x:c r="F144" s="12" t="str">
        <x:v>Application-specific motions and pressures</x:v>
      </x:c>
      <x:c r="G144" s="12" t="str">
        <x:v>Repeated traces; counts NR</x:v>
      </x:c>
      <x:c r="H144" s="12" t="str">
        <x:v>Direct motion/touch input</x:v>
      </x:c>
      <x:c r="I144" s="12" t="str">
        <x:v>Participant count and device replication NR</x:v>
      </x:c>
      <x:c r="J144" s="12" t="str">
        <x:v>PDF pp. 11–12; Fig. 7; Fig. S5 cited</x:v>
      </x:c>
      <x:c r="K144" s="12" t="str">
        <x:v>Batch 08</x:v>
      </x:c>
    </x:row>
    <x:row r="145" ht="24" hidden="0" customHeight="1">
      <x:c r="A145" s="12" t="str">
        <x:v>S084-E01</x:v>
      </x:c>
      <x:c r="B145" s="12" t="str">
        <x:v>S084</x:v>
      </x:c>
      <x:c r="C145" s="12"/>
      <x:c r="D145" s="12" t="str">
        <x:v>Strain characterization and endurance</x:v>
      </x:c>
      <x:c r="E145" s="12" t="str">
        <x:v>CNT-loading and control variants were strained and cycled</x:v>
      </x:c>
      <x:c r="F145" s="12" t="str">
        <x:v>0.2–152% across variants; 0.05–0.5 Hz; endurance at 10% and 0.2 Hz</x:v>
      </x:c>
      <x:c r="G145" s="12" t="str">
        <x:v>2000 cycles</x:v>
      </x:c>
      <x:c r="H145" s="12" t="str">
        <x:v>MTS CMT4104 with source meter/picoammeter</x:v>
      </x:c>
      <x:c r="I145" s="12" t="str">
        <x:v>Material variants; device count NR</x:v>
      </x:c>
      <x:c r="J145" s="12" t="str">
        <x:v>PDF pp. 5–10; Figs. 5–6</x:v>
      </x:c>
      <x:c r="K145" s="12" t="str">
        <x:v>Batch 08</x:v>
      </x:c>
    </x:row>
    <x:row r="146" ht="24" hidden="0" customHeight="1">
      <x:c r="A146" s="12" t="str">
        <x:v>S084-E02</x:v>
      </x:c>
      <x:c r="B146" s="12" t="str">
        <x:v>S084</x:v>
      </x:c>
      <x:c r="C146" s="12"/>
      <x:c r="D146" s="12" t="str">
        <x:v>Human-motion, tactile and object-position demonstrations</x:v>
      </x:c>
      <x:c r="E146" s="12" t="str">
        <x:v>Selected fibre measured facial/neck/chest/arm/finger motion and pressure matrices</x:v>
      </x:c>
      <x:c r="F146" s="12" t="str">
        <x:v>Application-specific inputs</x:v>
      </x:c>
      <x:c r="G146" s="12" t="str">
        <x:v>Repeated traces; counts NR</x:v>
      </x:c>
      <x:c r="H146" s="12" t="str">
        <x:v>Direct body-motion/touch input</x:v>
      </x:c>
      <x:c r="I146" s="12" t="str">
        <x:v>Participant count and device replication NR</x:v>
      </x:c>
      <x:c r="J146" s="12" t="str">
        <x:v>PDF pp. 10–11; Figs. 7–8</x:v>
      </x:c>
      <x:c r="K146" s="12" t="str">
        <x:v>Batch 08</x:v>
      </x:c>
    </x:row>
    <x:row r="147" ht="24" hidden="0" customHeight="1">
      <x:c r="A147" s="12" t="str">
        <x:v>S085-E01</x:v>
      </x:c>
      <x:c r="B147" s="12" t="str">
        <x:v>S085</x:v>
      </x:c>
      <x:c r="C147" s="12"/>
      <x:c r="D147" s="12" t="str">
        <x:v>Configuration, dynamic/static and endurance tests</x:v>
      </x:c>
      <x:c r="E147" s="12" t="str">
        <x:v>Four printed path configurations were compared; selected SZ sensor underwent stepped, rate and endurance tests</x:v>
      </x:c>
      <x:c r="F147" s="12" t="str">
        <x:v>1–15% reported tests; 5% at 50 mm min⁻¹ for endurance</x:v>
      </x:c>
      <x:c r="G147" s="12" t="str">
        <x:v>Cyclic tests including 3000 cycles; 8-s holds</x:v>
      </x:c>
      <x:c r="H147" s="12" t="str">
        <x:v>Mechanical tension instrument and resistance tester</x:v>
      </x:c>
      <x:c r="I147" s="12" t="str">
        <x:v>Geometry variants; device count NR</x:v>
      </x:c>
      <x:c r="J147" s="12" t="str">
        <x:v>PDF pp. 3–4, 8–10; Figs. 8–16</x:v>
      </x:c>
      <x:c r="K147" s="12" t="str">
        <x:v>Batch 08</x:v>
      </x:c>
    </x:row>
    <x:row r="148" ht="15" hidden="0" customHeight="1">
      <x:c r="A148" s="12" t="str">
        <x:v>S085-E02</x:v>
      </x:c>
      <x:c r="B148" s="12" t="str">
        <x:v>S085</x:v>
      </x:c>
      <x:c r="C148" s="12"/>
      <x:c r="D148" s="12" t="str">
        <x:v>Lumbar-motion demonstration</x:v>
      </x:c>
      <x:c r="E148" s="12" t="str">
        <x:v>Sensor attached to lumbar region during repeated 90° bending</x:v>
      </x:c>
      <x:c r="F148" s="12" t="str">
        <x:v>Repeated bending to 90°</x:v>
      </x:c>
      <x:c r="G148" s="12" t="str">
        <x:v>Multiple bends; exact count NR</x:v>
      </x:c>
      <x:c r="H148" s="12" t="str">
        <x:v>Body-angle task</x:v>
      </x:c>
      <x:c r="I148" s="12" t="str">
        <x:v>Participant and device counts NR</x:v>
      </x:c>
      <x:c r="J148" s="12" t="str">
        <x:v>PDF p. 12; Fig. 18</x:v>
      </x:c>
      <x:c r="K148" s="12" t="str">
        <x:v>Batch 08</x:v>
      </x:c>
    </x:row>
    <x:row r="149" ht="15" hidden="0" customHeight="1">
      <x:c r="A149" s="12" t="str">
        <x:v>S086-E01</x:v>
      </x:c>
      <x:c r="B149" s="12" t="str">
        <x:v>S086</x:v>
      </x:c>
      <x:c r="C149" s="12"/>
      <x:c r="D149" s="12" t="str">
        <x:v>Tensile sensing and cycling</x:v>
      </x:c>
      <x:c r="E149" s="12" t="str">
        <x:v>M-TPU/Ag sensor was strained at several amplitudes and rates</x:v>
      </x:c>
      <x:c r="F149" s="12" t="str">
        <x:v>1%, 8% and 10% strain; 10–80 mm min⁻¹</x:v>
      </x:c>
      <x:c r="G149" s="12" t="str">
        <x:v>Three 2000-s cyclic tests</x:v>
      </x:c>
      <x:c r="H149" s="12" t="str">
        <x:v>Universal tester and Keithley 2700 logger</x:v>
      </x:c>
      <x:c r="I149" s="12" t="str">
        <x:v>Device count NR</x:v>
      </x:c>
      <x:c r="J149" s="12" t="str">
        <x:v>PDF pp. 3, 7–8; Fig. 5</x:v>
      </x:c>
      <x:c r="K149" s="12" t="str">
        <x:v>Batch 08</x:v>
      </x:c>
    </x:row>
    <x:row r="150" ht="15" hidden="0" customHeight="1">
      <x:c r="A150" s="12" t="str">
        <x:v>S086-E02</x:v>
      </x:c>
      <x:c r="B150" s="12" t="str">
        <x:v>S086</x:v>
      </x:c>
      <x:c r="C150" s="12"/>
      <x:c r="D150" s="12" t="str">
        <x:v>Wearable demonstrations</x:v>
      </x:c>
      <x:c r="E150" s="12" t="str">
        <x:v>Sensor measured facial expression, swallowing, speech and finger flexion</x:v>
      </x:c>
      <x:c r="F150" s="12" t="str">
        <x:v>Application-specific motions</x:v>
      </x:c>
      <x:c r="G150" s="12" t="str">
        <x:v>Repeated traces; counts NR</x:v>
      </x:c>
      <x:c r="H150" s="12" t="str">
        <x:v>Direct body-motion input</x:v>
      </x:c>
      <x:c r="I150" s="12" t="str">
        <x:v>Volunteer count and device replication NR</x:v>
      </x:c>
      <x:c r="J150" s="12" t="str">
        <x:v>PDF pp. 7–9; Fig. 6</x:v>
      </x:c>
      <x:c r="K150" s="12" t="str">
        <x:v>Batch 08</x:v>
      </x:c>
    </x:row>
    <x:row r="151" ht="24" hidden="0" customHeight="1">
      <x:c r="A151" s="12" t="str">
        <x:v>S087-E01</x:v>
      </x:c>
      <x:c r="B151" s="12" t="str">
        <x:v>S087</x:v>
      </x:c>
      <x:c r="C151" s="12"/>
      <x:c r="D151" s="12" t="str">
        <x:v>Tensile, pressure and endurance characterization</x:v>
      </x:c>
      <x:c r="E151" s="12" t="str">
        <x:v>Process/geometry variants were tested in tension and compression</x:v>
      </x:c>
      <x:c r="F151" s="12" t="str">
        <x:v>Up to 100% tensile strain; 0–300 Pa sensitivity region; 10 kPa endurance</x:v>
      </x:c>
      <x:c r="G151" s="12" t="str">
        <x:v>10 compression cycles and 2000-cycle endurance</x:v>
      </x:c>
      <x:c r="H151" s="12" t="str">
        <x:v>BAB-50MT tester and Keysight B2901A source meter</x:v>
      </x:c>
      <x:c r="I151" s="12" t="str">
        <x:v>Variants; device count NR</x:v>
      </x:c>
      <x:c r="J151" s="12" t="str">
        <x:v>PDF pp. 3–7; Figs. 2–4</x:v>
      </x:c>
      <x:c r="K151" s="12" t="str">
        <x:v>Batch 08</x:v>
      </x:c>
    </x:row>
    <x:row r="152" ht="15" hidden="0" customHeight="1">
      <x:c r="A152" s="12" t="str">
        <x:v>S087-E02</x:v>
      </x:c>
      <x:c r="B152" s="12" t="str">
        <x:v>S087</x:v>
      </x:c>
      <x:c r="C152" s="12"/>
      <x:c r="D152" s="12" t="str">
        <x:v>Wearable demonstrations</x:v>
      </x:c>
      <x:c r="E152" s="12" t="str">
        <x:v>Sensor measured vocalization, finger tapping, cheek bulging and neck bending</x:v>
      </x:c>
      <x:c r="F152" s="12" t="str">
        <x:v>Application-specific motions</x:v>
      </x:c>
      <x:c r="G152" s="12" t="str">
        <x:v>Repeated traces; counts NR</x:v>
      </x:c>
      <x:c r="H152" s="12" t="str">
        <x:v>Direct body-motion input</x:v>
      </x:c>
      <x:c r="I152" s="12" t="str">
        <x:v>Volunteer count and device replication NR</x:v>
      </x:c>
      <x:c r="J152" s="12" t="str">
        <x:v>PDF p. 7; Fig. 5</x:v>
      </x:c>
      <x:c r="K152" s="12" t="str">
        <x:v>Batch 08</x:v>
      </x:c>
    </x:row>
    <x:row r="153" ht="15" hidden="0" customHeight="1">
      <x:c r="A153" s="12" t="str">
        <x:v>S088-E01</x:v>
      </x:c>
      <x:c r="B153" s="12" t="str">
        <x:v>S088</x:v>
      </x:c>
      <x:c r="C153" s="12"/>
      <x:c r="D153" s="12" t="str">
        <x:v>Elbow calibration and cyclic test</x:v>
      </x:c>
      <x:c r="E153" s="12" t="str">
        <x:v>Ring output was measured across elbow angles and at repeated 90° bending</x:v>
      </x:c>
      <x:c r="F153" s="12" t="str">
        <x:v>0–90°; 15-s holds</x:v>
      </x:c>
      <x:c r="G153" s="12" t="str">
        <x:v>Three repeat calibrations; additional cyclic test</x:v>
      </x:c>
      <x:c r="H153" s="12" t="str">
        <x:v>Set joint-angle protocol</x:v>
      </x:c>
      <x:c r="I153" s="12" t="str">
        <x:v>One male participant; one elbow ring</x:v>
      </x:c>
      <x:c r="J153" s="12" t="str">
        <x:v>PDF pp. 6–10; Figs. 5–8</x:v>
      </x:c>
      <x:c r="K153" s="12" t="str">
        <x:v>Batch 08</x:v>
      </x:c>
    </x:row>
    <x:row r="154" ht="24" hidden="0" customHeight="1">
      <x:c r="A154" s="12" t="str">
        <x:v>S088-E02</x:v>
      </x:c>
      <x:c r="B154" s="12" t="str">
        <x:v>S088</x:v>
      </x:c>
      <x:c r="C154" s="12"/>
      <x:c r="D154" s="12" t="str">
        <x:v>Knee calibration and walking</x:v>
      </x:c>
      <x:c r="E154" s="12" t="str">
        <x:v>Second ring measured stepped knee angles and walking at two speeds</x:v>
      </x:c>
      <x:c r="F154" s="12" t="str">
        <x:v>0–100°; walking at 3 and 5 km h⁻¹</x:v>
      </x:c>
      <x:c r="G154" s="12" t="str">
        <x:v>Three repeat calibrations; 6 and 9 peaks shown for walking</x:v>
      </x:c>
      <x:c r="H154" s="12" t="str">
        <x:v>Set angles and walking speeds</x:v>
      </x:c>
      <x:c r="I154" s="12" t="str">
        <x:v>One male participant; one knee ring</x:v>
      </x:c>
      <x:c r="J154" s="12" t="str">
        <x:v>PDF pp. 10–12; Figs. 9–10</x:v>
      </x:c>
      <x:c r="K154" s="12" t="str">
        <x:v>Batch 08</x:v>
      </x:c>
    </x:row>
    <x:row r="155" ht="24" hidden="0" customHeight="1">
      <x:c r="A155" s="12" t="str">
        <x:v>S089-E01</x:v>
      </x:c>
      <x:c r="B155" s="12" t="str">
        <x:v>S089</x:v>
      </x:c>
      <x:c r="C155" s="12"/>
      <x:c r="D155" s="12" t="str">
        <x:v>Strain, temperature and endurance characterization</x:v>
      </x:c>
      <x:c r="E155" s="12" t="str">
        <x:v>Nanofiller variants were strained/cycled and conductivity was measured across temperature</x:v>
      </x:c>
      <x:c r="F155" s="12" t="str">
        <x:v>0–250% strain; 0.01–1 Hz; 20–80 °C</x:v>
      </x:c>
      <x:c r="G155" s="12" t="str">
        <x:v>3000 cycles at 5% and 100% strain</x:v>
      </x:c>
      <x:c r="H155" s="12" t="str">
        <x:v>MTS CMT4104, source meter and picoammeter</x:v>
      </x:c>
      <x:c r="I155" s="12" t="str">
        <x:v>Material variants; device count NR</x:v>
      </x:c>
      <x:c r="J155" s="12" t="str">
        <x:v>PDF pp. 20–30; Figs. 5–8</x:v>
      </x:c>
      <x:c r="K155" s="12" t="str">
        <x:v>Batch 08</x:v>
      </x:c>
    </x:row>
    <x:row r="156" ht="24" hidden="0" customHeight="1">
      <x:c r="A156" s="12" t="str">
        <x:v>S089-E02</x:v>
      </x:c>
      <x:c r="B156" s="12" t="str">
        <x:v>S089</x:v>
      </x:c>
      <x:c r="C156" s="12"/>
      <x:c r="D156" s="12" t="str">
        <x:v>Wearable demonstrations</x:v>
      </x:c>
      <x:c r="E156" s="12" t="str">
        <x:v>Hybrid sensor measured finger/wrist motion, swallowing, blinking, breathing and speech</x:v>
      </x:c>
      <x:c r="F156" s="12" t="str">
        <x:v>Finger angles 0–90° plus application-specific motions</x:v>
      </x:c>
      <x:c r="G156" s="12" t="str">
        <x:v>Repeated traces; counts NR</x:v>
      </x:c>
      <x:c r="H156" s="12" t="str">
        <x:v>Direct body-motion input</x:v>
      </x:c>
      <x:c r="I156" s="12" t="str">
        <x:v>Volunteer count and device replication NR</x:v>
      </x:c>
      <x:c r="J156" s="12" t="str">
        <x:v>PDF pp. 33–35; Fig. 10</x:v>
      </x:c>
      <x:c r="K156" s="12" t="str">
        <x:v>Batch 08</x:v>
      </x:c>
    </x:row>
    <x:row r="157" ht="36" hidden="0" customHeight="1">
      <x:c r="A157" s="12" t="str">
        <x:v>S090-E01</x:v>
      </x:c>
      <x:c r="B157" s="12" t="str">
        <x:v>S090</x:v>
      </x:c>
      <x:c r="C157" s="12"/>
      <x:c r="D157" s="12" t="str">
        <x:v>OECT electrical characterization</x:v>
      </x:c>
      <x:c r="E157" s="12" t="str">
        <x:v>Output and transfer curves were measured across gate and drain biases; transconductance, threshold voltage and ON/OFF ratio were calculated for PET and soft-PLA devices</x:v>
      </x:c>
      <x:c r="F157" s="12" t="str">
        <x:v>VD 0 to −0.8 V; VG 0–1 V in 0.1-V steps; 100 mM NaCl electrolyte</x:v>
      </x:c>
      <x:c r="G157" s="12" t="str">
        <x:v>Device counts include n=8 PET and n=4 soft-PLA threshold-voltage measurements; repeat-cycle count NR</x:v>
      </x:c>
      <x:c r="H157" s="12" t="str">
        <x:v>Keithley 4200 SCS and probe station</x:v>
      </x:c>
      <x:c r="I157" s="12" t="str">
        <x:v>Multiple devices, but FDM soft-PLA and non-FDM PET configurations are compared</x:v>
      </x:c>
      <x:c r="J157" s="12" t="str">
        <x:v>PDF pp. 2 and 4–5; Fig. 3; Table 1</x:v>
      </x:c>
      <x:c r="K157" s="12" t="str">
        <x:v>Batch 09</x:v>
      </x:c>
    </x:row>
    <x:row r="158" ht="24" hidden="0" customHeight="1">
      <x:c r="A158" s="12" t="str">
        <x:v>S090-E02</x:v>
      </x:c>
      <x:c r="B158" s="12" t="str">
        <x:v>S090</x:v>
      </x:c>
      <x:c r="C158" s="12"/>
      <x:c r="D158" s="12" t="str">
        <x:v>Ion-concentration and pH sensing</x:v>
      </x:c>
      <x:c r="E158" s="12" t="str">
        <x:v>Direct-written PDMS-substrate OECTs were exposed to KCl concentrations and PBS pH values</x:v>
      </x:c>
      <x:c r="F158" s="12" t="str">
        <x:v>KCl 1 mM–1 M; pH 2.28, 5.32 and 7.55</x:v>
      </x:c>
      <x:c r="G158" s="12" t="str">
        <x:v>Measurement-cycle count and device count NR</x:v>
      </x:c>
      <x:c r="H158" s="12" t="str">
        <x:v>Keithley 4200 SCS; VWR B10P pH meter</x:v>
      </x:c>
      <x:c r="I158" s="12" t="str">
        <x:v>This sensing configuration does not use the thermoplastic-filament FDM substrate</x:v>
      </x:c>
      <x:c r="J158" s="12" t="str">
        <x:v>PDF pp. 2 and 6–7; Fig. 4; Table 2</x:v>
      </x:c>
      <x:c r="K158" s="12" t="str">
        <x:v>Batch 09</x:v>
      </x:c>
    </x:row>
    <x:row r="159" ht="24" hidden="0" customHeight="1">
      <x:c r="A159" s="12" t="str">
        <x:v>S091-E01</x:v>
      </x:c>
      <x:c r="B159" s="12" t="str">
        <x:v>S091</x:v>
      </x:c>
      <x:c r="C159" s="12"/>
      <x:c r="D159" s="12" t="str">
        <x:v>Baseline electrical characterization</x:v>
      </x:c>
      <x:c r="E159" s="12" t="str">
        <x:v>Resistance was measured for one- and three-layer strips across MWCNT loadings</x:v>
      </x:c>
      <x:c r="F159" s="12" t="str">
        <x:v>1, 5, 10 and 15 wt% MWCNT</x:v>
      </x:c>
      <x:c r="G159" s="12" t="str">
        <x:v>Three separate one-layer sensors per loading; one three-layer sensor per loading</x:v>
      </x:c>
      <x:c r="H159" s="12" t="str">
        <x:v>Fluke 79 Series II multimeter; two-point method</x:v>
      </x:c>
      <x:c r="I159" s="12" t="str">
        <x:v>Between-device dispersion is reported for one-layer strips</x:v>
      </x:c>
      <x:c r="J159" s="12" t="str">
        <x:v>PDF pp. 3 and 8; Table 1</x:v>
      </x:c>
      <x:c r="K159" s="12" t="str">
        <x:v>Batch 09</x:v>
      </x:c>
    </x:row>
    <x:row r="160" ht="24" hidden="0" customHeight="1">
      <x:c r="A160" s="12" t="str">
        <x:v>S091-E02</x:v>
      </x:c>
      <x:c r="B160" s="12" t="str">
        <x:v>S091</x:v>
      </x:c>
      <x:c r="C160" s="12"/>
      <x:c r="D160" s="12" t="str">
        <x:v>VOC response and recovery</x:v>
      </x:c>
      <x:c r="E160" s="12" t="str">
        <x:v>Printed strips were exposed to saturated VOC vapour followed by vacuum while resistance was logged</x:v>
      </x:c>
      <x:c r="F160" s="12" t="str">
        <x:v>Six VOCs; exposure/vacuum 3 min each</x:v>
      </x:c>
      <x:c r="G160" s="12" t="str">
        <x:v>Four cycles per VOC</x:v>
      </x:c>
      <x:c r="H160" s="12" t="str">
        <x:v>Custom vapour chamber, voltage-divider circuit and USB-1208 fs data-acquisition device</x:v>
      </x:c>
      <x:c r="I160" s="12" t="str">
        <x:v>VOC-test device count NR</x:v>
      </x:c>
      <x:c r="J160" s="12" t="str">
        <x:v>PDF pp. 5–6 and 8; Figs. 6–7 and 10–11</x:v>
      </x:c>
      <x:c r="K160" s="12" t="str">
        <x:v>Batch 09</x:v>
      </x:c>
    </x:row>
    <x:row r="161" ht="24" hidden="0" customHeight="1">
      <x:c r="A161" s="12" t="str">
        <x:v>S091-E03</x:v>
      </x:c>
      <x:c r="B161" s="12" t="str">
        <x:v>S091</x:v>
      </x:c>
      <x:c r="C161" s="12"/>
      <x:c r="D161" s="12" t="str">
        <x:v>Acetone endurance and geometry/composition comparisons</x:v>
      </x:c>
      <x:c r="E161" s="12" t="str">
        <x:v>Acetone response was tested over extended cycling and compared across MWCNT loading and printed thickness</x:v>
      </x:c>
      <x:c r="F161" s="12" t="str">
        <x:v>Two-minute acetone/vacuum intervals; 5–15 wt% MWCNT; one versus three layers</x:v>
      </x:c>
      <x:c r="G161" s="12" t="str">
        <x:v>25 cycles for endurance; four cycles for composition and thickness comparisons</x:v>
      </x:c>
      <x:c r="H161" s="12" t="str">
        <x:v>Custom vapour chamber and resistance-acquisition circuit</x:v>
      </x:c>
      <x:c r="I161" s="12" t="str">
        <x:v>Material/geometry variants; endurance specimen count NR</x:v>
      </x:c>
      <x:c r="J161" s="12" t="str">
        <x:v>PDF pp. 6–7; Figs. 7–8; ESI Fig. S5 and Table S1 cited</x:v>
      </x:c>
      <x:c r="K161" s="12" t="str">
        <x:v>Batch 09</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2.779999732971191" hidden="0" customWidth="1"/>
    <x:col min="2" max="2" width="12.779999732971191" hidden="0" customWidth="1"/>
    <x:col min="3" max="3" width="11.670000076293945" hidden="0" customWidth="1"/>
    <x:col min="4" max="4" width="11.670000076293945" hidden="0" customWidth="1"/>
    <x:col min="5" max="5" width="33.33000183105469" hidden="0" customWidth="1"/>
    <x:col min="6" max="6" width="68.88999938964844" hidden="0" customWidth="1"/>
    <x:col min="7" max="7" width="21.110000610351562" hidden="0" customWidth="1"/>
    <x:col min="8" max="8" width="46.66999816894531" hidden="0" customWidth="1"/>
    <x:col min="9" max="9" width="30" hidden="0" customWidth="1"/>
    <x:col min="10" max="10" width="13.329999923706055" hidden="0" customWidth="1"/>
  </x:cols>
  <x:sheetData>
    <x:row r="1" ht="24" hidden="0" customHeight="1">
      <x:c r="A1" s="11" t="str">
        <x:v>Outcome ID</x:v>
      </x:c>
      <x:c r="B1" s="11" t="str">
        <x:v>Experiment ID</x:v>
      </x:c>
      <x:c r="C1" s="11" t="str">
        <x:v>Stable Study ID</x:v>
      </x:c>
      <x:c r="D1" s="11" t="str">
        <x:v>Sensor ID</x:v>
      </x:c>
      <x:c r="E1" s="11" t="str">
        <x:v>Outcome</x:v>
      </x:c>
      <x:c r="F1" s="11" t="str">
        <x:v>Reported value</x:v>
      </x:c>
      <x:c r="G1" s="11" t="str">
        <x:v>Unit</x:v>
      </x:c>
      <x:c r="H1" s="11" t="str">
        <x:v>Context/uncertainty</x:v>
      </x:c>
      <x:c r="I1" s="11" t="str">
        <x:v>Evidence locator</x:v>
      </x:c>
      <x:c r="J1" s="11" t="str">
        <x:v>Authoritative source</x:v>
      </x:c>
    </x:row>
    <x:row r="2" ht="15" hidden="0" customHeight="1">
      <x:c r="A2" s="12" t="str">
        <x:v>O001</x:v>
      </x:c>
      <x:c r="B2" s="12" t="str">
        <x:v>E001</x:v>
      </x:c>
      <x:c r="C2" s="12" t="str">
        <x:v>S001</x:v>
      </x:c>
      <x:c r="D2" s="12" t="str">
        <x:v>S001-C01</x:v>
      </x:c>
      <x:c r="E2" s="12" t="str">
        <x:v>Sensitivity across five FBGs</x:v>
      </x:c>
      <x:c r="F2" s="12" t="str">
        <x:v>0.11 +/- 0.10</x:v>
      </x:c>
      <x:c r="G2" s="12" t="str">
        <x:v>pm/N</x:v>
      </x:c>
      <x:c r="H2" s="12" t="str">
        <x:v>Mean; maximum 0.3 pm/N</x:v>
      </x:c>
      <x:c r="I2" s="12" t="str">
        <x:v>PDF p. 8, Fig. 4</x:v>
      </x:c>
      <x:c r="J2" s="12" t="str">
        <x:v>Pilot</x:v>
      </x:c>
    </x:row>
    <x:row r="3" ht="15" hidden="0" customHeight="1">
      <x:c r="A3" s="12" t="str">
        <x:v>O002</x:v>
      </x:c>
      <x:c r="B3" s="12" t="str">
        <x:v>E001</x:v>
      </x:c>
      <x:c r="C3" s="12" t="str">
        <x:v>S001</x:v>
      </x:c>
      <x:c r="D3" s="12" t="str">
        <x:v>S001-C01</x:v>
      </x:c>
      <x:c r="E3" s="12" t="str">
        <x:v>Linearity</x:v>
      </x:c>
      <x:c r="F3" s="12" t="str">
        <x:v>0.997</x:v>
      </x:c>
      <x:c r="G3" s="12" t="str">
        <x:v>R-squared</x:v>
      </x:c>
      <x:c r="H3" s="12" t="str">
        <x:v>Mean; maximum 0.999</x:v>
      </x:c>
      <x:c r="I3" s="12" t="str">
        <x:v>PDF p. 8, Fig. 4</x:v>
      </x:c>
      <x:c r="J3" s="12" t="str">
        <x:v>Pilot</x:v>
      </x:c>
    </x:row>
    <x:row r="4" ht="15" hidden="0" customHeight="1">
      <x:c r="A4" s="12" t="str">
        <x:v>O003</x:v>
      </x:c>
      <x:c r="B4" s="12" t="str">
        <x:v>E001</x:v>
      </x:c>
      <x:c r="C4" s="12" t="str">
        <x:v>S001</x:v>
      </x:c>
      <x:c r="D4" s="12" t="str">
        <x:v>S001-C01</x:v>
      </x:c>
      <x:c r="E4" s="12" t="str">
        <x:v>Hysteresis</x:v>
      </x:c>
      <x:c r="F4" s="12" t="str">
        <x:v>approximately 7; range 2.1-9.8</x:v>
      </x:c>
      <x:c r="G4" s="12" t="str">
        <x:v>%</x:v>
      </x:c>
      <x:c r="H4" s="12" t="str">
        <x:v>Mean and range across positions</x:v>
      </x:c>
      <x:c r="I4" s="12" t="str">
        <x:v>PDF p. 8, Fig. 4</x:v>
      </x:c>
      <x:c r="J4" s="12" t="str">
        <x:v>Pilot</x:v>
      </x:c>
    </x:row>
    <x:row r="5" ht="15" hidden="0" customHeight="1">
      <x:c r="A5" s="12" t="str">
        <x:v>O004</x:v>
      </x:c>
      <x:c r="B5" s="12" t="str">
        <x:v>E002</x:v>
      </x:c>
      <x:c r="C5" s="12" t="str">
        <x:v>S001</x:v>
      </x:c>
      <x:c r="D5" s="12" t="str">
        <x:v>S001-C01</x:v>
      </x:c>
      <x:c r="E5" s="12" t="str">
        <x:v>Agreement with force platform</x:v>
      </x:c>
      <x:c r="F5" s="12" t="str">
        <x:v>0.904</x:v>
      </x:c>
      <x:c r="G5" s="12" t="str">
        <x:v>R-squared</x:v>
      </x:c>
      <x:c r="H5" s="12" t="str">
        <x:v>M-shaped gait curve comparison</x:v>
      </x:c>
      <x:c r="I5" s="12" t="str">
        <x:v>PDF p. 14, Fig. 7</x:v>
      </x:c>
      <x:c r="J5" s="12" t="str">
        <x:v>Pilot</x:v>
      </x:c>
    </x:row>
    <x:row r="6" ht="15" hidden="0" customHeight="1">
      <x:c r="A6" s="12" t="str">
        <x:v>O005</x:v>
      </x:c>
      <x:c r="B6" s="12" t="str">
        <x:v>E002</x:v>
      </x:c>
      <x:c r="C6" s="12" t="str">
        <x:v>S001</x:v>
      </x:c>
      <x:c r="D6" s="12" t="str">
        <x:v>S001-C01</x:v>
      </x:c>
      <x:c r="E6" s="12" t="str">
        <x:v>Stance phase</x:v>
      </x:c>
      <x:c r="F6" s="12" t="str">
        <x:v>59.0 +/- 6.5</x:v>
      </x:c>
      <x:c r="G6" s="12" t="str">
        <x:v>% gait cycle</x:v>
      </x:c>
      <x:c r="H6" s="12" t="str">
        <x:v>Five volunteers; verify manuscript wording against swing/stance order</x:v>
      </x:c>
      <x:c r="I6" s="12" t="str">
        <x:v>PDF p. 14</x:v>
      </x:c>
      <x:c r="J6" s="12" t="str">
        <x:v>Pilot</x:v>
      </x:c>
    </x:row>
    <x:row r="7" ht="15" hidden="0" customHeight="1">
      <x:c r="A7" s="12" t="str">
        <x:v>O006</x:v>
      </x:c>
      <x:c r="B7" s="12" t="str">
        <x:v>E003</x:v>
      </x:c>
      <x:c r="C7" s="12" t="str">
        <x:v>S002</x:v>
      </x:c>
      <x:c r="D7" s="12" t="str">
        <x:v>S002-C01</x:v>
      </x:c>
      <x:c r="E7" s="12" t="str">
        <x:v>Calibration linearity</x:v>
      </x:c>
      <x:c r="F7" s="12" t="str">
        <x:v>0.998</x:v>
      </x:c>
      <x:c r="G7" s="12" t="str">
        <x:v>R-squared</x:v>
      </x:c>
      <x:c r="H7" s="12" t="str">
        <x:v>25-500 micromolar glucose</x:v>
      </x:c>
      <x:c r="I7" s="12" t="str">
        <x:v>PDF pp. 6-7, Fig. 3-4</x:v>
      </x:c>
      <x:c r="J7" s="12" t="str">
        <x:v>Pilot</x:v>
      </x:c>
    </x:row>
    <x:row r="8" ht="15" hidden="0" customHeight="1">
      <x:c r="A8" s="12" t="str">
        <x:v>O007</x:v>
      </x:c>
      <x:c r="B8" s="12" t="str">
        <x:v>E003</x:v>
      </x:c>
      <x:c r="C8" s="12" t="str">
        <x:v>S002</x:v>
      </x:c>
      <x:c r="D8" s="12" t="str">
        <x:v>S002-C01</x:v>
      </x:c>
      <x:c r="E8" s="12" t="str">
        <x:v>Limit of detection</x:v>
      </x:c>
      <x:c r="F8" s="12" t="str">
        <x:v>4.3</x:v>
      </x:c>
      <x:c r="G8" s="12" t="str">
        <x:v>micromolar</x:v>
      </x:c>
      <x:c r="H8" s="12" t="str">
        <x:v>Authors' calculation</x:v>
      </x:c>
      <x:c r="I8" s="12" t="str">
        <x:v>PDF p. 7</x:v>
      </x:c>
      <x:c r="J8" s="12" t="str">
        <x:v>Pilot</x:v>
      </x:c>
    </x:row>
    <x:row r="9" ht="15" hidden="0" customHeight="1">
      <x:c r="A9" s="12" t="str">
        <x:v>O008</x:v>
      </x:c>
      <x:c r="B9" s="12" t="str">
        <x:v>E004</x:v>
      </x:c>
      <x:c r="C9" s="12" t="str">
        <x:v>S002</x:v>
      </x:c>
      <x:c r="D9" s="12" t="str">
        <x:v>S002-C01</x:v>
      </x:c>
      <x:c r="E9" s="12" t="str">
        <x:v>Within-electrode repeatability</x:v>
      </x:c>
      <x:c r="F9" s="12" t="str">
        <x:v>4.8</x:v>
      </x:c>
      <x:c r="G9" s="12" t="str">
        <x:v>% RSD</x:v>
      </x:c>
      <x:c r="H9" s="12" t="str">
        <x:v>Ten repetitive responses</x:v>
      </x:c>
      <x:c r="I9" s="12" t="str">
        <x:v>PDF pp. 7-8, Fig. 5</x:v>
      </x:c>
      <x:c r="J9" s="12" t="str">
        <x:v>Pilot</x:v>
      </x:c>
    </x:row>
    <x:row r="10" ht="15" hidden="0" customHeight="1">
      <x:c r="A10" s="12" t="str">
        <x:v>O009</x:v>
      </x:c>
      <x:c r="B10" s="12" t="str">
        <x:v>E005</x:v>
      </x:c>
      <x:c r="C10" s="12" t="str">
        <x:v>S002</x:v>
      </x:c>
      <x:c r="D10" s="12" t="str">
        <x:v>S002-C01</x:v>
      </x:c>
      <x:c r="E10" s="12" t="str">
        <x:v>Between-electrode reproducibility</x:v>
      </x:c>
      <x:c r="F10" s="12" t="str">
        <x:v>8.1</x:v>
      </x:c>
      <x:c r="G10" s="12" t="str">
        <x:v>% RSD</x:v>
      </x:c>
      <x:c r="H10" s="12" t="str">
        <x:v>Six different 3DPEs</x:v>
      </x:c>
      <x:c r="I10" s="12" t="str">
        <x:v>PDF pp. 7-8, Fig. 5</x:v>
      </x:c>
      <x:c r="J10" s="12" t="str">
        <x:v>Pilot</x:v>
      </x:c>
    </x:row>
    <x:row r="11" ht="15" hidden="0" customHeight="1">
      <x:c r="A11" s="12" t="str">
        <x:v>O010</x:v>
      </x:c>
      <x:c r="B11" s="12" t="str">
        <x:v>E006</x:v>
      </x:c>
      <x:c r="C11" s="12" t="str">
        <x:v>S002</x:v>
      </x:c>
      <x:c r="D11" s="12" t="str">
        <x:v>S002-C01</x:v>
      </x:c>
      <x:c r="E11" s="12" t="str">
        <x:v>Artificial-sweat recovery</x:v>
      </x:c>
      <x:c r="F11" s="12" t="str">
        <x:v>97-102</x:v>
      </x:c>
      <x:c r="G11" s="12" t="str">
        <x:v>%</x:v>
      </x:c>
      <x:c r="H11" s="12" t="str">
        <x:v>Spiked samples; n=3</x:v>
      </x:c>
      <x:c r="I11" s="12" t="str">
        <x:v>PDF pp. 9-10, Fig. 7</x:v>
      </x:c>
      <x:c r="J11" s="12" t="str">
        <x:v>Pilot</x:v>
      </x:c>
    </x:row>
    <x:row r="12" ht="24" hidden="0" customHeight="1">
      <x:c r="A12" s="12" t="str">
        <x:v>S004-O01</x:v>
      </x:c>
      <x:c r="B12" s="12"/>
      <x:c r="C12" s="12" t="str">
        <x:v>S004</x:v>
      </x:c>
      <x:c r="D12" s="12"/>
      <x:c r="E12" s="12" t="str">
        <x:v>Gauge factor</x:v>
      </x:c>
      <x:c r="F12" s="12" t="str">
        <x:v>13.5 at 0–2%; 11.2 and 10 across stated 3–8% ranges for 45° design; 12.3 at 0–4% and 6.3 at 4–8% for 90°</x:v>
      </x:c>
      <x:c r="G12" s="12" t="str">
        <x:v>dimensionless</x:v>
      </x:c>
      <x:c r="H12" s="12"/>
      <x:c r="I12" s="12" t="str">
        <x:v>PDF p. 9; Fig. 5</x:v>
      </x:c>
      <x:c r="J12" s="12" t="str">
        <x:v>Batch 01</x:v>
      </x:c>
    </x:row>
    <x:row r="13" ht="15" hidden="0" customHeight="1">
      <x:c r="A13" s="12" t="str">
        <x:v>S004-O02</x:v>
      </x:c>
      <x:c r="B13" s="12"/>
      <x:c r="C13" s="12" t="str">
        <x:v>S004</x:v>
      </x:c>
      <x:c r="D13" s="12"/>
      <x:c r="E13" s="12" t="str">
        <x:v>Response/recovery time</x:v>
      </x:c>
      <x:c r="F13" s="12" t="str">
        <x:v>120 ms / &lt;100 ms</x:v>
      </x:c>
      <x:c r="G13" s="12" t="str">
        <x:v>ms</x:v>
      </x:c>
      <x:c r="H13" s="12"/>
      <x:c r="I13" s="12" t="str">
        <x:v>PDF pp. 9–10</x:v>
      </x:c>
      <x:c r="J13" s="12" t="str">
        <x:v>Batch 01</x:v>
      </x:c>
    </x:row>
    <x:row r="14" ht="15" hidden="0" customHeight="1">
      <x:c r="A14" s="12" t="str">
        <x:v>S005-O01</x:v>
      </x:c>
      <x:c r="B14" s="12"/>
      <x:c r="C14" s="12" t="str">
        <x:v>S005</x:v>
      </x:c>
      <x:c r="D14" s="12"/>
      <x:c r="E14" s="12" t="str">
        <x:v>Dynamic sensitivities</x:v>
      </x:c>
      <x:c r="F14" s="12" t="str">
        <x:v>0.190 ± 0.001 at 450 µm/0.1 Hz; 0.120 ± 0.004 at 150 µm/10 Hz</x:v>
      </x:c>
      <x:c r="G14" s="12" t="str">
        <x:v>pm/µm</x:v>
      </x:c>
      <x:c r="H14" s="12"/>
      <x:c r="I14" s="12" t="str">
        <x:v>PDF p. 5; Fig. 4</x:v>
      </x:c>
      <x:c r="J14" s="12" t="str">
        <x:v>Batch 01</x:v>
      </x:c>
    </x:row>
    <x:row r="15" ht="15" hidden="0" customHeight="1">
      <x:c r="A15" s="12" t="str">
        <x:v>S005-O02</x:v>
      </x:c>
      <x:c r="B15" s="12"/>
      <x:c r="C15" s="12" t="str">
        <x:v>S005</x:v>
      </x:c>
      <x:c r="D15" s="12"/>
      <x:c r="E15" s="12" t="str">
        <x:v>Heart-rate agreement</x:v>
      </x:c>
      <x:c r="F15" s="12" t="str">
        <x:v>Paired difference 0.8 ± 5.9; absolute paired difference 3.8 ± 4.6; percent difference 0.6 ± 7.6</x:v>
      </x:c>
      <x:c r="G15" s="12" t="str">
        <x:v>bpm; bpm; %</x:v>
      </x:c>
      <x:c r="H15" s="12"/>
      <x:c r="I15" s="12" t="str">
        <x:v>PDF p. 10; Table 3</x:v>
      </x:c>
      <x:c r="J15" s="12" t="str">
        <x:v>Batch 01</x:v>
      </x:c>
    </x:row>
    <x:row r="16" ht="15" hidden="0" customHeight="1">
      <x:c r="A16" s="12" t="str">
        <x:v>O015</x:v>
      </x:c>
      <x:c r="B16" s="12" t="str">
        <x:v>E009</x:v>
      </x:c>
      <x:c r="C16" s="12" t="str">
        <x:v>S007</x:v>
      </x:c>
      <x:c r="D16" s="12" t="str">
        <x:v>S007-C01</x:v>
      </x:c>
      <x:c r="E16" s="12" t="str">
        <x:v>Bulk resistance</x:v>
      </x:c>
      <x:c r="F16" s="12" t="str">
        <x:v>&lt;2</x:v>
      </x:c>
      <x:c r="G16" s="12" t="str">
        <x:v>ohm</x:v>
      </x:c>
      <x:c r="H16" s="12" t="str">
        <x:v>All electrode geometries</x:v>
      </x:c>
      <x:c r="I16" s="12" t="str">
        <x:v>PDF pp. 8-9, Table 3</x:v>
      </x:c>
      <x:c r="J16" s="12" t="str">
        <x:v>Pilot</x:v>
      </x:c>
    </x:row>
    <x:row r="17" ht="15" hidden="0" customHeight="1">
      <x:c r="A17" s="12" t="str">
        <x:v>O016</x:v>
      </x:c>
      <x:c r="B17" s="12" t="str">
        <x:v>E009</x:v>
      </x:c>
      <x:c r="C17" s="12" t="str">
        <x:v>S007</x:v>
      </x:c>
      <x:c r="D17" s="12" t="str">
        <x:v>S007-C01</x:v>
      </x:c>
      <x:c r="E17" s="12" t="str">
        <x:v>Loading-loop hysteresis</x:v>
      </x:c>
      <x:c r="F17" s="12" t="str">
        <x:v>&lt;1</x:v>
      </x:c>
      <x:c r="G17" s="12" t="str">
        <x:v>ohm</x:v>
      </x:c>
      <x:c r="H17" s="12" t="str">
        <x:v>Authors' resistance-difference description</x:v>
      </x:c>
      <x:c r="I17" s="12" t="str">
        <x:v>PDF pp. 8-9, Table 3</x:v>
      </x:c>
      <x:c r="J17" s="12" t="str">
        <x:v>Pilot</x:v>
      </x:c>
    </x:row>
    <x:row r="18" ht="15" hidden="0" customHeight="1">
      <x:c r="A18" s="12" t="str">
        <x:v>O017</x:v>
      </x:c>
      <x:c r="B18" s="12" t="str">
        <x:v>E010</x:v>
      </x:c>
      <x:c r="C18" s="12" t="str">
        <x:v>S007</x:v>
      </x:c>
      <x:c r="D18" s="12" t="str">
        <x:v>S007-C01</x:v>
      </x:c>
      <x:c r="E18" s="12" t="str">
        <x:v>Contact impedance</x:v>
      </x:c>
      <x:c r="F18" s="12" t="str">
        <x:v>&lt;3</x:v>
      </x:c>
      <x:c r="G18" s="12" t="str">
        <x:v>kohm</x:v>
      </x:c>
      <x:c r="H18" s="12" t="str">
        <x:v>Comfortable 150-400 g range for seven-finger spider design</x:v>
      </x:c>
      <x:c r="I18" s="12" t="str">
        <x:v>PDF pp. 9-10, Fig. 5</x:v>
      </x:c>
      <x:c r="J18" s="12" t="str">
        <x:v>Pilot</x:v>
      </x:c>
    </x:row>
    <x:row r="19" ht="15" hidden="0" customHeight="1">
      <x:c r="A19" s="12" t="str">
        <x:v>O018</x:v>
      </x:c>
      <x:c r="B19" s="12" t="str">
        <x:v>E011</x:v>
      </x:c>
      <x:c r="C19" s="12" t="str">
        <x:v>S007</x:v>
      </x:c>
      <x:c r="D19" s="12" t="str">
        <x:v>S007-C01</x:v>
      </x:c>
      <x:c r="E19" s="12" t="str">
        <x:v>Noise</x:v>
      </x:c>
      <x:c r="F19" s="12" t="str">
        <x:v>1.4-3.3</x:v>
      </x:c>
      <x:c r="G19" s="12" t="str">
        <x:v>microvolt RMS</x:v>
      </x:c>
      <x:c r="H19" s="12" t="str">
        <x:v>Printed variants; commercial electrode 0.9 microvolt RMS</x:v>
      </x:c>
      <x:c r="I19" s="12" t="str">
        <x:v>PDF pp. 10-12, Fig. 6-7</x:v>
      </x:c>
      <x:c r="J19" s="12" t="str">
        <x:v>Pilot</x:v>
      </x:c>
    </x:row>
    <x:row r="20" ht="15" hidden="0" customHeight="1">
      <x:c r="A20" s="12" t="str">
        <x:v>S008-O01</x:v>
      </x:c>
      <x:c r="B20" s="12"/>
      <x:c r="C20" s="12" t="str">
        <x:v>S008</x:v>
      </x:c>
      <x:c r="D20" s="12"/>
      <x:c r="E20" s="12" t="str">
        <x:v>Pressure sensitivity</x:v>
      </x:c>
      <x:c r="F20" s="12" t="str">
        <x:v>−15.7 at 0–9 kPa; −2.1 at 10–40 kPa</x:v>
      </x:c>
      <x:c r="G20" s="12" t="str">
        <x:v>MHz/kPa</x:v>
      </x:c>
      <x:c r="H20" s="12"/>
      <x:c r="I20" s="12" t="str">
        <x:v>PDF pp. 8–9; Fig. 4</x:v>
      </x:c>
      <x:c r="J20" s="12" t="str">
        <x:v>Batch 01</x:v>
      </x:c>
    </x:row>
    <x:row r="21" ht="24" hidden="0" customHeight="1">
      <x:c r="A21" s="12" t="str">
        <x:v>S008-O02</x:v>
      </x:c>
      <x:c r="B21" s="12"/>
      <x:c r="C21" s="12" t="str">
        <x:v>S008</x:v>
      </x:c>
      <x:c r="D21" s="12"/>
      <x:c r="E21" s="12" t="str">
        <x:v>Repeated weight-test spread</x:v>
      </x:c>
      <x:c r="F21" s="12" t="str">
        <x:v>Standard deviation &lt;0.002 for resonant-frequency change</x:v>
      </x:c>
      <x:c r="G21" s="12" t="str">
        <x:v>reported without clear unit/count</x:v>
      </x:c>
      <x:c r="H21" s="12"/>
      <x:c r="I21" s="12" t="str">
        <x:v>PDF p. 8; Fig. 5g–h</x:v>
      </x:c>
      <x:c r="J21" s="12" t="str">
        <x:v>Batch 01</x:v>
      </x:c>
    </x:row>
    <x:row r="22" ht="15" hidden="0" customHeight="1">
      <x:c r="A22" s="12" t="str">
        <x:v>S010-O01</x:v>
      </x:c>
      <x:c r="B22" s="12"/>
      <x:c r="C22" s="12" t="str">
        <x:v>S010</x:v>
      </x:c>
      <x:c r="D22" s="12"/>
      <x:c r="E22" s="12" t="str">
        <x:v>Static sensitivity and linearity</x:v>
      </x:c>
      <x:c r="F22" s="12" t="str">
        <x:v>0.3268 kPa⁻¹; R² 0.9942 sensor response and 0.9999 force through 150 kPa</x:v>
      </x:c>
      <x:c r="G22" s="12" t="str">
        <x:v>kPa⁻¹; R²</x:v>
      </x:c>
      <x:c r="H22" s="12"/>
      <x:c r="I22" s="12" t="str">
        <x:v>PDF p. 8; Fig. 5</x:v>
      </x:c>
      <x:c r="J22" s="12" t="str">
        <x:v>Batch 01</x:v>
      </x:c>
    </x:row>
    <x:row r="23" ht="15" hidden="0" customHeight="1">
      <x:c r="A23" s="12" t="str">
        <x:v>S010-O02</x:v>
      </x:c>
      <x:c r="B23" s="12"/>
      <x:c r="C23" s="12" t="str">
        <x:v>S010</x:v>
      </x:c>
      <x:c r="D23" s="12"/>
      <x:c r="E23" s="12" t="str">
        <x:v>Hysteresis and no-load SNR</x:v>
      </x:c>
      <x:c r="F23" s="12" t="str">
        <x:v>≈7% at 0.027 Hz to ≈30% at 0.053 Hz; 26.892 dB</x:v>
      </x:c>
      <x:c r="G23" s="12" t="str">
        <x:v>%; dB</x:v>
      </x:c>
      <x:c r="H23" s="12"/>
      <x:c r="I23" s="12" t="str">
        <x:v>PDF p. 9; Figs. 6–7</x:v>
      </x:c>
      <x:c r="J23" s="12" t="str">
        <x:v>Batch 01</x:v>
      </x:c>
    </x:row>
    <x:row r="24" ht="24" hidden="0" customHeight="1">
      <x:c r="A24" s="12" t="str">
        <x:v>S010-O03</x:v>
      </x:c>
      <x:c r="B24" s="12"/>
      <x:c r="C24" s="12" t="str">
        <x:v>S010</x:v>
      </x:c>
      <x:c r="D24" s="12"/>
      <x:c r="E24" s="12" t="str">
        <x:v>Worn-task outcomes</x:v>
      </x:c>
      <x:c r="F24" s="12" t="str">
        <x:v>Mean reaction time 0.647 s with one misinterpretation; finger-angle error &lt;10° and mean reaction time 0.797 s</x:v>
      </x:c>
      <x:c r="G24" s="12" t="str">
        <x:v>s; degrees</x:v>
      </x:c>
      <x:c r="H24" s="12"/>
      <x:c r="I24" s="12" t="str">
        <x:v>PDF pp. 13–15; Fig. 13</x:v>
      </x:c>
      <x:c r="J24" s="12" t="str">
        <x:v>Batch 01</x:v>
      </x:c>
    </x:row>
    <x:row r="25" ht="15" hidden="0" customHeight="1">
      <x:c r="A25" s="12" t="str">
        <x:v>O019</x:v>
      </x:c>
      <x:c r="B25" s="12" t="str">
        <x:v>E012</x:v>
      </x:c>
      <x:c r="C25" s="12" t="str">
        <x:v>S011</x:v>
      </x:c>
      <x:c r="D25" s="12" t="str">
        <x:v>S011-C01</x:v>
      </x:c>
      <x:c r="E25" s="12" t="str">
        <x:v>Mean sensor sensitivity</x:v>
      </x:c>
      <x:c r="F25" s="12" t="str">
        <x:v>1.19 +/- 0.03</x:v>
      </x:c>
      <x:c r="G25" s="12" t="str">
        <x:v>MPa^-1</x:v>
      </x:c>
      <x:c r="H25" s="12" t="str">
        <x:v>Sixteen sensors</x:v>
      </x:c>
      <x:c r="I25" s="12" t="str">
        <x:v>PDF pp. 8-9, Fig. 4</x:v>
      </x:c>
      <x:c r="J25" s="12" t="str">
        <x:v>Pilot</x:v>
      </x:c>
    </x:row>
    <x:row r="26" ht="15" hidden="0" customHeight="1">
      <x:c r="A26" s="12" t="str">
        <x:v>O020</x:v>
      </x:c>
      <x:c r="B26" s="12" t="str">
        <x:v>E012</x:v>
      </x:c>
      <x:c r="C26" s="12" t="str">
        <x:v>S011</x:v>
      </x:c>
      <x:c r="D26" s="12" t="str">
        <x:v>S011-C01</x:v>
      </x:c>
      <x:c r="E26" s="12" t="str">
        <x:v>Linearity</x:v>
      </x:c>
      <x:c r="F26" s="12" t="str">
        <x:v>0.993</x:v>
      </x:c>
      <x:c r="G26" s="12" t="str">
        <x:v>R-squared</x:v>
      </x:c>
      <x:c r="H26" s="12" t="str">
        <x:v>Mean calibration</x:v>
      </x:c>
      <x:c r="I26" s="12" t="str">
        <x:v>PDF pp. 8-9</x:v>
      </x:c>
      <x:c r="J26" s="12" t="str">
        <x:v>Pilot</x:v>
      </x:c>
    </x:row>
    <x:row r="27" ht="15" hidden="0" customHeight="1">
      <x:c r="A27" s="12" t="str">
        <x:v>O021</x:v>
      </x:c>
      <x:c r="B27" s="12" t="str">
        <x:v>E012</x:v>
      </x:c>
      <x:c r="C27" s="12" t="str">
        <x:v>S011</x:v>
      </x:c>
      <x:c r="D27" s="12" t="str">
        <x:v>S011-C01</x:v>
      </x:c>
      <x:c r="E27" s="12" t="str">
        <x:v>Hysteresis</x:v>
      </x:c>
      <x:c r="F27" s="12" t="str">
        <x:v>9.8</x:v>
      </x:c>
      <x:c r="G27" s="12" t="str">
        <x:v>%</x:v>
      </x:c>
      <x:c r="H27" s="12" t="str">
        <x:v>Three cycles</x:v>
      </x:c>
      <x:c r="I27" s="12" t="str">
        <x:v>PDF pp. 10-11, Fig. 7</x:v>
      </x:c>
      <x:c r="J27" s="12" t="str">
        <x:v>Pilot</x:v>
      </x:c>
    </x:row>
    <x:row r="28" ht="15" hidden="0" customHeight="1">
      <x:c r="A28" s="12" t="str">
        <x:v>O022</x:v>
      </x:c>
      <x:c r="B28" s="12" t="str">
        <x:v>E013</x:v>
      </x:c>
      <x:c r="C28" s="12" t="str">
        <x:v>S011</x:v>
      </x:c>
      <x:c r="D28" s="12" t="str">
        <x:v>S011-C01</x:v>
      </x:c>
      <x:c r="E28" s="12" t="str">
        <x:v>Durability</x:v>
      </x:c>
      <x:c r="F28" s="12" t="str">
        <x:v>Response reported as unchanged</x:v>
      </x:c>
      <x:c r="G28" s="12" t="str">
        <x:v>qualitative</x:v>
      </x:c>
      <x:c r="H28" s="12" t="str">
        <x:v>2280 cycles, 1 h</x:v>
      </x:c>
      <x:c r="I28" s="12" t="str">
        <x:v>PDF pp. 9-10, Fig. 6</x:v>
      </x:c>
      <x:c r="J28" s="12" t="str">
        <x:v>Pilot</x:v>
      </x:c>
    </x:row>
    <x:row r="29" ht="15" hidden="0" customHeight="1">
      <x:c r="A29" s="12" t="str">
        <x:v>O023</x:v>
      </x:c>
      <x:c r="B29" s="12" t="str">
        <x:v>E014</x:v>
      </x:c>
      <x:c r="C29" s="12" t="str">
        <x:v>S011</x:v>
      </x:c>
      <x:c r="D29" s="12" t="str">
        <x:v>S011-C01</x:v>
      </x:c>
      <x:c r="E29" s="12" t="str">
        <x:v>Sensitivity after insole integration</x:v>
      </x:c>
      <x:c r="F29" s="12" t="str">
        <x:v>0.55</x:v>
      </x:c>
      <x:c r="G29" s="12" t="str">
        <x:v>MPa^-1</x:v>
      </x:c>
      <x:c r="H29" s="12" t="str">
        <x:v>Compared with 1.19 MPa^-1 before integration</x:v>
      </x:c>
      <x:c r="I29" s="12" t="str">
        <x:v>PDF p. 12, Fig. 9</x:v>
      </x:c>
      <x:c r="J29" s="12" t="str">
        <x:v>Pilot</x:v>
      </x:c>
    </x:row>
    <x:row r="30" ht="15" hidden="0" customHeight="1">
      <x:c r="A30" s="12" t="str">
        <x:v>O024</x:v>
      </x:c>
      <x:c r="B30" s="12" t="str">
        <x:v>E014</x:v>
      </x:c>
      <x:c r="C30" s="12" t="str">
        <x:v>S011</x:v>
      </x:c>
      <x:c r="D30" s="12" t="str">
        <x:v>S011-C01</x:v>
      </x:c>
      <x:c r="E30" s="12" t="str">
        <x:v>Integration error</x:v>
      </x:c>
      <x:c r="F30" s="12" t="str">
        <x:v>10</x:v>
      </x:c>
      <x:c r="G30" s="12" t="str">
        <x:v>%</x:v>
      </x:c>
      <x:c r="H30" s="12" t="str">
        <x:v>Authors' reported value</x:v>
      </x:c>
      <x:c r="I30" s="12" t="str">
        <x:v>PDF p. 12</x:v>
      </x:c>
      <x:c r="J30" s="12" t="str">
        <x:v>Pilot</x:v>
      </x:c>
    </x:row>
    <x:row r="31" ht="15" hidden="0" customHeight="1">
      <x:c r="A31" s="12" t="str">
        <x:v>S012-O01</x:v>
      </x:c>
      <x:c r="B31" s="12"/>
      <x:c r="C31" s="12" t="str">
        <x:v>S012</x:v>
      </x:c>
      <x:c r="D31" s="12"/>
      <x:c r="E31" s="12" t="str">
        <x:v>Printed-electrode interface impedance</x:v>
      </x:c>
      <x:c r="F31" s="12" t="str">
        <x:v>7.8 kΩ at 20 Hz to 4.3 kΩ at 250 Hz</x:v>
      </x:c>
      <x:c r="G31" s="12" t="str">
        <x:v>kΩ</x:v>
      </x:c>
      <x:c r="H31" s="12"/>
      <x:c r="I31" s="12" t="str">
        <x:v>PDF p. 14 discussion of Fig. 9</x:v>
      </x:c>
      <x:c r="J31" s="12" t="str">
        <x:v>Batch 01</x:v>
      </x:c>
    </x:row>
    <x:row r="32" ht="15" hidden="0" customHeight="1">
      <x:c r="A32" s="12" t="str">
        <x:v>S012-O02</x:v>
      </x:c>
      <x:c r="B32" s="12"/>
      <x:c r="C32" s="12" t="str">
        <x:v>S012</x:v>
      </x:c>
      <x:c r="D32" s="12"/>
      <x:c r="E32" s="12" t="str">
        <x:v>Gesture classification</x:v>
      </x:c>
      <x:c r="F32" s="12" t="str">
        <x:v>LDA 83.1 ± 5.3% (3 class), 81.4 ± 4.6% (5 class); SVM 86.0 ± 4.9% and 86.9 ± 3.8%</x:v>
      </x:c>
      <x:c r="G32" s="12" t="str">
        <x:v>%</x:v>
      </x:c>
      <x:c r="H32" s="12"/>
      <x:c r="I32" s="12" t="str">
        <x:v>PDF p. 13; Table 3</x:v>
      </x:c>
      <x:c r="J32" s="12" t="str">
        <x:v>Batch 01</x:v>
      </x:c>
    </x:row>
    <x:row r="33" ht="15" hidden="0" customHeight="1">
      <x:c r="A33" s="12" t="str">
        <x:v>S013-O01</x:v>
      </x:c>
      <x:c r="B33" s="12"/>
      <x:c r="C33" s="12" t="str">
        <x:v>S013</x:v>
      </x:c>
      <x:c r="D33" s="12"/>
      <x:c r="E33" s="12" t="str">
        <x:v>Within-/between-device precision</x:v>
      </x:c>
      <x:c r="F33" s="12" t="str">
        <x:v>Maximum within-finger RSD 4.4–5.6%; between-finger RSD 7.9–9.7%, analyte dependent</x:v>
      </x:c>
      <x:c r="G33" s="12" t="str">
        <x:v>% RSD</x:v>
      </x:c>
      <x:c r="H33" s="12"/>
      <x:c r="I33" s="12" t="str">
        <x:v>PDF pp. 5–7; Table 1</x:v>
      </x:c>
      <x:c r="J33" s="12" t="str">
        <x:v>Batch 01</x:v>
      </x:c>
    </x:row>
    <x:row r="34" ht="24" hidden="0" customHeight="1">
      <x:c r="A34" s="12" t="str">
        <x:v>S013-O02</x:v>
      </x:c>
      <x:c r="B34" s="12"/>
      <x:c r="C34" s="12" t="str">
        <x:v>S013</x:v>
      </x:c>
      <x:c r="D34" s="12"/>
      <x:c r="E34" s="12" t="str">
        <x:v>Analytical range/LOD</x:v>
      </x:c>
      <x:c r="F34" s="12" t="str">
        <x:v>Ranges and matrix-specific LODs reported for four analytes; maximum LODs 0.11 mg/L FLU, 0.98 mg/L SCO, 0.18 mmol/L KET, 0.68 mg/L PAR</x:v>
      </x:c>
      <x:c r="G34" s="12" t="str">
        <x:v>mixed</x:v>
      </x:c>
      <x:c r="H34" s="12"/>
      <x:c r="I34" s="12" t="str">
        <x:v>PDF pp. 5–7; Table 1</x:v>
      </x:c>
      <x:c r="J34" s="12" t="str">
        <x:v>Batch 01</x:v>
      </x:c>
    </x:row>
    <x:row r="35" ht="15" hidden="0" customHeight="1">
      <x:c r="A35" s="12" t="str">
        <x:v>S014-O01</x:v>
      </x:c>
      <x:c r="B35" s="12"/>
      <x:c r="C35" s="12" t="str">
        <x:v>S014</x:v>
      </x:c>
      <x:c r="D35" s="12"/>
      <x:c r="E35" s="12" t="str">
        <x:v>Strain/temperature sensitivity</x:v>
      </x:c>
      <x:c r="F35" s="12" t="str">
        <x:v>TPU85A 0.76 nm/mε and 0.041 nm/°C; TPU95A 0.66 nm/mε and 0.047 nm/°C</x:v>
      </x:c>
      <x:c r="G35" s="12" t="str">
        <x:v>nm/mε; nm/°C</x:v>
      </x:c>
      <x:c r="H35" s="12"/>
      <x:c r="I35" s="12" t="str">
        <x:v>PDF pp. 6–7; Figs. 3–4</x:v>
      </x:c>
      <x:c r="J35" s="12" t="str">
        <x:v>Batch 01</x:v>
      </x:c>
    </x:row>
    <x:row r="36" ht="15" hidden="0" customHeight="1">
      <x:c r="A36" s="12" t="str">
        <x:v>S014-O02</x:v>
      </x:c>
      <x:c r="B36" s="12"/>
      <x:c r="C36" s="12" t="str">
        <x:v>S014</x:v>
      </x:c>
      <x:c r="D36" s="12"/>
      <x:c r="E36" s="12" t="str">
        <x:v>Hysteresis error</x:v>
      </x:c>
      <x:c r="F36" s="12" t="str">
        <x:v>TPU85A 2.84%/3.92%; TPU95A 6.76%/6.61% at 5.4/10.8 mm/min</x:v>
      </x:c>
      <x:c r="G36" s="12" t="str">
        <x:v>%</x:v>
      </x:c>
      <x:c r="H36" s="12"/>
      <x:c r="I36" s="12" t="str">
        <x:v>PDF pp. 8–9; Fig. 5</x:v>
      </x:c>
      <x:c r="J36" s="12" t="str">
        <x:v>Batch 01</x:v>
      </x:c>
    </x:row>
    <x:row r="37" ht="15" hidden="0" customHeight="1">
      <x:c r="A37" s="12" t="str">
        <x:v>S014-O03</x:v>
      </x:c>
      <x:c r="B37" s="12"/>
      <x:c r="C37" s="12" t="str">
        <x:v>S014</x:v>
      </x:c>
      <x:c r="D37" s="12"/>
      <x:c r="E37" s="12" t="str">
        <x:v>Interface pull-out</x:v>
      </x:c>
      <x:c r="F37" s="12" t="str">
        <x:v>Maximum force before functional loss &gt;12 N for all specimens; no complete fiber detachment</x:v>
      </x:c>
      <x:c r="G37" s="12" t="str">
        <x:v>N</x:v>
      </x:c>
      <x:c r="H37" s="12"/>
      <x:c r="I37" s="12" t="str">
        <x:v>PDF p. 9; Fig. 6</x:v>
      </x:c>
      <x:c r="J37" s="12" t="str">
        <x:v>Batch 01</x:v>
      </x:c>
    </x:row>
    <x:row r="38" ht="15" hidden="0" customHeight="1">
      <x:c r="A38" s="12" t="str">
        <x:v>S015-O01</x:v>
      </x:c>
      <x:c r="B38" s="12"/>
      <x:c r="C38" s="12" t="str">
        <x:v>S015</x:v>
      </x:c>
      <x:c r="D38" s="12"/>
      <x:c r="E38" s="12" t="str">
        <x:v>Tabletop absolute error</x:v>
      </x:c>
      <x:c r="F38" s="12" t="str">
        <x:v>0.87 ± 1.67</x:v>
      </x:c>
      <x:c r="G38" s="12" t="str">
        <x:v>mm</x:v>
      </x:c>
      <x:c r="H38" s="12"/>
      <x:c r="I38" s="12" t="str">
        <x:v>PDF p. 7</x:v>
      </x:c>
      <x:c r="J38" s="12" t="str">
        <x:v>Batch 01</x:v>
      </x:c>
    </x:row>
    <x:row r="39" ht="15" hidden="0" customHeight="1">
      <x:c r="A39" s="12" t="str">
        <x:v>S015-O02</x:v>
      </x:c>
      <x:c r="B39" s="12"/>
      <x:c r="C39" s="12" t="str">
        <x:v>S015</x:v>
      </x:c>
      <x:c r="D39" s="12"/>
      <x:c r="E39" s="12" t="str">
        <x:v>Bilateral flex-sensor RMSE differences</x:v>
      </x:c>
      <x:c r="F39" s="12" t="str">
        <x:v>Participant 1: 0.12 NMO, 0.09 MMO; participant 2: 0.25 NMO, 0.14 MMO</x:v>
      </x:c>
      <x:c r="G39" s="12" t="str">
        <x:v>normalized RMSE</x:v>
      </x:c>
      <x:c r="H39" s="12"/>
      <x:c r="I39" s="12" t="str">
        <x:v>PDF p. 7; Fig. 6</x:v>
      </x:c>
      <x:c r="J39" s="12" t="str">
        <x:v>Batch 01</x:v>
      </x:c>
    </x:row>
    <x:row r="40" ht="15" hidden="0" customHeight="1">
      <x:c r="A40" s="12" t="str">
        <x:v>S015-O03</x:v>
      </x:c>
      <x:c r="B40" s="12"/>
      <x:c r="C40" s="12" t="str">
        <x:v>S015</x:v>
      </x:c>
      <x:c r="D40" s="12"/>
      <x:c r="E40" s="12" t="str">
        <x:v>Accelerometer RMSE</x:v>
      </x:c>
      <x:c r="F40" s="12" t="str">
        <x:v>MAP 1.51/0.93/0.53; MLE 1.36/1.52/0.64; fricatives 1.42/1.31/0.68 for x/y/z</x:v>
      </x:c>
      <x:c r="G40" s="12" t="str">
        <x:v>normalized RMSE</x:v>
      </x:c>
      <x:c r="H40" s="12"/>
      <x:c r="I40" s="12" t="str">
        <x:v>PDF p. 8; Table 1</x:v>
      </x:c>
      <x:c r="J40" s="12" t="str">
        <x:v>Batch 01</x:v>
      </x:c>
    </x:row>
    <x:row r="41" ht="15" hidden="0" customHeight="1">
      <x:c r="A41" s="12" t="str">
        <x:v>O025</x:v>
      </x:c>
      <x:c r="B41" s="12" t="str">
        <x:v>E016</x:v>
      </x:c>
      <x:c r="C41" s="12" t="str">
        <x:v>S017</x:v>
      </x:c>
      <x:c r="D41" s="12" t="str">
        <x:v>S017-C01</x:v>
      </x:c>
      <x:c r="E41" s="12" t="str">
        <x:v>Peak power density</x:v>
      </x:c>
      <x:c r="F41" s="12" t="str">
        <x:v>58.38</x:v>
      </x:c>
      <x:c r="G41" s="12" t="str">
        <x:v>mW/m2</x:v>
      </x:c>
      <x:c r="H41" s="12" t="str">
        <x:v>At 30 megaohm</x:v>
      </x:c>
      <x:c r="I41" s="12" t="str">
        <x:v>PDF pp. 3-4, Fig. 3</x:v>
      </x:c>
      <x:c r="J41" s="12" t="str">
        <x:v>Pilot</x:v>
      </x:c>
    </x:row>
    <x:row r="42" ht="15" hidden="0" customHeight="1">
      <x:c r="A42" s="12" t="str">
        <x:v>O026</x:v>
      </x:c>
      <x:c r="B42" s="12" t="str">
        <x:v>E017</x:v>
      </x:c>
      <x:c r="C42" s="12" t="str">
        <x:v>S017</x:v>
      </x:c>
      <x:c r="D42" s="12" t="str">
        <x:v>S017-C01</x:v>
      </x:c>
      <x:c r="E42" s="12" t="str">
        <x:v>Buckling retention</x:v>
      </x:c>
      <x:c r="F42" s="12" t="str">
        <x:v>82 / 74 / 87</x:v>
      </x:c>
      <x:c r="G42" s="12" t="str">
        <x:v>%</x:v>
      </x:c>
      <x:c r="H42" s="12" t="str">
        <x:v>Isc / Qsc / Voc after buckling</x:v>
      </x:c>
      <x:c r="I42" s="12" t="str">
        <x:v>PDF pp. 4-5, Fig. 4</x:v>
      </x:c>
      <x:c r="J42" s="12" t="str">
        <x:v>Pilot</x:v>
      </x:c>
    </x:row>
    <x:row r="43" ht="15" hidden="0" customHeight="1">
      <x:c r="A43" s="12" t="str">
        <x:v>O027</x:v>
      </x:c>
      <x:c r="B43" s="12" t="str">
        <x:v>E017</x:v>
      </x:c>
      <x:c r="C43" s="12" t="str">
        <x:v>S017</x:v>
      </x:c>
      <x:c r="D43" s="12" t="str">
        <x:v>S017-C01</x:v>
      </x:c>
      <x:c r="E43" s="12" t="str">
        <x:v>Post-recovery output</x:v>
      </x:c>
      <x:c r="F43" s="12" t="str">
        <x:v>91 / 92 / 92</x:v>
      </x:c>
      <x:c r="G43" s="12" t="str">
        <x:v>%</x:v>
      </x:c>
      <x:c r="H43" s="12" t="str">
        <x:v>Isc / Qsc / Voc after recovery</x:v>
      </x:c>
      <x:c r="I43" s="12" t="str">
        <x:v>PDF pp. 4-5, Fig. 4</x:v>
      </x:c>
      <x:c r="J43" s="12" t="str">
        <x:v>Pilot</x:v>
      </x:c>
    </x:row>
    <x:row r="44" ht="15" hidden="0" customHeight="1">
      <x:c r="A44" s="12" t="str">
        <x:v>O028</x:v>
      </x:c>
      <x:c r="B44" s="12" t="str">
        <x:v>E018</x:v>
      </x:c>
      <x:c r="C44" s="12" t="str">
        <x:v>S017</x:v>
      </x:c>
      <x:c r="D44" s="12" t="str">
        <x:v>S017-C01</x:v>
      </x:c>
      <x:c r="E44" s="12" t="str">
        <x:v>Cycle stability</x:v>
      </x:c>
      <x:c r="F44" s="12" t="str">
        <x:v>approximately 65 V without decline</x:v>
      </x:c>
      <x:c r="G44" s="12" t="str">
        <x:v>qualitative/voltage</x:v>
      </x:c>
      <x:c r="H44" s="12" t="str">
        <x:v>1600 cycles</x:v>
      </x:c>
      <x:c r="I44" s="12" t="str">
        <x:v>PDF pp. 4-5, Fig. 5</x:v>
      </x:c>
      <x:c r="J44" s="12" t="str">
        <x:v>Pilot</x:v>
      </x:c>
    </x:row>
    <x:row r="45" ht="15" hidden="0" customHeight="1">
      <x:c r="A45" s="12" t="str">
        <x:v>S018-O01</x:v>
      </x:c>
      <x:c r="B45" s="12"/>
      <x:c r="C45" s="12" t="str">
        <x:v>S018</x:v>
      </x:c>
      <x:c r="D45" s="12"/>
      <x:c r="E45" s="12" t="str">
        <x:v>GRF prediction</x:v>
      </x:c>
      <x:c r="F45" s="12" t="str">
        <x:v>RMSE 7.2%, 6.3%, 9.4% for slow, normal, fast; pooled validation 7.0%</x:v>
      </x:c>
      <x:c r="G45" s="12" t="str">
        <x:v>%</x:v>
      </x:c>
      <x:c r="H45" s="12"/>
      <x:c r="I45" s="12" t="str">
        <x:v>PDF pp. 9–10; Fig. 5; Table 1</x:v>
      </x:c>
      <x:c r="J45" s="12" t="str">
        <x:v>Batch 02</x:v>
      </x:c>
    </x:row>
    <x:row r="46" ht="15" hidden="0" customHeight="1">
      <x:c r="A46" s="12" t="str">
        <x:v>S018-O02</x:v>
      </x:c>
      <x:c r="B46" s="12"/>
      <x:c r="C46" s="12" t="str">
        <x:v>S018</x:v>
      </x:c>
      <x:c r="D46" s="12"/>
      <x:c r="E46" s="12" t="str">
        <x:v>COP prediction</x:v>
      </x:c>
      <x:c r="F46" s="12" t="str">
        <x:v>Validation RMSE 8.7% over 20–80% of stance</x:v>
      </x:c>
      <x:c r="G46" s="12" t="str">
        <x:v>%</x:v>
      </x:c>
      <x:c r="H46" s="12"/>
      <x:c r="I46" s="12" t="str">
        <x:v>PDF pp. 10–11; Fig. 6</x:v>
      </x:c>
      <x:c r="J46" s="12" t="str">
        <x:v>Batch 02</x:v>
      </x:c>
    </x:row>
    <x:row r="47" ht="15" hidden="0" customHeight="1">
      <x:c r="A47" s="12" t="str">
        <x:v>S019-O01</x:v>
      </x:c>
      <x:c r="B47" s="12"/>
      <x:c r="C47" s="12" t="str">
        <x:v>S019</x:v>
      </x:c>
      <x:c r="D47" s="12"/>
      <x:c r="E47" s="12" t="str">
        <x:v>45° sensitivity</x:v>
      </x:c>
      <x:c r="F47" s="12" t="str">
        <x:v>GF 21.5 at 0–2%, 16.2 at 2–4%, approximately 10 at higher reported interval</x:v>
      </x:c>
      <x:c r="G47" s="12" t="str">
        <x:v>GF</x:v>
      </x:c>
      <x:c r="H47" s="12"/>
      <x:c r="I47" s="12" t="str">
        <x:v>PDF p. 4; Fig. 3</x:v>
      </x:c>
      <x:c r="J47" s="12" t="str">
        <x:v>Batch 02</x:v>
      </x:c>
    </x:row>
    <x:row r="48" ht="24" hidden="0" customHeight="1">
      <x:c r="A48" s="12" t="str">
        <x:v>S019-O02</x:v>
      </x:c>
      <x:c r="B48" s="12"/>
      <x:c r="C48" s="12" t="str">
        <x:v>S019</x:v>
      </x:c>
      <x:c r="D48" s="12"/>
      <x:c r="E48" s="12" t="str">
        <x:v>Dynamic/environmental performance</x:v>
      </x:c>
      <x:c r="F48" s="12" t="str">
        <x:v>Hysteresis &lt;10%; response 120 ms; recovery &lt;100 ms; resistance change &lt;7% from 20–30 °C; ~8% end difference after 10,000 cycles</x:v>
      </x:c>
      <x:c r="G48" s="12" t="str">
        <x:v>mixed</x:v>
      </x:c>
      <x:c r="H48" s="12"/>
      <x:c r="I48" s="12" t="str">
        <x:v>PDF pp. 4–7; Figs. 4–6</x:v>
      </x:c>
      <x:c r="J48" s="12" t="str">
        <x:v>Batch 02</x:v>
      </x:c>
    </x:row>
    <x:row r="49" ht="15" hidden="0" customHeight="1">
      <x:c r="A49" s="12" t="str">
        <x:v>S020-O01</x:v>
      </x:c>
      <x:c r="B49" s="12"/>
      <x:c r="C49" s="12" t="str">
        <x:v>S020</x:v>
      </x:c>
      <x:c r="D49" s="12"/>
      <x:c r="E49" s="12" t="str">
        <x:v>Integration effect</x:v>
      </x:c>
      <x:c r="F49" s="12" t="str">
        <x:v>Response time 0.58 s without foam and 1.26 s with foam at 10 N</x:v>
      </x:c>
      <x:c r="G49" s="12" t="str">
        <x:v>s</x:v>
      </x:c>
      <x:c r="H49" s="12"/>
      <x:c r="I49" s="12" t="str">
        <x:v>PDF p. 10; Fig. 7</x:v>
      </x:c>
      <x:c r="J49" s="12" t="str">
        <x:v>Batch 02</x:v>
      </x:c>
    </x:row>
    <x:row r="50" ht="24" hidden="0" customHeight="1">
      <x:c r="A50" s="12" t="str">
        <x:v>S020-O02</x:v>
      </x:c>
      <x:c r="B50" s="12"/>
      <x:c r="C50" s="12" t="str">
        <x:v>S020</x:v>
      </x:c>
      <x:c r="D50" s="12"/>
      <x:c r="E50" s="12" t="str">
        <x:v>Reliability/accuracy</x:v>
      </x:c>
      <x:c r="F50" s="12" t="str">
        <x:v>Four-sensor response differences described as negligible; hysteresis error 15.56%; force prediction R² 90.97%, residual SD 4.1 N</x:v>
      </x:c>
      <x:c r="G50" s="12" t="str">
        <x:v>mixed</x:v>
      </x:c>
      <x:c r="H50" s="12"/>
      <x:c r="I50" s="12" t="str">
        <x:v>PDF pp. 11–13; Figs. 8, 11</x:v>
      </x:c>
      <x:c r="J50" s="12" t="str">
        <x:v>Batch 02</x:v>
      </x:c>
    </x:row>
    <x:row r="51" ht="24" hidden="0" customHeight="1">
      <x:c r="A51" s="12" t="str">
        <x:v>S021-O01</x:v>
      </x:c>
      <x:c r="B51" s="12"/>
      <x:c r="C51" s="12" t="str">
        <x:v>S021</x:v>
      </x:c>
      <x:c r="D51" s="12"/>
      <x:c r="E51" s="12" t="str">
        <x:v>Angle and gesture performance</x:v>
      </x:c>
      <x:c r="F51" s="12" t="str">
        <x:v>MAE 4.06° wrist flexion-extension, 1.38° abduction-adduction, 1.70° finger bending; independent-session gesture accuracy 100%</x:v>
      </x:c>
      <x:c r="G51" s="12" t="str">
        <x:v>degrees; %</x:v>
      </x:c>
      <x:c r="H51" s="12"/>
      <x:c r="I51" s="12" t="str">
        <x:v>PDF pp. 7–10; Figs. 5–8</x:v>
      </x:c>
      <x:c r="J51" s="12" t="str">
        <x:v>Batch 02</x:v>
      </x:c>
    </x:row>
    <x:row r="52" ht="24" hidden="0" customHeight="1">
      <x:c r="A52" s="12" t="str">
        <x:v>S022-O01</x:v>
      </x:c>
      <x:c r="B52" s="12"/>
      <x:c r="C52" s="12" t="str">
        <x:v>S022</x:v>
      </x:c>
      <x:c r="D52" s="12"/>
      <x:c r="E52" s="12" t="str">
        <x:v>Pressure response</x:v>
      </x:c>
      <x:c r="F52" s="12" t="str">
        <x:v>GF 8.41 (0–5%), −0.43 (5–30%), 1.71 (30–70%); detection 0.1–2.2 MPa; response 100 ms; hysteresis deviation &lt;5% after 1000 cycles</x:v>
      </x:c>
      <x:c r="G52" s="12" t="str">
        <x:v>mixed</x:v>
      </x:c>
      <x:c r="H52" s="12"/>
      <x:c r="I52" s="12" t="str">
        <x:v>PDF pp. 2, 5–7; Figs. 1, 4</x:v>
      </x:c>
      <x:c r="J52" s="12" t="str">
        <x:v>Batch 02</x:v>
      </x:c>
    </x:row>
    <x:row r="53" ht="24" hidden="0" customHeight="1">
      <x:c r="A53" s="12" t="str">
        <x:v>S023-O01</x:v>
      </x:c>
      <x:c r="B53" s="12"/>
      <x:c r="C53" s="12" t="str">
        <x:v>S023</x:v>
      </x:c>
      <x:c r="D53" s="12"/>
      <x:c r="E53" s="12" t="str">
        <x:v>Cyclic/device variation</x:v>
      </x:c>
      <x:c r="F53" s="12" t="str">
        <x:v>Three separate samples per condition; resistance change commonly ≤0.5–1% in stable regions, with failures dependent on construction/deformation</x:v>
      </x:c>
      <x:c r="G53" s="12" t="str">
        <x:v>%</x:v>
      </x:c>
      <x:c r="H53" s="12"/>
      <x:c r="I53" s="12" t="str">
        <x:v>PDF pp. 8–10; Figs. 7–8</x:v>
      </x:c>
      <x:c r="J53" s="12" t="str">
        <x:v>Batch 02</x:v>
      </x:c>
    </x:row>
    <x:row r="54" ht="24" hidden="0" customHeight="1">
      <x:c r="A54" s="12" t="str">
        <x:v>S023-O02</x:v>
      </x:c>
      <x:c r="B54" s="12"/>
      <x:c r="C54" s="12" t="str">
        <x:v>S023</x:v>
      </x:c>
      <x:c r="D54" s="12"/>
      <x:c r="E54" s="12" t="str">
        <x:v>Sensor demonstration</x:v>
      </x:c>
      <x:c r="F54" s="12" t="str">
        <x:v>750–1800 Ω practical range; nonlinearity/noise &lt;5% full scale; hysteresis ~10% full scale; sensitivity ~200 Ω/mm; ~200 s stabilization</x:v>
      </x:c>
      <x:c r="G54" s="12" t="str">
        <x:v>mixed</x:v>
      </x:c>
      <x:c r="H54" s="12"/>
      <x:c r="I54" s="12" t="str">
        <x:v>PDF p. 11; Fig. 9</x:v>
      </x:c>
      <x:c r="J54" s="12" t="str">
        <x:v>Batch 02</x:v>
      </x:c>
    </x:row>
    <x:row r="55" ht="24" hidden="0" customHeight="1">
      <x:c r="A55" s="12" t="str">
        <x:v>S024-O01</x:v>
      </x:c>
      <x:c r="B55" s="12"/>
      <x:c r="C55" s="12" t="str">
        <x:v>S024</x:v>
      </x:c>
      <x:c r="D55" s="12"/>
      <x:c r="E55" s="12" t="str">
        <x:v>Strain performance</x:v>
      </x:c>
      <x:c r="F55" s="12" t="str">
        <x:v>GF ~108.8; linear range ~15.5%; R²=0.979; 70/69 ms response/recovery; 13.1% peak reduction after 8000 cycles</x:v>
      </x:c>
      <x:c r="G55" s="12" t="str">
        <x:v>mixed</x:v>
      </x:c>
      <x:c r="H55" s="12"/>
      <x:c r="I55" s="12" t="str">
        <x:v>PDF pp. 5–7; Figs. 3–4</x:v>
      </x:c>
      <x:c r="J55" s="12" t="str">
        <x:v>Batch 02</x:v>
      </x:c>
    </x:row>
    <x:row r="56" ht="15" hidden="0" customHeight="1">
      <x:c r="A56" s="12" t="str">
        <x:v>S024-O02</x:v>
      </x:c>
      <x:c r="B56" s="12"/>
      <x:c r="C56" s="12" t="str">
        <x:v>S024</x:v>
      </x:c>
      <x:c r="D56" s="12"/>
      <x:c r="E56" s="12" t="str">
        <x:v>Interface adhesion</x:v>
      </x:c>
      <x:c r="F56" s="12" t="str">
        <x:v>Lap-shear strength approximately 0.93 MPa</x:v>
      </x:c>
      <x:c r="G56" s="12" t="str">
        <x:v>MPa</x:v>
      </x:c>
      <x:c r="H56" s="12"/>
      <x:c r="I56" s="12" t="str">
        <x:v>PDF p. 7; Fig. 5/supporting description</x:v>
      </x:c>
      <x:c r="J56" s="12" t="str">
        <x:v>Batch 02</x:v>
      </x:c>
    </x:row>
    <x:row r="57" ht="24" hidden="0" customHeight="1">
      <x:c r="A57" s="12" t="str">
        <x:v>S024-OS01</x:v>
      </x:c>
      <x:c r="B57" s="12"/>
      <x:c r="C57" s="12" t="str">
        <x:v>S024</x:v>
      </x:c>
      <x:c r="D57" s="12"/>
      <x:c r="E57" s="12" t="str">
        <x:v>Humid-heat retention</x:v>
      </x:c>
      <x:c r="F57" s="12" t="str">
        <x:v>Gauge factor decreased by 5.4% after 3 days and 9.1% after 7 days at 60 °C and 80% RH</x:v>
      </x:c>
      <x:c r="G57" s="12" t="str">
        <x:v>%</x:v>
      </x:c>
      <x:c r="H57" s="12" t="str">
        <x:v>Post-exposure response reported</x:v>
      </x:c>
      <x:c r="I57" s="12" t="str">
        <x:v>Main article p. 7; Supplementary Fig. S4</x:v>
      </x:c>
      <x:c r="J57" s="12" t="str">
        <x:v>Supplement verified 2026-09-03</x:v>
      </x:c>
    </x:row>
    <x:row r="58" ht="24" hidden="0" customHeight="1">
      <x:c r="A58" s="12" t="str">
        <x:v>S025-O01</x:v>
      </x:c>
      <x:c r="B58" s="12"/>
      <x:c r="C58" s="12" t="str">
        <x:v>S025</x:v>
      </x:c>
      <x:c r="D58" s="12"/>
      <x:c r="E58" s="12" t="str">
        <x:v>pH HMN performance</x:v>
      </x:c>
      <x:c r="F58" s="12" t="str">
        <x:v>Sensitivity −55.35 ± 0.54 mV/pH; response 4.7 s; single-device repeatability RSD 0.61%; six-HMN reproducibility RSD 1.16%; 24 h drift 0.37 ± 0.04 mV/h</x:v>
      </x:c>
      <x:c r="G58" s="12" t="str">
        <x:v>mixed</x:v>
      </x:c>
      <x:c r="H58" s="12"/>
      <x:c r="I58" s="12" t="str">
        <x:v>PDF pp. 5–7; Fig. 3</x:v>
      </x:c>
      <x:c r="J58" s="12" t="str">
        <x:v>Batch 02</x:v>
      </x:c>
    </x:row>
    <x:row r="59" ht="15" hidden="0" customHeight="1">
      <x:c r="A59" s="12" t="str">
        <x:v>S025-O02</x:v>
      </x:c>
      <x:c r="B59" s="12"/>
      <x:c r="C59" s="12" t="str">
        <x:v>S025</x:v>
      </x:c>
      <x:c r="D59" s="12"/>
      <x:c r="E59" s="12" t="str">
        <x:v>Complete-patch reproducibility/ex-vivo accuracy</x:v>
      </x:c>
      <x:c r="F59" s="12" t="str">
        <x:v>Four-patch sensitivity −54.65 ± 0.58 mV/pH (RSD 1.06%); conditioned-skin correlation r=0.9980</x:v>
      </x:c>
      <x:c r="G59" s="12" t="str">
        <x:v>mixed</x:v>
      </x:c>
      <x:c r="H59" s="12"/>
      <x:c r="I59" s="12" t="str">
        <x:v>PDF pp. 8–10; Figs. 5–6; Table 1</x:v>
      </x:c>
      <x:c r="J59" s="12" t="str">
        <x:v>Batch 02</x:v>
      </x:c>
    </x:row>
    <x:row r="60" ht="15" hidden="0" customHeight="1">
      <x:c r="A60" s="12" t="str">
        <x:v>S028-O01</x:v>
      </x:c>
      <x:c r="B60" s="12"/>
      <x:c r="C60" s="12" t="str">
        <x:v>S028</x:v>
      </x:c>
      <x:c r="D60" s="12"/>
      <x:c r="E60" s="12" t="str">
        <x:v>Best design performance</x:v>
      </x:c>
      <x:c r="F60" s="12" t="str">
        <x:v>Sensitivity 11.61–20.11 ×10^-4 V/(N/cm²); hysteresis 11.9–31.8%; linearity error 9.0–22.3%</x:v>
      </x:c>
      <x:c r="G60" s="12" t="str">
        <x:v>mixed</x:v>
      </x:c>
      <x:c r="H60" s="12"/>
      <x:c r="I60" s="12" t="str">
        <x:v>PDF pp. 14–17; Figs. 9–10; Table 4</x:v>
      </x:c>
      <x:c r="J60" s="12" t="str">
        <x:v>Batch 03</x:v>
      </x:c>
    </x:row>
    <x:row r="61" ht="24" hidden="0" customHeight="1">
      <x:c r="A61" s="12" t="str">
        <x:v>S028-O02</x:v>
      </x:c>
      <x:c r="B61" s="12"/>
      <x:c r="C61" s="12" t="str">
        <x:v>S028</x:v>
      </x:c>
      <x:c r="D61" s="12"/>
      <x:c r="E61" s="12" t="str">
        <x:v>Between-device evidence</x:v>
      </x:c>
      <x:c r="F61" s="12" t="str">
        <x:v>Four usable PLA-TPU-10 units and five units for each other design shown individually; variability explicitly discussed</x:v>
      </x:c>
      <x:c r="G61" s="12" t="str">
        <x:v>n</x:v>
      </x:c>
      <x:c r="H61" s="12"/>
      <x:c r="I61" s="12" t="str">
        <x:v>PDF pp. 12–17; Figs. 10; Tables 3–4</x:v>
      </x:c>
      <x:c r="J61" s="12" t="str">
        <x:v>Batch 03</x:v>
      </x:c>
    </x:row>
    <x:row r="62" ht="15" hidden="0" customHeight="1">
      <x:c r="A62" s="12" t="str">
        <x:v>S029-O01</x:v>
      </x:c>
      <x:c r="B62" s="12"/>
      <x:c r="C62" s="12" t="str">
        <x:v>S029</x:v>
      </x:c>
      <x:c r="D62" s="12"/>
      <x:c r="E62" s="12" t="str">
        <x:v>Bend response</x:v>
      </x:c>
      <x:c r="F62" s="12" t="str">
        <x:v>GF −1.33; hysteresis 27%; polynomial R² 0.90; stated RMSE about ±4.5°</x:v>
      </x:c>
      <x:c r="G62" s="12" t="str">
        <x:v>mixed</x:v>
      </x:c>
      <x:c r="H62" s="12"/>
      <x:c r="I62" s="12" t="str">
        <x:v>PDF pp. 15–18; Fig. 11; Table 5</x:v>
      </x:c>
      <x:c r="J62" s="12" t="str">
        <x:v>Batch 03</x:v>
      </x:c>
    </x:row>
    <x:row r="63" ht="24" hidden="0" customHeight="1">
      <x:c r="A63" s="12" t="str">
        <x:v>S029-O02</x:v>
      </x:c>
      <x:c r="B63" s="12"/>
      <x:c r="C63" s="12" t="str">
        <x:v>S029</x:v>
      </x:c>
      <x:c r="D63" s="12"/>
      <x:c r="E63" s="12" t="str">
        <x:v>Manufacturing/endurance</x:v>
      </x:c>
      <x:c r="F63" s="12" t="str">
        <x:v>Raw set 43.77 kΩ, variance 5.92 kΩ²; glove-mounted set 46.15 kΩ, variance 2.06 kΩ²; repeatability error 6.67%; drift −5% over 700 cycles</x:v>
      </x:c>
      <x:c r="G63" s="12" t="str">
        <x:v>mixed</x:v>
      </x:c>
      <x:c r="H63" s="12"/>
      <x:c r="I63" s="12" t="str">
        <x:v>PDF pp. 12–18; Figs. 9–11; Table 4</x:v>
      </x:c>
      <x:c r="J63" s="12" t="str">
        <x:v>Batch 03</x:v>
      </x:c>
    </x:row>
    <x:row r="64" ht="15" hidden="0" customHeight="1">
      <x:c r="A64" s="12" t="str">
        <x:v>S031-O01</x:v>
      </x:c>
      <x:c r="B64" s="12"/>
      <x:c r="C64" s="12" t="str">
        <x:v>S031</x:v>
      </x:c>
      <x:c r="D64" s="12"/>
      <x:c r="E64" s="12" t="str">
        <x:v>Gait angle error</x:v>
      </x:c>
      <x:c r="F64" s="12" t="str">
        <x:v>Overall MAE: 7.46°, 2.46°, 6.12°, 12.49° for four gait differences; participant-level MAD generally &lt;2°</x:v>
      </x:c>
      <x:c r="G64" s="12" t="str">
        <x:v>degrees</x:v>
      </x:c>
      <x:c r="H64" s="12"/>
      <x:c r="I64" s="12" t="str">
        <x:v>PDF pp. 9–10; Tables 1–2; Appendix A</x:v>
      </x:c>
      <x:c r="J64" s="12" t="str">
        <x:v>Batch 03</x:v>
      </x:c>
    </x:row>
    <x:row r="65" ht="15" hidden="0" customHeight="1">
      <x:c r="A65" s="12" t="str">
        <x:v>S031-O02</x:v>
      </x:c>
      <x:c r="B65" s="12"/>
      <x:c r="C65" s="12" t="str">
        <x:v>S031</x:v>
      </x:c>
      <x:c r="D65" s="12"/>
      <x:c r="E65" s="12" t="str">
        <x:v>Walking detection</x:v>
      </x:c>
      <x:c r="F65" s="12" t="str">
        <x:v>94%, 96%, 94% at 4.0, 4.5 and 5.0 km/h; 94.66% overall</x:v>
      </x:c>
      <x:c r="G65" s="12" t="str">
        <x:v>%</x:v>
      </x:c>
      <x:c r="H65" s="12"/>
      <x:c r="I65" s="12" t="str">
        <x:v>PDF pp. 10–11; Table 3</x:v>
      </x:c>
      <x:c r="J65" s="12" t="str">
        <x:v>Batch 03</x:v>
      </x:c>
    </x:row>
    <x:row r="66" ht="24" hidden="0" customHeight="1">
      <x:c r="A66" s="12" t="str">
        <x:v>S032-O01</x:v>
      </x:c>
      <x:c r="B66" s="12"/>
      <x:c r="C66" s="12" t="str">
        <x:v>S032</x:v>
      </x:c>
      <x:c r="D66" s="12"/>
      <x:c r="E66" s="12" t="str">
        <x:v>Occlusion response</x:v>
      </x:c>
      <x:c r="F66" s="12" t="str">
        <x:v>rBF during occlusion 0.15±0.05 at 780 nm and 0.41±0.14 at 850 nm; ΔHb +15.1±3.2 μM; ΔHbO2 −8.3±4.7 μM</x:v>
      </x:c>
      <x:c r="G66" s="12" t="str">
        <x:v>mixed</x:v>
      </x:c>
      <x:c r="H66" s="12"/>
      <x:c r="I66" s="12" t="str">
        <x:v>PDF p. 9; Fig. 8</x:v>
      </x:c>
      <x:c r="J66" s="12" t="str">
        <x:v>Batch 03</x:v>
      </x:c>
    </x:row>
    <x:row r="67" ht="15" hidden="0" customHeight="1">
      <x:c r="A67" s="12" t="str">
        <x:v>S032-O02</x:v>
      </x:c>
      <x:c r="B67" s="12"/>
      <x:c r="C67" s="12" t="str">
        <x:v>S032</x:v>
      </x:c>
      <x:c r="D67" s="12"/>
      <x:c r="E67" s="12" t="str">
        <x:v>Skin-interface temperature</x:v>
      </x:c>
      <x:c r="F67" s="12" t="str">
        <x:v>Increase 2.2±0.4 °C in 2–3 min, then stable below 37 °C; no reported discomfort</x:v>
      </x:c>
      <x:c r="G67" s="12" t="str">
        <x:v>°C</x:v>
      </x:c>
      <x:c r="H67" s="12"/>
      <x:c r="I67" s="12" t="str">
        <x:v>PDF p. 9; Figs. 7c, 8c</x:v>
      </x:c>
      <x:c r="J67" s="12" t="str">
        <x:v>Batch 03</x:v>
      </x:c>
    </x:row>
    <x:row r="68" ht="15" hidden="0" customHeight="1">
      <x:c r="A68" s="12" t="str">
        <x:v>S033-O01</x:v>
      </x:c>
      <x:c r="B68" s="12"/>
      <x:c r="C68" s="12" t="str">
        <x:v>S033</x:v>
      </x:c>
      <x:c r="D68" s="12"/>
      <x:c r="E68" s="12" t="str">
        <x:v>Sensor performance</x:v>
      </x:c>
      <x:c r="F68" s="12" t="str">
        <x:v>Pressure sensitivity 136.8 kPa^-1 below 200 Pa; tensile GF up to 6.85</x:v>
      </x:c>
      <x:c r="G68" s="12" t="str">
        <x:v>mixed</x:v>
      </x:c>
      <x:c r="H68" s="12"/>
      <x:c r="I68" s="12" t="str">
        <x:v>PDF pp. 6–7; Figs. 3–4</x:v>
      </x:c>
      <x:c r="J68" s="12" t="str">
        <x:v>Batch 03</x:v>
      </x:c>
    </x:row>
    <x:row r="69" ht="15" hidden="0" customHeight="1">
      <x:c r="A69" s="12" t="str">
        <x:v>S033-O02</x:v>
      </x:c>
      <x:c r="B69" s="12"/>
      <x:c r="C69" s="12" t="str">
        <x:v>S033</x:v>
      </x:c>
      <x:c r="D69" s="12"/>
      <x:c r="E69" s="12" t="str">
        <x:v>Cyclic response</x:v>
      </x:c>
      <x:c r="F69" s="12" t="str">
        <x:v>Initial resistance reduced about 30% and tended toward a plateau after 1000 cycles at 10 kPa</x:v>
      </x:c>
      <x:c r="G69" s="12" t="str">
        <x:v>%</x:v>
      </x:c>
      <x:c r="H69" s="12"/>
      <x:c r="I69" s="12" t="str">
        <x:v>PDF p. 7; Fig. 4e</x:v>
      </x:c>
      <x:c r="J69" s="12" t="str">
        <x:v>Batch 03</x:v>
      </x:c>
    </x:row>
    <x:row r="70" ht="24" hidden="0" customHeight="1">
      <x:c r="A70" s="12" t="str">
        <x:v>S033-OS01</x:v>
      </x:c>
      <x:c r="B70" s="12"/>
      <x:c r="C70" s="12" t="str">
        <x:v>S033</x:v>
      </x:c>
      <x:c r="D70" s="12"/>
      <x:c r="E70" s="12" t="str">
        <x:v>Interface peel-off force</x:v>
      </x:c>
      <x:c r="F70" s="12" t="str">
        <x:v>Peel-off force-time curves reported for coated, embedded and unmodified TPE sensing units</x:v>
      </x:c>
      <x:c r="G70" s="12" t="str">
        <x:v>N</x:v>
      </x:c>
      <x:c r="H70" s="12" t="str">
        <x:v>Graphical comparison; exact summary statistic not reported</x:v>
      </x:c>
      <x:c r="I70" s="12" t="str">
        <x:v>Supplementary Fig. S2, SI p. 2</x:v>
      </x:c>
      <x:c r="J70" s="12" t="str">
        <x:v>Supplement verified 2026-09-03</x:v>
      </x:c>
    </x:row>
    <x:row r="71" ht="24" hidden="0" customHeight="1">
      <x:c r="A71" s="12" t="str">
        <x:v>S034-O01</x:v>
      </x:c>
      <x:c r="B71" s="12"/>
      <x:c r="C71" s="12" t="str">
        <x:v>S034</x:v>
      </x:c>
      <x:c r="D71" s="12"/>
      <x:c r="E71" s="12" t="str">
        <x:v>Analytical performance</x:v>
      </x:c>
      <x:c r="F71" s="12" t="str">
        <x:v>5–500 mM range; LOD 1.5 mM Na+ and 1.6 mM K+; slopes 55.5 and 52.3 mV; calibration RSD 0.39% and 0.75% across three sensors</x:v>
      </x:c>
      <x:c r="G71" s="12" t="str">
        <x:v>mixed</x:v>
      </x:c>
      <x:c r="H71" s="12"/>
      <x:c r="I71" s="12" t="str">
        <x:v>PDF pp. 7–8; Fig. 4</x:v>
      </x:c>
      <x:c r="J71" s="12" t="str">
        <x:v>Batch 03</x:v>
      </x:c>
    </x:row>
    <x:row r="72" ht="24" hidden="0" customHeight="1">
      <x:c r="A72" s="12" t="str">
        <x:v>S034-O02</x:v>
      </x:c>
      <x:c r="B72" s="12"/>
      <x:c r="C72" s="12" t="str">
        <x:v>S034</x:v>
      </x:c>
      <x:c r="D72" s="12"/>
      <x:c r="E72" s="12" t="str">
        <x:v>Reuse and sweat</x:v>
      </x:c>
      <x:c r="F72" s="12" t="str">
        <x:v>Fabric microfluidics sustained 60–70 wash cycles; electrode/device response stable for 30 cycles; sweat 50.20±1.48 mM Na+ and 5.74±0.64 mM K+</x:v>
      </x:c>
      <x:c r="G72" s="12" t="str">
        <x:v>mixed</x:v>
      </x:c>
      <x:c r="H72" s="12"/>
      <x:c r="I72" s="12" t="str">
        <x:v>PDF pp. 6–8; Figs. 3, 5</x:v>
      </x:c>
      <x:c r="J72" s="12" t="str">
        <x:v>Batch 03</x:v>
      </x:c>
    </x:row>
    <x:row r="73" ht="15" hidden="0" customHeight="1">
      <x:c r="A73" s="12" t="str">
        <x:v>S035-O01</x:v>
      </x:c>
      <x:c r="B73" s="12"/>
      <x:c r="C73" s="12" t="str">
        <x:v>S035</x:v>
      </x:c>
      <x:c r="D73" s="12"/>
      <x:c r="E73" s="12" t="str">
        <x:v>Glucose performance</x:v>
      </x:c>
      <x:c r="F73" s="12" t="str">
        <x:v>12.5–400 μmol/L range; LOD 1.2 μmol/L; within-ring RSD 3.4%; four-ring RSD 6.8%</x:v>
      </x:c>
      <x:c r="G73" s="12" t="str">
        <x:v>mixed</x:v>
      </x:c>
      <x:c r="H73" s="12"/>
      <x:c r="I73" s="12" t="str">
        <x:v>PDF p. 4; Fig. 3</x:v>
      </x:c>
      <x:c r="J73" s="12" t="str">
        <x:v>Batch 03</x:v>
      </x:c>
    </x:row>
    <x:row r="74" ht="24" hidden="0" customHeight="1">
      <x:c r="A74" s="12" t="str">
        <x:v>S035-O02</x:v>
      </x:c>
      <x:c r="B74" s="12"/>
      <x:c r="C74" s="12" t="str">
        <x:v>S035</x:v>
      </x:c>
      <x:c r="D74" s="12"/>
      <x:c r="E74" s="12" t="str">
        <x:v>Stability/on-body</x:v>
      </x:c>
      <x:c r="F74" s="12" t="str">
        <x:v>Response remained statistically stable over 10 days and 15 bends; sweat response ratio 2.2 at 1 h and 1.4 at 2 h post-meal</x:v>
      </x:c>
      <x:c r="G74" s="12" t="str">
        <x:v>mixed</x:v>
      </x:c>
      <x:c r="H74" s="12"/>
      <x:c r="I74" s="12" t="str">
        <x:v>PDF pp. 4–5; Fig. 4; Fig. S5 cited</x:v>
      </x:c>
      <x:c r="J74" s="12" t="str">
        <x:v>Batch 03</x:v>
      </x:c>
    </x:row>
    <x:row r="75" ht="24" hidden="0" customHeight="1">
      <x:c r="A75" s="12" t="str">
        <x:v>S036-O01</x:v>
      </x:c>
      <x:c r="B75" s="12"/>
      <x:c r="C75" s="12" t="str">
        <x:v>S036</x:v>
      </x:c>
      <x:c r="D75" s="12"/>
      <x:c r="E75" s="12" t="str">
        <x:v>Off-body accuracy/precision</x:v>
      </x:c>
      <x:c r="F75" s="12" t="str">
        <x:v>Average sensor–timer difference 7.8±5.0%; sensor–pump difference 9.6±5.1%; selected-rate SD 0.1–0.2 μL/min</x:v>
      </x:c>
      <x:c r="G75" s="12" t="str">
        <x:v>mixed</x:v>
      </x:c>
      <x:c r="H75" s="12"/>
      <x:c r="I75" s="12" t="str">
        <x:v>PDF pp. 8–9; Tables S4–S5 cited</x:v>
      </x:c>
      <x:c r="J75" s="12" t="str">
        <x:v>Batch 03</x:v>
      </x:c>
    </x:row>
    <x:row r="76" ht="24" hidden="0" customHeight="1">
      <x:c r="A76" s="12" t="str">
        <x:v>S036-O02</x:v>
      </x:c>
      <x:c r="B76" s="12"/>
      <x:c r="C76" s="12" t="str">
        <x:v>S036</x:v>
      </x:c>
      <x:c r="D76" s="12"/>
      <x:c r="E76" s="12" t="str">
        <x:v>Exposure/on-body</x:v>
      </x:c>
      <x:c r="F76" s="12" t="str">
        <x:v>At 24–40 °C maximum sweat-rate variation 0.4 μL/min; two-subject iontophoresis difference 7.4±4.4%; cycling sensor–timer differences 4.0±1.7% and 10.4±7.5%</x:v>
      </x:c>
      <x:c r="G76" s="12" t="str">
        <x:v>mixed</x:v>
      </x:c>
      <x:c r="H76" s="12"/>
      <x:c r="I76" s="12" t="str">
        <x:v>PDF pp. 8–10; Figs. 5–6; Tables S2, S6–S9 cited</x:v>
      </x:c>
      <x:c r="J76" s="12" t="str">
        <x:v>Batch 03</x:v>
      </x:c>
    </x:row>
    <x:row r="77" ht="24" hidden="0" customHeight="1">
      <x:c r="A77" s="12" t="str">
        <x:v>S037-O01</x:v>
      </x:c>
      <x:c r="B77" s="12"/>
      <x:c r="C77" s="12" t="str">
        <x:v>S037</x:v>
      </x:c>
      <x:c r="D77" s="12"/>
      <x:c r="E77" s="12" t="str">
        <x:v>Repeated response</x:v>
      </x:c>
      <x:c r="F77" s="12" t="str">
        <x:v>Eight complete cycles averaged with standard deviations; first cycle differed and post-cycle settling continued after unloading</x:v>
      </x:c>
      <x:c r="G77" s="12" t="str">
        <x:v>qualitative/normalized</x:v>
      </x:c>
      <x:c r="H77" s="12"/>
      <x:c r="I77" s="12" t="str">
        <x:v>PDF pp. 6–8, 10; Figs. 9–12</x:v>
      </x:c>
      <x:c r="J77" s="12" t="str">
        <x:v>Batch 03</x:v>
      </x:c>
    </x:row>
    <x:row r="78" ht="24" hidden="0" customHeight="1">
      <x:c r="A78" s="12" t="str">
        <x:v>S037-O02</x:v>
      </x:c>
      <x:c r="B78" s="12"/>
      <x:c r="C78" s="12" t="str">
        <x:v>S037</x:v>
      </x:c>
      <x:c r="D78" s="12"/>
      <x:c r="E78" s="12" t="str">
        <x:v>Force discrimination</x:v>
      </x:c>
      <x:c r="F78" s="12" t="str">
        <x:v>Sum/difference of two gauges partly separated normal and shear components up to 10 N; response was nonlinear</x:v>
      </x:c>
      <x:c r="G78" s="12" t="str">
        <x:v>normalized output</x:v>
      </x:c>
      <x:c r="H78" s="12"/>
      <x:c r="I78" s="12" t="str">
        <x:v>PDF pp. 8–10; Figs. 13–16</x:v>
      </x:c>
      <x:c r="J78" s="12" t="str">
        <x:v>Batch 03</x:v>
      </x:c>
    </x:row>
    <x:row r="79" ht="24" hidden="0" customHeight="1">
      <x:c r="A79" s="12" t="str">
        <x:v>S038-O01</x:v>
      </x:c>
      <x:c r="B79" s="12"/>
      <x:c r="C79" s="12" t="str">
        <x:v>S038</x:v>
      </x:c>
      <x:c r="D79" s="12"/>
      <x:c r="E79" s="12" t="str">
        <x:v>Directional cyclic response</x:v>
      </x:c>
      <x:c r="F79" s="12" t="str">
        <x:v>Gauge factors 1.5–3.0; axial response approximately sevenfold transverse in the linear biaxial design; response became repeatable after early-cycle drift</x:v>
      </x:c>
      <x:c r="G79" s="12" t="str">
        <x:v>mixed</x:v>
      </x:c>
      <x:c r="H79" s="12"/>
      <x:c r="I79" s="12" t="str">
        <x:v>PDF pp. 8–12; Figs. 8–10</x:v>
      </x:c>
      <x:c r="J79" s="12" t="str">
        <x:v>Batch 04</x:v>
      </x:c>
    </x:row>
    <x:row r="80" ht="15" hidden="0" customHeight="1">
      <x:c r="A80" s="12" t="str">
        <x:v>S038-O02</x:v>
      </x:c>
      <x:c r="B80" s="12"/>
      <x:c r="C80" s="12" t="str">
        <x:v>S038</x:v>
      </x:c>
      <x:c r="D80" s="12"/>
      <x:c r="E80" s="12" t="str">
        <x:v>Glove response</x:v>
      </x:c>
      <x:c r="F80" s="12" t="str">
        <x:v>Resistance traces distinguished approximately 0°, 45° and 120° positions over three flexions per finger</x:v>
      </x:c>
      <x:c r="G80" s="12" t="str">
        <x:v>normalized resistance</x:v>
      </x:c>
      <x:c r="H80" s="12"/>
      <x:c r="I80" s="12" t="str">
        <x:v>PDF p. 12; Fig. 11</x:v>
      </x:c>
      <x:c r="J80" s="12" t="str">
        <x:v>Batch 04</x:v>
      </x:c>
    </x:row>
    <x:row r="81" ht="24" hidden="0" customHeight="1">
      <x:c r="A81" s="12" t="str">
        <x:v>S039-O01</x:v>
      </x:c>
      <x:c r="B81" s="12"/>
      <x:c r="C81" s="12" t="str">
        <x:v>S039</x:v>
      </x:c>
      <x:c r="D81" s="12"/>
      <x:c r="E81" s="12" t="str">
        <x:v>Sensitivity and recovery</x:v>
      </x:c>
      <x:c r="F81" s="12" t="str">
        <x:v>GF 34.13, 53.33, 88.80 and 184.88 for flat, 400, 300 and 200 µm FSGs; recovery time 15.519 s versus 0.145 s for flat versus 200 µm</x:v>
      </x:c>
      <x:c r="G81" s="12" t="str">
        <x:v>mixed</x:v>
      </x:c>
      <x:c r="H81" s="12"/>
      <x:c r="I81" s="12" t="str">
        <x:v>PDF pp. 4–5; Fig. 4</x:v>
      </x:c>
      <x:c r="J81" s="12" t="str">
        <x:v>Batch 04</x:v>
      </x:c>
    </x:row>
    <x:row r="82" ht="24" hidden="0" customHeight="1">
      <x:c r="A82" s="12" t="str">
        <x:v>S039-O02</x:v>
      </x:c>
      <x:c r="B82" s="12"/>
      <x:c r="C82" s="12" t="str">
        <x:v>S039</x:v>
      </x:c>
      <x:c r="D82" s="12"/>
      <x:c r="E82" s="12" t="str">
        <x:v>Fabrication/endurance</x:v>
      </x:c>
      <x:c r="F82" s="12" t="str">
        <x:v>Four samples per type; groove-height SD 3.0–5.7%; sensitivity reported unchanged over 500 cycles at approximately 1% strain</x:v>
      </x:c>
      <x:c r="G82" s="12" t="str">
        <x:v>mixed</x:v>
      </x:c>
      <x:c r="H82" s="12"/>
      <x:c r="I82" s="12" t="str">
        <x:v>PDF pp. 4–6; Figs. 4–5</x:v>
      </x:c>
      <x:c r="J82" s="12" t="str">
        <x:v>Batch 04</x:v>
      </x:c>
    </x:row>
    <x:row r="83" ht="24" hidden="0" customHeight="1">
      <x:c r="A83" s="12" t="str">
        <x:v>S043-O01</x:v>
      </x:c>
      <x:c r="B83" s="12"/>
      <x:c r="C83" s="12" t="str">
        <x:v>S043</x:v>
      </x:c>
      <x:c r="D83" s="12"/>
      <x:c r="E83" s="12" t="str">
        <x:v>UA analytical performance</x:v>
      </x:c>
      <x:c r="F83" s="12" t="str">
        <x:v>Linear range 2.5–100 µmol/L; R² &gt;0.99; LOD 1.3 and 1.7 µmol/L and LOQ 4.5 and 5.5 µmol/L for external and fully printed systems</x:v>
      </x:c>
      <x:c r="G83" s="12" t="str">
        <x:v>mixed</x:v>
      </x:c>
      <x:c r="H83" s="12"/>
      <x:c r="I83" s="12" t="str">
        <x:v>PDF pp. 10–11; Fig. 6; Table 3; Table S6 cited</x:v>
      </x:c>
      <x:c r="J83" s="12" t="str">
        <x:v>Batch 04</x:v>
      </x:c>
    </x:row>
    <x:row r="84" ht="24" hidden="0" customHeight="1">
      <x:c r="A84" s="12" t="str">
        <x:v>S043-O02</x:v>
      </x:c>
      <x:c r="B84" s="12"/>
      <x:c r="C84" s="12" t="str">
        <x:v>S043</x:v>
      </x:c>
      <x:c r="D84" s="12"/>
      <x:c r="E84" s="12" t="str">
        <x:v>Artificial-sweat recovery</x:v>
      </x:c>
      <x:c r="F84" s="12" t="str">
        <x:v>10 µmol/L spike found 9.97±0.80 µmol/L (99.7±8.0%); 20 µmol/L spike found 16.52±0.17 µmol/L (82.6±0.7%)</x:v>
      </x:c>
      <x:c r="G84" s="12" t="str">
        <x:v>mixed</x:v>
      </x:c>
      <x:c r="H84" s="12"/>
      <x:c r="I84" s="12" t="str">
        <x:v>PDF p. 12; Table 4</x:v>
      </x:c>
      <x:c r="J84" s="12" t="str">
        <x:v>Batch 04</x:v>
      </x:c>
    </x:row>
    <x:row r="85" ht="24" hidden="0" customHeight="1">
      <x:c r="A85" s="12" t="str">
        <x:v>S044-O01</x:v>
      </x:c>
      <x:c r="B85" s="12"/>
      <x:c r="C85" s="12" t="str">
        <x:v>S044</x:v>
      </x:c>
      <x:c r="D85" s="12"/>
      <x:c r="E85" s="12" t="str">
        <x:v>Pressure-sensor performance</x:v>
      </x:c>
      <x:c r="F85" s="12" t="str">
        <x:v>GF 13.70–54.58 depending on support architecture; hysteresis approximately 18.5% below 2% compression</x:v>
      </x:c>
      <x:c r="G85" s="12" t="str">
        <x:v>mixed</x:v>
      </x:c>
      <x:c r="H85" s="12"/>
      <x:c r="I85" s="12" t="str">
        <x:v>PDF pp. 8–10; Figs. 5–6</x:v>
      </x:c>
      <x:c r="J85" s="12" t="str">
        <x:v>Batch 04</x:v>
      </x:c>
    </x:row>
    <x:row r="86" ht="15" hidden="0" customHeight="1">
      <x:c r="A86" s="12" t="str">
        <x:v>S044-O02</x:v>
      </x:c>
      <x:c r="B86" s="12"/>
      <x:c r="C86" s="12" t="str">
        <x:v>S044</x:v>
      </x:c>
      <x:c r="D86" s="12"/>
      <x:c r="E86" s="12" t="str">
        <x:v>Endurance</x:v>
      </x:c>
      <x:c r="F86" s="12" t="str">
        <x:v>After 400 cycles, maximum GF drift was 9.5%; 500 cycles were completed at 10% strain</x:v>
      </x:c>
      <x:c r="G86" s="12" t="str">
        <x:v>%</x:v>
      </x:c>
      <x:c r="H86" s="12"/>
      <x:c r="I86" s="12" t="str">
        <x:v>PDF p. 9; Fig. 5</x:v>
      </x:c>
      <x:c r="J86" s="12" t="str">
        <x:v>Batch 04</x:v>
      </x:c>
    </x:row>
    <x:row r="87" ht="24" hidden="0" customHeight="1">
      <x:c r="A87" s="12" t="str">
        <x:v>S046-O01</x:v>
      </x:c>
      <x:c r="B87" s="12"/>
      <x:c r="C87" s="12" t="str">
        <x:v>S046</x:v>
      </x:c>
      <x:c r="D87" s="12"/>
      <x:c r="E87" s="12" t="str">
        <x:v>Mechanoelectric/magnetoelectric output</x:v>
      </x:c>
      <x:c r="F87" s="12" t="str">
        <x:v>PVDF-5%CFO produced 135, 242 and 368 mV for 10, 30 and 50 g from 10 cm; maximum reported magnetoelectric coefficient 1.98 mV cm⁻¹ Oe⁻¹</x:v>
      </x:c>
      <x:c r="G87" s="12" t="str">
        <x:v>mixed</x:v>
      </x:c>
      <x:c r="H87" s="12"/>
      <x:c r="I87" s="12" t="str">
        <x:v>PDF pp. 4–6; Figs. 3–4</x:v>
      </x:c>
      <x:c r="J87" s="12" t="str">
        <x:v>Batch 04</x:v>
      </x:c>
    </x:row>
    <x:row r="88" ht="15" hidden="0" customHeight="1">
      <x:c r="A88" s="12" t="str">
        <x:v>S046-O02</x:v>
      </x:c>
      <x:c r="B88" s="12"/>
      <x:c r="C88" s="12" t="str">
        <x:v>S046</x:v>
      </x:c>
      <x:c r="D88" s="12"/>
      <x:c r="E88" s="12" t="str">
        <x:v>Insole response</x:v>
      </x:c>
      <x:c r="F88" s="12" t="str">
        <x:v>Z-spring maximum voltages were 17.5 and 13 V during walking at 0.6 and 1.5 Hz</x:v>
      </x:c>
      <x:c r="G88" s="12" t="str">
        <x:v>V</x:v>
      </x:c>
      <x:c r="H88" s="12"/>
      <x:c r="I88" s="12" t="str">
        <x:v>PDF pp. 6–7; Fig. 5</x:v>
      </x:c>
      <x:c r="J88" s="12" t="str">
        <x:v>Batch 04</x:v>
      </x:c>
    </x:row>
    <x:row r="89" ht="24" hidden="0" customHeight="1">
      <x:c r="A89" s="12" t="str">
        <x:v>S047-O01</x:v>
      </x:c>
      <x:c r="B89" s="12"/>
      <x:c r="C89" s="12" t="str">
        <x:v>S047</x:v>
      </x:c>
      <x:c r="D89" s="12"/>
      <x:c r="E89" s="12" t="str">
        <x:v>Clinical pressure monitoring</x:v>
      </x:c>
      <x:c r="F89" s="12" t="str">
        <x:v>Two patients wore masks for four weeks, approximately 12 h/day, with average pressure maintained within the target 15–25 mmHg range</x:v>
      </x:c>
      <x:c r="G89" s="12" t="str">
        <x:v>mmHg</x:v>
      </x:c>
      <x:c r="H89" s="12"/>
      <x:c r="I89" s="12" t="str">
        <x:v>PDF pp. 7, 9–10; Fig. 9; Table 1</x:v>
      </x:c>
      <x:c r="J89" s="12" t="str">
        <x:v>Batch 04</x:v>
      </x:c>
    </x:row>
    <x:row r="90" ht="24" hidden="0" customHeight="1">
      <x:c r="A90" s="12" t="str">
        <x:v>S047-O02</x:v>
      </x:c>
      <x:c r="B90" s="12"/>
      <x:c r="C90" s="12" t="str">
        <x:v>S047</x:v>
      </x:c>
      <x:c r="D90" s="12"/>
      <x:c r="E90" s="12" t="str">
        <x:v>Four-week clinical outcomes</x:v>
      </x:c>
      <x:c r="F90" s="12" t="str">
        <x:v>Transepidermal water loss, skin water content and scar thickness comparisons each reported p=0.0078; melanin p=0.4609 and erythema p&gt;0.9999</x:v>
      </x:c>
      <x:c r="G90" s="12" t="str">
        <x:v>p values</x:v>
      </x:c>
      <x:c r="H90" s="12"/>
      <x:c r="I90" s="12" t="str">
        <x:v>PDF pp. 10–11; Fig. 10</x:v>
      </x:c>
      <x:c r="J90" s="12" t="str">
        <x:v>Batch 04</x:v>
      </x:c>
    </x:row>
    <x:row r="91" ht="24" hidden="0" customHeight="1">
      <x:c r="A91" s="12" t="str">
        <x:v>S048-O01</x:v>
      </x:c>
      <x:c r="B91" s="12"/>
      <x:c r="C91" s="12" t="str">
        <x:v>S048</x:v>
      </x:c>
      <x:c r="D91" s="12"/>
      <x:c r="E91" s="12" t="str">
        <x:v>Compression performance</x:v>
      </x:c>
      <x:c r="F91" s="12" t="str">
        <x:v>Sensitivity 10.675, 8.268 and 2.316 kPa⁻¹ across 1–40, 40–80 and 80–1300 kPa; GF 5.12 at 1–20% and 1.82 at 20–80% strain</x:v>
      </x:c>
      <x:c r="G91" s="12" t="str">
        <x:v>mixed</x:v>
      </x:c>
      <x:c r="H91" s="12"/>
      <x:c r="I91" s="12" t="str">
        <x:v>PDF pp. 6–7; Figs. 5–6</x:v>
      </x:c>
      <x:c r="J91" s="12" t="str">
        <x:v>Batch 04</x:v>
      </x:c>
    </x:row>
    <x:row r="92" ht="24" hidden="0" customHeight="1">
      <x:c r="A92" s="12" t="str">
        <x:v>S048-O02</x:v>
      </x:c>
      <x:c r="B92" s="12"/>
      <x:c r="C92" s="12" t="str">
        <x:v>S048</x:v>
      </x:c>
      <x:c r="D92" s="12"/>
      <x:c r="E92" s="12" t="str">
        <x:v>Tensile endurance</x:v>
      </x:c>
      <x:c r="F92" s="12" t="str">
        <x:v>Signal stabilized after approximately 300 cycles and became unstable after 1500 cycles during 25% tensile cycling</x:v>
      </x:c>
      <x:c r="G92" s="12" t="str">
        <x:v>cycles</x:v>
      </x:c>
      <x:c r="H92" s="12"/>
      <x:c r="I92" s="12" t="str">
        <x:v>PDF pp. 7–8; Fig. 8</x:v>
      </x:c>
      <x:c r="J92" s="12" t="str">
        <x:v>Batch 04</x:v>
      </x:c>
    </x:row>
    <x:row r="93" ht="15" hidden="0" customHeight="1">
      <x:c r="A93" s="12" t="str">
        <x:v>S050-O01</x:v>
      </x:c>
      <x:c r="B93" s="12"/>
      <x:c r="C93" s="12" t="str">
        <x:v>S050</x:v>
      </x:c>
      <x:c r="D93" s="12"/>
      <x:c r="E93" s="12" t="str">
        <x:v>Force/temperature calibration</x:v>
      </x:c>
      <x:c r="F93" s="12" t="str">
        <x:v>Force sensitivities 57.8 and 63.1 pm N⁻¹; temperature sensitivities 30.8 and 27.8 pm °C⁻¹</x:v>
      </x:c>
      <x:c r="G93" s="12" t="str">
        <x:v>mixed</x:v>
      </x:c>
      <x:c r="H93" s="12"/>
      <x:c r="I93" s="12" t="str">
        <x:v>PDF pp. 7–9; Figs. 6–7</x:v>
      </x:c>
      <x:c r="J93" s="12" t="str">
        <x:v>Batch 05</x:v>
      </x:c>
    </x:row>
    <x:row r="94" ht="24" hidden="0" customHeight="1">
      <x:c r="A94" s="12" t="str">
        <x:v>S050-O02</x:v>
      </x:c>
      <x:c r="B94" s="12"/>
      <x:c r="C94" s="12" t="str">
        <x:v>S050</x:v>
      </x:c>
      <x:c r="D94" s="12"/>
      <x:c r="E94" s="12" t="str">
        <x:v>Application validation</x:v>
      </x:c>
      <x:c r="F94" s="12" t="str">
        <x:v>Seven tests gave RMSE 0.50 and 2.29 N (relative errors 1.0% and 4.5%); five motion cycles produced ~10–15 N</x:v>
      </x:c>
      <x:c r="G94" s="12" t="str">
        <x:v>mixed</x:v>
      </x:c>
      <x:c r="H94" s="12"/>
      <x:c r="I94" s="12" t="str">
        <x:v>PDF pp. 9–10; Fig. 8</x:v>
      </x:c>
      <x:c r="J94" s="12" t="str">
        <x:v>Batch 05</x:v>
      </x:c>
    </x:row>
    <x:row r="95" ht="24" hidden="0" customHeight="1">
      <x:c r="A95" s="12" t="str">
        <x:v>S051-O01</x:v>
      </x:c>
      <x:c r="B95" s="12"/>
      <x:c r="C95" s="12" t="str">
        <x:v>S051</x:v>
      </x:c>
      <x:c r="D95" s="12"/>
      <x:c r="E95" s="12" t="str">
        <x:v>Temperature monitoring</x:v>
      </x:c>
      <x:c r="F95" s="12" t="str">
        <x:v>Thermistor and IR outputs were linear over 24–50 °C and 20–50 °C; on-body core estimate rose from ~36.6 to ~37 °C during cycling</x:v>
      </x:c>
      <x:c r="G95" s="12" t="str">
        <x:v>°C</x:v>
      </x:c>
      <x:c r="H95" s="12"/>
      <x:c r="I95" s="12" t="str">
        <x:v>PDF pp. 4–7; Figs. 3–5</x:v>
      </x:c>
      <x:c r="J95" s="12" t="str">
        <x:v>Batch 05</x:v>
      </x:c>
    </x:row>
    <x:row r="96" ht="24" hidden="0" customHeight="1">
      <x:c r="A96" s="12" t="str">
        <x:v>S051-O02</x:v>
      </x:c>
      <x:c r="B96" s="12"/>
      <x:c r="C96" s="12" t="str">
        <x:v>S051</x:v>
      </x:c>
      <x:c r="D96" s="12"/>
      <x:c r="E96" s="12" t="str">
        <x:v>Hearing-aid output</x:v>
      </x:c>
      <x:c r="F96" s="12" t="str">
        <x:v>Actuator amplitudes relative to a phone were 103, 98, 88, 89 and 31% at 400, 1000, 2000, 5000 and 8000 Hz</x:v>
      </x:c>
      <x:c r="G96" s="12" t="str">
        <x:v>%</x:v>
      </x:c>
      <x:c r="H96" s="12"/>
      <x:c r="I96" s="12" t="str">
        <x:v>PDF pp. 5–6; Fig. 4</x:v>
      </x:c>
      <x:c r="J96" s="12" t="str">
        <x:v>Batch 05</x:v>
      </x:c>
    </x:row>
    <x:row r="97" ht="24" hidden="0" customHeight="1">
      <x:c r="A97" s="12" t="str">
        <x:v>S052-O01</x:v>
      </x:c>
      <x:c r="B97" s="12"/>
      <x:c r="C97" s="12" t="str">
        <x:v>S052</x:v>
      </x:c>
      <x:c r="D97" s="12"/>
      <x:c r="E97" s="12" t="str">
        <x:v>Material/mechanical response</x:v>
      </x:c>
      <x:c r="F97" s="12" t="str">
        <x:v>β-phase fraction 91.3% versus 37%; effective d33 23.8 versus 11.7 mV V⁻¹; I-structure Poisson ratio −0.489 at 2.03%</x:v>
      </x:c>
      <x:c r="G97" s="12" t="str">
        <x:v>mixed</x:v>
      </x:c>
      <x:c r="H97" s="12"/>
      <x:c r="I97" s="12" t="str">
        <x:v>PDF pp. 5–8; Figs. 2–3</x:v>
      </x:c>
      <x:c r="J97" s="12" t="str">
        <x:v>Batch 05</x:v>
      </x:c>
    </x:row>
    <x:row r="98" ht="15" hidden="0" customHeight="1">
      <x:c r="A98" s="12" t="str">
        <x:v>S052-O02</x:v>
      </x:c>
      <x:c r="B98" s="12"/>
      <x:c r="C98" s="12" t="str">
        <x:v>S052</x:v>
      </x:c>
      <x:c r="D98" s="12"/>
      <x:c r="E98" s="12" t="str">
        <x:v>Sensor/generator performance</x:v>
      </x:c>
      <x:c r="F98" s="12" t="str">
        <x:v>Sensitivity 0.06 V N⁻¹, minimum force 0.3 N, response/recovery 71/65 ms; 5000-cycle trace reported</x:v>
      </x:c>
      <x:c r="G98" s="12" t="str">
        <x:v>mixed</x:v>
      </x:c>
      <x:c r="H98" s="12"/>
      <x:c r="I98" s="12" t="str">
        <x:v>PDF pp. 8–10; Figs. 4–5</x:v>
      </x:c>
      <x:c r="J98" s="12" t="str">
        <x:v>Batch 05</x:v>
      </x:c>
    </x:row>
    <x:row r="99" ht="15" hidden="0" customHeight="1">
      <x:c r="A99" s="12" t="str">
        <x:v>S052-O03</x:v>
      </x:c>
      <x:c r="B99" s="12"/>
      <x:c r="C99" s="12" t="str">
        <x:v>S052</x:v>
      </x:c>
      <x:c r="D99" s="12"/>
      <x:c r="E99" s="12" t="str">
        <x:v>Object classification</x:v>
      </x:c>
      <x:c r="F99" s="12" t="str">
        <x:v>Five-object classification accuracy 98.1%; split appears event-level rather than cross-session</x:v>
      </x:c>
      <x:c r="G99" s="12" t="str">
        <x:v>%</x:v>
      </x:c>
      <x:c r="H99" s="12"/>
      <x:c r="I99" s="12" t="str">
        <x:v>PDF pp. 10–12; Fig. 6</x:v>
      </x:c>
      <x:c r="J99" s="12" t="str">
        <x:v>Batch 05</x:v>
      </x:c>
    </x:row>
    <x:row r="100" ht="24" hidden="0" customHeight="1">
      <x:c r="A100" s="12" t="str">
        <x:v>S053-O01</x:v>
      </x:c>
      <x:c r="B100" s="12"/>
      <x:c r="C100" s="12" t="str">
        <x:v>S053</x:v>
      </x:c>
      <x:c r="D100" s="12"/>
      <x:c r="E100" s="12" t="str">
        <x:v>Pressure sensitivity</x:v>
      </x:c>
      <x:c r="F100" s="12" t="str">
        <x:v>Sensitivity ranged from 189.8 kPa⁻¹ at low pressure to 0.02 kPa⁻¹ at high pressure depending on porosity and range</x:v>
      </x:c>
      <x:c r="G100" s="12" t="str">
        <x:v>mixed</x:v>
      </x:c>
      <x:c r="H100" s="12"/>
      <x:c r="I100" s="12" t="str">
        <x:v>PDF pp. 9–11; Fig. 7</x:v>
      </x:c>
      <x:c r="J100" s="12" t="str">
        <x:v>Batch 05</x:v>
      </x:c>
    </x:row>
    <x:row r="101" ht="15" hidden="0" customHeight="1">
      <x:c r="A101" s="12" t="str">
        <x:v>S053-O02</x:v>
      </x:c>
      <x:c r="B101" s="12"/>
      <x:c r="C101" s="12" t="str">
        <x:v>S053</x:v>
      </x:c>
      <x:c r="D101" s="12"/>
      <x:c r="E101" s="12" t="str">
        <x:v>Durability/dynamics</x:v>
      </x:c>
      <x:c r="F101" s="12" t="str">
        <x:v>1000 cycles at 4.41 MPa and 10,000 s at ~1.3 MPa; response 260.8 ms and recovery 176 ms</x:v>
      </x:c>
      <x:c r="G101" s="12" t="str">
        <x:v>mixed</x:v>
      </x:c>
      <x:c r="H101" s="12"/>
      <x:c r="I101" s="12" t="str">
        <x:v>PDF pp. 10–12; Fig. 8</x:v>
      </x:c>
      <x:c r="J101" s="12" t="str">
        <x:v>Batch 05</x:v>
      </x:c>
    </x:row>
    <x:row r="102" ht="24" hidden="0" customHeight="1">
      <x:c r="A102" s="12" t="str">
        <x:v>S054-O01</x:v>
      </x:c>
      <x:c r="B102" s="12"/>
      <x:c r="C102" s="12" t="str">
        <x:v>S054</x:v>
      </x:c>
      <x:c r="D102" s="12"/>
      <x:c r="E102" s="12" t="str">
        <x:v>Overload classification</x:v>
      </x:c>
      <x:c r="F102" s="12" t="str">
        <x:v>Baseline Pmax 304±20 kPa and stiffness 294±19 kPa; threshold 0.83 Pmax gave AUC, sensitivity and specificity of 1.00/100%/100%</x:v>
      </x:c>
      <x:c r="G102" s="12" t="str">
        <x:v>mixed</x:v>
      </x:c>
      <x:c r="H102" s="12"/>
      <x:c r="I102" s="12" t="str">
        <x:v>PDF pp. 5–7; Figs. 3–6</x:v>
      </x:c>
      <x:c r="J102" s="12" t="str">
        <x:v>Batch 05</x:v>
      </x:c>
    </x:row>
    <x:row r="103" ht="15" hidden="0" customHeight="1">
      <x:c r="A103" s="12" t="str">
        <x:v>S055-O01</x:v>
      </x:c>
      <x:c r="B103" s="12"/>
      <x:c r="C103" s="12" t="str">
        <x:v>S055</x:v>
      </x:c>
      <x:c r="D103" s="12"/>
      <x:c r="E103" s="12" t="str">
        <x:v>Sensitivity and linearity</x:v>
      </x:c>
      <x:c r="F103" s="12" t="str">
        <x:v>Sensitivity 113.32 mV N⁻¹ with R²=0.9893; voltage increased with applied force and printed-layer count</x:v>
      </x:c>
      <x:c r="G103" s="12" t="str">
        <x:v>mixed</x:v>
      </x:c>
      <x:c r="H103" s="12"/>
      <x:c r="I103" s="12" t="str">
        <x:v>PDF pp. 5–7; Figs. 4–7</x:v>
      </x:c>
      <x:c r="J103" s="12" t="str">
        <x:v>Batch 05</x:v>
      </x:c>
    </x:row>
    <x:row r="104" ht="24" hidden="0" customHeight="1">
      <x:c r="A104" s="12" t="str">
        <x:v>S055-O02</x:v>
      </x:c>
      <x:c r="B104" s="12"/>
      <x:c r="C104" s="12" t="str">
        <x:v>S055</x:v>
      </x:c>
      <x:c r="D104" s="12"/>
      <x:c r="E104" s="12" t="str">
        <x:v>Durability/application</x:v>
      </x:c>
      <x:c r="F104" s="12" t="str">
        <x:v>Stable response reported through 8000 and beyond 11,600 cycles; human motions produced outputs up to 8.4 V</x:v>
      </x:c>
      <x:c r="G104" s="12" t="str">
        <x:v>mixed</x:v>
      </x:c>
      <x:c r="H104" s="12"/>
      <x:c r="I104" s="12" t="str">
        <x:v>PDF pp. 7–9; Figs. 8–10</x:v>
      </x:c>
      <x:c r="J104" s="12" t="str">
        <x:v>Batch 05</x:v>
      </x:c>
    </x:row>
    <x:row r="105" ht="15" hidden="0" customHeight="1">
      <x:c r="A105" s="12" t="str">
        <x:v>S056-O01</x:v>
      </x:c>
      <x:c r="B105" s="12"/>
      <x:c r="C105" s="12" t="str">
        <x:v>S056</x:v>
      </x:c>
      <x:c r="D105" s="12"/>
      <x:c r="E105" s="12" t="str">
        <x:v>Pressure sensor</x:v>
      </x:c>
      <x:c r="F105" s="12" t="str">
        <x:v>Sensitivity 25.36 kPa⁻¹ at 0–20 kPa and 3.67 kPa⁻¹ at 20–80 kPa; response/recovery 0.238/0.436 s</x:v>
      </x:c>
      <x:c r="G105" s="12" t="str">
        <x:v>mixed</x:v>
      </x:c>
      <x:c r="H105" s="12"/>
      <x:c r="I105" s="12" t="str">
        <x:v>PDF pp. 9–11; Fig. 6</x:v>
      </x:c>
      <x:c r="J105" s="12" t="str">
        <x:v>Batch 05</x:v>
      </x:c>
    </x:row>
    <x:row r="106" ht="15" hidden="0" customHeight="1">
      <x:c r="A106" s="12" t="str">
        <x:v>S056-O02</x:v>
      </x:c>
      <x:c r="B106" s="12"/>
      <x:c r="C106" s="12" t="str">
        <x:v>S056</x:v>
      </x:c>
      <x:c r="D106" s="12"/>
      <x:c r="E106" s="12" t="str">
        <x:v>Strain sensors</x:v>
      </x:c>
      <x:c r="F106" s="12" t="str">
        <x:v>Strip, snake and kirigami ranges 0–12, 0–25 and 0–40%, with GF 6.31, 1.415 and 1.01</x:v>
      </x:c>
      <x:c r="G106" s="12" t="str">
        <x:v>mixed</x:v>
      </x:c>
      <x:c r="H106" s="12"/>
      <x:c r="I106" s="12" t="str">
        <x:v>PDF pp. 11–13; Figs. 7–8</x:v>
      </x:c>
      <x:c r="J106" s="12" t="str">
        <x:v>Batch 05</x:v>
      </x:c>
    </x:row>
    <x:row r="107" ht="15" hidden="0" customHeight="1">
      <x:c r="A107" s="12" t="str">
        <x:v>S057-O01</x:v>
      </x:c>
      <x:c r="B107" s="12"/>
      <x:c r="C107" s="12" t="str">
        <x:v>S057</x:v>
      </x:c>
      <x:c r="D107" s="12"/>
      <x:c r="E107" s="12" t="str">
        <x:v>Material/device response</x:v>
      </x:c>
      <x:c r="F107" s="12" t="str">
        <x:v>Selected 8 wt% CNT composite conductivity ~0.13 S cm⁻¹; selected TPMS sensor GF ~5.8 at 10% strain</x:v>
      </x:c>
      <x:c r="G107" s="12" t="str">
        <x:v>mixed</x:v>
      </x:c>
      <x:c r="H107" s="12"/>
      <x:c r="I107" s="12" t="str">
        <x:v>PDF pp. 6–10; Figs. 4–7</x:v>
      </x:c>
      <x:c r="J107" s="12" t="str">
        <x:v>Batch 05</x:v>
      </x:c>
    </x:row>
    <x:row r="108" ht="15" hidden="0" customHeight="1">
      <x:c r="A108" s="12" t="str">
        <x:v>S057-O02</x:v>
      </x:c>
      <x:c r="B108" s="12"/>
      <x:c r="C108" s="12" t="str">
        <x:v>S057</x:v>
      </x:c>
      <x:c r="D108" s="12"/>
      <x:c r="E108" s="12" t="str">
        <x:v>Endurance/dynamics</x:v>
      </x:c>
      <x:c r="F108" s="12" t="str">
        <x:v>500-cycle tests at 5, 10 and 15% strain; baseline offset &lt;5%; response/recovery 520/750 ms</x:v>
      </x:c>
      <x:c r="G108" s="12" t="str">
        <x:v>mixed</x:v>
      </x:c>
      <x:c r="H108" s="12"/>
      <x:c r="I108" s="12" t="str">
        <x:v>PDF pp. 10–12; Fig. 8</x:v>
      </x:c>
      <x:c r="J108" s="12" t="str">
        <x:v>Batch 05</x:v>
      </x:c>
    </x:row>
    <x:row r="109" ht="15" hidden="0" customHeight="1">
      <x:c r="A109" s="12" t="str">
        <x:v>S058-O01</x:v>
      </x:c>
      <x:c r="B109" s="12"/>
      <x:c r="C109" s="12" t="str">
        <x:v>S058</x:v>
      </x:c>
      <x:c r="D109" s="12"/>
      <x:c r="E109" s="12" t="str">
        <x:v>Sensitivity and endurance</x:v>
      </x:c>
      <x:c r="F109" s="12" t="str">
        <x:v>Sensitivity 0.3161 V N⁻¹ at low force and 0.0542 V N⁻¹ at high force; 20,000-cycle retention 94.49%</x:v>
      </x:c>
      <x:c r="G109" s="12" t="str">
        <x:v>mixed</x:v>
      </x:c>
      <x:c r="H109" s="12"/>
      <x:c r="I109" s="12" t="str">
        <x:v>PDF pp. 6–9; Figs. 4–5</x:v>
      </x:c>
      <x:c r="J109" s="12" t="str">
        <x:v>Batch 05</x:v>
      </x:c>
    </x:row>
    <x:row r="110" ht="15" hidden="0" customHeight="1">
      <x:c r="A110" s="12" t="str">
        <x:v>S058-O02</x:v>
      </x:c>
      <x:c r="B110" s="12"/>
      <x:c r="C110" s="12" t="str">
        <x:v>S058</x:v>
      </x:c>
      <x:c r="D110" s="12"/>
      <x:c r="E110" s="12" t="str">
        <x:v>Between-device and gait results</x:v>
      </x:c>
      <x:c r="F110" s="12" t="str">
        <x:v>25 devices: 7.13±0.10 V, CV 1.45%; LOSO accuracy 94.6% and macro-F1 94.3% in six participants</x:v>
      </x:c>
      <x:c r="G110" s="12" t="str">
        <x:v>mixed</x:v>
      </x:c>
      <x:c r="H110" s="12"/>
      <x:c r="I110" s="12" t="str">
        <x:v>PDF pp. 8–13; Figs. 6–8</x:v>
      </x:c>
      <x:c r="J110" s="12" t="str">
        <x:v>Batch 05</x:v>
      </x:c>
    </x:row>
    <x:row r="111" ht="15" hidden="0" customHeight="1">
      <x:c r="A111" s="12" t="str">
        <x:v>S059-O01</x:v>
      </x:c>
      <x:c r="B111" s="12"/>
      <x:c r="C111" s="12" t="str">
        <x:v>S059</x:v>
      </x:c>
      <x:c r="D111" s="12"/>
      <x:c r="E111" s="12" t="str">
        <x:v>Strain/electrode performance</x:v>
      </x:c>
      <x:c r="F111" s="12" t="str">
        <x:v>GF up to 3.2, linearity error &lt;1.2% over 0–5%, hysteresis &lt;10%; Flat35 dry-electrode SNR 25.41 dB</x:v>
      </x:c>
      <x:c r="G111" s="12" t="str">
        <x:v>mixed</x:v>
      </x:c>
      <x:c r="H111" s="12"/>
      <x:c r="I111" s="12" t="str">
        <x:v>PDF pp. 7–11; Figs. 4–6</x:v>
      </x:c>
      <x:c r="J111" s="12" t="str">
        <x:v>Batch 05</x:v>
      </x:c>
    </x:row>
    <x:row r="112" ht="15" hidden="0" customHeight="1">
      <x:c r="A112" s="12" t="str">
        <x:v>S059-O02</x:v>
      </x:c>
      <x:c r="B112" s="12"/>
      <x:c r="C112" s="12" t="str">
        <x:v>S059</x:v>
      </x:c>
      <x:c r="D112" s="12"/>
      <x:c r="E112" s="12" t="str">
        <x:v>Reference comparison</x:v>
      </x:c>
      <x:c r="F112" s="12" t="str">
        <x:v>Respiratory-rate bias±limits 0.23±5.39 breaths min⁻¹; heart-rate MAE 0.25–3.36 bpm across conditions</x:v>
      </x:c>
      <x:c r="G112" s="12" t="str">
        <x:v>mixed</x:v>
      </x:c>
      <x:c r="H112" s="12"/>
      <x:c r="I112" s="12" t="str">
        <x:v>PDF pp. 12–15; Figs. 8–9</x:v>
      </x:c>
      <x:c r="J112" s="12" t="str">
        <x:v>Batch 05</x:v>
      </x:c>
    </x:row>
    <x:row r="113" ht="24" hidden="0" customHeight="1">
      <x:c r="A113" s="12" t="str">
        <x:v>S060-O01</x:v>
      </x:c>
      <x:c r="B113" s="12"/>
      <x:c r="C113" s="12" t="str">
        <x:v>S060</x:v>
      </x:c>
      <x:c r="D113" s="12"/>
      <x:c r="E113" s="12" t="str">
        <x:v>Selected gyroid response</x:v>
      </x:c>
      <x:c r="F113" s="12" t="str">
        <x:v>Apparent GF 1.24±0.03 and hysteresis 8.17±0.74% for the selected 2 wt% MWCNT/5 mm-cell sensor; 100-cycle response reported</x:v>
      </x:c>
      <x:c r="G113" s="12" t="str">
        <x:v>mixed</x:v>
      </x:c>
      <x:c r="H113" s="12"/>
      <x:c r="I113" s="12" t="str">
        <x:v>PDF pp. 8–11; Figs. 5–7</x:v>
      </x:c>
      <x:c r="J113" s="12" t="str">
        <x:v>Batch 06</x:v>
      </x:c>
    </x:row>
    <x:row r="114" ht="15" hidden="0" customHeight="1">
      <x:c r="A114" s="12" t="str">
        <x:v>S061-O01</x:v>
      </x:c>
      <x:c r="B114" s="12"/>
      <x:c r="C114" s="12" t="str">
        <x:v>S061</x:v>
      </x:c>
      <x:c r="D114" s="12"/>
      <x:c r="E114" s="12" t="str">
        <x:v>Load response</x:v>
      </x:c>
      <x:c r="F114" s="12" t="str">
        <x:v>Resonant frequency shifted from 4.31 GHz unloaded to 3.87 GHz at 25 N; S11 values reported by load</x:v>
      </x:c>
      <x:c r="G114" s="12" t="str">
        <x:v>GHz/dB</x:v>
      </x:c>
      <x:c r="H114" s="12"/>
      <x:c r="I114" s="12" t="str">
        <x:v>PDF pp. 7–9; Figs. 9–11; Table 1</x:v>
      </x:c>
      <x:c r="J114" s="12" t="str">
        <x:v>Batch 06</x:v>
      </x:c>
    </x:row>
    <x:row r="115" ht="24" hidden="0" customHeight="1">
      <x:c r="A115" s="12" t="str">
        <x:v>S061-O02</x:v>
      </x:c>
      <x:c r="B115" s="12"/>
      <x:c r="C115" s="12" t="str">
        <x:v>S061</x:v>
      </x:c>
      <x:c r="D115" s="12"/>
      <x:c r="E115" s="12" t="str">
        <x:v>Assembly response</x:v>
      </x:c>
      <x:c r="F115" s="12" t="str">
        <x:v>Reported assembled-state values were 4.326 GHz/−15.16 dB and 4.286 GHz/−16.93 dB for the two stated wear/loading states</x:v>
      </x:c>
      <x:c r="G115" s="12" t="str">
        <x:v>GHz/dB</x:v>
      </x:c>
      <x:c r="H115" s="12"/>
      <x:c r="I115" s="12" t="str">
        <x:v>PDF pp. 9–10; Figs. 12–13</x:v>
      </x:c>
      <x:c r="J115" s="12" t="str">
        <x:v>Batch 06</x:v>
      </x:c>
    </x:row>
    <x:row r="116" ht="15" hidden="0" customHeight="1">
      <x:c r="A116" s="12" t="str">
        <x:v>S063-O01</x:v>
      </x:c>
      <x:c r="B116" s="12"/>
      <x:c r="C116" s="12" t="str">
        <x:v>S063</x:v>
      </x:c>
      <x:c r="D116" s="12"/>
      <x:c r="E116" s="12" t="str">
        <x:v>Pressure sensitivity</x:v>
      </x:c>
      <x:c r="F116" s="12" t="str">
        <x:v>For TPU 89A, sensitivities were 17.82, 21.01 and 41.81 kPa⁻¹ at 20, 40 and 60% infill over 0–0.002 MPa</x:v>
      </x:c>
      <x:c r="G116" s="12" t="str">
        <x:v>kPa⁻¹</x:v>
      </x:c>
      <x:c r="H116" s="12"/>
      <x:c r="I116" s="12" t="str">
        <x:v>PDF pp. 7–9; Fig. 6</x:v>
      </x:c>
      <x:c r="J116" s="12" t="str">
        <x:v>Batch 06</x:v>
      </x:c>
    </x:row>
    <x:row r="117" ht="24" hidden="0" customHeight="1">
      <x:c r="A117" s="12" t="str">
        <x:v>S063-O02</x:v>
      </x:c>
      <x:c r="B117" s="12"/>
      <x:c r="C117" s="12" t="str">
        <x:v>S063</x:v>
      </x:c>
      <x:c r="D117" s="12"/>
      <x:c r="E117" s="12" t="str">
        <x:v>Endurance/application</x:v>
      </x:c>
      <x:c r="F117" s="12" t="str">
        <x:v>Selected sensor was tested for 1000 cycles at 50% compression and produced distinct walking/running traces</x:v>
      </x:c>
      <x:c r="G117" s="12" t="str">
        <x:v>cycles</x:v>
      </x:c>
      <x:c r="H117" s="12"/>
      <x:c r="I117" s="12" t="str">
        <x:v>PDF pp. 9–11; Figs. 7–8</x:v>
      </x:c>
      <x:c r="J117" s="12" t="str">
        <x:v>Batch 06</x:v>
      </x:c>
    </x:row>
    <x:row r="118" ht="24" hidden="0" customHeight="1">
      <x:c r="A118" s="12" t="str">
        <x:v>S064-O01</x:v>
      </x:c>
      <x:c r="B118" s="12"/>
      <x:c r="C118" s="12" t="str">
        <x:v>S064</x:v>
      </x:c>
      <x:c r="D118" s="12"/>
      <x:c r="E118" s="12" t="str">
        <x:v>Impact/failure signature</x:v>
      </x:c>
      <x:c r="F118" s="12" t="str">
        <x:v>Repeated impacts produced a persistent resistance increase attributed by the authors to conductive-particle detachment; impact and FE strain were compared</x:v>
      </x:c>
      <x:c r="G118" s="12" t="str">
        <x:v>mixed</x:v>
      </x:c>
      <x:c r="H118" s="12"/>
      <x:c r="I118" s="12" t="str">
        <x:v>PDF pp. 5–8; Figs. 4–6</x:v>
      </x:c>
      <x:c r="J118" s="12" t="str">
        <x:v>Batch 06</x:v>
      </x:c>
    </x:row>
    <x:row r="119" ht="24" hidden="0" customHeight="1">
      <x:c r="A119" s="12" t="str">
        <x:v>S065-O01</x:v>
      </x:c>
      <x:c r="B119" s="12"/>
      <x:c r="C119" s="12" t="str">
        <x:v>S065</x:v>
      </x:c>
      <x:c r="D119" s="12"/>
      <x:c r="E119" s="12" t="str">
        <x:v>Pressure performance</x:v>
      </x:c>
      <x:c r="F119" s="12" t="str">
        <x:v>Microstructured sensor sensitivity 2.1% kPa⁻¹ versus 0.13% kPa⁻¹ for the control over 1.23–6.13 kPa; response time 100 ms</x:v>
      </x:c>
      <x:c r="G119" s="12" t="str">
        <x:v>mixed</x:v>
      </x:c>
      <x:c r="H119" s="12"/>
      <x:c r="I119" s="12" t="str">
        <x:v>PDF pp. 6–8; Figs. 5–6</x:v>
      </x:c>
      <x:c r="J119" s="12" t="str">
        <x:v>Batch 06</x:v>
      </x:c>
    </x:row>
    <x:row r="120" ht="15" hidden="0" customHeight="1">
      <x:c r="A120" s="12" t="str">
        <x:v>S065-O02</x:v>
      </x:c>
      <x:c r="B120" s="12"/>
      <x:c r="C120" s="12" t="str">
        <x:v>S065</x:v>
      </x:c>
      <x:c r="D120" s="12"/>
      <x:c r="E120" s="12" t="str">
        <x:v>Application SNR</x:v>
      </x:c>
      <x:c r="F120" s="12" t="str">
        <x:v>Mouse-click and finger-bending SNR were 33.93±2.35 and 34.12±0.72 dB</x:v>
      </x:c>
      <x:c r="G120" s="12" t="str">
        <x:v>dB</x:v>
      </x:c>
      <x:c r="H120" s="12"/>
      <x:c r="I120" s="12" t="str">
        <x:v>PDF pp. 8–9; Fig. 7</x:v>
      </x:c>
      <x:c r="J120" s="12" t="str">
        <x:v>Batch 06</x:v>
      </x:c>
    </x:row>
    <x:row r="121" ht="24" hidden="0" customHeight="1">
      <x:c r="A121" s="12" t="str">
        <x:v>S066-O01</x:v>
      </x:c>
      <x:c r="B121" s="12"/>
      <x:c r="C121" s="12" t="str">
        <x:v>S066</x:v>
      </x:c>
      <x:c r="D121" s="12"/>
      <x:c r="E121" s="12" t="str">
        <x:v>Respiratory-rate comparison</x:v>
      </x:c>
      <x:c r="F121" s="12" t="str">
        <x:v>Static MAE was below 2.5 breaths min⁻¹; dynamic mean differences were below 1 breath min⁻¹; activity-specific mean±SD values are reported</x:v>
      </x:c>
      <x:c r="G121" s="12" t="str">
        <x:v>breaths min⁻¹</x:v>
      </x:c>
      <x:c r="H121" s="12"/>
      <x:c r="I121" s="12" t="str">
        <x:v>PDF pp. 6–8; Figs. 6–8; Table I</x:v>
      </x:c>
      <x:c r="J121" s="12" t="str">
        <x:v>Batch 06</x:v>
      </x:c>
    </x:row>
    <x:row r="122" ht="15" hidden="0" customHeight="1">
      <x:c r="A122" s="12" t="str">
        <x:v>S067-O01</x:v>
      </x:c>
      <x:c r="B122" s="12"/>
      <x:c r="C122" s="12" t="str">
        <x:v>S067</x:v>
      </x:c>
      <x:c r="D122" s="12"/>
      <x:c r="E122" s="12" t="str">
        <x:v>TENG response</x:v>
      </x:c>
      <x:c r="F122" s="12" t="str">
        <x:v>Voltage/current increased from 3.35 V/0.13 µA at 10 N to 45.83 V/1.89 µA at 200 N</x:v>
      </x:c>
      <x:c r="G122" s="12" t="str">
        <x:v>mixed</x:v>
      </x:c>
      <x:c r="H122" s="12"/>
      <x:c r="I122" s="12" t="str">
        <x:v>PDF pp. 4–6; Figs. 3–4</x:v>
      </x:c>
      <x:c r="J122" s="12" t="str">
        <x:v>Batch 06</x:v>
      </x:c>
    </x:row>
    <x:row r="123" ht="24" hidden="0" customHeight="1">
      <x:c r="A123" s="12" t="str">
        <x:v>S067-O02</x:v>
      </x:c>
      <x:c r="B123" s="12"/>
      <x:c r="C123" s="12" t="str">
        <x:v>S067</x:v>
      </x:c>
      <x:c r="D123" s="12"/>
      <x:c r="E123" s="12" t="str">
        <x:v>Activity recognition</x:v>
      </x:c>
      <x:c r="F123" s="12" t="str">
        <x:v>Six-activity SVM accuracy was 96.12% from 412 samples using a random 80/20 split and fivefold cross-validation</x:v>
      </x:c>
      <x:c r="G123" s="12" t="str">
        <x:v>%</x:v>
      </x:c>
      <x:c r="H123" s="12"/>
      <x:c r="I123" s="12" t="str">
        <x:v>PDF pp. 7–9; Figs. 7–8</x:v>
      </x:c>
      <x:c r="J123" s="12" t="str">
        <x:v>Batch 06</x:v>
      </x:c>
    </x:row>
    <x:row r="124" ht="24" hidden="0" customHeight="1">
      <x:c r="A124" s="12" t="str">
        <x:v>S068-O01</x:v>
      </x:c>
      <x:c r="B124" s="12"/>
      <x:c r="C124" s="12" t="str">
        <x:v>S068</x:v>
      </x:c>
      <x:c r="D124" s="12"/>
      <x:c r="E124" s="12" t="str">
        <x:v>Strain sensitivity</x:v>
      </x:c>
      <x:c r="F124" s="12" t="str">
        <x:v>At 0–2% strain, GF was 18.61±6.8 for TPU/CB and 23.78±1.1 for TPU/CB/Ag; three tests were repeated on the same sample</x:v>
      </x:c>
      <x:c r="G124" s="12" t="str">
        <x:v>GF</x:v>
      </x:c>
      <x:c r="H124" s="12"/>
      <x:c r="I124" s="12" t="str">
        <x:v>PDF pp. 5–7; Fig. 6a–c</x:v>
      </x:c>
      <x:c r="J124" s="12" t="str">
        <x:v>Batch 06</x:v>
      </x:c>
    </x:row>
    <x:row r="125" ht="24" hidden="0" customHeight="1">
      <x:c r="A125" s="12" t="str">
        <x:v>S068-O02</x:v>
      </x:c>
      <x:c r="B125" s="12"/>
      <x:c r="C125" s="12" t="str">
        <x:v>S068</x:v>
      </x:c>
      <x:c r="D125" s="12"/>
      <x:c r="E125" s="12" t="str">
        <x:v>Drift/endurance</x:v>
      </x:c>
      <x:c r="F125" s="12" t="str">
        <x:v>Unloaded resistance decreased 7.8% for TPU/CB and 2.5% for TPU/CB/Ag; both were cycled 500 times at 2% strain</x:v>
      </x:c>
      <x:c r="G125" s="12" t="str">
        <x:v>mixed</x:v>
      </x:c>
      <x:c r="H125" s="12"/>
      <x:c r="I125" s="12" t="str">
        <x:v>PDF pp. 6–8; Fig. 6d–j</x:v>
      </x:c>
      <x:c r="J125" s="12" t="str">
        <x:v>Batch 06</x:v>
      </x:c>
    </x:row>
    <x:row r="126" ht="15" hidden="0" customHeight="1">
      <x:c r="A126" s="12" t="str">
        <x:v>S069-O01</x:v>
      </x:c>
      <x:c r="B126" s="12"/>
      <x:c r="C126" s="12" t="str">
        <x:v>S069</x:v>
      </x:c>
      <x:c r="D126" s="12"/>
      <x:c r="E126" s="12" t="str">
        <x:v>Electrical output</x:v>
      </x:c>
      <x:c r="F126" s="12" t="str">
        <x:v>Optimized T-TENG reached 193.3 V, ~17 µA and peak power density 2043.17 mW m⁻² at 20 MΩ</x:v>
      </x:c>
      <x:c r="G126" s="12" t="str">
        <x:v>mixed</x:v>
      </x:c>
      <x:c r="H126" s="12"/>
      <x:c r="I126" s="12" t="str">
        <x:v>PDF pp. 10–11; Fig. 10a–b</x:v>
      </x:c>
      <x:c r="J126" s="12" t="str">
        <x:v>Batch 06</x:v>
      </x:c>
    </x:row>
    <x:row r="127" ht="24" hidden="0" customHeight="1">
      <x:c r="A127" s="12" t="str">
        <x:v>S069-O02</x:v>
      </x:c>
      <x:c r="B127" s="12"/>
      <x:c r="C127" s="12" t="str">
        <x:v>S069</x:v>
      </x:c>
      <x:c r="D127" s="12"/>
      <x:c r="E127" s="12" t="str">
        <x:v>Durability/washing</x:v>
      </x:c>
      <x:c r="F127" s="12" t="str">
        <x:v>Output was reported stable over 20,000 cycles; minimal voltage change followed 30 min hand-washing in water and detergent</x:v>
      </x:c>
      <x:c r="G127" s="12" t="str">
        <x:v>mixed</x:v>
      </x:c>
      <x:c r="H127" s="12"/>
      <x:c r="I127" s="12" t="str">
        <x:v>PDF pp. 10–12; Fig. 10f–g; Fig. S10 cited</x:v>
      </x:c>
      <x:c r="J127" s="12" t="str">
        <x:v>Batch 06</x:v>
      </x:c>
    </x:row>
    <x:row r="128" ht="24" hidden="0" customHeight="1">
      <x:c r="A128" s="12" t="str">
        <x:v>S070-O01</x:v>
      </x:c>
      <x:c r="B128" s="12"/>
      <x:c r="C128" s="12" t="str">
        <x:v>S070</x:v>
      </x:c>
      <x:c r="D128" s="12"/>
      <x:c r="E128" s="12" t="str">
        <x:v>Strain/temperature/RH sensitivity</x:v>
      </x:c>
      <x:c r="F128" s="12" t="str">
        <x:v>Strain sensitivities 1.002–1.156 nm mε⁻¹; temperature sensitivities 0.042–0.064 nm °C⁻¹; RH sensitivities 0.007–0.014 nm %RH⁻¹</x:v>
      </x:c>
      <x:c r="G128" s="12" t="str">
        <x:v>mixed</x:v>
      </x:c>
      <x:c r="H128" s="12"/>
      <x:c r="I128" s="12" t="str">
        <x:v>PDF pp. 5–7; Figs. 4–8</x:v>
      </x:c>
      <x:c r="J128" s="12" t="str">
        <x:v>Batch 07</x:v>
      </x:c>
    </x:row>
    <x:row r="129" ht="15" hidden="0" customHeight="1">
      <x:c r="A129" s="12" t="str">
        <x:v>S070-O02</x:v>
      </x:c>
      <x:c r="B129" s="12"/>
      <x:c r="C129" s="12" t="str">
        <x:v>S070</x:v>
      </x:c>
      <x:c r="D129" s="12"/>
      <x:c r="E129" s="12" t="str">
        <x:v>Hysteresis</x:v>
      </x:c>
      <x:c r="F129" s="12" t="str">
        <x:v>Hysteresis error 5.4–7.5% over 100 cycles at 0–1% strain</x:v>
      </x:c>
      <x:c r="G129" s="12" t="str">
        <x:v>%</x:v>
      </x:c>
      <x:c r="H129" s="12"/>
      <x:c r="I129" s="12" t="str">
        <x:v>PDF pp. 6–7; Fig. 9</x:v>
      </x:c>
      <x:c r="J129" s="12" t="str">
        <x:v>Batch 07</x:v>
      </x:c>
    </x:row>
    <x:row r="130" ht="15" hidden="0" customHeight="1">
      <x:c r="A130" s="12" t="str">
        <x:v>S071-O01</x:v>
      </x:c>
      <x:c r="B130" s="12"/>
      <x:c r="C130" s="12" t="str">
        <x:v>S071</x:v>
      </x:c>
      <x:c r="D130" s="12"/>
      <x:c r="E130" s="12" t="str">
        <x:v>Pressure response</x:v>
      </x:c>
      <x:c r="F130" s="12" t="str">
        <x:v>Reported maximum sensitivity 150 kPa⁻¹ over a 0–350 kPa detection range</x:v>
      </x:c>
      <x:c r="G130" s="12" t="str">
        <x:v>kPa⁻¹</x:v>
      </x:c>
      <x:c r="H130" s="12"/>
      <x:c r="I130" s="12" t="str">
        <x:v>PDF pp. 7–9; Figs. 8–11; Table 2</x:v>
      </x:c>
      <x:c r="J130" s="12" t="str">
        <x:v>Batch 07</x:v>
      </x:c>
    </x:row>
    <x:row r="131" ht="24" hidden="0" customHeight="1">
      <x:c r="A131" s="12" t="str">
        <x:v>S071-O02</x:v>
      </x:c>
      <x:c r="B131" s="12"/>
      <x:c r="C131" s="12" t="str">
        <x:v>S071</x:v>
      </x:c>
      <x:c r="D131" s="12"/>
      <x:c r="E131" s="12" t="str">
        <x:v>Endurance</x:v>
      </x:c>
      <x:c r="F131" s="12" t="str">
        <x:v>After 1000 compression cycles, reported stress degradation was 4.2%; surface-coating descriptions are internally inconsistent</x:v>
      </x:c>
      <x:c r="G131" s="12" t="str">
        <x:v>%</x:v>
      </x:c>
      <x:c r="H131" s="12"/>
      <x:c r="I131" s="12" t="str">
        <x:v>PDF pp. 5–7; Fig. 6f–g</x:v>
      </x:c>
      <x:c r="J131" s="12" t="str">
        <x:v>Batch 07</x:v>
      </x:c>
    </x:row>
    <x:row r="132" ht="15" hidden="0" customHeight="1">
      <x:c r="A132" s="12" t="str">
        <x:v>S073-O01</x:v>
      </x:c>
      <x:c r="B132" s="12"/>
      <x:c r="C132" s="12" t="str">
        <x:v>S073</x:v>
      </x:c>
      <x:c r="D132" s="12"/>
      <x:c r="E132" s="12" t="str">
        <x:v>Multimodal ranges</x:v>
      </x:c>
      <x:c r="F132" s="12" t="str">
        <x:v>Reported response ranges were 0–180% strain, 0–1 MPa stress and 30–100 °C</x:v>
      </x:c>
      <x:c r="G132" s="12" t="str">
        <x:v>mixed</x:v>
      </x:c>
      <x:c r="H132" s="12"/>
      <x:c r="I132" s="12" t="str">
        <x:v>PDF pp. 6–11; Figs. 4–8</x:v>
      </x:c>
      <x:c r="J132" s="12" t="str">
        <x:v>Batch 07</x:v>
      </x:c>
    </x:row>
    <x:row r="133" ht="15" hidden="0" customHeight="1">
      <x:c r="A133" s="12" t="str">
        <x:v>S074-O01</x:v>
      </x:c>
      <x:c r="B133" s="12"/>
      <x:c r="C133" s="12" t="str">
        <x:v>S074</x:v>
      </x:c>
      <x:c r="D133" s="12"/>
      <x:c r="E133" s="12" t="str">
        <x:v>Strain/temperature response</x:v>
      </x:c>
      <x:c r="F133" s="12" t="str">
        <x:v>Strain sensitivity 0.81 nm mε⁻¹ (R²=0.99); temperature sensitivity 0.034 nm °C⁻¹ (R²=0.98)</x:v>
      </x:c>
      <x:c r="G133" s="12" t="str">
        <x:v>mixed</x:v>
      </x:c>
      <x:c r="H133" s="12"/>
      <x:c r="I133" s="12" t="str">
        <x:v>PDF pp. 4–5; Figs. 3–4</x:v>
      </x:c>
      <x:c r="J133" s="12" t="str">
        <x:v>Batch 07</x:v>
      </x:c>
    </x:row>
    <x:row r="134" ht="24" hidden="0" customHeight="1">
      <x:c r="A134" s="12" t="str">
        <x:v>S074-O02</x:v>
      </x:c>
      <x:c r="B134" s="12"/>
      <x:c r="C134" s="12" t="str">
        <x:v>S074</x:v>
      </x:c>
      <x:c r="D134" s="12"/>
      <x:c r="E134" s="12" t="str">
        <x:v>Dynamic/human comparison</x:v>
      </x:c>
      <x:c r="F134" s="12" t="str">
        <x:v>Dynamic MAE 0.11, 0.02 and 0.01 s at 12, 24 and 36 rpm; respiratory-rate MAE &lt;0.5 apm and MAPE &lt;2.5%; heart-rate MAE &lt;2.8 bpm and MAPE &lt;3%</x:v>
      </x:c>
      <x:c r="G134" s="12" t="str">
        <x:v>mixed</x:v>
      </x:c>
      <x:c r="H134" s="12"/>
      <x:c r="I134" s="12" t="str">
        <x:v>PDF pp. 5–9; Figs. 5–13</x:v>
      </x:c>
      <x:c r="J134" s="12" t="str">
        <x:v>Batch 07</x:v>
      </x:c>
    </x:row>
    <x:row r="135" ht="15" hidden="0" customHeight="1">
      <x:c r="A135" s="12" t="str">
        <x:v>S075-O01</x:v>
      </x:c>
      <x:c r="B135" s="12"/>
      <x:c r="C135" s="12" t="str">
        <x:v>S075</x:v>
      </x:c>
      <x:c r="D135" s="12"/>
      <x:c r="E135" s="12" t="str">
        <x:v>Strain response</x:v>
      </x:c>
      <x:c r="F135" s="12" t="str">
        <x:v>Maximum GF −14.7 for TS at 1% strain; response time 390 ms</x:v>
      </x:c>
      <x:c r="G135" s="12" t="str">
        <x:v>mixed</x:v>
      </x:c>
      <x:c r="H135" s="12"/>
      <x:c r="I135" s="12" t="str">
        <x:v>PDF pp. 5–6; Figs. 3–5</x:v>
      </x:c>
      <x:c r="J135" s="12" t="str">
        <x:v>Batch 07</x:v>
      </x:c>
    </x:row>
    <x:row r="136" ht="24" hidden="0" customHeight="1">
      <x:c r="A136" s="12" t="str">
        <x:v>S075-O02</x:v>
      </x:c>
      <x:c r="B136" s="12"/>
      <x:c r="C136" s="12" t="str">
        <x:v>S075</x:v>
      </x:c>
      <x:c r="D136" s="12"/>
      <x:c r="E136" s="12" t="str">
        <x:v>Environment response</x:v>
      </x:c>
      <x:c r="F136" s="12" t="str">
        <x:v>Temperature exposure produced approximately 55% resistance change at 65 °C; RH produced approximately 12% for BS/TS and 4% for SS</x:v>
      </x:c>
      <x:c r="G136" s="12" t="str">
        <x:v>%</x:v>
      </x:c>
      <x:c r="H136" s="12"/>
      <x:c r="I136" s="12" t="str">
        <x:v>PDF p. 7; Fig. 6</x:v>
      </x:c>
      <x:c r="J136" s="12" t="str">
        <x:v>Batch 07</x:v>
      </x:c>
    </x:row>
    <x:row r="137" ht="24" hidden="0" customHeight="1">
      <x:c r="A137" s="12" t="str">
        <x:v>S076-O01</x:v>
      </x:c>
      <x:c r="B137" s="12"/>
      <x:c r="C137" s="12" t="str">
        <x:v>S076</x:v>
      </x:c>
      <x:c r="D137" s="12"/>
      <x:c r="E137" s="12" t="str">
        <x:v>Electrical output</x:v>
      </x:c>
      <x:c r="F137" s="12" t="str">
        <x:v>Peak-to-peak voltage approximately 260 V, short-circuit current approximately 16 µA and maximum power density approximately 690 µW cm⁻²</x:v>
      </x:c>
      <x:c r="G137" s="12" t="str">
        <x:v>mixed</x:v>
      </x:c>
      <x:c r="H137" s="12"/>
      <x:c r="I137" s="12" t="str">
        <x:v>PDF pp. 5–8; Figs. 4–5</x:v>
      </x:c>
      <x:c r="J137" s="12" t="str">
        <x:v>Batch 07</x:v>
      </x:c>
    </x:row>
    <x:row r="138" ht="24" hidden="0" customHeight="1">
      <x:c r="A138" s="12" t="str">
        <x:v>S076-O02</x:v>
      </x:c>
      <x:c r="B138" s="12"/>
      <x:c r="C138" s="12" t="str">
        <x:v>S076</x:v>
      </x:c>
      <x:c r="D138" s="12"/>
      <x:c r="E138" s="12" t="str">
        <x:v>Endurance</x:v>
      </x:c>
      <x:c r="F138" s="12" t="str">
        <x:v>At 5 Hz, peak voltage remained within 95%±3% of initial value over 1000 cycles; approximately 5000 cycles are reported in Fig. S9</x:v>
      </x:c>
      <x:c r="G138" s="12" t="str">
        <x:v>%</x:v>
      </x:c>
      <x:c r="H138" s="12"/>
      <x:c r="I138" s="12" t="str">
        <x:v>PDF p. 7; Fig. 5g; Fig. S9 cited</x:v>
      </x:c>
      <x:c r="J138" s="12" t="str">
        <x:v>Batch 07</x:v>
      </x:c>
    </x:row>
    <x:row r="139" ht="24" hidden="0" customHeight="1">
      <x:c r="A139" s="12" t="str">
        <x:v>S077-O01</x:v>
      </x:c>
      <x:c r="B139" s="12"/>
      <x:c r="C139" s="12" t="str">
        <x:v>S077</x:v>
      </x:c>
      <x:c r="D139" s="12"/>
      <x:c r="E139" s="12" t="str">
        <x:v>Strain/pressure performance</x:v>
      </x:c>
      <x:c r="F139" s="12" t="str">
        <x:v>GF 7.07, approximately 233.07 and approximately 4033.2 across stated strain regions; pressure evaluated from 1 to 150 kPa; response time reported as 85 ms</x:v>
      </x:c>
      <x:c r="G139" s="12" t="str">
        <x:v>mixed</x:v>
      </x:c>
      <x:c r="H139" s="12"/>
      <x:c r="I139" s="12" t="str">
        <x:v>PDF pp. 8–11; Figs. 4–5; Table 1</x:v>
      </x:c>
      <x:c r="J139" s="12" t="str">
        <x:v>Batch 07</x:v>
      </x:c>
    </x:row>
    <x:row r="140" ht="24" hidden="0" customHeight="1">
      <x:c r="A140" s="12" t="str">
        <x:v>S077-O02</x:v>
      </x:c>
      <x:c r="B140" s="12"/>
      <x:c r="C140" s="12" t="str">
        <x:v>S077</x:v>
      </x:c>
      <x:c r="D140" s="12"/>
      <x:c r="E140" s="12" t="str">
        <x:v>Endurance</x:v>
      </x:c>
      <x:c r="F140" s="12" t="str">
        <x:v>The conclusion reports 6000 cycles at 100% strain</x:v>
      </x:c>
      <x:c r="G140" s="12" t="str">
        <x:v>cycles</x:v>
      </x:c>
      <x:c r="H140" s="12"/>
      <x:c r="I140" s="12" t="str">
        <x:v>PDF p. 15; corresponding main-figure locator not explicit</x:v>
      </x:c>
      <x:c r="J140" s="12" t="str">
        <x:v>Batch 07</x:v>
      </x:c>
    </x:row>
    <x:row r="141" ht="15" hidden="0" customHeight="1">
      <x:c r="A141" s="12" t="str">
        <x:v>S078-O01</x:v>
      </x:c>
      <x:c r="B141" s="12"/>
      <x:c r="C141" s="12" t="str">
        <x:v>S078</x:v>
      </x:c>
      <x:c r="D141" s="12"/>
      <x:c r="E141" s="12" t="str">
        <x:v>Sensitivity</x:v>
      </x:c>
      <x:c r="F141" s="12" t="str">
        <x:v>Pressure sensitivity 0.879 kPa⁻¹ and gauge factor 3.94 were reported</x:v>
      </x:c>
      <x:c r="G141" s="12" t="str">
        <x:v>mixed</x:v>
      </x:c>
      <x:c r="H141" s="12"/>
      <x:c r="I141" s="12" t="str">
        <x:v>PDF pp. 5–8; Figs. 5–6</x:v>
      </x:c>
      <x:c r="J141" s="12" t="str">
        <x:v>Batch 07</x:v>
      </x:c>
    </x:row>
    <x:row r="142" ht="15" hidden="0" customHeight="1">
      <x:c r="A142" s="12" t="str">
        <x:v>S078-O02</x:v>
      </x:c>
      <x:c r="B142" s="12"/>
      <x:c r="C142" s="12" t="str">
        <x:v>S078</x:v>
      </x:c>
      <x:c r="D142" s="12"/>
      <x:c r="E142" s="12" t="str">
        <x:v>Wearable response</x:v>
      </x:c>
      <x:c r="F142" s="12" t="str">
        <x:v>Relative resistance was approximately 0.45 during walking and 0.56 during running</x:v>
      </x:c>
      <x:c r="G142" s="12" t="str">
        <x:v>ΔR/R₀</x:v>
      </x:c>
      <x:c r="H142" s="12"/>
      <x:c r="I142" s="12" t="str">
        <x:v>PDF p. 7; Fig. 6</x:v>
      </x:c>
      <x:c r="J142" s="12" t="str">
        <x:v>Batch 07</x:v>
      </x:c>
    </x:row>
    <x:row r="143" ht="24" hidden="0" customHeight="1">
      <x:c r="A143" s="12" t="str">
        <x:v>S079-O01</x:v>
      </x:c>
      <x:c r="B143" s="12"/>
      <x:c r="C143" s="12" t="str">
        <x:v>S079</x:v>
      </x:c>
      <x:c r="D143" s="12"/>
      <x:c r="E143" s="12" t="str">
        <x:v>Pressure response</x:v>
      </x:c>
      <x:c r="F143" s="12" t="str">
        <x:v>Low-pressure sensitivities were 5.87, 4.67, 4.59 and 7.03 MPa⁻¹ for Lidnoid, Gyroid, Neovius and Split P over 0–0.1 MPa; range extended to 10 MPa</x:v>
      </x:c>
      <x:c r="G143" s="12" t="str">
        <x:v>MPa⁻¹</x:v>
      </x:c>
      <x:c r="H143" s="12"/>
      <x:c r="I143" s="12" t="str">
        <x:v>PDF pp. 6–10; Fig. 4</x:v>
      </x:c>
      <x:c r="J143" s="12" t="str">
        <x:v>Batch 07</x:v>
      </x:c>
    </x:row>
    <x:row r="144" ht="24" hidden="0" customHeight="1">
      <x:c r="A144" s="12" t="str">
        <x:v>S079-O02</x:v>
      </x:c>
      <x:c r="B144" s="12"/>
      <x:c r="C144" s="12" t="str">
        <x:v>S079</x:v>
      </x:c>
      <x:c r="D144" s="12"/>
      <x:c r="E144" s="12" t="str">
        <x:v>Response/endurance/environment</x:v>
      </x:c>
      <x:c r="F144" s="12" t="str">
        <x:v>Response/recovery 326.2/193.4 ms; repeated loading for 10,000 s showed a decreasing unloaded baseline; post-exposure finger-bending response approximately 70%±5%</x:v>
      </x:c>
      <x:c r="G144" s="12" t="str">
        <x:v>mixed</x:v>
      </x:c>
      <x:c r="H144" s="12"/>
      <x:c r="I144" s="12" t="str">
        <x:v>PDF pp. 9–11; Figs. 4, 7; Fig. S15 cited</x:v>
      </x:c>
      <x:c r="J144" s="12" t="str">
        <x:v>Batch 07</x:v>
      </x:c>
    </x:row>
    <x:row r="145" ht="15" hidden="0" customHeight="1">
      <x:c r="A145" s="12" t="str">
        <x:v>S080-O01</x:v>
      </x:c>
      <x:c r="B145" s="12"/>
      <x:c r="C145" s="12" t="str">
        <x:v>S080</x:v>
      </x:c>
      <x:c r="D145" s="12"/>
      <x:c r="E145" s="12" t="str">
        <x:v>Repeated compression</x:v>
      </x:c>
      <x:c r="F145" s="12" t="str">
        <x:v>Piezoresistive response shown across 300 cycles at strain amplitudes 0.05, 0.10 and 0.15</x:v>
      </x:c>
      <x:c r="G145" s="12" t="str">
        <x:v>cycles/strain</x:v>
      </x:c>
      <x:c r="H145" s="12"/>
      <x:c r="I145" s="12" t="str">
        <x:v>PDF pp. 6–7 and 10; Fig. 6b</x:v>
      </x:c>
      <x:c r="J145" s="12" t="str">
        <x:v>Batch 08</x:v>
      </x:c>
    </x:row>
    <x:row r="146" ht="15" hidden="0" customHeight="1">
      <x:c r="A146" s="12" t="str">
        <x:v>S080-O02</x:v>
      </x:c>
      <x:c r="B146" s="12"/>
      <x:c r="C146" s="12" t="str">
        <x:v>S080</x:v>
      </x:c>
      <x:c r="D146" s="12"/>
      <x:c r="E146" s="12" t="str">
        <x:v>Detection limit</x:v>
      </x:c>
      <x:c r="F146" s="12" t="str">
        <x:v>Detectable response reported at strain 0.005</x:v>
      </x:c>
      <x:c r="G146" s="12" t="str">
        <x:v>strain</x:v>
      </x:c>
      <x:c r="H146" s="12"/>
      <x:c r="I146" s="12" t="str">
        <x:v>PDF p. 7; Fig. 6d</x:v>
      </x:c>
      <x:c r="J146" s="12" t="str">
        <x:v>Batch 08</x:v>
      </x:c>
    </x:row>
    <x:row r="147" ht="15" hidden="0" customHeight="1">
      <x:c r="A147" s="12" t="str">
        <x:v>S080-O03</x:v>
      </x:c>
      <x:c r="B147" s="12"/>
      <x:c r="C147" s="12" t="str">
        <x:v>S080</x:v>
      </x:c>
      <x:c r="D147" s="12"/>
      <x:c r="E147" s="12" t="str">
        <x:v>Wearable signals</x:v>
      </x:c>
      <x:c r="F147" s="12" t="str">
        <x:v>Respiration and gait resistance traces reported over 18 s and 15 s</x:v>
      </x:c>
      <x:c r="G147" s="12" t="str">
        <x:v>s</x:v>
      </x:c>
      <x:c r="H147" s="12"/>
      <x:c r="I147" s="12" t="str">
        <x:v>PDF pp. 11–12; Fig. 8</x:v>
      </x:c>
      <x:c r="J147" s="12" t="str">
        <x:v>Batch 08</x:v>
      </x:c>
    </x:row>
    <x:row r="148" ht="15" hidden="0" customHeight="1">
      <x:c r="A148" s="12" t="str">
        <x:v>S081-O01</x:v>
      </x:c>
      <x:c r="B148" s="12"/>
      <x:c r="C148" s="12" t="str">
        <x:v>S081</x:v>
      </x:c>
      <x:c r="D148" s="12"/>
      <x:c r="E148" s="12" t="str">
        <x:v>Mean force sensitivity</x:v>
      </x:c>
      <x:c r="F148" s="12" t="str">
        <x:v>0.022 across 0–50 N; 0.030 at ~0–25 N and 0.018 at 25–50 N</x:v>
      </x:c>
      <x:c r="G148" s="12" t="str">
        <x:v>nm N⁻¹</x:v>
      </x:c>
      <x:c r="H148" s="12"/>
      <x:c r="I148" s="12" t="str">
        <x:v>PDF p. 5; Fig. 6</x:v>
      </x:c>
      <x:c r="J148" s="12" t="str">
        <x:v>Batch 08</x:v>
      </x:c>
    </x:row>
    <x:row r="149" ht="15" hidden="0" customHeight="1">
      <x:c r="A149" s="12" t="str">
        <x:v>S081-O02</x:v>
      </x:c>
      <x:c r="B149" s="12"/>
      <x:c r="C149" s="12" t="str">
        <x:v>S081</x:v>
      </x:c>
      <x:c r="D149" s="12"/>
      <x:c r="E149" s="12" t="str">
        <x:v>Integration shift</x:v>
      </x:c>
      <x:c r="F149" s="12" t="str">
        <x:v>FBG peak 1557.21 before to 1556.60 nm after embedding; FWHM 1.44 to 1.26 nm</x:v>
      </x:c>
      <x:c r="G149" s="12" t="str">
        <x:v>nm</x:v>
      </x:c>
      <x:c r="H149" s="12"/>
      <x:c r="I149" s="12" t="str">
        <x:v>PDF p. 4; Fig. 3</x:v>
      </x:c>
      <x:c r="J149" s="12" t="str">
        <x:v>Batch 08</x:v>
      </x:c>
    </x:row>
    <x:row r="150" ht="15" hidden="0" customHeight="1">
      <x:c r="A150" s="12" t="str">
        <x:v>S081-O03</x:v>
      </x:c>
      <x:c r="B150" s="12"/>
      <x:c r="C150" s="12" t="str">
        <x:v>S081</x:v>
      </x:c>
      <x:c r="D150" s="12"/>
      <x:c r="E150" s="12" t="str">
        <x:v>Clinical timing</x:v>
      </x:c>
      <x:c r="F150" s="12" t="str">
        <x:v>Foot-tap perturbation followed FBG drop by 1.0 s and 2.5 s in the two trials</x:v>
      </x:c>
      <x:c r="G150" s="12" t="str">
        <x:v>s</x:v>
      </x:c>
      <x:c r="H150" s="12"/>
      <x:c r="I150" s="12" t="str">
        <x:v>PDF p. 6; Fig. 8</x:v>
      </x:c>
      <x:c r="J150" s="12" t="str">
        <x:v>Batch 08</x:v>
      </x:c>
    </x:row>
    <x:row r="151" ht="15" hidden="0" customHeight="1">
      <x:c r="A151" s="12" t="str">
        <x:v>S082-O01</x:v>
      </x:c>
      <x:c r="B151" s="12"/>
      <x:c r="C151" s="12" t="str">
        <x:v>S082</x:v>
      </x:c>
      <x:c r="D151" s="12"/>
      <x:c r="E151" s="12" t="str">
        <x:v>Principal strain response</x:v>
      </x:c>
      <x:c r="F151" s="12" t="str">
        <x:v>Maximum GF 2,645,866 at 92% strain; R² 0.95 at 0–10%; minimum detected strain 0.2%</x:v>
      </x:c>
      <x:c r="G151" s="12" t="str">
        <x:v>GF/R²/%</x:v>
      </x:c>
      <x:c r="H151" s="12"/>
      <x:c r="I151" s="12" t="str">
        <x:v>PDF pp. 7–10; Figs. 4–5</x:v>
      </x:c>
      <x:c r="J151" s="12" t="str">
        <x:v>Batch 08</x:v>
      </x:c>
    </x:row>
    <x:row r="152" ht="15" hidden="0" customHeight="1">
      <x:c r="A152" s="12" t="str">
        <x:v>S082-O02</x:v>
      </x:c>
      <x:c r="B152" s="12"/>
      <x:c r="C152" s="12" t="str">
        <x:v>S082</x:v>
      </x:c>
      <x:c r="D152" s="12"/>
      <x:c r="E152" s="12" t="str">
        <x:v>Endurance</x:v>
      </x:c>
      <x:c r="F152" s="12" t="str">
        <x:v>2000 cycles at 10% strain and 0.2 Hz; early fluctuation reported for SBS/3-TPU/7</x:v>
      </x:c>
      <x:c r="G152" s="12" t="str">
        <x:v>cycles</x:v>
      </x:c>
      <x:c r="H152" s="12"/>
      <x:c r="I152" s="12" t="str">
        <x:v>PDF pp. 10–11; Fig. 6</x:v>
      </x:c>
      <x:c r="J152" s="12" t="str">
        <x:v>Batch 08</x:v>
      </x:c>
    </x:row>
    <x:row r="153" ht="24" hidden="0" customHeight="1">
      <x:c r="A153" s="12" t="str">
        <x:v>S084-O01</x:v>
      </x:c>
      <x:c r="B153" s="12"/>
      <x:c r="C153" s="12" t="str">
        <x:v>S084</x:v>
      </x:c>
      <x:c r="D153" s="12"/>
      <x:c r="E153" s="12" t="str">
        <x:v>Principal strain response</x:v>
      </x:c>
      <x:c r="F153" s="12" t="str">
        <x:v>Maximum GF 2.65×10⁶ at 92% strain for 1%-CNT/SBS@TPU; R² 0.954 at 0–10%; minimum detected strain 0.2%</x:v>
      </x:c>
      <x:c r="G153" s="12" t="str">
        <x:v>GF/R²/%</x:v>
      </x:c>
      <x:c r="H153" s="12"/>
      <x:c r="I153" s="12" t="str">
        <x:v>PDF pp. 7–9; Fig. 5</x:v>
      </x:c>
      <x:c r="J153" s="12" t="str">
        <x:v>Batch 08</x:v>
      </x:c>
    </x:row>
    <x:row r="154" ht="15" hidden="0" customHeight="1">
      <x:c r="A154" s="12" t="str">
        <x:v>S084-O02</x:v>
      </x:c>
      <x:c r="B154" s="12"/>
      <x:c r="C154" s="12" t="str">
        <x:v>S084</x:v>
      </x:c>
      <x:c r="D154" s="12"/>
      <x:c r="E154" s="12" t="str">
        <x:v>Endurance</x:v>
      </x:c>
      <x:c r="F154" s="12" t="str">
        <x:v>2000-cycle test at 10% strain and 0.2 Hz; slight signal drift during first 30 cycles</x:v>
      </x:c>
      <x:c r="G154" s="12" t="str">
        <x:v>cycles</x:v>
      </x:c>
      <x:c r="H154" s="12"/>
      <x:c r="I154" s="12" t="str">
        <x:v>PDF pp. 9–10; Fig. 6 and Fig. S5</x:v>
      </x:c>
      <x:c r="J154" s="12" t="str">
        <x:v>Batch 08</x:v>
      </x:c>
    </x:row>
    <x:row r="155" ht="15" hidden="0" customHeight="1">
      <x:c r="A155" s="12" t="str">
        <x:v>S085-O01</x:v>
      </x:c>
      <x:c r="B155" s="12"/>
      <x:c r="C155" s="12" t="str">
        <x:v>S085</x:v>
      </x:c>
      <x:c r="D155" s="12"/>
      <x:c r="E155" s="12" t="str">
        <x:v>Configuration sensitivity</x:v>
      </x:c>
      <x:c r="F155" s="12" t="str">
        <x:v>SZ GF 2.653 at 0–3%, 0.516 at 3–9%, 1.463 at 9–15%; other configurations reported in Table 2</x:v>
      </x:c>
      <x:c r="G155" s="12" t="str">
        <x:v>GF</x:v>
      </x:c>
      <x:c r="H155" s="12"/>
      <x:c r="I155" s="12" t="str">
        <x:v>PDF p. 12; Table 2</x:v>
      </x:c>
      <x:c r="J155" s="12" t="str">
        <x:v>Batch 08</x:v>
      </x:c>
    </x:row>
    <x:row r="156" ht="24" hidden="0" customHeight="1">
      <x:c r="A156" s="12" t="str">
        <x:v>S085-O02</x:v>
      </x:c>
      <x:c r="B156" s="12"/>
      <x:c r="C156" s="12" t="str">
        <x:v>S085</x:v>
      </x:c>
      <x:c r="D156" s="12"/>
      <x:c r="E156" s="12" t="str">
        <x:v>Hysteresis and response</x:v>
      </x:c>
      <x:c r="F156" s="12" t="str">
        <x:v>Hysteresis deviation 3.36%, 4.28% and 5.98% at 5%, 10% and 15% strain; response and recovery ~120 ms</x:v>
      </x:c>
      <x:c r="G156" s="12" t="str">
        <x:v>%/ms</x:v>
      </x:c>
      <x:c r="H156" s="12"/>
      <x:c r="I156" s="12" t="str">
        <x:v>PDF pp. 8–9; Figs. 12–13</x:v>
      </x:c>
      <x:c r="J156" s="12" t="str">
        <x:v>Batch 08</x:v>
      </x:c>
    </x:row>
    <x:row r="157" ht="15" hidden="0" customHeight="1">
      <x:c r="A157" s="12" t="str">
        <x:v>S085-O03</x:v>
      </x:c>
      <x:c r="B157" s="12"/>
      <x:c r="C157" s="12" t="str">
        <x:v>S085</x:v>
      </x:c>
      <x:c r="D157" s="12"/>
      <x:c r="E157" s="12" t="str">
        <x:v>Endurance and detection</x:v>
      </x:c>
      <x:c r="F157" s="12" t="str">
        <x:v>3000 cycles at 5% strain and 50 mm min⁻¹; response demonstrated at 1% strain</x:v>
      </x:c>
      <x:c r="G157" s="12" t="str">
        <x:v>cycles/%</x:v>
      </x:c>
      <x:c r="H157" s="12"/>
      <x:c r="I157" s="12" t="str">
        <x:v>PDF pp. 9–10; Figs. 15–16</x:v>
      </x:c>
      <x:c r="J157" s="12" t="str">
        <x:v>Batch 08</x:v>
      </x:c>
    </x:row>
    <x:row r="158" ht="15" hidden="0" customHeight="1">
      <x:c r="A158" s="12" t="str">
        <x:v>S086-O01</x:v>
      </x:c>
      <x:c r="B158" s="12"/>
      <x:c r="C158" s="12" t="str">
        <x:v>S086</x:v>
      </x:c>
      <x:c r="D158" s="12"/>
      <x:c r="E158" s="12" t="str">
        <x:v>Gauge factor</x:v>
      </x:c>
      <x:c r="F158" s="12" t="str">
        <x:v>1900.6 over 0–9% strain; 16,000 over 9–11% described as unstable</x:v>
      </x:c>
      <x:c r="G158" s="12" t="str">
        <x:v>GF</x:v>
      </x:c>
      <x:c r="H158" s="12"/>
      <x:c r="I158" s="12" t="str">
        <x:v>PDF p. 7; Fig. 5a</x:v>
      </x:c>
      <x:c r="J158" s="12" t="str">
        <x:v>Batch 08</x:v>
      </x:c>
    </x:row>
    <x:row r="159" ht="24" hidden="0" customHeight="1">
      <x:c r="A159" s="12" t="str">
        <x:v>S086-O02</x:v>
      </x:c>
      <x:c r="B159" s="12"/>
      <x:c r="C159" s="12" t="str">
        <x:v>S086</x:v>
      </x:c>
      <x:c r="D159" s="12"/>
      <x:c r="E159" s="12" t="str">
        <x:v>Cycling and wearable response</x:v>
      </x:c>
      <x:c r="F159" s="12" t="str">
        <x:v>Three 2000-s cyclic tests; speech response/recovery 0.12/0.55 s and finger response/recovery 0.55/1.33 s</x:v>
      </x:c>
      <x:c r="G159" s="12" t="str">
        <x:v>s</x:v>
      </x:c>
      <x:c r="H159" s="12"/>
      <x:c r="I159" s="12" t="str">
        <x:v>PDF pp. 7–8; Figs. 5–6</x:v>
      </x:c>
      <x:c r="J159" s="12" t="str">
        <x:v>Batch 08</x:v>
      </x:c>
    </x:row>
    <x:row r="160" ht="24" hidden="0" customHeight="1">
      <x:c r="A160" s="12" t="str">
        <x:v>S087-O01</x:v>
      </x:c>
      <x:c r="B160" s="12"/>
      <x:c r="C160" s="12" t="str">
        <x:v>S087</x:v>
      </x:c>
      <x:c r="D160" s="12"/>
      <x:c r="E160" s="12" t="str">
        <x:v>Pressure and strain sensitivity</x:v>
      </x:c>
      <x:c r="F160" s="12" t="str">
        <x:v>Up to 175.57 kPa⁻¹ at 0–300 Pa; tensile GF 18.95 at 0–50% and 66.29 at 50–100% for selected structure</x:v>
      </x:c>
      <x:c r="G160" s="12" t="str">
        <x:v>kPa⁻¹/GF</x:v>
      </x:c>
      <x:c r="H160" s="12"/>
      <x:c r="I160" s="12" t="str">
        <x:v>PDF pp. 5–7; Figs. 2–4</x:v>
      </x:c>
      <x:c r="J160" s="12" t="str">
        <x:v>Batch 08</x:v>
      </x:c>
    </x:row>
    <x:row r="161" ht="15" hidden="0" customHeight="1">
      <x:c r="A161" s="12" t="str">
        <x:v>S087-O02</x:v>
      </x:c>
      <x:c r="B161" s="12"/>
      <x:c r="C161" s="12" t="str">
        <x:v>S087</x:v>
      </x:c>
      <x:c r="D161" s="12"/>
      <x:c r="E161" s="12" t="str">
        <x:v>Endurance</x:v>
      </x:c>
      <x:c r="F161" s="12" t="str">
        <x:v>Little stated response change after 2000 cycles at 10 kPa; surface-coated control degraded nearly 50%</x:v>
      </x:c>
      <x:c r="G161" s="12" t="str">
        <x:v>cycles/%</x:v>
      </x:c>
      <x:c r="H161" s="12"/>
      <x:c r="I161" s="12" t="str">
        <x:v>PDF p. 7; Fig. 4d and Fig. S7</x:v>
      </x:c>
      <x:c r="J161" s="12" t="str">
        <x:v>Batch 08</x:v>
      </x:c>
    </x:row>
    <x:row r="162" ht="15" hidden="0" customHeight="1">
      <x:c r="A162" s="12" t="str">
        <x:v>S088-O01</x:v>
      </x:c>
      <x:c r="B162" s="12"/>
      <x:c r="C162" s="12" t="str">
        <x:v>S088</x:v>
      </x:c>
      <x:c r="D162" s="12"/>
      <x:c r="E162" s="12" t="str">
        <x:v>Elbow calibration</x:v>
      </x:c>
      <x:c r="F162" s="12" t="str">
        <x:v>Sensitivity 0.0056 nm degree⁻¹; resolution 0.18°; maximum error 9.5%</x:v>
      </x:c>
      <x:c r="G162" s="12" t="str">
        <x:v>nm degree⁻¹/degree/%</x:v>
      </x:c>
      <x:c r="H162" s="12"/>
      <x:c r="I162" s="12" t="str">
        <x:v>PDF pp. 9–10; Figs. 7–8</x:v>
      </x:c>
      <x:c r="J162" s="12" t="str">
        <x:v>Batch 08</x:v>
      </x:c>
    </x:row>
    <x:row r="163" ht="15" hidden="0" customHeight="1">
      <x:c r="A163" s="12" t="str">
        <x:v>S088-O02</x:v>
      </x:c>
      <x:c r="B163" s="12"/>
      <x:c r="C163" s="12" t="str">
        <x:v>S088</x:v>
      </x:c>
      <x:c r="D163" s="12"/>
      <x:c r="E163" s="12" t="str">
        <x:v>Knee calibration</x:v>
      </x:c>
      <x:c r="F163" s="12" t="str">
        <x:v>Sensitivity 0.0276 nm degree⁻¹; reported resolution 0.39°; range exceeded 100°</x:v>
      </x:c>
      <x:c r="G163" s="12" t="str">
        <x:v>nm degree⁻¹/degree</x:v>
      </x:c>
      <x:c r="H163" s="12"/>
      <x:c r="I163" s="12" t="str">
        <x:v>PDF p. 11; Figs. 9–10</x:v>
      </x:c>
      <x:c r="J163" s="12" t="str">
        <x:v>Batch 08</x:v>
      </x:c>
    </x:row>
    <x:row r="164" ht="15" hidden="0" customHeight="1">
      <x:c r="A164" s="12" t="str">
        <x:v>S089-O01</x:v>
      </x:c>
      <x:c r="B164" s="12"/>
      <x:c r="C164" s="12" t="str">
        <x:v>S089</x:v>
      </x:c>
      <x:c r="D164" s="12"/>
      <x:c r="E164" s="12" t="str">
        <x:v>Hybrid sensor performance</x:v>
      </x:c>
      <x:c r="F164" s="12" t="str">
        <x:v>GF 31.82 at 30% and 136,327.4 at 250%; R² 0.94 at 0–30%; strain range 0–250%</x:v>
      </x:c>
      <x:c r="G164" s="12" t="str">
        <x:v>GF/R²/%</x:v>
      </x:c>
      <x:c r="H164" s="12"/>
      <x:c r="I164" s="12" t="str">
        <x:v>PDF pp. 26–27; Fig. 7</x:v>
      </x:c>
      <x:c r="J164" s="12" t="str">
        <x:v>Batch 08</x:v>
      </x:c>
    </x:row>
    <x:row r="165" ht="15" hidden="0" customHeight="1">
      <x:c r="A165" s="12" t="str">
        <x:v>S089-O02</x:v>
      </x:c>
      <x:c r="B165" s="12"/>
      <x:c r="C165" s="12" t="str">
        <x:v>S089</x:v>
      </x:c>
      <x:c r="D165" s="12"/>
      <x:c r="E165" s="12" t="str">
        <x:v>Temperature response</x:v>
      </x:c>
      <x:c r="F165" s="12" t="str">
        <x:v>Electrical conductivity reported unchanged from 20 to 80 °C</x:v>
      </x:c>
      <x:c r="G165" s="12" t="str">
        <x:v>°C</x:v>
      </x:c>
      <x:c r="H165" s="12"/>
      <x:c r="I165" s="12" t="str">
        <x:v>PDF pp. 22–23; Fig. 5d</x:v>
      </x:c>
      <x:c r="J165" s="12" t="str">
        <x:v>Batch 08</x:v>
      </x:c>
    </x:row>
    <x:row r="166" ht="24" hidden="0" customHeight="1">
      <x:c r="A166" s="12" t="str">
        <x:v>S089-O03</x:v>
      </x:c>
      <x:c r="B166" s="12"/>
      <x:c r="C166" s="12" t="str">
        <x:v>S089</x:v>
      </x:c>
      <x:c r="D166" s="12"/>
      <x:c r="E166" s="12" t="str">
        <x:v>Endurance</x:v>
      </x:c>
      <x:c r="F166" s="12" t="str">
        <x:v>3000 cycles at 5% and 100% strain; hybrid sensor showed more uniform response than single-filler controls</x:v>
      </x:c>
      <x:c r="G166" s="12" t="str">
        <x:v>cycles/%</x:v>
      </x:c>
      <x:c r="H166" s="12"/>
      <x:c r="I166" s="12" t="str">
        <x:v>PDF pp. 28–31; Fig. 8</x:v>
      </x:c>
      <x:c r="J166" s="12" t="str">
        <x:v>Batch 08</x:v>
      </x:c>
    </x:row>
    <x:row r="167" ht="15" hidden="0" customHeight="1">
      <x:c r="A167" s="12" t="str">
        <x:v>S090-O01</x:v>
      </x:c>
      <x:c r="B167" s="12"/>
      <x:c r="C167" s="12" t="str">
        <x:v>S090</x:v>
      </x:c>
      <x:c r="D167" s="12"/>
      <x:c r="E167" s="12" t="str">
        <x:v>Soft-PLA OECT transconductance</x:v>
      </x:c>
      <x:c r="F167" s="12" t="str">
        <x:v>31.8 ± 6.7</x:v>
      </x:c>
      <x:c r="G167" s="12" t="str">
        <x:v>mS</x:v>
      </x:c>
      <x:c r="H167" s="12"/>
      <x:c r="I167" s="12" t="str">
        <x:v>PDF p. 5; Fig. 3d–e; Table 1</x:v>
      </x:c>
      <x:c r="J167" s="12" t="str">
        <x:v>Batch 09</x:v>
      </x:c>
    </x:row>
    <x:row r="168" ht="15" hidden="0" customHeight="1">
      <x:c r="A168" s="12" t="str">
        <x:v>S090-O02</x:v>
      </x:c>
      <x:c r="B168" s="12"/>
      <x:c r="C168" s="12" t="str">
        <x:v>S090</x:v>
      </x:c>
      <x:c r="D168" s="12"/>
      <x:c r="E168" s="12" t="str">
        <x:v>Soft-PLA OECT threshold voltage</x:v>
      </x:c>
      <x:c r="F168" s="12" t="str">
        <x:v>0.74 ± 0.03 (n=4)</x:v>
      </x:c>
      <x:c r="G168" s="12" t="str">
        <x:v>V</x:v>
      </x:c>
      <x:c r="H168" s="12"/>
      <x:c r="I168" s="12" t="str">
        <x:v>PDF p. 5; Table 1</x:v>
      </x:c>
      <x:c r="J168" s="12" t="str">
        <x:v>Batch 09</x:v>
      </x:c>
    </x:row>
    <x:row r="169" ht="15" hidden="0" customHeight="1">
      <x:c r="A169" s="12" t="str">
        <x:v>S090-O03</x:v>
      </x:c>
      <x:c r="B169" s="12"/>
      <x:c r="C169" s="12" t="str">
        <x:v>S090</x:v>
      </x:c>
      <x:c r="D169" s="12"/>
      <x:c r="E169" s="12" t="str">
        <x:v>PET OECT transconductance</x:v>
      </x:c>
      <x:c r="F169" s="12" t="str">
        <x:v>12.1 ± 0.4</x:v>
      </x:c>
      <x:c r="G169" s="12" t="str">
        <x:v>mS</x:v>
      </x:c>
      <x:c r="H169" s="12"/>
      <x:c r="I169" s="12" t="str">
        <x:v>PDF p. 5; Fig. 3b,e; Table 1</x:v>
      </x:c>
      <x:c r="J169" s="12" t="str">
        <x:v>Batch 09</x:v>
      </x:c>
    </x:row>
    <x:row r="170" ht="15" hidden="0" customHeight="1">
      <x:c r="A170" s="12" t="str">
        <x:v>S090-O04</x:v>
      </x:c>
      <x:c r="B170" s="12"/>
      <x:c r="C170" s="12" t="str">
        <x:v>S090</x:v>
      </x:c>
      <x:c r="D170" s="12"/>
      <x:c r="E170" s="12" t="str">
        <x:v>K+ and pH sensitivity on PDMS configuration</x:v>
      </x:c>
      <x:c r="F170" s="12" t="str">
        <x:v>240 mV decade⁻¹ and −26.4 mV pH⁻¹</x:v>
      </x:c>
      <x:c r="G170" s="12" t="str">
        <x:v>mV decade⁻¹; mV pH⁻¹</x:v>
      </x:c>
      <x:c r="H170" s="12"/>
      <x:c r="I170" s="12" t="str">
        <x:v>PDF pp. 6–7; Fig. 4; Table 2</x:v>
      </x:c>
      <x:c r="J170" s="12" t="str">
        <x:v>Batch 09</x:v>
      </x:c>
    </x:row>
    <x:row r="171" ht="15" hidden="0" customHeight="1">
      <x:c r="A171" s="12" t="str">
        <x:v>S091-O01</x:v>
      </x:c>
      <x:c r="B171" s="12"/>
      <x:c r="C171" s="12" t="str">
        <x:v>S091</x:v>
      </x:c>
      <x:c r="D171" s="12"/>
      <x:c r="E171" s="12" t="str">
        <x:v>One-layer 15 wt% MWCNT baseline resistance</x:v>
      </x:c>
      <x:c r="F171" s="12" t="str">
        <x:v>159 ± 4.8 across three sensors</x:v>
      </x:c>
      <x:c r="G171" s="12" t="str">
        <x:v>Ω</x:v>
      </x:c>
      <x:c r="H171" s="12"/>
      <x:c r="I171" s="12" t="str">
        <x:v>PDF p. 3; Table 1</x:v>
      </x:c>
      <x:c r="J171" s="12" t="str">
        <x:v>Batch 09</x:v>
      </x:c>
    </x:row>
    <x:row r="172" ht="15" hidden="0" customHeight="1">
      <x:c r="A172" s="12" t="str">
        <x:v>S091-O02</x:v>
      </x:c>
      <x:c r="B172" s="12"/>
      <x:c r="C172" s="12" t="str">
        <x:v>S091</x:v>
      </x:c>
      <x:c r="D172" s="12"/>
      <x:c r="E172" s="12" t="str">
        <x:v>Four-cycle VOC response</x:v>
      </x:c>
      <x:c r="F172" s="12" t="str">
        <x:v>Acetone peak increase 26.0 ± 2.8; vacuum decrease 19.5 ± 1.2</x:v>
      </x:c>
      <x:c r="G172" s="12" t="str">
        <x:v>%</x:v>
      </x:c>
      <x:c r="H172" s="12"/>
      <x:c r="I172" s="12" t="str">
        <x:v>PDF pp. 5–6; Fig. 6</x:v>
      </x:c>
      <x:c r="J172" s="12" t="str">
        <x:v>Batch 09</x:v>
      </x:c>
    </x:row>
    <x:row r="173" ht="15" hidden="0" customHeight="1">
      <x:c r="A173" s="12" t="str">
        <x:v>S091-O03</x:v>
      </x:c>
      <x:c r="B173" s="12"/>
      <x:c r="C173" s="12" t="str">
        <x:v>S091</x:v>
      </x:c>
      <x:c r="D173" s="12"/>
      <x:c r="E173" s="12" t="str">
        <x:v>Lower-loading acetone response</x:v>
      </x:c>
      <x:c r="F173" s="12" t="str">
        <x:v>5 wt% MWCNT strip: 161.3 ± 24.7 over four cycles</x:v>
      </x:c>
      <x:c r="G173" s="12" t="str">
        <x:v>%</x:v>
      </x:c>
      <x:c r="H173" s="12"/>
      <x:c r="I173" s="12" t="str">
        <x:v>PDF p. 6; Fig. 7; ESI Table S1 cited</x:v>
      </x:c>
      <x:c r="J173" s="12" t="str">
        <x:v>Batch 09</x:v>
      </x:c>
    </x:row>
    <x:row r="174" ht="24" hidden="0" customHeight="1">
      <x:c r="A174" s="12" t="str">
        <x:v>S091-O04</x:v>
      </x:c>
      <x:c r="B174" s="12"/>
      <x:c r="C174" s="12" t="str">
        <x:v>S091</x:v>
      </x:c>
      <x:c r="D174" s="12"/>
      <x:c r="E174" s="12" t="str">
        <x:v>Extended cycling</x:v>
      </x:c>
      <x:c r="F174" s="12" t="str">
        <x:v>Response retained over 25 acetone–vacuum cycles with slight baseline drift; exact retention value not reported in main text</x:v>
      </x:c>
      <x:c r="G174" s="12" t="str">
        <x:v>cycles</x:v>
      </x:c>
      <x:c r="H174" s="12"/>
      <x:c r="I174" s="12" t="str">
        <x:v>PDF p. 6; ESI Fig. S5 cited</x:v>
      </x:c>
      <x:c r="J174" s="12" t="str">
        <x:v>Batch 09</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8.329999923706055" hidden="0" customWidth="1"/>
    <x:col min="3" max="3" width="8.890000343322754" hidden="0" customWidth="1"/>
    <x:col min="4" max="4" width="84.44000244140625" hidden="0" customWidth="1"/>
    <x:col min="5" max="5" width="32.220001220703125" hidden="0" customWidth="1"/>
    <x:col min="6" max="6" width="12.220000267028809" hidden="0" customWidth="1"/>
    <x:col min="7" max="7" width="13.329999923706055" hidden="0" customWidth="1"/>
  </x:cols>
  <x:sheetData>
    <x:row r="1" ht="42" hidden="0" customHeight="1">
      <x:c r="A1" s="11" t="str">
        <x:v>Stable Study ID</x:v>
      </x:c>
      <x:c r="B1" s="11" t="str">
        <x:v>REB item</x:v>
      </x:c>
      <x:c r="C1" s="11" t="str">
        <x:v>Final REB decision</x:v>
      </x:c>
      <x:c r="D1" s="11" t="str">
        <x:v>Supporting evidence/reason</x:v>
      </x:c>
      <x:c r="E1" s="11" t="str">
        <x:v>Evidence locator</x:v>
      </x:c>
      <x:c r="F1" s="11" t="str">
        <x:v>Confidence</x:v>
      </x:c>
      <x:c r="G1" s="11" t="str">
        <x:v>Authoritative source</x:v>
      </x:c>
    </x:row>
    <x:row r="2" ht="15" hidden="0" customHeight="1">
      <x:c r="A2" s="12" t="str">
        <x:v>S001</x:v>
      </x:c>
      <x:c r="B2" s="12" t="str">
        <x:v>L1</x:v>
      </x:c>
      <x:c r="C2" s="12" t="n">
        <x:v>0</x:v>
      </x:c>
      <x:c r="D2" s="12" t="str">
        <x:v>Core printer named, but nozzle temperature, layer height, speed, nozzle size and toolpath/orientation were not located.</x:v>
      </x:c>
      <x:c r="E2" s="12" t="str">
        <x:v>PDF pp. 4-5</x:v>
      </x:c>
      <x:c r="F2" s="12" t="str">
        <x:v>Clear</x:v>
      </x:c>
      <x:c r="G2" s="12" t="str">
        <x:v>Pilot</x:v>
      </x:c>
    </x:row>
    <x:row r="3" ht="15" hidden="0" customHeight="1">
      <x:c r="A3" s="12" t="str">
        <x:v>S001</x:v>
      </x:c>
      <x:c r="B3" s="12" t="str">
        <x:v>L2</x:v>
      </x:c>
      <x:c r="C3" s="12" t="n">
        <x:v>1</x:v>
      </x:c>
      <x:c r="D3" s="12" t="str">
        <x:v>TPU, silica FBG, PTFE capillary and PDMS integration materials identified.</x:v>
      </x:c>
      <x:c r="E3" s="12" t="str">
        <x:v>PDF pp. 4-5</x:v>
      </x:c>
      <x:c r="F3" s="12" t="str">
        <x:v>Clear</x:v>
      </x:c>
      <x:c r="G3" s="12" t="str">
        <x:v>Pilot</x:v>
      </x:c>
    </x:row>
    <x:row r="4" ht="15" hidden="0" customHeight="1">
      <x:c r="A4" s="12" t="str">
        <x:v>S001</x:v>
      </x:c>
      <x:c r="B4" s="12" t="str">
        <x:v>L3</x:v>
      </x:c>
      <x:c r="C4" s="12" t="n">
        <x:v>1</x:v>
      </x:c>
      <x:c r="D4" s="12" t="str">
        <x:v>20-1000 N calibration and force-platform comparison described.</x:v>
      </x:c>
      <x:c r="E4" s="12" t="str">
        <x:v>PDF pp. 6-8, 14; Fig. 3-4, 7</x:v>
      </x:c>
      <x:c r="F4" s="12" t="str">
        <x:v>Clear</x:v>
      </x:c>
      <x:c r="G4" s="12" t="str">
        <x:v>Pilot</x:v>
      </x:c>
    </x:row>
    <x:row r="5" ht="15" hidden="0" customHeight="1">
      <x:c r="A5" s="12" t="str">
        <x:v>S001</x:v>
      </x:c>
      <x:c r="B5" s="12" t="str">
        <x:v>L4</x:v>
      </x:c>
      <x:c r="C5" s="12" t="n">
        <x:v>1</x:v>
      </x:c>
      <x:c r="D5" s="12" t="str">
        <x:v>Sensitivity, linearity and hysteresis reported with ranges/units.</x:v>
      </x:c>
      <x:c r="E5" s="12" t="str">
        <x:v>PDF p. 8, Fig. 4</x:v>
      </x:c>
      <x:c r="F5" s="12" t="str">
        <x:v>Clear</x:v>
      </x:c>
      <x:c r="G5" s="12" t="str">
        <x:v>Pilot</x:v>
      </x:c>
    </x:row>
    <x:row r="6" ht="15" hidden="0" customHeight="1">
      <x:c r="A6" s="12" t="str">
        <x:v>S001</x:v>
      </x:c>
      <x:c r="B6" s="12" t="str">
        <x:v>L5</x:v>
      </x:c>
      <x:c r="C6" s="12" t="n">
        <x:v>1</x:v>
      </x:c>
      <x:c r="D6" s="12" t="str">
        <x:v>Three complete loading cycles with quantitative hysteresis.</x:v>
      </x:c>
      <x:c r="E6" s="12" t="str">
        <x:v>PDF pp. 6, 8; Fig. 4</x:v>
      </x:c>
      <x:c r="F6" s="12" t="str">
        <x:v>Clear</x:v>
      </x:c>
      <x:c r="G6" s="12" t="str">
        <x:v>Pilot</x:v>
      </x:c>
    </x:row>
    <x:row r="7" ht="15" hidden="0" customHeight="1">
      <x:c r="A7" s="12" t="str">
        <x:v>S001</x:v>
      </x:c>
      <x:c r="B7" s="12" t="str">
        <x:v>L6</x:v>
      </x:c>
      <x:c r="C7" s="12" t="n">
        <x:v>0</x:v>
      </x:c>
      <x:c r="D7" s="12" t="str">
        <x:v>No stated non-measurand environment/use exposure with sensor response; on-person operation alone does not qualify.</x:v>
      </x:c>
      <x:c r="E7" s="12" t="str">
        <x:v>PDF pp. 4-15 checked</x:v>
      </x:c>
      <x:c r="F7" s="12" t="str">
        <x:v>Clear</x:v>
      </x:c>
      <x:c r="G7" s="12" t="str">
        <x:v>Pilot</x:v>
      </x:c>
    </x:row>
    <x:row r="8" ht="24" hidden="0" customHeight="1">
      <x:c r="A8" s="12" t="str">
        <x:v>S001</x:v>
      </x:c>
      <x:c r="B8" s="12" t="str">
        <x:v>L7</x:v>
      </x:c>
      <x:c r="C8" s="12" t="n">
        <x:v>1</x:v>
      </x:c>
      <x:c r="D8" s="12" t="str">
        <x:v>The authors assess GRF pattern and stance-phase repeatability throughout sequential worn gait cycles and discuss biological variability. This is direct qualitative cross-cycle evaluation, not a retention percentage.</x:v>
      </x:c>
      <x:c r="E8" s="12" t="str">
        <x:v>S001_Main.pdf, physical p. 7 protocol; pp. 13-15, Fig. 7a-b and sequential-gait repeatability discussion.</x:v>
      </x:c>
      <x:c r="F8" s="12" t="str">
        <x:v>Moderate</x:v>
      </x:c>
      <x:c r="G8" s="12" t="str">
        <x:v>Final L7 reassessment</x:v>
      </x:c>
    </x:row>
    <x:row r="9" ht="15" hidden="0" customHeight="1">
      <x:c r="A9" s="12" t="str">
        <x:v>S001</x:v>
      </x:c>
      <x:c r="B9" s="12" t="str">
        <x:v>L8</x:v>
      </x:c>
      <x:c r="C9" s="12" t="n">
        <x:v>0</x:v>
      </x:c>
      <x:c r="D9" s="12" t="str">
        <x:v>Five volunteers and five FBG positions are not independently fabricated device replicates; device count/variation NR.</x:v>
      </x:c>
      <x:c r="E9" s="12" t="str">
        <x:v>PDF pp. 6-15</x:v>
      </x:c>
      <x:c r="F9" s="12" t="str">
        <x:v>Clear</x:v>
      </x:c>
      <x:c r="G9" s="12" t="str">
        <x:v>Pilot</x:v>
      </x:c>
    </x:row>
    <x:row r="10" ht="15" hidden="0" customHeight="1">
      <x:c r="A10" s="12" t="str">
        <x:v>S002</x:v>
      </x:c>
      <x:c r="B10" s="12" t="str">
        <x:v>L1</x:v>
      </x:c>
      <x:c r="C10" s="12" t="n">
        <x:v>0</x:v>
      </x:c>
      <x:c r="D10" s="12" t="str">
        <x:v>No printer/model or layer height located, although head/bed temperature and speed are reported.</x:v>
      </x:c>
      <x:c r="E10" s="12" t="str">
        <x:v>PDF p. 4</x:v>
      </x:c>
      <x:c r="F10" s="12" t="str">
        <x:v>Clear</x:v>
      </x:c>
      <x:c r="G10" s="12" t="str">
        <x:v>Pilot</x:v>
      </x:c>
    </x:row>
    <x:row r="11" ht="15" hidden="0" customHeight="1">
      <x:c r="A11" s="12" t="str">
        <x:v>S002</x:v>
      </x:c>
      <x:c r="B11" s="12" t="str">
        <x:v>L2</x:v>
      </x:c>
      <x:c r="C11" s="12" t="n">
        <x:v>1</x:v>
      </x:c>
      <x:c r="D11" s="12" t="str">
        <x:v>CB-PLA, Fe cluster and Nafion modification are identified.</x:v>
      </x:c>
      <x:c r="E11" s="12" t="str">
        <x:v>PDF pp. 3-5; Supplement pp. 1-12</x:v>
      </x:c>
      <x:c r="F11" s="12" t="str">
        <x:v>Clear</x:v>
      </x:c>
      <x:c r="G11" s="12" t="str">
        <x:v>Pilot</x:v>
      </x:c>
    </x:row>
    <x:row r="12" ht="15" hidden="0" customHeight="1">
      <x:c r="A12" s="12" t="str">
        <x:v>S002</x:v>
      </x:c>
      <x:c r="B12" s="12" t="str">
        <x:v>L3</x:v>
      </x:c>
      <x:c r="C12" s="12" t="n">
        <x:v>1</x:v>
      </x:c>
      <x:c r="D12" s="12" t="str">
        <x:v>DPV procedure and 25-500 micromolar glucose calibration described.</x:v>
      </x:c>
      <x:c r="E12" s="12" t="str">
        <x:v>PDF pp. 5-7</x:v>
      </x:c>
      <x:c r="F12" s="12" t="str">
        <x:v>Clear</x:v>
      </x:c>
      <x:c r="G12" s="12" t="str">
        <x:v>Pilot</x:v>
      </x:c>
    </x:row>
    <x:row r="13" ht="15" hidden="0" customHeight="1">
      <x:c r="A13" s="12" t="str">
        <x:v>S002</x:v>
      </x:c>
      <x:c r="B13" s="12" t="str">
        <x:v>L4</x:v>
      </x:c>
      <x:c r="C13" s="12" t="n">
        <x:v>1</x:v>
      </x:c>
      <x:c r="D13" s="12" t="str">
        <x:v>Calibration slope/linearity/LOD and concentration range reported.</x:v>
      </x:c>
      <x:c r="E13" s="12" t="str">
        <x:v>PDF pp. 6-7, Fig. 3-4</x:v>
      </x:c>
      <x:c r="F13" s="12" t="str">
        <x:v>Clear</x:v>
      </x:c>
      <x:c r="G13" s="12" t="str">
        <x:v>Pilot</x:v>
      </x:c>
    </x:row>
    <x:row r="14" ht="15" hidden="0" customHeight="1">
      <x:c r="A14" s="12" t="str">
        <x:v>S002</x:v>
      </x:c>
      <x:c r="B14" s="12" t="str">
        <x:v>L5</x:v>
      </x:c>
      <x:c r="C14" s="12" t="n">
        <x:v>1</x:v>
      </x:c>
      <x:c r="D14" s="12" t="str">
        <x:v>Ten repeated responses on one electrode with 4.8% RSD.</x:v>
      </x:c>
      <x:c r="E14" s="12" t="str">
        <x:v>PDF pp. 7-8, Fig. 5</x:v>
      </x:c>
      <x:c r="F14" s="12" t="str">
        <x:v>Clear</x:v>
      </x:c>
      <x:c r="G14" s="12" t="str">
        <x:v>Pilot</x:v>
      </x:c>
    </x:row>
    <x:row r="15" ht="15" hidden="0" customHeight="1">
      <x:c r="A15" s="12" t="str">
        <x:v>S002</x:v>
      </x:c>
      <x:c r="B15" s="12" t="str">
        <x:v>L6</x:v>
      </x:c>
      <x:c r="C15" s="12" t="n">
        <x:v>1</x:v>
      </x:c>
      <x:c r="D15" s="12" t="str">
        <x:v>Artificial-sweat pH and interferents stated; recovery/response reported.</x:v>
      </x:c>
      <x:c r="E15" s="12" t="str">
        <x:v>PDF pp. 8-10, Fig. 6-7</x:v>
      </x:c>
      <x:c r="F15" s="12" t="str">
        <x:v>Clear</x:v>
      </x:c>
      <x:c r="G15" s="12" t="str">
        <x:v>Pilot</x:v>
      </x:c>
    </x:row>
    <x:row r="16" ht="15" hidden="0" customHeight="1">
      <x:c r="A16" s="12" t="str">
        <x:v>S002</x:v>
      </x:c>
      <x:c r="B16" s="12" t="str">
        <x:v>L7</x:v>
      </x:c>
      <x:c r="C16" s="12" t="n">
        <x:v>0</x:v>
      </x:c>
      <x:c r="D16" s="12" t="str">
        <x:v>No final wearable integration/interface test.</x:v>
      </x:c>
      <x:c r="E16" s="12" t="str">
        <x:v>PDF pp. 1-13 and Supplement checked</x:v>
      </x:c>
      <x:c r="F16" s="12" t="str">
        <x:v>Clear</x:v>
      </x:c>
      <x:c r="G16" s="12" t="str">
        <x:v>Pilot</x:v>
      </x:c>
    </x:row>
    <x:row r="17" ht="15" hidden="0" customHeight="1">
      <x:c r="A17" s="12" t="str">
        <x:v>S002</x:v>
      </x:c>
      <x:c r="B17" s="12" t="str">
        <x:v>L8</x:v>
      </x:c>
      <x:c r="C17" s="12" t="n">
        <x:v>1</x:v>
      </x:c>
      <x:c r="D17" s="12" t="str">
        <x:v>Six different 3DPEs compared with 8.1% RSD.</x:v>
      </x:c>
      <x:c r="E17" s="12" t="str">
        <x:v>PDF pp. 7-8, Fig. 5</x:v>
      </x:c>
      <x:c r="F17" s="12" t="str">
        <x:v>Clear</x:v>
      </x:c>
      <x:c r="G17" s="12" t="str">
        <x:v>Pilot</x:v>
      </x:c>
    </x:row>
    <x:row r="18" ht="15" hidden="0" customHeight="1">
      <x:c r="A18" s="12" t="str">
        <x:v>S004</x:v>
      </x:c>
      <x:c r="B18" s="12" t="str">
        <x:v>L1</x:v>
      </x:c>
      <x:c r="C18" s="12" t="n">
        <x:v>1</x:v>
      </x:c>
      <x:c r="D18" s="12" t="str">
        <x:v>Printer, material, nozzle, temperatures, speed, layer heights, orientation, infill and tested geometry reported.</x:v>
      </x:c>
      <x:c r="E18" s="12" t="str">
        <x:v>PDF pp. 2–13; Figs. 1–8</x:v>
      </x:c>
      <x:c r="F18" s="12" t="str">
        <x:v>Clear</x:v>
      </x:c>
      <x:c r="G18" s="12" t="str">
        <x:v>Batch 01</x:v>
      </x:c>
    </x:row>
    <x:row r="19" ht="24" hidden="0" customHeight="1">
      <x:c r="A19" s="12" t="str">
        <x:v>S004</x:v>
      </x:c>
      <x:c r="B19" s="12" t="str">
        <x:v>L2</x:v>
      </x:c>
      <x:c r="C19" s="12" t="n">
        <x:v>1</x:v>
      </x:c>
      <x:c r="D19" s="12" t="str">
        <x:v>TPU/E-TPU roles and integration materials reported; commercial functional loading is not disclosed but grade identity is sufficient.</x:v>
      </x:c>
      <x:c r="E19" s="12" t="str">
        <x:v>PDF pp. 2–13; Figs. 1–8</x:v>
      </x:c>
      <x:c r="F19" s="12" t="str">
        <x:v>Clear</x:v>
      </x:c>
      <x:c r="G19" s="12" t="str">
        <x:v>Batch 01</x:v>
      </x:c>
    </x:row>
    <x:row r="20" ht="15" hidden="0" customHeight="1">
      <x:c r="A20" s="12" t="str">
        <x:v>S004</x:v>
      </x:c>
      <x:c r="B20" s="12" t="str">
        <x:v>L3</x:v>
      </x:c>
      <x:c r="C20" s="12" t="n">
        <x:v>1</x:v>
      </x:c>
      <x:c r="D20" s="12" t="str">
        <x:v>Controlled UTM strain with simultaneous electrical measurement.</x:v>
      </x:c>
      <x:c r="E20" s="12" t="str">
        <x:v>PDF pp. 2–13; Figs. 1–8</x:v>
      </x:c>
      <x:c r="F20" s="12" t="str">
        <x:v>Clear</x:v>
      </x:c>
      <x:c r="G20" s="12" t="str">
        <x:v>Batch 01</x:v>
      </x:c>
    </x:row>
    <x:row r="21" ht="15" hidden="0" customHeight="1">
      <x:c r="A21" s="12" t="str">
        <x:v>S004</x:v>
      </x:c>
      <x:c r="B21" s="12" t="str">
        <x:v>L4</x:v>
      </x:c>
      <x:c r="C21" s="12" t="n">
        <x:v>1</x:v>
      </x:c>
      <x:c r="D21" s="12" t="str">
        <x:v>GF, ΔR/R0, strain range and response/recovery times reported.</x:v>
      </x:c>
      <x:c r="E21" s="12" t="str">
        <x:v>PDF pp. 2–13; Figs. 1–8</x:v>
      </x:c>
      <x:c r="F21" s="12" t="str">
        <x:v>Clear</x:v>
      </x:c>
      <x:c r="G21" s="12" t="str">
        <x:v>Batch 01</x:v>
      </x:c>
    </x:row>
    <x:row r="22" ht="15" hidden="0" customHeight="1">
      <x:c r="A22" s="12" t="str">
        <x:v>S004</x:v>
      </x:c>
      <x:c r="B22" s="12" t="str">
        <x:v>L5</x:v>
      </x:c>
      <x:c r="C22" s="12" t="n">
        <x:v>1</x:v>
      </x:c>
      <x:c r="D22" s="12" t="str">
        <x:v>Several complete cyclic/stepwise strain sequences with return behavior are shown; exact same-condition count is not stated.</x:v>
      </x:c>
      <x:c r="E22" s="12" t="str">
        <x:v>PDF pp. 2–13; Figs. 1–8</x:v>
      </x:c>
      <x:c r="F22" s="12" t="str">
        <x:v>Clear</x:v>
      </x:c>
      <x:c r="G22" s="12" t="str">
        <x:v>Batch 01</x:v>
      </x:c>
    </x:row>
    <x:row r="23" ht="15" hidden="0" customHeight="1">
      <x:c r="A23" s="12" t="str">
        <x:v>S004</x:v>
      </x:c>
      <x:c r="B23" s="12" t="str">
        <x:v>L6</x:v>
      </x:c>
      <x:c r="C23" s="12" t="n">
        <x:v>1</x:v>
      </x:c>
      <x:c r="D23" s="12" t="str">
        <x:v>Strain-rate variation is a stated use-related condition and the response is compared.</x:v>
      </x:c>
      <x:c r="E23" s="12" t="str">
        <x:v>PDF pp. 2–13; Figs. 1–8</x:v>
      </x:c>
      <x:c r="F23" s="12" t="str">
        <x:v>Clear</x:v>
      </x:c>
      <x:c r="G23" s="12" t="str">
        <x:v>Batch 01</x:v>
      </x:c>
    </x:row>
    <x:row r="24" ht="15" hidden="0" customHeight="1">
      <x:c r="A24" s="12" t="str">
        <x:v>S004</x:v>
      </x:c>
      <x:c r="B24" s="12" t="str">
        <x:v>L7</x:v>
      </x:c>
      <x:c r="C24" s="12" t="n">
        <x:v>1</x:v>
      </x:c>
      <x:c r="D24" s="12" t="str">
        <x:v>Section 3.3 reports repeatable resistance changes during repeated hand/finger actions with attached sensors. Qualification does not depend on the separate bench durability or stepping demonstration.</x:v>
      </x:c>
      <x:c r="E24" s="12" t="str">
        <x:v>S004_Main.pdf, physical pp. 11-12, section 3.3/Fig. 7a-e.</x:v>
      </x:c>
      <x:c r="F24" s="12" t="str">
        <x:v>Moderate</x:v>
      </x:c>
      <x:c r="G24" s="12" t="str">
        <x:v>Final L7 reassessment</x:v>
      </x:c>
    </x:row>
    <x:row r="25" ht="15" hidden="0" customHeight="1">
      <x:c r="A25" s="12" t="str">
        <x:v>S004</x:v>
      </x:c>
      <x:c r="B25" s="12" t="str">
        <x:v>L8</x:v>
      </x:c>
      <x:c r="C25" s="12" t="n">
        <x:v>0</x:v>
      </x:c>
      <x:c r="D25" s="12" t="str">
        <x:v>No ≥3 separately fabricated sensing units compared quantitatively.</x:v>
      </x:c>
      <x:c r="E25" s="12" t="str">
        <x:v>PDF pp. 2–13; Figs. 1–8</x:v>
      </x:c>
      <x:c r="F25" s="12" t="str">
        <x:v>Clear</x:v>
      </x:c>
      <x:c r="G25" s="12" t="str">
        <x:v>Batch 01</x:v>
      </x:c>
    </x:row>
    <x:row r="26" ht="15" hidden="0" customHeight="1">
      <x:c r="A26" s="12" t="str">
        <x:v>S005</x:v>
      </x:c>
      <x:c r="B26" s="12" t="str">
        <x:v>L1</x:v>
      </x:c>
      <x:c r="C26" s="12" t="n">
        <x:v>0</x:v>
      </x:c>
      <x:c r="D26" s="12" t="str">
        <x:v>Printer and geometry/infill are reported, but nozzle, temperature, speed, layer height and orientation are absent.</x:v>
      </x:c>
      <x:c r="E26" s="12" t="str">
        <x:v>PDF pp. 3–11; Figs. 1–9; Tables 1–3</x:v>
      </x:c>
      <x:c r="F26" s="12" t="str">
        <x:v>Clear</x:v>
      </x:c>
      <x:c r="G26" s="12" t="str">
        <x:v>Batch 01</x:v>
      </x:c>
    </x:row>
    <x:row r="27" ht="15" hidden="0" customHeight="1">
      <x:c r="A27" s="12" t="str">
        <x:v>S005</x:v>
      </x:c>
      <x:c r="B27" s="12" t="str">
        <x:v>L2</x:v>
      </x:c>
      <x:c r="C27" s="12" t="n">
        <x:v>1</x:v>
      </x:c>
      <x:c r="D27" s="12" t="str">
        <x:v>Flexible filament, FBG, optical fiber and adhesive are identified.</x:v>
      </x:c>
      <x:c r="E27" s="12" t="str">
        <x:v>PDF pp. 3–11; Figs. 1–9; Tables 1–3</x:v>
      </x:c>
      <x:c r="F27" s="12" t="str">
        <x:v>Clear</x:v>
      </x:c>
      <x:c r="G27" s="12" t="str">
        <x:v>Batch 01</x:v>
      </x:c>
    </x:row>
    <x:row r="28" ht="15" hidden="0" customHeight="1">
      <x:c r="A28" s="12" t="str">
        <x:v>S005</x:v>
      </x:c>
      <x:c r="B28" s="12" t="str">
        <x:v>L3</x:v>
      </x:c>
      <x:c r="C28" s="12" t="n">
        <x:v>1</x:v>
      </x:c>
      <x:c r="D28" s="12" t="str">
        <x:v>Specified displacement/frequency protocol and BioHarness reference.</x:v>
      </x:c>
      <x:c r="E28" s="12" t="str">
        <x:v>PDF pp. 3–11; Figs. 1–9; Tables 1–3</x:v>
      </x:c>
      <x:c r="F28" s="12" t="str">
        <x:v>Clear</x:v>
      </x:c>
      <x:c r="G28" s="12" t="str">
        <x:v>Batch 01</x:v>
      </x:c>
    </x:row>
    <x:row r="29" ht="15" hidden="0" customHeight="1">
      <x:c r="A29" s="12" t="str">
        <x:v>S005</x:v>
      </x:c>
      <x:c r="B29" s="12" t="str">
        <x:v>L4</x:v>
      </x:c>
      <x:c r="C29" s="12" t="n">
        <x:v>1</x:v>
      </x:c>
      <x:c r="D29" s="12" t="str">
        <x:v>Sensitivity and HR/RR comparison metrics with units/ranges.</x:v>
      </x:c>
      <x:c r="E29" s="12" t="str">
        <x:v>PDF pp. 3–11; Figs. 1–9; Tables 1–3</x:v>
      </x:c>
      <x:c r="F29" s="12" t="str">
        <x:v>Clear</x:v>
      </x:c>
      <x:c r="G29" s="12" t="str">
        <x:v>Batch 01</x:v>
      </x:c>
    </x:row>
    <x:row r="30" ht="15" hidden="0" customHeight="1">
      <x:c r="A30" s="12" t="str">
        <x:v>S005</x:v>
      </x:c>
      <x:c r="B30" s="12" t="str">
        <x:v>L5</x:v>
      </x:c>
      <x:c r="C30" s="12" t="n">
        <x:v>0</x:v>
      </x:c>
      <x:c r="D30" s="12" t="str">
        <x:v>Three user trials are reported, but no device-response stability outcome across repeated cycles is isolated.</x:v>
      </x:c>
      <x:c r="E30" s="12" t="str">
        <x:v>PDF pp. 3–11; Figs. 1–9; Tables 1–3</x:v>
      </x:c>
      <x:c r="F30" s="12" t="str">
        <x:v>Clear</x:v>
      </x:c>
      <x:c r="G30" s="12" t="str">
        <x:v>Batch 01</x:v>
      </x:c>
    </x:row>
    <x:row r="31" ht="15" hidden="0" customHeight="1">
      <x:c r="A31" s="12" t="str">
        <x:v>S005</x:v>
      </x:c>
      <x:c r="B31" s="12" t="str">
        <x:v>L6</x:v>
      </x:c>
      <x:c r="C31" s="12" t="n">
        <x:v>0</x:v>
      </x:c>
      <x:c r="D31" s="12" t="str">
        <x:v>Temperature response was explicitly not characterized; no other qualifying exposure.</x:v>
      </x:c>
      <x:c r="E31" s="12" t="str">
        <x:v>PDF pp. 3–11; Figs. 1–9; Tables 1–3</x:v>
      </x:c>
      <x:c r="F31" s="12" t="str">
        <x:v>Clear</x:v>
      </x:c>
      <x:c r="G31" s="12" t="str">
        <x:v>Batch 01</x:v>
      </x:c>
    </x:row>
    <x:row r="32" ht="15" hidden="0" customHeight="1">
      <x:c r="A32" s="12" t="str">
        <x:v>S005</x:v>
      </x:c>
      <x:c r="B32" s="12" t="str">
        <x:v>L7</x:v>
      </x:c>
      <x:c r="C32" s="12" t="n">
        <x:v>0</x:v>
      </x:c>
      <x:c r="D32" s="12" t="str">
        <x:v>Final assembly is worn, but no quantified interface/integration verification.</x:v>
      </x:c>
      <x:c r="E32" s="12" t="str">
        <x:v>PDF pp. 3–11; Figs. 1–9; Tables 1–3</x:v>
      </x:c>
      <x:c r="F32" s="12" t="str">
        <x:v>Clear</x:v>
      </x:c>
      <x:c r="G32" s="12" t="str">
        <x:v>Batch 01</x:v>
      </x:c>
    </x:row>
    <x:row r="33" ht="15" hidden="0" customHeight="1">
      <x:c r="A33" s="12" t="str">
        <x:v>S005</x:v>
      </x:c>
      <x:c r="B33" s="12" t="str">
        <x:v>L8</x:v>
      </x:c>
      <x:c r="C33" s="12" t="n">
        <x:v>0</x:v>
      </x:c>
      <x:c r="D33" s="12" t="str">
        <x:v>Six configurations and three users are not separate replicate devices of the selected design.</x:v>
      </x:c>
      <x:c r="E33" s="12" t="str">
        <x:v>PDF pp. 3–11; Figs. 1–9; Tables 1–3</x:v>
      </x:c>
      <x:c r="F33" s="12" t="str">
        <x:v>Clear</x:v>
      </x:c>
      <x:c r="G33" s="12" t="str">
        <x:v>Batch 01</x:v>
      </x:c>
    </x:row>
    <x:row r="34" ht="15" hidden="0" customHeight="1">
      <x:c r="A34" s="12" t="str">
        <x:v>S007</x:v>
      </x:c>
      <x:c r="B34" s="12" t="str">
        <x:v>L1</x:v>
      </x:c>
      <x:c r="C34" s="12" t="n">
        <x:v>1</x:v>
      </x:c>
      <x:c r="D34" s="12" t="str">
        <x:v>Printer, temperature, layer height, print/travel speeds, support and orientation reported.</x:v>
      </x:c>
      <x:c r="E34" s="12" t="str">
        <x:v>PDF pp. 3-4</x:v>
      </x:c>
      <x:c r="F34" s="12" t="str">
        <x:v>Clear</x:v>
      </x:c>
      <x:c r="G34" s="12" t="str">
        <x:v>Pilot</x:v>
      </x:c>
    </x:row>
    <x:row r="35" ht="15" hidden="0" customHeight="1">
      <x:c r="A35" s="12" t="str">
        <x:v>S007</x:v>
      </x:c>
      <x:c r="B35" s="12" t="str">
        <x:v>L2</x:v>
      </x:c>
      <x:c r="C35" s="12" t="n">
        <x:v>1</x:v>
      </x:c>
      <x:c r="D35" s="12" t="str">
        <x:v>SemiFlex and Ag/AgCl coating formulation/process identified.</x:v>
      </x:c>
      <x:c r="E35" s="12" t="str">
        <x:v>PDF pp. 3-5</x:v>
      </x:c>
      <x:c r="F35" s="12" t="str">
        <x:v>Clear</x:v>
      </x:c>
      <x:c r="G35" s="12" t="str">
        <x:v>Pilot</x:v>
      </x:c>
    </x:row>
    <x:row r="36" ht="15" hidden="0" customHeight="1">
      <x:c r="A36" s="12" t="str">
        <x:v>S007</x:v>
      </x:c>
      <x:c r="B36" s="12" t="str">
        <x:v>L3</x:v>
      </x:c>
      <x:c r="C36" s="12" t="n">
        <x:v>1</x:v>
      </x:c>
      <x:c r="D36" s="12" t="str">
        <x:v>Controlled mass/frequency tests and EEG comparator/reference procedures described.</x:v>
      </x:c>
      <x:c r="E36" s="12" t="str">
        <x:v>PDF pp. 5-7</x:v>
      </x:c>
      <x:c r="F36" s="12" t="str">
        <x:v>Clear</x:v>
      </x:c>
      <x:c r="G36" s="12" t="str">
        <x:v>Pilot</x:v>
      </x:c>
    </x:row>
    <x:row r="37" ht="15" hidden="0" customHeight="1">
      <x:c r="A37" s="12" t="str">
        <x:v>S007</x:v>
      </x:c>
      <x:c r="B37" s="12" t="str">
        <x:v>L4</x:v>
      </x:c>
      <x:c r="C37" s="12" t="n">
        <x:v>1</x:v>
      </x:c>
      <x:c r="D37" s="12" t="str">
        <x:v>Resistance, impedance, noise and delay reported with units/test ranges.</x:v>
      </x:c>
      <x:c r="E37" s="12" t="str">
        <x:v>PDF pp. 8-12; Table 2-3, Fig. 4-7</x:v>
      </x:c>
      <x:c r="F37" s="12" t="str">
        <x:v>Clear</x:v>
      </x:c>
      <x:c r="G37" s="12" t="str">
        <x:v>Pilot</x:v>
      </x:c>
    </x:row>
    <x:row r="38" ht="15" hidden="0" customHeight="1">
      <x:c r="A38" s="12" t="str">
        <x:v>S007</x:v>
      </x:c>
      <x:c r="B38" s="12" t="str">
        <x:v>L5</x:v>
      </x:c>
      <x:c r="C38" s="12" t="n">
        <x:v>0</x:v>
      </x:c>
      <x:c r="D38" s="12" t="str">
        <x:v>One increase-decrease loading loop is shown; no repeated-use cycle count or stability series.</x:v>
      </x:c>
      <x:c r="E38" s="12" t="str">
        <x:v>PDF pp. 5-9, Table 3</x:v>
      </x:c>
      <x:c r="F38" s="12" t="str">
        <x:v>Clear</x:v>
      </x:c>
      <x:c r="G38" s="12" t="str">
        <x:v>Pilot</x:v>
      </x:c>
    </x:row>
    <x:row r="39" ht="24" hidden="0" customHeight="1">
      <x:c r="A39" s="12" t="str">
        <x:v>S007</x:v>
      </x:c>
      <x:c r="B39" s="12" t="str">
        <x:v>L6</x:v>
      </x:c>
      <x:c r="C39" s="12" t="n">
        <x:v>1</x:v>
      </x:c>
      <x:c r="D39" s="12" t="str">
        <x:v>Electrode contact pressure is a declared mounting/use condition distinct from EEG measurand; impedance response is reported.</x:v>
      </x:c>
      <x:c r="E39" s="12" t="str">
        <x:v>PDF pp. 5-6, 9-10; Fig. 5</x:v>
      </x:c>
      <x:c r="F39" s="12" t="str">
        <x:v>Uncertain</x:v>
      </x:c>
      <x:c r="G39" s="12" t="str">
        <x:v>Pilot</x:v>
      </x:c>
    </x:row>
    <x:row r="40" ht="15" hidden="0" customHeight="1">
      <x:c r="A40" s="12" t="str">
        <x:v>S007</x:v>
      </x:c>
      <x:c r="B40" s="12" t="str">
        <x:v>L7</x:v>
      </x:c>
      <x:c r="C40" s="12" t="n">
        <x:v>0</x:v>
      </x:c>
      <x:c r="D40" s="12" t="str">
        <x:v>Physical loading tests use 50-350 g loads; p. 11 says long-term cyclic tests were not performed and that coating can begin to crack after prolonged use.</x:v>
      </x:c>
      <x:c r="E40" s="12" t="str">
        <x:v>S007_Main.pdf, physical pp. 10-11, section 3.2, Figs. 9-10 and Table 3; on-person sections pp. 7-9.</x:v>
      </x:c>
      <x:c r="F40" s="12" t="str">
        <x:v>Moderate</x:v>
      </x:c>
      <x:c r="G40" s="12" t="str">
        <x:v>Final L7 reassessment</x:v>
      </x:c>
    </x:row>
    <x:row r="41" ht="15" hidden="0" customHeight="1">
      <x:c r="A41" s="12" t="str">
        <x:v>S007</x:v>
      </x:c>
      <x:c r="B41" s="12" t="str">
        <x:v>L8</x:v>
      </x:c>
      <x:c r="C41" s="12" t="n">
        <x:v>0</x:v>
      </x:c>
      <x:c r="D41" s="12" t="str">
        <x:v>Nine geometries are design variants; independently fabricated replicate devices and dispersion are not reported.</x:v>
      </x:c>
      <x:c r="E41" s="12" t="str">
        <x:v>PDF pp. 3-12 checked</x:v>
      </x:c>
      <x:c r="F41" s="12" t="str">
        <x:v>Clear</x:v>
      </x:c>
      <x:c r="G41" s="12" t="str">
        <x:v>Pilot</x:v>
      </x:c>
    </x:row>
    <x:row r="42" ht="15" hidden="0" customHeight="1">
      <x:c r="A42" s="12" t="str">
        <x:v>S008</x:v>
      </x:c>
      <x:c r="B42" s="12" t="str">
        <x:v>L1</x:v>
      </x:c>
      <x:c r="C42" s="12" t="n">
        <x:v>1</x:v>
      </x:c>
      <x:c r="D42" s="12" t="str">
        <x:v>FFF printer, TPU filament, nozzle, temperature, speeds, layer height, infill and geometry reported.</x:v>
      </x:c>
      <x:c r="E42" s="12" t="str">
        <x:v>PDF pp. 5–10; Figs. 3–5</x:v>
      </x:c>
      <x:c r="F42" s="12" t="str">
        <x:v>Clear</x:v>
      </x:c>
      <x:c r="G42" s="12" t="str">
        <x:v>Batch 01</x:v>
      </x:c>
    </x:row>
    <x:row r="43" ht="15" hidden="0" customHeight="1">
      <x:c r="A43" s="12" t="str">
        <x:v>S008</x:v>
      </x:c>
      <x:c r="B43" s="12" t="str">
        <x:v>L2</x:v>
      </x:c>
      <x:c r="C43" s="12" t="n">
        <x:v>1</x:v>
      </x:c>
      <x:c r="D43" s="12" t="str">
        <x:v>TPU, printed silver LC circuit, PI substrate and sensing architecture identified.</x:v>
      </x:c>
      <x:c r="E43" s="12" t="str">
        <x:v>PDF pp. 5–10; Figs. 3–5</x:v>
      </x:c>
      <x:c r="F43" s="12" t="str">
        <x:v>Clear</x:v>
      </x:c>
      <x:c r="G43" s="12" t="str">
        <x:v>Batch 01</x:v>
      </x:c>
    </x:row>
    <x:row r="44" ht="15" hidden="0" customHeight="1">
      <x:c r="A44" s="12" t="str">
        <x:v>S008</x:v>
      </x:c>
      <x:c r="B44" s="12" t="str">
        <x:v>L3</x:v>
      </x:c>
      <x:c r="C44" s="12" t="n">
        <x:v>1</x:v>
      </x:c>
      <x:c r="D44" s="12" t="str">
        <x:v>Compression/weight protocols and VNA readout described.</x:v>
      </x:c>
      <x:c r="E44" s="12" t="str">
        <x:v>PDF pp. 5–10; Figs. 3–5</x:v>
      </x:c>
      <x:c r="F44" s="12" t="str">
        <x:v>Clear</x:v>
      </x:c>
      <x:c r="G44" s="12" t="str">
        <x:v>Batch 01</x:v>
      </x:c>
    </x:row>
    <x:row r="45" ht="15" hidden="0" customHeight="1">
      <x:c r="A45" s="12" t="str">
        <x:v>S008</x:v>
      </x:c>
      <x:c r="B45" s="12" t="str">
        <x:v>L4</x:v>
      </x:c>
      <x:c r="C45" s="12" t="n">
        <x:v>1</x:v>
      </x:c>
      <x:c r="D45" s="12" t="str">
        <x:v>Frequency sensitivities and pressure ranges reported.</x:v>
      </x:c>
      <x:c r="E45" s="12" t="str">
        <x:v>PDF pp. 5–10; Figs. 3–5</x:v>
      </x:c>
      <x:c r="F45" s="12" t="str">
        <x:v>Clear</x:v>
      </x:c>
      <x:c r="G45" s="12" t="str">
        <x:v>Batch 01</x:v>
      </x:c>
    </x:row>
    <x:row r="46" ht="15" hidden="0" customHeight="1">
      <x:c r="A46" s="12" t="str">
        <x:v>S008</x:v>
      </x:c>
      <x:c r="B46" s="12" t="str">
        <x:v>L5</x:v>
      </x:c>
      <x:c r="C46" s="12" t="n">
        <x:v>0</x:v>
      </x:c>
      <x:c r="D46" s="12" t="str">
        <x:v>Repeatability SD is stated, but the repetition count/device basis is not reported.</x:v>
      </x:c>
      <x:c r="E46" s="12" t="str">
        <x:v>PDF pp. 5–10; Figs. 3–5</x:v>
      </x:c>
      <x:c r="F46" s="12" t="str">
        <x:v>Rule-sensitive</x:v>
      </x:c>
      <x:c r="G46" s="12" t="str">
        <x:v>Batch 01</x:v>
      </x:c>
    </x:row>
    <x:row r="47" ht="15" hidden="0" customHeight="1">
      <x:c r="A47" s="12" t="str">
        <x:v>S008</x:v>
      </x:c>
      <x:c r="B47" s="12" t="str">
        <x:v>L6</x:v>
      </x:c>
      <x:c r="C47" s="12" t="n">
        <x:v>0</x:v>
      </x:c>
      <x:c r="D47" s="12" t="str">
        <x:v>Pressure/posture is the intended measurand; no separate environment/use exposure response.</x:v>
      </x:c>
      <x:c r="E47" s="12" t="str">
        <x:v>PDF pp. 5–10; Figs. 3–5</x:v>
      </x:c>
      <x:c r="F47" s="12" t="str">
        <x:v>Clear</x:v>
      </x:c>
      <x:c r="G47" s="12" t="str">
        <x:v>Batch 01</x:v>
      </x:c>
    </x:row>
    <x:row r="48" ht="15" hidden="0" customHeight="1">
      <x:c r="A48" s="12" t="str">
        <x:v>S008</x:v>
      </x:c>
      <x:c r="B48" s="12" t="str">
        <x:v>L7</x:v>
      </x:c>
      <x:c r="C48" s="12" t="n">
        <x:v>0</x:v>
      </x:c>
      <x:c r="D48" s="12" t="str">
        <x:v>Fig. 5 distinguishes plantar pressure conditions. Mechanical loading/calibration is characterized separately.</x:v>
      </x:c>
      <x:c r="E48" s="12" t="str">
        <x:v>S008_Main.pdf, physical pp. 7-9, sensor characterization and Fig. 5.</x:v>
      </x:c>
      <x:c r="F48" s="12" t="str">
        <x:v>High</x:v>
      </x:c>
      <x:c r="G48" s="12" t="str">
        <x:v>Final L7 reassessment</x:v>
      </x:c>
    </x:row>
    <x:row r="49" ht="15" hidden="0" customHeight="1">
      <x:c r="A49" s="12" t="str">
        <x:v>S008</x:v>
      </x:c>
      <x:c r="B49" s="12" t="str">
        <x:v>L8</x:v>
      </x:c>
      <x:c r="C49" s="12" t="n">
        <x:v>0</x:v>
      </x:c>
      <x:c r="D49" s="12" t="str">
        <x:v>Four sensor locations in one insole are channels, not ≥3 separate devices.</x:v>
      </x:c>
      <x:c r="E49" s="12" t="str">
        <x:v>PDF pp. 5–10; Figs. 3–5</x:v>
      </x:c>
      <x:c r="F49" s="12" t="str">
        <x:v>Clear</x:v>
      </x:c>
      <x:c r="G49" s="12" t="str">
        <x:v>Batch 01</x:v>
      </x:c>
    </x:row>
    <x:row r="50" ht="15" hidden="0" customHeight="1">
      <x:c r="A50" s="12" t="str">
        <x:v>S010</x:v>
      </x:c>
      <x:c r="B50" s="12" t="str">
        <x:v>L1</x:v>
      </x:c>
      <x:c r="C50" s="12" t="n">
        <x:v>1</x:v>
      </x:c>
      <x:c r="D50" s="12" t="str">
        <x:v>Printer and full principal printing settings are reported in Appendix A.</x:v>
      </x:c>
      <x:c r="E50" s="12" t="str">
        <x:v>PDF pp. 3–16; Figs. 1–13; Appendix A</x:v>
      </x:c>
      <x:c r="F50" s="12" t="str">
        <x:v>Clear</x:v>
      </x:c>
      <x:c r="G50" s="12" t="str">
        <x:v>Batch 01</x:v>
      </x:c>
    </x:row>
    <x:row r="51" ht="15" hidden="0" customHeight="1">
      <x:c r="A51" s="12" t="str">
        <x:v>S010</x:v>
      </x:c>
      <x:c r="B51" s="12" t="str">
        <x:v>L2</x:v>
      </x:c>
      <x:c r="C51" s="12" t="n">
        <x:v>1</x:v>
      </x:c>
      <x:c r="D51" s="12" t="str">
        <x:v>NinjaFlex and conductive carbon-black TPU roles are identified.</x:v>
      </x:c>
      <x:c r="E51" s="12" t="str">
        <x:v>PDF pp. 3–16; Figs. 1–13; Appendix A</x:v>
      </x:c>
      <x:c r="F51" s="12" t="str">
        <x:v>Clear</x:v>
      </x:c>
      <x:c r="G51" s="12" t="str">
        <x:v>Batch 01</x:v>
      </x:c>
    </x:row>
    <x:row r="52" ht="15" hidden="0" customHeight="1">
      <x:c r="A52" s="12" t="str">
        <x:v>S010</x:v>
      </x:c>
      <x:c r="B52" s="12" t="str">
        <x:v>L3</x:v>
      </x:c>
      <x:c r="C52" s="12" t="n">
        <x:v>1</x:v>
      </x:c>
      <x:c r="D52" s="12" t="str">
        <x:v>Pressure regulator and six-axis force reference with specified range.</x:v>
      </x:c>
      <x:c r="E52" s="12" t="str">
        <x:v>PDF pp. 3–16; Figs. 1–13; Appendix A</x:v>
      </x:c>
      <x:c r="F52" s="12" t="str">
        <x:v>Clear</x:v>
      </x:c>
      <x:c r="G52" s="12" t="str">
        <x:v>Batch 01</x:v>
      </x:c>
    </x:row>
    <x:row r="53" ht="15" hidden="0" customHeight="1">
      <x:c r="A53" s="12" t="str">
        <x:v>S010</x:v>
      </x:c>
      <x:c r="B53" s="12" t="str">
        <x:v>L4</x:v>
      </x:c>
      <x:c r="C53" s="12" t="n">
        <x:v>1</x:v>
      </x:c>
      <x:c r="D53" s="12" t="str">
        <x:v>Sensitivity, R², hysteresis, SNR and dynamic outputs reported.</x:v>
      </x:c>
      <x:c r="E53" s="12" t="str">
        <x:v>PDF pp. 3–16; Figs. 1–13; Appendix A</x:v>
      </x:c>
      <x:c r="F53" s="12" t="str">
        <x:v>Clear</x:v>
      </x:c>
      <x:c r="G53" s="12" t="str">
        <x:v>Batch 01</x:v>
      </x:c>
    </x:row>
    <x:row r="54" ht="15" hidden="0" customHeight="1">
      <x:c r="A54" s="12" t="str">
        <x:v>S010</x:v>
      </x:c>
      <x:c r="B54" s="12" t="str">
        <x:v>L5</x:v>
      </x:c>
      <x:c r="C54" s="12" t="n">
        <x:v>1</x:v>
      </x:c>
      <x:c r="D54" s="12" t="str">
        <x:v>Cyclic inputs at multiple amplitudes/frequencies and hysteresis outcomes reported.</x:v>
      </x:c>
      <x:c r="E54" s="12" t="str">
        <x:v>PDF pp. 3–16; Figs. 1–13; Appendix A</x:v>
      </x:c>
      <x:c r="F54" s="12" t="str">
        <x:v>Clear</x:v>
      </x:c>
      <x:c r="G54" s="12" t="str">
        <x:v>Batch 01</x:v>
      </x:c>
    </x:row>
    <x:row r="55" ht="15" hidden="0" customHeight="1">
      <x:c r="A55" s="12" t="str">
        <x:v>S010</x:v>
      </x:c>
      <x:c r="B55" s="12" t="str">
        <x:v>L6</x:v>
      </x:c>
      <x:c r="C55" s="12" t="n">
        <x:v>0</x:v>
      </x:c>
      <x:c r="D55" s="12" t="str">
        <x:v>Pressure/frequency are test inputs; no distinct environmental exposure response.</x:v>
      </x:c>
      <x:c r="E55" s="12" t="str">
        <x:v>PDF pp. 3–16; Figs. 1–13; Appendix A</x:v>
      </x:c>
      <x:c r="F55" s="12" t="str">
        <x:v>Clear</x:v>
      </x:c>
      <x:c r="G55" s="12" t="str">
        <x:v>Batch 01</x:v>
      </x:c>
    </x:row>
    <x:row r="56" ht="15" hidden="0" customHeight="1">
      <x:c r="A56" s="12" t="str">
        <x:v>S010</x:v>
      </x:c>
      <x:c r="B56" s="12" t="str">
        <x:v>L7</x:v>
      </x:c>
      <x:c r="C56" s="12" t="n">
        <x:v>0</x:v>
      </x:c>
      <x:c r="D56" s="12" t="str">
        <x:v>The integrated device is worn, but no interface integrity or pre/post-integration retention metric is reported.</x:v>
      </x:c>
      <x:c r="E56" s="12" t="str">
        <x:v>PDF pp. 3–16; Figs. 1–13; Appendix A</x:v>
      </x:c>
      <x:c r="F56" s="12" t="str">
        <x:v>Clear</x:v>
      </x:c>
      <x:c r="G56" s="12" t="str">
        <x:v>Batch 01</x:v>
      </x:c>
    </x:row>
    <x:row r="57" ht="15" hidden="0" customHeight="1">
      <x:c r="A57" s="12" t="str">
        <x:v>S010</x:v>
      </x:c>
      <x:c r="B57" s="12" t="str">
        <x:v>L8</x:v>
      </x:c>
      <x:c r="C57" s="12" t="n">
        <x:v>0</x:v>
      </x:c>
      <x:c r="D57" s="12" t="str">
        <x:v>Only one device is described; multiple-device assessment is future work.</x:v>
      </x:c>
      <x:c r="E57" s="12" t="str">
        <x:v>PDF pp. 3–16; Figs. 1–13; Appendix A</x:v>
      </x:c>
      <x:c r="F57" s="12" t="str">
        <x:v>Clear</x:v>
      </x:c>
      <x:c r="G57" s="12" t="str">
        <x:v>Batch 01</x:v>
      </x:c>
    </x:row>
    <x:row r="58" ht="15" hidden="0" customHeight="1">
      <x:c r="A58" s="12" t="str">
        <x:v>S011</x:v>
      </x:c>
      <x:c r="B58" s="12" t="str">
        <x:v>L1</x:v>
      </x:c>
      <x:c r="C58" s="12" t="n">
        <x:v>1</x:v>
      </x:c>
      <x:c r="D58" s="12" t="str">
        <x:v>Printer plus full parameter set in Table 1.</x:v>
      </x:c>
      <x:c r="E58" s="12" t="str">
        <x:v>PDF pp. 3-4, Table 1</x:v>
      </x:c>
      <x:c r="F58" s="12" t="str">
        <x:v>Clear</x:v>
      </x:c>
      <x:c r="G58" s="12" t="str">
        <x:v>Pilot</x:v>
      </x:c>
    </x:row>
    <x:row r="59" ht="15" hidden="0" customHeight="1">
      <x:c r="A59" s="12" t="str">
        <x:v>S011</x:v>
      </x:c>
      <x:c r="B59" s="12" t="str">
        <x:v>L2</x:v>
      </x:c>
      <x:c r="C59" s="12" t="n">
        <x:v>1</x:v>
      </x:c>
      <x:c r="D59" s="12" t="str">
        <x:v>Conductive PLA, Filaflex grades, wiring and insole materials reported.</x:v>
      </x:c>
      <x:c r="E59" s="12" t="str">
        <x:v>PDF pp. 3-5</x:v>
      </x:c>
      <x:c r="F59" s="12" t="str">
        <x:v>Clear</x:v>
      </x:c>
      <x:c r="G59" s="12" t="str">
        <x:v>Pilot</x:v>
      </x:c>
    </x:row>
    <x:row r="60" ht="15" hidden="0" customHeight="1">
      <x:c r="A60" s="12" t="str">
        <x:v>S011</x:v>
      </x:c>
      <x:c r="B60" s="12" t="str">
        <x:v>L3</x:v>
      </x:c>
      <x:c r="C60" s="12" t="n">
        <x:v>1</x:v>
      </x:c>
      <x:c r="D60" s="12" t="str">
        <x:v>Pressure range and calibration protocol described.</x:v>
      </x:c>
      <x:c r="E60" s="12" t="str">
        <x:v>PDF pp. 5-6</x:v>
      </x:c>
      <x:c r="F60" s="12" t="str">
        <x:v>Clear</x:v>
      </x:c>
      <x:c r="G60" s="12" t="str">
        <x:v>Pilot</x:v>
      </x:c>
    </x:row>
    <x:row r="61" ht="15" hidden="0" customHeight="1">
      <x:c r="A61" s="12" t="str">
        <x:v>S011</x:v>
      </x:c>
      <x:c r="B61" s="12" t="str">
        <x:v>L4</x:v>
      </x:c>
      <x:c r="C61" s="12" t="n">
        <x:v>1</x:v>
      </x:c>
      <x:c r="D61" s="12" t="str">
        <x:v>Sensitivity, R-squared, LOD, hysteresis and response time reported.</x:v>
      </x:c>
      <x:c r="E61" s="12" t="str">
        <x:v>PDF pp. 8-11, Fig. 4-8</x:v>
      </x:c>
      <x:c r="F61" s="12" t="str">
        <x:v>Clear</x:v>
      </x:c>
      <x:c r="G61" s="12" t="str">
        <x:v>Pilot</x:v>
      </x:c>
    </x:row>
    <x:row r="62" ht="15" hidden="0" customHeight="1">
      <x:c r="A62" s="12" t="str">
        <x:v>S011</x:v>
      </x:c>
      <x:c r="B62" s="12" t="str">
        <x:v>L5</x:v>
      </x:c>
      <x:c r="C62" s="12" t="n">
        <x:v>1</x:v>
      </x:c>
      <x:c r="D62" s="12" t="str">
        <x:v>Three calibration cycles plus 2280-cycle durability and hysteresis.</x:v>
      </x:c>
      <x:c r="E62" s="12" t="str">
        <x:v>PDF pp. 8-11, Fig. 4-7</x:v>
      </x:c>
      <x:c r="F62" s="12" t="str">
        <x:v>Clear</x:v>
      </x:c>
      <x:c r="G62" s="12" t="str">
        <x:v>Pilot</x:v>
      </x:c>
    </x:row>
    <x:row r="63" ht="15" hidden="0" customHeight="1">
      <x:c r="A63" s="12" t="str">
        <x:v>S011</x:v>
      </x:c>
      <x:c r="B63" s="12" t="str">
        <x:v>L6</x:v>
      </x:c>
      <x:c r="C63" s="12" t="n">
        <x:v>0</x:v>
      </x:c>
      <x:c r="D63" s="12" t="str">
        <x:v>20 deg C/55-60% RH are fixed laboratory conditions, not varied exposure; pressure is the intended measurand.</x:v>
      </x:c>
      <x:c r="E63" s="12" t="str">
        <x:v>PDF pp. 5-14 checked</x:v>
      </x:c>
      <x:c r="F63" s="12" t="str">
        <x:v>Clear</x:v>
      </x:c>
      <x:c r="G63" s="12" t="str">
        <x:v>Pilot</x:v>
      </x:c>
    </x:row>
    <x:row r="64" ht="15" hidden="0" customHeight="1">
      <x:c r="A64" s="12" t="str">
        <x:v>S011</x:v>
      </x:c>
      <x:c r="B64" s="12" t="str">
        <x:v>L7</x:v>
      </x:c>
      <x:c r="C64" s="12" t="n">
        <x:v>0</x:v>
      </x:c>
      <x:c r="D64" s="12" t="str">
        <x:v>The paper notes some drift/delay when the worn signals return near zero within a gait cycle. The one-hour, 2280-cycle durability comparison belongs to the laboratory sensor test.</x:v>
      </x:c>
      <x:c r="E64" s="12" t="str">
        <x:v>S011_Main.pdf, physical p. 10, section 3.1.4/Fig. 8; pp. 13-14, section 3.2/Figs. 12-13; p. 6, Fig. 2.</x:v>
      </x:c>
      <x:c r="F64" s="12" t="str">
        <x:v>High</x:v>
      </x:c>
      <x:c r="G64" s="12" t="str">
        <x:v>Final L7 reassessment</x:v>
      </x:c>
    </x:row>
    <x:row r="65" ht="15" hidden="0" customHeight="1">
      <x:c r="A65" s="12" t="str">
        <x:v>S011</x:v>
      </x:c>
      <x:c r="B65" s="12" t="str">
        <x:v>L8</x:v>
      </x:c>
      <x:c r="C65" s="12" t="n">
        <x:v>1</x:v>
      </x:c>
      <x:c r="D65" s="12" t="str">
        <x:v>Sixteen separate sensors summarized as mean +/- SD under comparable calibration.</x:v>
      </x:c>
      <x:c r="E65" s="12" t="str">
        <x:v>PDF pp. 8-9, Fig. 4</x:v>
      </x:c>
      <x:c r="F65" s="12" t="str">
        <x:v>Uncertain</x:v>
      </x:c>
      <x:c r="G65" s="12" t="str">
        <x:v>Pilot</x:v>
      </x:c>
    </x:row>
    <x:row r="66" ht="15" hidden="0" customHeight="1">
      <x:c r="A66" s="12" t="str">
        <x:v>S012</x:v>
      </x:c>
      <x:c r="B66" s="12" t="str">
        <x:v>L1</x:v>
      </x:c>
      <x:c r="C66" s="12" t="n">
        <x:v>0</x:v>
      </x:c>
      <x:c r="D66" s="12" t="str">
        <x:v>Printer, layer height and nozzles reported, but temperature, speed, infill and orientation are absent.</x:v>
      </x:c>
      <x:c r="E66" s="12" t="str">
        <x:v>PDF pp. 4–14; Figs. 1–17; Tables 2–3</x:v>
      </x:c>
      <x:c r="F66" s="12" t="str">
        <x:v>Clear</x:v>
      </x:c>
      <x:c r="G66" s="12" t="str">
        <x:v>Batch 01</x:v>
      </x:c>
    </x:row>
    <x:row r="67" ht="15" hidden="0" customHeight="1">
      <x:c r="A67" s="12" t="str">
        <x:v>S012</x:v>
      </x:c>
      <x:c r="B67" s="12" t="str">
        <x:v>L2</x:v>
      </x:c>
      <x:c r="C67" s="12" t="n">
        <x:v>1</x:v>
      </x:c>
      <x:c r="D67" s="12" t="str">
        <x:v>Conductive PI-ETPU, NinjaFlex, wiring and amplifier interface reported.</x:v>
      </x:c>
      <x:c r="E67" s="12" t="str">
        <x:v>PDF pp. 4–14; Figs. 1–17; Tables 2–3</x:v>
      </x:c>
      <x:c r="F67" s="12" t="str">
        <x:v>Clear</x:v>
      </x:c>
      <x:c r="G67" s="12" t="str">
        <x:v>Batch 01</x:v>
      </x:c>
    </x:row>
    <x:row r="68" ht="15" hidden="0" customHeight="1">
      <x:c r="A68" s="12" t="str">
        <x:v>S012</x:v>
      </x:c>
      <x:c r="B68" s="12" t="str">
        <x:v>L3</x:v>
      </x:c>
      <x:c r="C68" s="12" t="n">
        <x:v>1</x:v>
      </x:c>
      <x:c r="D68" s="12" t="str">
        <x:v>Specified EMG tasks/load protocol and Ag/AgCl comparator.</x:v>
      </x:c>
      <x:c r="E68" s="12" t="str">
        <x:v>PDF pp. 4–14; Figs. 1–17; Tables 2–3</x:v>
      </x:c>
      <x:c r="F68" s="12" t="str">
        <x:v>Clear</x:v>
      </x:c>
      <x:c r="G68" s="12" t="str">
        <x:v>Batch 01</x:v>
      </x:c>
    </x:row>
    <x:row r="69" ht="15" hidden="0" customHeight="1">
      <x:c r="A69" s="12" t="str">
        <x:v>S012</x:v>
      </x:c>
      <x:c r="B69" s="12" t="str">
        <x:v>L4</x:v>
      </x:c>
      <x:c r="C69" s="12" t="n">
        <x:v>1</x:v>
      </x:c>
      <x:c r="D69" s="12" t="str">
        <x:v>Impedance, RMS/SD, statistics and classification accuracy reported.</x:v>
      </x:c>
      <x:c r="E69" s="12" t="str">
        <x:v>PDF pp. 4–14; Figs. 1–17; Tables 2–3</x:v>
      </x:c>
      <x:c r="F69" s="12" t="str">
        <x:v>Clear</x:v>
      </x:c>
      <x:c r="G69" s="12" t="str">
        <x:v>Batch 01</x:v>
      </x:c>
    </x:row>
    <x:row r="70" ht="15" hidden="0" customHeight="1">
      <x:c r="A70" s="12" t="str">
        <x:v>S012</x:v>
      </x:c>
      <x:c r="B70" s="12" t="str">
        <x:v>L5</x:v>
      </x:c>
      <x:c r="C70" s="12" t="n">
        <x:v>1</x:v>
      </x:c>
      <x:c r="D70" s="12" t="str">
        <x:v>Three contractions with mean/SD outputs provide repeated-measurement evidence.</x:v>
      </x:c>
      <x:c r="E70" s="12" t="str">
        <x:v>PDF pp. 4–14; Figs. 1–17; Tables 2–3</x:v>
      </x:c>
      <x:c r="F70" s="12" t="str">
        <x:v>Clear</x:v>
      </x:c>
      <x:c r="G70" s="12" t="str">
        <x:v>Batch 01</x:v>
      </x:c>
    </x:row>
    <x:row r="71" ht="15" hidden="0" customHeight="1">
      <x:c r="A71" s="12" t="str">
        <x:v>S012</x:v>
      </x:c>
      <x:c r="B71" s="12" t="str">
        <x:v>L6</x:v>
      </x:c>
      <x:c r="C71" s="12" t="n">
        <x:v>1</x:v>
      </x:c>
      <x:c r="D71" s="12" t="str">
        <x:v>Dry versus water-moistened contact is a declared use-related condition with response comparison.</x:v>
      </x:c>
      <x:c r="E71" s="12" t="str">
        <x:v>PDF pp. 4–14; Figs. 1–17; Tables 2–3</x:v>
      </x:c>
      <x:c r="F71" s="12" t="str">
        <x:v>Clear</x:v>
      </x:c>
      <x:c r="G71" s="12" t="str">
        <x:v>Batch 01</x:v>
      </x:c>
    </x:row>
    <x:row r="72" ht="15" hidden="0" customHeight="1">
      <x:c r="A72" s="12" t="str">
        <x:v>S012</x:v>
      </x:c>
      <x:c r="B72" s="12" t="str">
        <x:v>L7</x:v>
      </x:c>
      <x:c r="C72" s="12" t="n">
        <x:v>0</x:v>
      </x:c>
      <x:c r="D72" s="12" t="str">
        <x:v>Electrodes are swapped sequentially between measurements; exact placement is difficult. Larger electrodes perform better; long-term/multiple-use advantages are prospective.</x:v>
      </x:c>
      <x:c r="E72" s="12" t="str">
        <x:v>S012_Main.pdf, physical pp. 12-15, electrode-size results, Fig. 14 and Discussion/Conclusions.</x:v>
      </x:c>
      <x:c r="F72" s="12" t="str">
        <x:v>High</x:v>
      </x:c>
      <x:c r="G72" s="12" t="str">
        <x:v>Final L7 reassessment</x:v>
      </x:c>
    </x:row>
    <x:row r="73" ht="15" hidden="0" customHeight="1">
      <x:c r="A73" s="12" t="str">
        <x:v>S012</x:v>
      </x:c>
      <x:c r="B73" s="12" t="str">
        <x:v>L8</x:v>
      </x:c>
      <x:c r="C73" s="12" t="n">
        <x:v>0</x:v>
      </x:c>
      <x:c r="D73" s="12" t="str">
        <x:v>Geometry variants and participants are not independently fabricated replicate devices.</x:v>
      </x:c>
      <x:c r="E73" s="12" t="str">
        <x:v>PDF pp. 4–14; Figs. 1–17; Tables 2–3</x:v>
      </x:c>
      <x:c r="F73" s="12" t="str">
        <x:v>Clear</x:v>
      </x:c>
      <x:c r="G73" s="12" t="str">
        <x:v>Batch 01</x:v>
      </x:c>
    </x:row>
    <x:row r="74" ht="15" hidden="0" customHeight="1">
      <x:c r="A74" s="12" t="str">
        <x:v>S013</x:v>
      </x:c>
      <x:c r="B74" s="12" t="str">
        <x:v>L1</x:v>
      </x:c>
      <x:c r="C74" s="12" t="n">
        <x:v>0</x:v>
      </x:c>
      <x:c r="D74" s="12" t="str">
        <x:v>Printer and temperatures are reported, but nozzle, speed, layer height, infill and orientation are absent.</x:v>
      </x:c>
      <x:c r="E74" s="12" t="str">
        <x:v>PDF pp. 3–7; Figs. 1–6; Table 1; cited SI</x:v>
      </x:c>
      <x:c r="F74" s="12" t="str">
        <x:v>Clear</x:v>
      </x:c>
      <x:c r="G74" s="12" t="str">
        <x:v>Batch 01</x:v>
      </x:c>
    </x:row>
    <x:row r="75" ht="15" hidden="0" customHeight="1">
      <x:c r="A75" s="12" t="str">
        <x:v>S013</x:v>
      </x:c>
      <x:c r="B75" s="12" t="str">
        <x:v>L2</x:v>
      </x:c>
      <x:c r="C75" s="12" t="n">
        <x:v>1</x:v>
      </x:c>
      <x:c r="D75" s="12" t="str">
        <x:v>Final CB-PLA/TPU components and instrumentation are identified.</x:v>
      </x:c>
      <x:c r="E75" s="12" t="str">
        <x:v>PDF pp. 3–7; Figs. 1–6; Table 1; cited SI</x:v>
      </x:c>
      <x:c r="F75" s="12" t="str">
        <x:v>Clear</x:v>
      </x:c>
      <x:c r="G75" s="12" t="str">
        <x:v>Batch 01</x:v>
      </x:c>
    </x:row>
    <x:row r="76" ht="15" hidden="0" customHeight="1">
      <x:c r="A76" s="12" t="str">
        <x:v>S013</x:v>
      </x:c>
      <x:c r="B76" s="12" t="str">
        <x:v>L3</x:v>
      </x:c>
      <x:c r="C76" s="12" t="n">
        <x:v>1</x:v>
      </x:c>
      <x:c r="D76" s="12" t="str">
        <x:v>DPV procedures, spike ranges and matrices are specified.</x:v>
      </x:c>
      <x:c r="E76" s="12" t="str">
        <x:v>PDF pp. 3–7; Figs. 1–6; Table 1; cited SI</x:v>
      </x:c>
      <x:c r="F76" s="12" t="str">
        <x:v>Clear</x:v>
      </x:c>
      <x:c r="G76" s="12" t="str">
        <x:v>Batch 01</x:v>
      </x:c>
    </x:row>
    <x:row r="77" ht="15" hidden="0" customHeight="1">
      <x:c r="A77" s="12" t="str">
        <x:v>S013</x:v>
      </x:c>
      <x:c r="B77" s="12" t="str">
        <x:v>L4</x:v>
      </x:c>
      <x:c r="C77" s="12" t="n">
        <x:v>1</x:v>
      </x:c>
      <x:c r="D77" s="12" t="str">
        <x:v>Ranges, LODs and precision metrics are reported.</x:v>
      </x:c>
      <x:c r="E77" s="12" t="str">
        <x:v>PDF pp. 3–7; Figs. 1–6; Table 1; cited SI</x:v>
      </x:c>
      <x:c r="F77" s="12" t="str">
        <x:v>Clear</x:v>
      </x:c>
      <x:c r="G77" s="12" t="str">
        <x:v>Batch 01</x:v>
      </x:c>
    </x:row>
    <x:row r="78" ht="15" hidden="0" customHeight="1">
      <x:c r="A78" s="12" t="str">
        <x:v>S013</x:v>
      </x:c>
      <x:c r="B78" s="12" t="str">
        <x:v>L5</x:v>
      </x:c>
      <x:c r="C78" s="12" t="n">
        <x:v>1</x:v>
      </x:c>
      <x:c r="D78" s="12" t="str">
        <x:v>Eight within-device repetitions and a 12-day series are reported.</x:v>
      </x:c>
      <x:c r="E78" s="12" t="str">
        <x:v>PDF pp. 3–7; Figs. 1–6; Table 1; cited SI</x:v>
      </x:c>
      <x:c r="F78" s="12" t="str">
        <x:v>Clear</x:v>
      </x:c>
      <x:c r="G78" s="12" t="str">
        <x:v>Batch 01</x:v>
      </x:c>
    </x:row>
    <x:row r="79" ht="15" hidden="0" customHeight="1">
      <x:c r="A79" s="12" t="str">
        <x:v>S013</x:v>
      </x:c>
      <x:c r="B79" s="12" t="str">
        <x:v>L6</x:v>
      </x:c>
      <x:c r="C79" s="12" t="n">
        <x:v>1</x:v>
      </x:c>
      <x:c r="D79" s="12" t="str">
        <x:v>Daily washing/storage over 12 days with response stability is reported.</x:v>
      </x:c>
      <x:c r="E79" s="12" t="str">
        <x:v>PDF pp. 3–7; Figs. 1–6; Table 1; cited SI</x:v>
      </x:c>
      <x:c r="F79" s="12" t="str">
        <x:v>Clear</x:v>
      </x:c>
      <x:c r="G79" s="12" t="str">
        <x:v>Batch 01</x:v>
      </x:c>
    </x:row>
    <x:row r="80" ht="15" hidden="0" customHeight="1">
      <x:c r="A80" s="12" t="str">
        <x:v>S013</x:v>
      </x:c>
      <x:c r="B80" s="12" t="str">
        <x:v>L7</x:v>
      </x:c>
      <x:c r="C80" s="12" t="n">
        <x:v>0</x:v>
      </x:c>
      <x:c r="D80" s="12" t="str">
        <x:v>Wearable operation is demonstrated, but no quantified attachment/integration endpoint.</x:v>
      </x:c>
      <x:c r="E80" s="12" t="str">
        <x:v>PDF pp. 3–7; Figs. 1–6; Table 1; cited SI</x:v>
      </x:c>
      <x:c r="F80" s="12" t="str">
        <x:v>Clear</x:v>
      </x:c>
      <x:c r="G80" s="12" t="str">
        <x:v>Batch 01</x:v>
      </x:c>
    </x:row>
    <x:row r="81" ht="15" hidden="0" customHeight="1">
      <x:c r="A81" s="12" t="str">
        <x:v>S013</x:v>
      </x:c>
      <x:c r="B81" s="12" t="str">
        <x:v>L8</x:v>
      </x:c>
      <x:c r="C81" s="12" t="n">
        <x:v>1</x:v>
      </x:c>
      <x:c r="D81" s="12" t="str">
        <x:v>Five e-fingers are compared with between-finger RSD.</x:v>
      </x:c>
      <x:c r="E81" s="12" t="str">
        <x:v>PDF pp. 3–7; Figs. 1–6; Table 1; cited SI</x:v>
      </x:c>
      <x:c r="F81" s="12" t="str">
        <x:v>Clear</x:v>
      </x:c>
      <x:c r="G81" s="12" t="str">
        <x:v>Batch 01</x:v>
      </x:c>
    </x:row>
    <x:row r="82" ht="15" hidden="0" customHeight="1">
      <x:c r="A82" s="12" t="str">
        <x:v>S014</x:v>
      </x:c>
      <x:c r="B82" s="12" t="str">
        <x:v>L1</x:v>
      </x:c>
      <x:c r="C82" s="12" t="n">
        <x:v>0</x:v>
      </x:c>
      <x:c r="D82" s="12" t="str">
        <x:v>Printer, material, infill and geometry are reported, but nozzle, temperature, speed, layer height and orientation are absent.</x:v>
      </x:c>
      <x:c r="E82" s="12" t="str">
        <x:v>PDF pp. 4–15; Figs. 1–10; Tables 1–2</x:v>
      </x:c>
      <x:c r="F82" s="12" t="str">
        <x:v>Clear</x:v>
      </x:c>
      <x:c r="G82" s="12" t="str">
        <x:v>Batch 01</x:v>
      </x:c>
    </x:row>
    <x:row r="83" ht="15" hidden="0" customHeight="1">
      <x:c r="A83" s="12" t="str">
        <x:v>S014</x:v>
      </x:c>
      <x:c r="B83" s="12" t="str">
        <x:v>L2</x:v>
      </x:c>
      <x:c r="C83" s="12" t="n">
        <x:v>1</x:v>
      </x:c>
      <x:c r="D83" s="12" t="str">
        <x:v>TPU grades, FBG properties and attachment materials reported.</x:v>
      </x:c>
      <x:c r="E83" s="12" t="str">
        <x:v>PDF pp. 4–15; Figs. 1–10; Tables 1–2</x:v>
      </x:c>
      <x:c r="F83" s="12" t="str">
        <x:v>Clear</x:v>
      </x:c>
      <x:c r="G83" s="12" t="str">
        <x:v>Batch 01</x:v>
      </x:c>
    </x:row>
    <x:row r="84" ht="15" hidden="0" customHeight="1">
      <x:c r="A84" s="12" t="str">
        <x:v>S014</x:v>
      </x:c>
      <x:c r="B84" s="12" t="str">
        <x:v>L3</x:v>
      </x:c>
      <x:c r="C84" s="12" t="n">
        <x:v>1</x:v>
      </x:c>
      <x:c r="D84" s="12" t="str">
        <x:v>Instron, climate chamber and on-body protocols described.</x:v>
      </x:c>
      <x:c r="E84" s="12" t="str">
        <x:v>PDF pp. 4–15; Figs. 1–10; Tables 1–2</x:v>
      </x:c>
      <x:c r="F84" s="12" t="str">
        <x:v>Clear</x:v>
      </x:c>
      <x:c r="G84" s="12" t="str">
        <x:v>Batch 01</x:v>
      </x:c>
    </x:row>
    <x:row r="85" ht="15" hidden="0" customHeight="1">
      <x:c r="A85" s="12" t="str">
        <x:v>S014</x:v>
      </x:c>
      <x:c r="B85" s="12" t="str">
        <x:v>L4</x:v>
      </x:c>
      <x:c r="C85" s="12" t="n">
        <x:v>1</x:v>
      </x:c>
      <x:c r="D85" s="12" t="str">
        <x:v>Strain/temperature sensitivities and hysteresis with units/ranges.</x:v>
      </x:c>
      <x:c r="E85" s="12" t="str">
        <x:v>PDF pp. 4–15; Figs. 1–10; Tables 1–2</x:v>
      </x:c>
      <x:c r="F85" s="12" t="str">
        <x:v>Clear</x:v>
      </x:c>
      <x:c r="G85" s="12" t="str">
        <x:v>Batch 01</x:v>
      </x:c>
    </x:row>
    <x:row r="86" ht="15" hidden="0" customHeight="1">
      <x:c r="A86" s="12" t="str">
        <x:v>S014</x:v>
      </x:c>
      <x:c r="B86" s="12" t="str">
        <x:v>L5</x:v>
      </x:c>
      <x:c r="C86" s="12" t="n">
        <x:v>1</x:v>
      </x:c>
      <x:c r="D86" s="12" t="str">
        <x:v>Ten calibration and ten hysteresis cycles with uncertainty/outcomes.</x:v>
      </x:c>
      <x:c r="E86" s="12" t="str">
        <x:v>PDF pp. 4–15; Figs. 1–10; Tables 1–2</x:v>
      </x:c>
      <x:c r="F86" s="12" t="str">
        <x:v>Clear</x:v>
      </x:c>
      <x:c r="G86" s="12" t="str">
        <x:v>Batch 01</x:v>
      </x:c>
    </x:row>
    <x:row r="87" ht="15" hidden="0" customHeight="1">
      <x:c r="A87" s="12" t="str">
        <x:v>S014</x:v>
      </x:c>
      <x:c r="B87" s="12" t="str">
        <x:v>L6</x:v>
      </x:c>
      <x:c r="C87" s="12" t="n">
        <x:v>1</x:v>
      </x:c>
      <x:c r="D87" s="12" t="str">
        <x:v>20–50 °C exposure with sensor response.</x:v>
      </x:c>
      <x:c r="E87" s="12" t="str">
        <x:v>PDF pp. 4–15; Figs. 1–10; Tables 1–2</x:v>
      </x:c>
      <x:c r="F87" s="12" t="str">
        <x:v>Clear</x:v>
      </x:c>
      <x:c r="G87" s="12" t="str">
        <x:v>Batch 01</x:v>
      </x:c>
    </x:row>
    <x:row r="88" ht="15" hidden="0" customHeight="1">
      <x:c r="A88" s="12" t="str">
        <x:v>S014</x:v>
      </x:c>
      <x:c r="B88" s="12" t="str">
        <x:v>L7</x:v>
      </x:c>
      <x:c r="C88" s="12" t="n">
        <x:v>1</x:v>
      </x:c>
      <x:c r="D88" s="12" t="str">
        <x:v>Three pull-out specimens per material and &gt;12 N interface outcome.</x:v>
      </x:c>
      <x:c r="E88" s="12" t="str">
        <x:v>PDF pp. 4–15; Figs. 1–10; Tables 1–2</x:v>
      </x:c>
      <x:c r="F88" s="12" t="str">
        <x:v>Clear</x:v>
      </x:c>
      <x:c r="G88" s="12" t="str">
        <x:v>Batch 01</x:v>
      </x:c>
    </x:row>
    <x:row r="89" ht="15" hidden="0" customHeight="1">
      <x:c r="A89" s="12" t="str">
        <x:v>S014</x:v>
      </x:c>
      <x:c r="B89" s="12" t="str">
        <x:v>L8</x:v>
      </x:c>
      <x:c r="C89" s="12" t="n">
        <x:v>0</x:v>
      </x:c>
      <x:c r="D89" s="12" t="str">
        <x:v>Only two functional material variants; pull-out coupons are not functional replicate sensors.</x:v>
      </x:c>
      <x:c r="E89" s="12" t="str">
        <x:v>PDF pp. 4–15; Figs. 1–10; Tables 1–2</x:v>
      </x:c>
      <x:c r="F89" s="12" t="str">
        <x:v>Clear</x:v>
      </x:c>
      <x:c r="G89" s="12" t="str">
        <x:v>Batch 01</x:v>
      </x:c>
    </x:row>
    <x:row r="90" ht="15" hidden="0" customHeight="1">
      <x:c r="A90" s="12" t="str">
        <x:v>S015</x:v>
      </x:c>
      <x:c r="B90" s="12" t="str">
        <x:v>L1</x:v>
      </x:c>
      <x:c r="C90" s="12" t="n">
        <x:v>0</x:v>
      </x:c>
      <x:c r="D90" s="12" t="str">
        <x:v>Printer, PLA, speed, infill and geometry reported, but nozzle, temperature, layer height and orientation are absent.</x:v>
      </x:c>
      <x:c r="E90" s="12" t="str">
        <x:v>PDF pp. 3–11; Figs. 1–6; Table 1</x:v>
      </x:c>
      <x:c r="F90" s="12" t="str">
        <x:v>Clear</x:v>
      </x:c>
      <x:c r="G90" s="12" t="str">
        <x:v>Batch 01</x:v>
      </x:c>
    </x:row>
    <x:row r="91" ht="15" hidden="0" customHeight="1">
      <x:c r="A91" s="12" t="str">
        <x:v>S015</x:v>
      </x:c>
      <x:c r="B91" s="12" t="str">
        <x:v>L2</x:v>
      </x:c>
      <x:c r="C91" s="12" t="n">
        <x:v>1</x:v>
      </x:c>
      <x:c r="D91" s="12" t="str">
        <x:v>Printed frame, commercial sensors, bearings, electronics and attachments identified.</x:v>
      </x:c>
      <x:c r="E91" s="12" t="str">
        <x:v>PDF pp. 3–11; Figs. 1–6; Table 1</x:v>
      </x:c>
      <x:c r="F91" s="12" t="str">
        <x:v>Clear</x:v>
      </x:c>
      <x:c r="G91" s="12" t="str">
        <x:v>Batch 01</x:v>
      </x:c>
    </x:row>
    <x:row r="92" ht="15" hidden="0" customHeight="1">
      <x:c r="A92" s="12" t="str">
        <x:v>S015</x:v>
      </x:c>
      <x:c r="B92" s="12" t="str">
        <x:v>L3</x:v>
      </x:c>
      <x:c r="C92" s="12" t="n">
        <x:v>1</x:v>
      </x:c>
      <x:c r="D92" s="12" t="str">
        <x:v>Eight-position caliper comparison and on-body task protocol described.</x:v>
      </x:c>
      <x:c r="E92" s="12" t="str">
        <x:v>PDF pp. 3–11; Figs. 1–6; Table 1</x:v>
      </x:c>
      <x:c r="F92" s="12" t="str">
        <x:v>Clear</x:v>
      </x:c>
      <x:c r="G92" s="12" t="str">
        <x:v>Batch 01</x:v>
      </x:c>
    </x:row>
    <x:row r="93" ht="15" hidden="0" customHeight="1">
      <x:c r="A93" s="12" t="str">
        <x:v>S015</x:v>
      </x:c>
      <x:c r="B93" s="12" t="str">
        <x:v>L4</x:v>
      </x:c>
      <x:c r="C93" s="12" t="n">
        <x:v>1</x:v>
      </x:c>
      <x:c r="D93" s="12" t="str">
        <x:v>Absolute error, RMSE and normalized outputs reported.</x:v>
      </x:c>
      <x:c r="E93" s="12" t="str">
        <x:v>PDF pp. 3–11; Figs. 1–6; Table 1</x:v>
      </x:c>
      <x:c r="F93" s="12" t="str">
        <x:v>Clear</x:v>
      </x:c>
      <x:c r="G93" s="12" t="str">
        <x:v>Batch 01</x:v>
      </x:c>
    </x:row>
    <x:row r="94" ht="15" hidden="0" customHeight="1">
      <x:c r="A94" s="12" t="str">
        <x:v>S015</x:v>
      </x:c>
      <x:c r="B94" s="12" t="str">
        <x:v>L5</x:v>
      </x:c>
      <x:c r="C94" s="12" t="n">
        <x:v>0</x:v>
      </x:c>
      <x:c r="D94" s="12" t="str">
        <x:v>Five practice repetitions were unrecorded; recorded data do not establish repeated-response stability.</x:v>
      </x:c>
      <x:c r="E94" s="12" t="str">
        <x:v>PDF pp. 3–11; Figs. 1–6; Table 1</x:v>
      </x:c>
      <x:c r="F94" s="12" t="str">
        <x:v>Clear</x:v>
      </x:c>
      <x:c r="G94" s="12" t="str">
        <x:v>Batch 01</x:v>
      </x:c>
    </x:row>
    <x:row r="95" ht="15" hidden="0" customHeight="1">
      <x:c r="A95" s="12" t="str">
        <x:v>S015</x:v>
      </x:c>
      <x:c r="B95" s="12" t="str">
        <x:v>L6</x:v>
      </x:c>
      <x:c r="C95" s="12" t="n">
        <x:v>0</x:v>
      </x:c>
      <x:c r="D95" s="12" t="str">
        <x:v>No non-measurand environmental/use exposure with sensor response.</x:v>
      </x:c>
      <x:c r="E95" s="12" t="str">
        <x:v>PDF pp. 3–11; Figs. 1–6; Table 1</x:v>
      </x:c>
      <x:c r="F95" s="12" t="str">
        <x:v>Clear</x:v>
      </x:c>
      <x:c r="G95" s="12" t="str">
        <x:v>Batch 01</x:v>
      </x:c>
    </x:row>
    <x:row r="96" ht="15" hidden="0" customHeight="1">
      <x:c r="A96" s="12" t="str">
        <x:v>S015</x:v>
      </x:c>
      <x:c r="B96" s="12" t="str">
        <x:v>L7</x:v>
      </x:c>
      <x:c r="C96" s="12" t="n">
        <x:v>0</x:v>
      </x:c>
      <x:c r="D96" s="12" t="str">
        <x:v>Final assembly is worn, but interface integrity or pre/post-integration performance is not quantified.</x:v>
      </x:c>
      <x:c r="E96" s="12" t="str">
        <x:v>PDF pp. 3–11; Figs. 1–6; Table 1</x:v>
      </x:c>
      <x:c r="F96" s="12" t="str">
        <x:v>Clear</x:v>
      </x:c>
      <x:c r="G96" s="12" t="str">
        <x:v>Batch 01</x:v>
      </x:c>
    </x:row>
    <x:row r="97" ht="15" hidden="0" customHeight="1">
      <x:c r="A97" s="12" t="str">
        <x:v>S015</x:v>
      </x:c>
      <x:c r="B97" s="12" t="str">
        <x:v>L8</x:v>
      </x:c>
      <x:c r="C97" s="12" t="n">
        <x:v>0</x:v>
      </x:c>
      <x:c r="D97" s="12" t="str">
        <x:v>One prototype; channels and participants are not separate printed devices.</x:v>
      </x:c>
      <x:c r="E97" s="12" t="str">
        <x:v>PDF pp. 3–11; Figs. 1–6; Table 1</x:v>
      </x:c>
      <x:c r="F97" s="12" t="str">
        <x:v>Clear</x:v>
      </x:c>
      <x:c r="G97" s="12" t="str">
        <x:v>Batch 01</x:v>
      </x:c>
    </x:row>
    <x:row r="98" ht="15" hidden="0" customHeight="1">
      <x:c r="A98" s="12" t="str">
        <x:v>S017</x:v>
      </x:c>
      <x:c r="B98" s="12" t="str">
        <x:v>L1</x:v>
      </x:c>
      <x:c r="C98" s="12" t="n">
        <x:v>0</x:v>
      </x:c>
      <x:c r="D98" s="12" t="str">
        <x:v>Printer/model and core slicing settings not reported.</x:v>
      </x:c>
      <x:c r="E98" s="12" t="str">
        <x:v>PDF p. 2</x:v>
      </x:c>
      <x:c r="F98" s="12" t="str">
        <x:v>Clear</x:v>
      </x:c>
      <x:c r="G98" s="12" t="str">
        <x:v>Pilot</x:v>
      </x:c>
    </x:row>
    <x:row r="99" ht="15" hidden="0" customHeight="1">
      <x:c r="A99" s="12" t="str">
        <x:v>S017</x:v>
      </x:c>
      <x:c r="B99" s="12" t="str">
        <x:v>L2</x:v>
      </x:c>
      <x:c r="C99" s="12" t="n">
        <x:v>0</x:v>
      </x:c>
      <x:c r="D99" s="12" t="str">
        <x:v>TPU:PLA ratio is reported but carbon-fiber loading and key electrode/assembly details are absent.</x:v>
      </x:c>
      <x:c r="E99" s="12" t="str">
        <x:v>PDF pp. 2-3</x:v>
      </x:c>
      <x:c r="F99" s="12" t="str">
        <x:v>Uncertain</x:v>
      </x:c>
      <x:c r="G99" s="12" t="str">
        <x:v>Pilot</x:v>
      </x:c>
    </x:row>
    <x:row r="100" ht="15" hidden="0" customHeight="1">
      <x:c r="A100" s="12" t="str">
        <x:v>S017</x:v>
      </x:c>
      <x:c r="B100" s="12" t="str">
        <x:v>L3</x:v>
      </x:c>
      <x:c r="C100" s="12" t="n">
        <x:v>1</x:v>
      </x:c>
      <x:c r="D100" s="12" t="str">
        <x:v>Force, displacement, frequency and load resistance are controlled/described.</x:v>
      </x:c>
      <x:c r="E100" s="12" t="str">
        <x:v>PDF pp. 2-4</x:v>
      </x:c>
      <x:c r="F100" s="12" t="str">
        <x:v>Clear</x:v>
      </x:c>
      <x:c r="G100" s="12" t="str">
        <x:v>Pilot</x:v>
      </x:c>
    </x:row>
    <x:row r="101" ht="15" hidden="0" customHeight="1">
      <x:c r="A101" s="12" t="str">
        <x:v>S017</x:v>
      </x:c>
      <x:c r="B101" s="12" t="str">
        <x:v>L4</x:v>
      </x:c>
      <x:c r="C101" s="12" t="n">
        <x:v>1</x:v>
      </x:c>
      <x:c r="D101" s="12" t="str">
        <x:v>Voltage/current/charge and power density are reported with test conditions.</x:v>
      </x:c>
      <x:c r="E101" s="12" t="str">
        <x:v>PDF pp. 3-4, Fig. 2-3</x:v>
      </x:c>
      <x:c r="F101" s="12" t="str">
        <x:v>Clear</x:v>
      </x:c>
      <x:c r="G101" s="12" t="str">
        <x:v>Pilot</x:v>
      </x:c>
    </x:row>
    <x:row r="102" ht="15" hidden="0" customHeight="1">
      <x:c r="A102" s="12" t="str">
        <x:v>S017</x:v>
      </x:c>
      <x:c r="B102" s="12" t="str">
        <x:v>L5</x:v>
      </x:c>
      <x:c r="C102" s="12" t="n">
        <x:v>1</x:v>
      </x:c>
      <x:c r="D102" s="12" t="str">
        <x:v>1600-cycle output trace and post-buckling retention/recovery values are reported.</x:v>
      </x:c>
      <x:c r="E102" s="12" t="str">
        <x:v>PDF pp. 4-5, Fig. 4-5</x:v>
      </x:c>
      <x:c r="F102" s="12" t="str">
        <x:v>Clear</x:v>
      </x:c>
      <x:c r="G102" s="12" t="str">
        <x:v>Pilot</x:v>
      </x:c>
    </x:row>
    <x:row r="103" ht="15" hidden="0" customHeight="1">
      <x:c r="A103" s="12" t="str">
        <x:v>S017</x:v>
      </x:c>
      <x:c r="B103" s="12" t="str">
        <x:v>L6</x:v>
      </x:c>
      <x:c r="C103" s="12" t="n">
        <x:v>1</x:v>
      </x:c>
      <x:c r="D103" s="12" t="str">
        <x:v>Humidity and buckling/recovery exposures with output response are reported.</x:v>
      </x:c>
      <x:c r="E103" s="12" t="str">
        <x:v>PDF pp. 4-5, Fig. 4</x:v>
      </x:c>
      <x:c r="F103" s="12" t="str">
        <x:v>Clear</x:v>
      </x:c>
      <x:c r="G103" s="12" t="str">
        <x:v>Pilot</x:v>
      </x:c>
    </x:row>
    <x:row r="104" ht="15" hidden="0" customHeight="1">
      <x:c r="A104" s="12" t="str">
        <x:v>S017</x:v>
      </x:c>
      <x:c r="B104" s="12" t="str">
        <x:v>L7</x:v>
      </x:c>
      <x:c r="C104" s="12" t="n">
        <x:v>0</x:v>
      </x:c>
      <x:c r="D104" s="12" t="str">
        <x:v>Body-motion signals are demonstrations; attachment/integration retention is not tested.</x:v>
      </x:c>
      <x:c r="E104" s="12" t="str">
        <x:v>PDF pp. 3-5 checked</x:v>
      </x:c>
      <x:c r="F104" s="12" t="str">
        <x:v>Clear</x:v>
      </x:c>
      <x:c r="G104" s="12" t="str">
        <x:v>Pilot</x:v>
      </x:c>
    </x:row>
    <x:row r="105" ht="15" hidden="0" customHeight="1">
      <x:c r="A105" s="12" t="str">
        <x:v>S017</x:v>
      </x:c>
      <x:c r="B105" s="12" t="str">
        <x:v>L8</x:v>
      </x:c>
      <x:c r="C105" s="12" t="n">
        <x:v>0</x:v>
      </x:c>
      <x:c r="D105" s="12" t="str">
        <x:v>No independently fabricated device comparison or between-device variation.</x:v>
      </x:c>
      <x:c r="E105" s="12" t="str">
        <x:v>PDF pp. 1-6 checked</x:v>
      </x:c>
      <x:c r="F105" s="12" t="str">
        <x:v>Clear</x:v>
      </x:c>
      <x:c r="G105" s="12" t="str">
        <x:v>Pilot</x:v>
      </x:c>
    </x:row>
    <x:row r="106" ht="24" hidden="0" customHeight="1">
      <x:c r="A106" s="12" t="str">
        <x:v>S018</x:v>
      </x:c>
      <x:c r="B106" s="12" t="str">
        <x:v>L1</x:v>
      </x:c>
      <x:c r="C106" s="12" t="n">
        <x:v>0</x:v>
      </x:c>
      <x:c r="D106" s="12" t="str">
        <x:v>Printer/material and some sealing settings reported, but core layer/nozzle/temperature settings are only in cited supplementary data.</x:v>
      </x:c>
      <x:c r="E106" s="12" t="str">
        <x:v>PDF pp. 3–11; Figs. 1–6; Table 1</x:v>
      </x:c>
      <x:c r="F106" s="12" t="str">
        <x:v>Clear</x:v>
      </x:c>
      <x:c r="G106" s="12" t="str">
        <x:v>Batch 02</x:v>
      </x:c>
    </x:row>
    <x:row r="107" ht="15" hidden="0" customHeight="1">
      <x:c r="A107" s="12" t="str">
        <x:v>S018</x:v>
      </x:c>
      <x:c r="B107" s="12" t="str">
        <x:v>L2</x:v>
      </x:c>
      <x:c r="C107" s="12" t="n">
        <x:v>1</x:v>
      </x:c>
      <x:c r="D107" s="12" t="str">
        <x:v>Printed chamber, conduit and transducer interface are described.</x:v>
      </x:c>
      <x:c r="E107" s="12" t="str">
        <x:v>PDF pp. 3–11; Figs. 1–6; Table 1</x:v>
      </x:c>
      <x:c r="F107" s="12" t="str">
        <x:v>Clear</x:v>
      </x:c>
      <x:c r="G107" s="12" t="str">
        <x:v>Batch 02</x:v>
      </x:c>
    </x:row>
    <x:row r="108" ht="15" hidden="0" customHeight="1">
      <x:c r="A108" s="12" t="str">
        <x:v>S018</x:v>
      </x:c>
      <x:c r="B108" s="12" t="str">
        <x:v>L3</x:v>
      </x:c>
      <x:c r="C108" s="12" t="n">
        <x:v>1</x:v>
      </x:c>
      <x:c r="D108" s="12" t="str">
        <x:v>Force plates provide a synchronized reference during stated walking protocols.</x:v>
      </x:c>
      <x:c r="E108" s="12" t="str">
        <x:v>PDF pp. 3–11; Figs. 1–6; Table 1</x:v>
      </x:c>
      <x:c r="F108" s="12" t="str">
        <x:v>Clear</x:v>
      </x:c>
      <x:c r="G108" s="12" t="str">
        <x:v>Batch 02</x:v>
      </x:c>
    </x:row>
    <x:row r="109" ht="15" hidden="0" customHeight="1">
      <x:c r="A109" s="12" t="str">
        <x:v>S018</x:v>
      </x:c>
      <x:c r="B109" s="12" t="str">
        <x:v>L4</x:v>
      </x:c>
      <x:c r="C109" s="12" t="n">
        <x:v>1</x:v>
      </x:c>
      <x:c r="D109" s="12" t="str">
        <x:v>GRF/COP errors and ranges are reported.</x:v>
      </x:c>
      <x:c r="E109" s="12" t="str">
        <x:v>PDF pp. 3–11; Figs. 1–6; Table 1</x:v>
      </x:c>
      <x:c r="F109" s="12" t="str">
        <x:v>Clear</x:v>
      </x:c>
      <x:c r="G109" s="12" t="str">
        <x:v>Batch 02</x:v>
      </x:c>
    </x:row>
    <x:row r="110" ht="15" hidden="0" customHeight="1">
      <x:c r="A110" s="12" t="str">
        <x:v>S018</x:v>
      </x:c>
      <x:c r="B110" s="12" t="str">
        <x:v>L5</x:v>
      </x:c>
      <x:c r="C110" s="12" t="n">
        <x:v>0</x:v>
      </x:c>
      <x:c r="D110" s="12" t="str">
        <x:v>Repeated steps support model evaluation but do not report same-device response retention/stability.</x:v>
      </x:c>
      <x:c r="E110" s="12" t="str">
        <x:v>PDF pp. 3–11; Figs. 1–6; Table 1</x:v>
      </x:c>
      <x:c r="F110" s="12" t="str">
        <x:v>Clear</x:v>
      </x:c>
      <x:c r="G110" s="12" t="str">
        <x:v>Batch 02</x:v>
      </x:c>
    </x:row>
    <x:row r="111" ht="15" hidden="0" customHeight="1">
      <x:c r="A111" s="12" t="str">
        <x:v>S018</x:v>
      </x:c>
      <x:c r="B111" s="12" t="str">
        <x:v>L6</x:v>
      </x:c>
      <x:c r="C111" s="12" t="n">
        <x:v>0</x:v>
      </x:c>
      <x:c r="D111" s="12" t="str">
        <x:v>Walking speed is part of the intended measurement protocol; no separate qualifying exposure response.</x:v>
      </x:c>
      <x:c r="E111" s="12" t="str">
        <x:v>PDF pp. 3–11; Figs. 1–6; Table 1</x:v>
      </x:c>
      <x:c r="F111" s="12" t="str">
        <x:v>Clear</x:v>
      </x:c>
      <x:c r="G111" s="12" t="str">
        <x:v>Batch 02</x:v>
      </x:c>
    </x:row>
    <x:row r="112" ht="15" hidden="0" customHeight="1">
      <x:c r="A112" s="12" t="str">
        <x:v>S018</x:v>
      </x:c>
      <x:c r="B112" s="12" t="str">
        <x:v>L7</x:v>
      </x:c>
      <x:c r="C112" s="12" t="n">
        <x:v>1</x:v>
      </x:c>
      <x:c r="D112" s="12" t="str">
        <x:v>Hundreds of loaded steps were completed and the insole was reported airtight and intact.</x:v>
      </x:c>
      <x:c r="E112" s="12" t="str">
        <x:v>PDF pp. 3–11; Figs. 1–6; Table 1</x:v>
      </x:c>
      <x:c r="F112" s="12" t="str">
        <x:v>Clear</x:v>
      </x:c>
      <x:c r="G112" s="12" t="str">
        <x:v>Batch 02</x:v>
      </x:c>
    </x:row>
    <x:row r="113" ht="15" hidden="0" customHeight="1">
      <x:c r="A113" s="12" t="str">
        <x:v>S018</x:v>
      </x:c>
      <x:c r="B113" s="12" t="str">
        <x:v>L8</x:v>
      </x:c>
      <x:c r="C113" s="12" t="n">
        <x:v>0</x:v>
      </x:c>
      <x:c r="D113" s="12" t="str">
        <x:v>One insole; two chambers are channels.</x:v>
      </x:c>
      <x:c r="E113" s="12" t="str">
        <x:v>PDF pp. 3–11; Figs. 1–6; Table 1</x:v>
      </x:c>
      <x:c r="F113" s="12" t="str">
        <x:v>Clear</x:v>
      </x:c>
      <x:c r="G113" s="12" t="str">
        <x:v>Batch 02</x:v>
      </x:c>
    </x:row>
    <x:row r="114" ht="15" hidden="0" customHeight="1">
      <x:c r="A114" s="12" t="str">
        <x:v>S019</x:v>
      </x:c>
      <x:c r="B114" s="12" t="str">
        <x:v>L1</x:v>
      </x:c>
      <x:c r="C114" s="12" t="n">
        <x:v>1</x:v>
      </x:c>
      <x:c r="D114" s="12" t="str">
        <x:v>Printer, filament, nozzle, temperature, speed, layer height, geometry and orientation are reported.</x:v>
      </x:c>
      <x:c r="E114" s="12" t="str">
        <x:v>PDF pp. 2–8; Figs. 1–7</x:v>
      </x:c>
      <x:c r="F114" s="12" t="str">
        <x:v>Clear</x:v>
      </x:c>
      <x:c r="G114" s="12" t="str">
        <x:v>Batch 02</x:v>
      </x:c>
    </x:row>
    <x:row r="115" ht="15" hidden="0" customHeight="1">
      <x:c r="A115" s="12" t="str">
        <x:v>S019</x:v>
      </x:c>
      <x:c r="B115" s="12" t="str">
        <x:v>L2</x:v>
      </x:c>
      <x:c r="C115" s="12" t="n">
        <x:v>1</x:v>
      </x:c>
      <x:c r="D115" s="12" t="str">
        <x:v>Commercial CNT/TPU sensing filament and wearable electronics are identified.</x:v>
      </x:c>
      <x:c r="E115" s="12" t="str">
        <x:v>PDF pp. 2–8; Figs. 1–7</x:v>
      </x:c>
      <x:c r="F115" s="12" t="str">
        <x:v>Clear</x:v>
      </x:c>
      <x:c r="G115" s="12" t="str">
        <x:v>Batch 02</x:v>
      </x:c>
    </x:row>
    <x:row r="116" ht="15" hidden="0" customHeight="1">
      <x:c r="A116" s="12" t="str">
        <x:v>S019</x:v>
      </x:c>
      <x:c r="B116" s="12" t="str">
        <x:v>L3</x:v>
      </x:c>
      <x:c r="C116" s="12" t="n">
        <x:v>1</x:v>
      </x:c>
      <x:c r="D116" s="12" t="str">
        <x:v>UTM/load cell with source meter and strain protocol are specified.</x:v>
      </x:c>
      <x:c r="E116" s="12" t="str">
        <x:v>PDF pp. 2–8; Figs. 1–7</x:v>
      </x:c>
      <x:c r="F116" s="12" t="str">
        <x:v>Clear</x:v>
      </x:c>
      <x:c r="G116" s="12" t="str">
        <x:v>Batch 02</x:v>
      </x:c>
    </x:row>
    <x:row r="117" ht="15" hidden="0" customHeight="1">
      <x:c r="A117" s="12" t="str">
        <x:v>S019</x:v>
      </x:c>
      <x:c r="B117" s="12" t="str">
        <x:v>L4</x:v>
      </x:c>
      <x:c r="C117" s="12" t="n">
        <x:v>1</x:v>
      </x:c>
      <x:c r="D117" s="12" t="str">
        <x:v>GF, hysteresis, time response and ranges are reported.</x:v>
      </x:c>
      <x:c r="E117" s="12" t="str">
        <x:v>PDF pp. 2–8; Figs. 1–7</x:v>
      </x:c>
      <x:c r="F117" s="12" t="str">
        <x:v>Clear</x:v>
      </x:c>
      <x:c r="G117" s="12" t="str">
        <x:v>Batch 02</x:v>
      </x:c>
    </x:row>
    <x:row r="118" ht="15" hidden="0" customHeight="1">
      <x:c r="A118" s="12" t="str">
        <x:v>S019</x:v>
      </x:c>
      <x:c r="B118" s="12" t="str">
        <x:v>L5</x:v>
      </x:c>
      <x:c r="C118" s="12" t="n">
        <x:v>1</x:v>
      </x:c>
      <x:c r="D118" s="12" t="str">
        <x:v>10,000 strain/release cycles with quantified end difference.</x:v>
      </x:c>
      <x:c r="E118" s="12" t="str">
        <x:v>PDF pp. 2–8; Figs. 1–7</x:v>
      </x:c>
      <x:c r="F118" s="12" t="str">
        <x:v>Clear</x:v>
      </x:c>
      <x:c r="G118" s="12" t="str">
        <x:v>Batch 02</x:v>
      </x:c>
    </x:row>
    <x:row r="119" ht="15" hidden="0" customHeight="1">
      <x:c r="A119" s="12" t="str">
        <x:v>S019</x:v>
      </x:c>
      <x:c r="B119" s="12" t="str">
        <x:v>L6</x:v>
      </x:c>
      <x:c r="C119" s="12" t="n">
        <x:v>1</x:v>
      </x:c>
      <x:c r="D119" s="12" t="str">
        <x:v>Response was measured from 20–30 °C.</x:v>
      </x:c>
      <x:c r="E119" s="12" t="str">
        <x:v>PDF pp. 2–8; Figs. 1–7</x:v>
      </x:c>
      <x:c r="F119" s="12" t="str">
        <x:v>Clear</x:v>
      </x:c>
      <x:c r="G119" s="12" t="str">
        <x:v>Batch 02</x:v>
      </x:c>
    </x:row>
    <x:row r="120" ht="15" hidden="0" customHeight="1">
      <x:c r="A120" s="12" t="str">
        <x:v>S019</x:v>
      </x:c>
      <x:c r="B120" s="12" t="str">
        <x:v>L7</x:v>
      </x:c>
      <x:c r="C120" s="12" t="n">
        <x:v>0</x:v>
      </x:c>
      <x:c r="D120" s="12" t="str">
        <x:v>Glove demonstration lacks a quantitative attachment/integration endpoint.</x:v>
      </x:c>
      <x:c r="E120" s="12" t="str">
        <x:v>PDF pp. 2–8; Figs. 1–7</x:v>
      </x:c>
      <x:c r="F120" s="12" t="str">
        <x:v>Clear</x:v>
      </x:c>
      <x:c r="G120" s="12" t="str">
        <x:v>Batch 02</x:v>
      </x:c>
    </x:row>
    <x:row r="121" ht="15" hidden="0" customHeight="1">
      <x:c r="A121" s="12" t="str">
        <x:v>S019</x:v>
      </x:c>
      <x:c r="B121" s="12" t="str">
        <x:v>L8</x:v>
      </x:c>
      <x:c r="C121" s="12" t="n">
        <x:v>1</x:v>
      </x:c>
      <x:c r="D121" s="12" t="str">
        <x:v>Five separately printed sensors per orientation were averaged.</x:v>
      </x:c>
      <x:c r="E121" s="12" t="str">
        <x:v>PDF pp. 2–8; Figs. 1–7</x:v>
      </x:c>
      <x:c r="F121" s="12" t="str">
        <x:v>Clear</x:v>
      </x:c>
      <x:c r="G121" s="12" t="str">
        <x:v>Batch 02</x:v>
      </x:c>
    </x:row>
    <x:row r="122" ht="15" hidden="0" customHeight="1">
      <x:c r="A122" s="12" t="str">
        <x:v>S020</x:v>
      </x:c>
      <x:c r="B122" s="12" t="str">
        <x:v>L1</x:v>
      </x:c>
      <x:c r="C122" s="12" t="n">
        <x:v>0</x:v>
      </x:c>
      <x:c r="D122" s="12" t="str">
        <x:v>Printer and materials are named, but nozzle, temperature, speed, layer height, toolpath and infill are absent.</x:v>
      </x:c>
      <x:c r="E122" s="12" t="str">
        <x:v>PDF pp. 5–14; Figs. 5–12</x:v>
      </x:c>
      <x:c r="F122" s="12" t="str">
        <x:v>Clear</x:v>
      </x:c>
      <x:c r="G122" s="12" t="str">
        <x:v>Batch 02</x:v>
      </x:c>
    </x:row>
    <x:row r="123" ht="15" hidden="0" customHeight="1">
      <x:c r="A123" s="12" t="str">
        <x:v>S020</x:v>
      </x:c>
      <x:c r="B123" s="12" t="str">
        <x:v>L2</x:v>
      </x:c>
      <x:c r="C123" s="12" t="n">
        <x:v>1</x:v>
      </x:c>
      <x:c r="D123" s="12" t="str">
        <x:v>Insulating/conductive TPU, assembly, shield and readout are described.</x:v>
      </x:c>
      <x:c r="E123" s="12" t="str">
        <x:v>PDF pp. 5–14; Figs. 5–12</x:v>
      </x:c>
      <x:c r="F123" s="12" t="str">
        <x:v>Clear</x:v>
      </x:c>
      <x:c r="G123" s="12" t="str">
        <x:v>Batch 02</x:v>
      </x:c>
    </x:row>
    <x:row r="124" ht="15" hidden="0" customHeight="1">
      <x:c r="A124" s="12" t="str">
        <x:v>S020</x:v>
      </x:c>
      <x:c r="B124" s="12" t="str">
        <x:v>L3</x:v>
      </x:c>
      <x:c r="C124" s="12" t="n">
        <x:v>1</x:v>
      </x:c>
      <x:c r="D124" s="12" t="str">
        <x:v>Force-controlled bench and robot end-effector references are specified.</x:v>
      </x:c>
      <x:c r="E124" s="12" t="str">
        <x:v>PDF pp. 5–14; Figs. 5–12</x:v>
      </x:c>
      <x:c r="F124" s="12" t="str">
        <x:v>Clear</x:v>
      </x:c>
      <x:c r="G124" s="12" t="str">
        <x:v>Batch 02</x:v>
      </x:c>
    </x:row>
    <x:row r="125" ht="15" hidden="0" customHeight="1">
      <x:c r="A125" s="12" t="str">
        <x:v>S020</x:v>
      </x:c>
      <x:c r="B125" s="12" t="str">
        <x:v>L4</x:v>
      </x:c>
      <x:c r="C125" s="12" t="n">
        <x:v>1</x:v>
      </x:c>
      <x:c r="D125" s="12" t="str">
        <x:v>Capacitance/force, hysteresis, response time and prediction metrics are reported.</x:v>
      </x:c>
      <x:c r="E125" s="12" t="str">
        <x:v>PDF pp. 5–14; Figs. 5–12</x:v>
      </x:c>
      <x:c r="F125" s="12" t="str">
        <x:v>Clear</x:v>
      </x:c>
      <x:c r="G125" s="12" t="str">
        <x:v>Batch 02</x:v>
      </x:c>
    </x:row>
    <x:row r="126" ht="15" hidden="0" customHeight="1">
      <x:c r="A126" s="12" t="str">
        <x:v>S020</x:v>
      </x:c>
      <x:c r="B126" s="12" t="str">
        <x:v>L5</x:v>
      </x:c>
      <x:c r="C126" s="12" t="n">
        <x:v>1</x:v>
      </x:c>
      <x:c r="D126" s="12" t="str">
        <x:v>10–200 cycle tests and four repeated constant-load trials report drift/repeatability.</x:v>
      </x:c>
      <x:c r="E126" s="12" t="str">
        <x:v>PDF pp. 5–14; Figs. 5–12</x:v>
      </x:c>
      <x:c r="F126" s="12" t="str">
        <x:v>Clear</x:v>
      </x:c>
      <x:c r="G126" s="12" t="str">
        <x:v>Batch 02</x:v>
      </x:c>
    </x:row>
    <x:row r="127" ht="15" hidden="0" customHeight="1">
      <x:c r="A127" s="12" t="str">
        <x:v>S020</x:v>
      </x:c>
      <x:c r="B127" s="12" t="str">
        <x:v>L6</x:v>
      </x:c>
      <x:c r="C127" s="12" t="n">
        <x:v>0</x:v>
      </x:c>
      <x:c r="D127" s="12" t="str">
        <x:v>No declared environmental/use exposure distinct from load and integration variables.</x:v>
      </x:c>
      <x:c r="E127" s="12" t="str">
        <x:v>PDF pp. 5–14; Figs. 5–12</x:v>
      </x:c>
      <x:c r="F127" s="12" t="str">
        <x:v>Clear</x:v>
      </x:c>
      <x:c r="G127" s="12" t="str">
        <x:v>Batch 02</x:v>
      </x:c>
    </x:row>
    <x:row r="128" ht="15" hidden="0" customHeight="1">
      <x:c r="A128" s="12" t="str">
        <x:v>S020</x:v>
      </x:c>
      <x:c r="B128" s="12" t="str">
        <x:v>L7</x:v>
      </x:c>
      <x:c r="C128" s="12" t="n">
        <x:v>0</x:v>
      </x:c>
      <x:c r="D128" s="12" t="str">
        <x:v>The authors state sensors were characterized on a test bench. Drift in Fig. 7a is discussed as a greater concern for longer tasks or breaks, while the human trial illustrates in-situ calibration.</x:v>
      </x:c>
      <x:c r="E128" s="12" t="str">
        <x:v>S020_Main.pdf, physical pp. 13-14, human-in-the-loop results and Discussion; Fig. 7a bench characterization.</x:v>
      </x:c>
      <x:c r="F128" s="12" t="str">
        <x:v>High</x:v>
      </x:c>
      <x:c r="G128" s="12" t="str">
        <x:v>Final L7 reassessment</x:v>
      </x:c>
    </x:row>
    <x:row r="129" ht="15" hidden="0" customHeight="1">
      <x:c r="A129" s="12" t="str">
        <x:v>S020</x:v>
      </x:c>
      <x:c r="B129" s="12" t="str">
        <x:v>L8</x:v>
      </x:c>
      <x:c r="C129" s="12" t="n">
        <x:v>1</x:v>
      </x:c>
      <x:c r="D129" s="12" t="str">
        <x:v>Four identically printed sensors were compared under the same load.</x:v>
      </x:c>
      <x:c r="E129" s="12" t="str">
        <x:v>PDF pp. 5–14; Figs. 5–12</x:v>
      </x:c>
      <x:c r="F129" s="12" t="str">
        <x:v>Clear</x:v>
      </x:c>
      <x:c r="G129" s="12" t="str">
        <x:v>Batch 02</x:v>
      </x:c>
    </x:row>
    <x:row r="130" ht="15" hidden="0" customHeight="1">
      <x:c r="A130" s="12" t="str">
        <x:v>S021</x:v>
      </x:c>
      <x:c r="B130" s="12" t="str">
        <x:v>L1</x:v>
      </x:c>
      <x:c r="C130" s="12" t="n">
        <x:v>0</x:v>
      </x:c>
      <x:c r="D130" s="12" t="str">
        <x:v>TPU/FDM and structure are reported, but printer and core settings are absent.</x:v>
      </x:c>
      <x:c r="E130" s="12" t="str">
        <x:v>PDF pp. 3–12; Figs. 1–8; Table 1</x:v>
      </x:c>
      <x:c r="F130" s="12" t="str">
        <x:v>Clear</x:v>
      </x:c>
      <x:c r="G130" s="12" t="str">
        <x:v>Batch 02</x:v>
      </x:c>
    </x:row>
    <x:row r="131" ht="15" hidden="0" customHeight="1">
      <x:c r="A131" s="12" t="str">
        <x:v>S021</x:v>
      </x:c>
      <x:c r="B131" s="12" t="str">
        <x:v>L2</x:v>
      </x:c>
      <x:c r="C131" s="12" t="n">
        <x:v>1</x:v>
      </x:c>
      <x:c r="D131" s="12" t="str">
        <x:v>TPU skeleton, optical fibres, PDMS and sensing roles are described.</x:v>
      </x:c>
      <x:c r="E131" s="12" t="str">
        <x:v>PDF pp. 3–12; Figs. 1–8; Table 1</x:v>
      </x:c>
      <x:c r="F131" s="12" t="str">
        <x:v>Clear</x:v>
      </x:c>
      <x:c r="G131" s="12" t="str">
        <x:v>Batch 02</x:v>
      </x:c>
    </x:row>
    <x:row r="132" ht="15" hidden="0" customHeight="1">
      <x:c r="A132" s="12" t="str">
        <x:v>S021</x:v>
      </x:c>
      <x:c r="B132" s="12" t="str">
        <x:v>L3</x:v>
      </x:c>
      <x:c r="C132" s="12" t="n">
        <x:v>1</x:v>
      </x:c>
      <x:c r="D132" s="12" t="str">
        <x:v>IMUs provide reference joint angles and separate-session validation is described.</x:v>
      </x:c>
      <x:c r="E132" s="12" t="str">
        <x:v>PDF pp. 3–12; Figs. 1–8; Table 1</x:v>
      </x:c>
      <x:c r="F132" s="12" t="str">
        <x:v>Clear</x:v>
      </x:c>
      <x:c r="G132" s="12" t="str">
        <x:v>Batch 02</x:v>
      </x:c>
    </x:row>
    <x:row r="133" ht="15" hidden="0" customHeight="1">
      <x:c r="A133" s="12" t="str">
        <x:v>S021</x:v>
      </x:c>
      <x:c r="B133" s="12" t="str">
        <x:v>L4</x:v>
      </x:c>
      <x:c r="C133" s="12" t="n">
        <x:v>1</x:v>
      </x:c>
      <x:c r="D133" s="12" t="str">
        <x:v>MAE and classification outcomes are reported.</x:v>
      </x:c>
      <x:c r="E133" s="12" t="str">
        <x:v>PDF pp. 3–12; Figs. 1–8; Table 1</x:v>
      </x:c>
      <x:c r="F133" s="12" t="str">
        <x:v>Clear</x:v>
      </x:c>
      <x:c r="G133" s="12" t="str">
        <x:v>Batch 02</x:v>
      </x:c>
    </x:row>
    <x:row r="134" ht="15" hidden="0" customHeight="1">
      <x:c r="A134" s="12" t="str">
        <x:v>S021</x:v>
      </x:c>
      <x:c r="B134" s="12" t="str">
        <x:v>L5</x:v>
      </x:c>
      <x:c r="C134" s="12" t="n">
        <x:v>0</x:v>
      </x:c>
      <x:c r="D134" s="12" t="str">
        <x:v>Large sample counts and two sessions do not state at least three complete repeated cycles with a stability endpoint.</x:v>
      </x:c>
      <x:c r="E134" s="12" t="str">
        <x:v>PDF pp. 3–12; Figs. 1–8; Table 1</x:v>
      </x:c>
      <x:c r="F134" s="12" t="str">
        <x:v>Clear</x:v>
      </x:c>
      <x:c r="G134" s="12" t="str">
        <x:v>Batch 02</x:v>
      </x:c>
    </x:row>
    <x:row r="135" ht="15" hidden="0" customHeight="1">
      <x:c r="A135" s="12" t="str">
        <x:v>S021</x:v>
      </x:c>
      <x:c r="B135" s="12" t="str">
        <x:v>L6</x:v>
      </x:c>
      <x:c r="C135" s="12" t="n">
        <x:v>0</x:v>
      </x:c>
      <x:c r="D135" s="12" t="str">
        <x:v>Temperature was not varied; stable indoor conditions were assumed.</x:v>
      </x:c>
      <x:c r="E135" s="12" t="str">
        <x:v>PDF pp. 3–12; Figs. 1–8; Table 1</x:v>
      </x:c>
      <x:c r="F135" s="12" t="str">
        <x:v>Clear</x:v>
      </x:c>
      <x:c r="G135" s="12" t="str">
        <x:v>Batch 02</x:v>
      </x:c>
    </x:row>
    <x:row r="136" ht="15" hidden="0" customHeight="1">
      <x:c r="A136" s="12" t="str">
        <x:v>S021</x:v>
      </x:c>
      <x:c r="B136" s="12" t="str">
        <x:v>L7</x:v>
      </x:c>
      <x:c r="C136" s="12" t="n">
        <x:v>1</x:v>
      </x:c>
      <x:c r="D136" s="12" t="str">
        <x:v>Removal/re-wearing and a separate-session validation quantify integrated-system transfer after reapplication.</x:v>
      </x:c>
      <x:c r="E136" s="12" t="str">
        <x:v>PDF pp. 3–12; Figs. 1–8; Table 1</x:v>
      </x:c>
      <x:c r="F136" s="12" t="str">
        <x:v>Clear</x:v>
      </x:c>
      <x:c r="G136" s="12" t="str">
        <x:v>Batch 02</x:v>
      </x:c>
    </x:row>
    <x:row r="137" ht="15" hidden="0" customHeight="1">
      <x:c r="A137" s="12" t="str">
        <x:v>S021</x:v>
      </x:c>
      <x:c r="B137" s="12" t="str">
        <x:v>L8</x:v>
      </x:c>
      <x:c r="C137" s="12" t="n">
        <x:v>0</x:v>
      </x:c>
      <x:c r="D137" s="12" t="str">
        <x:v>One glove; nodes and sessions are not separate fabricated devices.</x:v>
      </x:c>
      <x:c r="E137" s="12" t="str">
        <x:v>PDF pp. 3–12; Figs. 1–8; Table 1</x:v>
      </x:c>
      <x:c r="F137" s="12" t="str">
        <x:v>Clear</x:v>
      </x:c>
      <x:c r="G137" s="12" t="str">
        <x:v>Batch 02</x:v>
      </x:c>
    </x:row>
    <x:row r="138" ht="15" hidden="0" customHeight="1">
      <x:c r="A138" s="12" t="str">
        <x:v>S022</x:v>
      </x:c>
      <x:c r="B138" s="12" t="str">
        <x:v>L1</x:v>
      </x:c>
      <x:c r="C138" s="12" t="n">
        <x:v>0</x:v>
      </x:c>
      <x:c r="D138" s="12" t="str">
        <x:v>Printer and scaffold geometry are reported; core print settings are only in Supplementary Table S1.</x:v>
      </x:c>
      <x:c r="E138" s="12" t="str">
        <x:v>PDF pp. 1–9; Figs. 1–6; cited SI</x:v>
      </x:c>
      <x:c r="F138" s="12" t="str">
        <x:v>Clear</x:v>
      </x:c>
      <x:c r="G138" s="12" t="str">
        <x:v>Batch 02</x:v>
      </x:c>
    </x:row>
    <x:row r="139" ht="15" hidden="0" customHeight="1">
      <x:c r="A139" s="12" t="str">
        <x:v>S022</x:v>
      </x:c>
      <x:c r="B139" s="12" t="str">
        <x:v>L2</x:v>
      </x:c>
      <x:c r="C139" s="12" t="n">
        <x:v>1</x:v>
      </x:c>
      <x:c r="D139" s="12" t="str">
        <x:v>TPU, CB dispersion/impregnation and electrode/readout roles are described.</x:v>
      </x:c>
      <x:c r="E139" s="12" t="str">
        <x:v>PDF pp. 1–9; Figs. 1–6; cited SI</x:v>
      </x:c>
      <x:c r="F139" s="12" t="str">
        <x:v>Clear</x:v>
      </x:c>
      <x:c r="G139" s="12" t="str">
        <x:v>Batch 02</x:v>
      </x:c>
    </x:row>
    <x:row r="140" ht="15" hidden="0" customHeight="1">
      <x:c r="A140" s="12" t="str">
        <x:v>S022</x:v>
      </x:c>
      <x:c r="B140" s="12" t="str">
        <x:v>L3</x:v>
      </x:c>
      <x:c r="C140" s="12" t="n">
        <x:v>1</x:v>
      </x:c>
      <x:c r="D140" s="12" t="str">
        <x:v>Controlled compression with tester and multimeter is described.</x:v>
      </x:c>
      <x:c r="E140" s="12" t="str">
        <x:v>PDF pp. 1–9; Figs. 1–6; cited SI</x:v>
      </x:c>
      <x:c r="F140" s="12" t="str">
        <x:v>Clear</x:v>
      </x:c>
      <x:c r="G140" s="12" t="str">
        <x:v>Batch 02</x:v>
      </x:c>
    </x:row>
    <x:row r="141" ht="15" hidden="0" customHeight="1">
      <x:c r="A141" s="12" t="str">
        <x:v>S022</x:v>
      </x:c>
      <x:c r="B141" s="12" t="str">
        <x:v>L4</x:v>
      </x:c>
      <x:c r="C141" s="12" t="n">
        <x:v>1</x:v>
      </x:c>
      <x:c r="D141" s="12" t="str">
        <x:v>Stage-specific GF, range and response time are reported.</x:v>
      </x:c>
      <x:c r="E141" s="12" t="str">
        <x:v>PDF pp. 1–9; Figs. 1–6; cited SI</x:v>
      </x:c>
      <x:c r="F141" s="12" t="str">
        <x:v>Clear</x:v>
      </x:c>
      <x:c r="G141" s="12" t="str">
        <x:v>Batch 02</x:v>
      </x:c>
    </x:row>
    <x:row r="142" ht="15" hidden="0" customHeight="1">
      <x:c r="A142" s="12" t="str">
        <x:v>S022</x:v>
      </x:c>
      <x:c r="B142" s="12" t="str">
        <x:v>L5</x:v>
      </x:c>
      <x:c r="C142" s="12" t="n">
        <x:v>1</x:v>
      </x:c>
      <x:c r="D142" s="12" t="str">
        <x:v>1000 compression-release cycles with &lt;5% deviation.</x:v>
      </x:c>
      <x:c r="E142" s="12" t="str">
        <x:v>PDF pp. 1–9; Figs. 1–6; cited SI</x:v>
      </x:c>
      <x:c r="F142" s="12" t="str">
        <x:v>Clear</x:v>
      </x:c>
      <x:c r="G142" s="12" t="str">
        <x:v>Batch 02</x:v>
      </x:c>
    </x:row>
    <x:row r="143" ht="24" hidden="0" customHeight="1">
      <x:c r="A143" s="12" t="str">
        <x:v>S022</x:v>
      </x:c>
      <x:c r="B143" s="12" t="str">
        <x:v>L6</x:v>
      </x:c>
      <x:c r="C143" s="12" t="n">
        <x:v>1</x:v>
      </x:c>
      <x:c r="D143" s="12" t="str">
        <x:v>Resistance response was measured from 23% to 85% RH; the reported normalized-resistance variation was on the order of 10^-3.</x:v>
      </x:c>
      <x:c r="E143" s="12" t="str">
        <x:v>Supplementary Fig. S9</x:v>
      </x:c>
      <x:c r="F143" s="12" t="str">
        <x:v>Clear</x:v>
      </x:c>
      <x:c r="G143" s="12" t="str">
        <x:v>Supplement verified 2026-09-03</x:v>
      </x:c>
    </x:row>
    <x:row r="144" ht="15" hidden="0" customHeight="1">
      <x:c r="A144" s="12" t="str">
        <x:v>S022</x:v>
      </x:c>
      <x:c r="B144" s="12" t="str">
        <x:v>L7</x:v>
      </x:c>
      <x:c r="C144" s="12" t="n">
        <x:v>1</x:v>
      </x:c>
      <x:c r="D144" s="12" t="str">
        <x:v>Normal walking produces periodic waveforms with uniform amplitude, contrasted with variable limping signals; the sole configuration is shown alongside the worn application.</x:v>
      </x:c>
      <x:c r="E144" s="12" t="str">
        <x:v>S022_Main.pdf, physical p. 6, full-body monitoring paragraph; p. 7, Fig. 6h-j. Supplied supplement contains separate bench characterization.</x:v>
      </x:c>
      <x:c r="F144" s="12" t="str">
        <x:v>Moderate</x:v>
      </x:c>
      <x:c r="G144" s="12" t="str">
        <x:v>Final L7 reassessment</x:v>
      </x:c>
    </x:row>
    <x:row r="145" ht="15" hidden="0" customHeight="1">
      <x:c r="A145" s="12" t="str">
        <x:v>S022</x:v>
      </x:c>
      <x:c r="B145" s="12" t="str">
        <x:v>L8</x:v>
      </x:c>
      <x:c r="C145" s="12" t="n">
        <x:v>0</x:v>
      </x:c>
      <x:c r="D145" s="12" t="str">
        <x:v>n=5 applies to mechanical architecture tests; quantitative functional sensor replication is unclear.</x:v>
      </x:c>
      <x:c r="E145" s="12" t="str">
        <x:v>PDF pp. 1–9; Figs. 1–6; cited SI</x:v>
      </x:c>
      <x:c r="F145" s="12" t="str">
        <x:v>Clear</x:v>
      </x:c>
      <x:c r="G145" s="12" t="str">
        <x:v>Batch 02</x:v>
      </x:c>
    </x:row>
    <x:row r="146" ht="15" hidden="0" customHeight="1">
      <x:c r="A146" s="12" t="str">
        <x:v>S023</x:v>
      </x:c>
      <x:c r="B146" s="12" t="str">
        <x:v>L1</x:v>
      </x:c>
      <x:c r="C146" s="12" t="n">
        <x:v>1</x:v>
      </x:c>
      <x:c r="D146" s="12" t="str">
        <x:v>Printer, nozzle, temperatures, speed, layer, infill, toolpath and geometry are reported.</x:v>
      </x:c>
      <x:c r="E146" s="12" t="str">
        <x:v>PDF pp. 3–16; Figs. 2–10; Tables 1–2</x:v>
      </x:c>
      <x:c r="F146" s="12" t="str">
        <x:v>Clear</x:v>
      </x:c>
      <x:c r="G146" s="12" t="str">
        <x:v>Batch 02</x:v>
      </x:c>
    </x:row>
    <x:row r="147" ht="15" hidden="0" customHeight="1">
      <x:c r="A147" s="12" t="str">
        <x:v>S023</x:v>
      </x:c>
      <x:c r="B147" s="12" t="str">
        <x:v>L2</x:v>
      </x:c>
      <x:c r="C147" s="12" t="n">
        <x:v>1</x:v>
      </x:c>
      <x:c r="D147" s="12" t="str">
        <x:v>TPU and CFC composition/roles and integration are reported.</x:v>
      </x:c>
      <x:c r="E147" s="12" t="str">
        <x:v>PDF pp. 3–16; Figs. 2–10; Tables 1–2</x:v>
      </x:c>
      <x:c r="F147" s="12" t="str">
        <x:v>Clear</x:v>
      </x:c>
      <x:c r="G147" s="12" t="str">
        <x:v>Batch 02</x:v>
      </x:c>
    </x:row>
    <x:row r="148" ht="15" hidden="0" customHeight="1">
      <x:c r="A148" s="12" t="str">
        <x:v>S023</x:v>
      </x:c>
      <x:c r="B148" s="12" t="str">
        <x:v>L3</x:v>
      </x:c>
      <x:c r="C148" s="12" t="n">
        <x:v>1</x:v>
      </x:c>
      <x:c r="D148" s="12" t="str">
        <x:v>Controlled tensile and electrical measurements with defined ranges/speeds.</x:v>
      </x:c>
      <x:c r="E148" s="12" t="str">
        <x:v>PDF pp. 3–16; Figs. 2–10; Tables 1–2</x:v>
      </x:c>
      <x:c r="F148" s="12" t="str">
        <x:v>Clear</x:v>
      </x:c>
      <x:c r="G148" s="12" t="str">
        <x:v>Batch 02</x:v>
      </x:c>
    </x:row>
    <x:row r="149" ht="15" hidden="0" customHeight="1">
      <x:c r="A149" s="12" t="str">
        <x:v>S023</x:v>
      </x:c>
      <x:c r="B149" s="12" t="str">
        <x:v>L4</x:v>
      </x:c>
      <x:c r="C149" s="12" t="n">
        <x:v>1</x:v>
      </x:c>
      <x:c r="D149" s="12" t="str">
        <x:v>Resistance, sensitivity, hysteresis, drift and deformation ranges are reported.</x:v>
      </x:c>
      <x:c r="E149" s="12" t="str">
        <x:v>PDF pp. 3–16; Figs. 2–10; Tables 1–2</x:v>
      </x:c>
      <x:c r="F149" s="12" t="str">
        <x:v>Clear</x:v>
      </x:c>
      <x:c r="G149" s="12" t="str">
        <x:v>Batch 02</x:v>
      </x:c>
    </x:row>
    <x:row r="150" ht="15" hidden="0" customHeight="1">
      <x:c r="A150" s="12" t="str">
        <x:v>S023</x:v>
      </x:c>
      <x:c r="B150" s="12" t="str">
        <x:v>L5</x:v>
      </x:c>
      <x:c r="C150" s="12" t="n">
        <x:v>1</x:v>
      </x:c>
      <x:c r="D150" s="12" t="str">
        <x:v>10,000 cycles with individual sample trajectories and failure boundary.</x:v>
      </x:c>
      <x:c r="E150" s="12" t="str">
        <x:v>PDF pp. 3–16; Figs. 2–10; Tables 1–2</x:v>
      </x:c>
      <x:c r="F150" s="12" t="str">
        <x:v>Clear</x:v>
      </x:c>
      <x:c r="G150" s="12" t="str">
        <x:v>Batch 02</x:v>
      </x:c>
    </x:row>
    <x:row r="151" ht="15" hidden="0" customHeight="1">
      <x:c r="A151" s="12" t="str">
        <x:v>S023</x:v>
      </x:c>
      <x:c r="B151" s="12" t="str">
        <x:v>L6</x:v>
      </x:c>
      <x:c r="C151" s="12" t="n">
        <x:v>0</x:v>
      </x:c>
      <x:c r="D151" s="12" t="str">
        <x:v>No qualifying environmental exposure response.</x:v>
      </x:c>
      <x:c r="E151" s="12" t="str">
        <x:v>PDF pp. 3–16; Figs. 2–10; Tables 1–2</x:v>
      </x:c>
      <x:c r="F151" s="12" t="str">
        <x:v>Clear</x:v>
      </x:c>
      <x:c r="G151" s="12" t="str">
        <x:v>Batch 02</x:v>
      </x:c>
    </x:row>
    <x:row r="152" ht="15" hidden="0" customHeight="1">
      <x:c r="A152" s="12" t="str">
        <x:v>S023</x:v>
      </x:c>
      <x:c r="B152" s="12" t="str">
        <x:v>L7</x:v>
      </x:c>
      <x:c r="C152" s="12" t="n">
        <x:v>0</x:v>
      </x:c>
      <x:c r="D152" s="12" t="str">
        <x:v>No final wearable assembly or quantitative interface test.</x:v>
      </x:c>
      <x:c r="E152" s="12" t="str">
        <x:v>PDF pp. 3–16; Figs. 2–10; Tables 1–2</x:v>
      </x:c>
      <x:c r="F152" s="12" t="str">
        <x:v>Clear</x:v>
      </x:c>
      <x:c r="G152" s="12" t="str">
        <x:v>Batch 02</x:v>
      </x:c>
    </x:row>
    <x:row r="153" ht="15" hidden="0" customHeight="1">
      <x:c r="A153" s="12" t="str">
        <x:v>S023</x:v>
      </x:c>
      <x:c r="B153" s="12" t="str">
        <x:v>L8</x:v>
      </x:c>
      <x:c r="C153" s="12" t="n">
        <x:v>1</x:v>
      </x:c>
      <x:c r="D153" s="12" t="str">
        <x:v>Three separate samples per cyclic condition were measured individually.</x:v>
      </x:c>
      <x:c r="E153" s="12" t="str">
        <x:v>PDF pp. 3–16; Figs. 2–10; Tables 1–2</x:v>
      </x:c>
      <x:c r="F153" s="12" t="str">
        <x:v>Clear</x:v>
      </x:c>
      <x:c r="G153" s="12" t="str">
        <x:v>Batch 02</x:v>
      </x:c>
    </x:row>
    <x:row r="154" ht="15" hidden="0" customHeight="1">
      <x:c r="A154" s="12" t="str">
        <x:v>S024</x:v>
      </x:c>
      <x:c r="B154" s="12" t="str">
        <x:v>L1</x:v>
      </x:c>
      <x:c r="C154" s="12" t="n">
        <x:v>0</x:v>
      </x:c>
      <x:c r="D154" s="12" t="str">
        <x:v>Printer, material and some thermal/geometry details are reported, but nozzle, layer height, infill and exact speed are absent.</x:v>
      </x:c>
      <x:c r="E154" s="12" t="str">
        <x:v>PDF pp. 2–11; Figs. 1–6; cited SI</x:v>
      </x:c>
      <x:c r="F154" s="12" t="str">
        <x:v>Clear</x:v>
      </x:c>
      <x:c r="G154" s="12" t="str">
        <x:v>Batch 02</x:v>
      </x:c>
    </x:row>
    <x:row r="155" ht="15" hidden="0" customHeight="1">
      <x:c r="A155" s="12" t="str">
        <x:v>S024</x:v>
      </x:c>
      <x:c r="B155" s="12" t="str">
        <x:v>L2</x:v>
      </x:c>
      <x:c r="C155" s="12" t="n">
        <x:v>1</x:v>
      </x:c>
      <x:c r="D155" s="12" t="str">
        <x:v>Active conductive TPU film, patterned cracks, electrodes and encapsulation are described.</x:v>
      </x:c>
      <x:c r="E155" s="12" t="str">
        <x:v>PDF pp. 2–11; Figs. 1–6; cited SI</x:v>
      </x:c>
      <x:c r="F155" s="12" t="str">
        <x:v>Clear</x:v>
      </x:c>
      <x:c r="G155" s="12" t="str">
        <x:v>Batch 02</x:v>
      </x:c>
    </x:row>
    <x:row r="156" ht="15" hidden="0" customHeight="1">
      <x:c r="A156" s="12" t="str">
        <x:v>S024</x:v>
      </x:c>
      <x:c r="B156" s="12" t="str">
        <x:v>L3</x:v>
      </x:c>
      <x:c r="C156" s="12" t="n">
        <x:v>1</x:v>
      </x:c>
      <x:c r="D156" s="12" t="str">
        <x:v>Controlled tensile testing and resistance measurement are described.</x:v>
      </x:c>
      <x:c r="E156" s="12" t="str">
        <x:v>PDF pp. 2–11; Figs. 1–6; cited SI</x:v>
      </x:c>
      <x:c r="F156" s="12" t="str">
        <x:v>Clear</x:v>
      </x:c>
      <x:c r="G156" s="12" t="str">
        <x:v>Batch 02</x:v>
      </x:c>
    </x:row>
    <x:row r="157" ht="15" hidden="0" customHeight="1">
      <x:c r="A157" s="12" t="str">
        <x:v>S024</x:v>
      </x:c>
      <x:c r="B157" s="12" t="str">
        <x:v>L4</x:v>
      </x:c>
      <x:c r="C157" s="12" t="n">
        <x:v>1</x:v>
      </x:c>
      <x:c r="D157" s="12" t="str">
        <x:v>GF, linear range, hysteresis, response/recovery and drift are reported.</x:v>
      </x:c>
      <x:c r="E157" s="12" t="str">
        <x:v>PDF pp. 2–11; Figs. 1–6; cited SI</x:v>
      </x:c>
      <x:c r="F157" s="12" t="str">
        <x:v>Clear</x:v>
      </x:c>
      <x:c r="G157" s="12" t="str">
        <x:v>Batch 02</x:v>
      </x:c>
    </x:row>
    <x:row r="158" ht="15" hidden="0" customHeight="1">
      <x:c r="A158" s="12" t="str">
        <x:v>S024</x:v>
      </x:c>
      <x:c r="B158" s="12" t="str">
        <x:v>L5</x:v>
      </x:c>
      <x:c r="C158" s="12" t="n">
        <x:v>1</x:v>
      </x:c>
      <x:c r="D158" s="12" t="str">
        <x:v>8000 cycles at 6% strain with quantified peak retention.</x:v>
      </x:c>
      <x:c r="E158" s="12" t="str">
        <x:v>PDF pp. 2–11; Figs. 1–6; cited SI</x:v>
      </x:c>
      <x:c r="F158" s="12" t="str">
        <x:v>Clear</x:v>
      </x:c>
      <x:c r="G158" s="12" t="str">
        <x:v>Batch 02</x:v>
      </x:c>
    </x:row>
    <x:row r="159" ht="24" hidden="0" customHeight="1">
      <x:c r="A159" s="12" t="str">
        <x:v>S024</x:v>
      </x:c>
      <x:c r="B159" s="12" t="str">
        <x:v>L6</x:v>
      </x:c>
      <x:c r="C159" s="12" t="n">
        <x:v>1</x:v>
      </x:c>
      <x:c r="D159" s="12" t="str">
        <x:v>Sensor response was compared before exposure and after 3 and 7 days at 60 °C and 80% RH; gauge factor decreased by 5.4% and 9.1%, respectively.</x:v>
      </x:c>
      <x:c r="E159" s="12" t="str">
        <x:v>Main article p. 7; Supplementary Fig. S4, SI p. 4</x:v>
      </x:c>
      <x:c r="F159" s="12" t="str">
        <x:v>Clear</x:v>
      </x:c>
      <x:c r="G159" s="12" t="str">
        <x:v>Supplement verified 2026-09-03</x:v>
      </x:c>
    </x:row>
    <x:row r="160" ht="15" hidden="0" customHeight="1">
      <x:c r="A160" s="12" t="str">
        <x:v>S024</x:v>
      </x:c>
      <x:c r="B160" s="12" t="str">
        <x:v>L7</x:v>
      </x:c>
      <x:c r="C160" s="12" t="n">
        <x:v>1</x:v>
      </x:c>
      <x:c r="D160" s="12" t="str">
        <x:v>Lap-shear adhesion provides a quantitative encapsulation-interface endpoint.</x:v>
      </x:c>
      <x:c r="E160" s="12" t="str">
        <x:v>PDF pp. 2–11; Figs. 1–6; cited SI</x:v>
      </x:c>
      <x:c r="F160" s="12" t="str">
        <x:v>Clear</x:v>
      </x:c>
      <x:c r="G160" s="12" t="str">
        <x:v>Batch 02</x:v>
      </x:c>
    </x:row>
    <x:row r="161" ht="15" hidden="0" customHeight="1">
      <x:c r="A161" s="12" t="str">
        <x:v>S024</x:v>
      </x:c>
      <x:c r="B161" s="12" t="str">
        <x:v>L8</x:v>
      </x:c>
      <x:c r="C161" s="12" t="n">
        <x:v>0</x:v>
      </x:c>
      <x:c r="D161" s="12" t="str">
        <x:v>Geometry groups are reported without a clear ≥3 separately fabricated device comparison.</x:v>
      </x:c>
      <x:c r="E161" s="12" t="str">
        <x:v>PDF pp. 2–11; Figs. 1–6; cited SI</x:v>
      </x:c>
      <x:c r="F161" s="12" t="str">
        <x:v>Clear</x:v>
      </x:c>
      <x:c r="G161" s="12" t="str">
        <x:v>Batch 02</x:v>
      </x:c>
    </x:row>
    <x:row r="162" ht="15" hidden="0" customHeight="1">
      <x:c r="A162" s="12" t="str">
        <x:v>S025</x:v>
      </x:c>
      <x:c r="B162" s="12" t="str">
        <x:v>L1</x:v>
      </x:c>
      <x:c r="C162" s="12" t="n">
        <x:v>1</x:v>
      </x:c>
      <x:c r="D162" s="12" t="str">
        <x:v>FFF printer, conductive filament, nozzle, temperatures, layer height and pillar geometry are reported.</x:v>
      </x:c>
      <x:c r="E162" s="12" t="str">
        <x:v>PDF pp. 2–10; Figs. 1–6; Table 1; cited SI</x:v>
      </x:c>
      <x:c r="F162" s="12" t="str">
        <x:v>Clear</x:v>
      </x:c>
      <x:c r="G162" s="12" t="str">
        <x:v>Batch 02</x:v>
      </x:c>
    </x:row>
    <x:row r="163" ht="24" hidden="0" customHeight="1">
      <x:c r="A163" s="12" t="str">
        <x:v>S025</x:v>
      </x:c>
      <x:c r="B163" s="12" t="str">
        <x:v>L2</x:v>
      </x:c>
      <x:c r="C163" s="12" t="n">
        <x:v>1</x:v>
      </x:c>
      <x:c r="D163" s="12" t="str">
        <x:v>The supplement identifies the H+-selective cocktail (hydrogen ionophore I, NaTFPB, PU and DOS in THF) and the reference membrane (PVB and NaCl in methanol), together with the CB-PLA and Ag/AgCl components.</x:v>
      </x:c>
      <x:c r="E163" s="12" t="str">
        <x:v>Supplementary Experimental section, SI p. 3</x:v>
      </x:c>
      <x:c r="F163" s="12" t="str">
        <x:v>Clear</x:v>
      </x:c>
      <x:c r="G163" s="12" t="str">
        <x:v>Supplement verified 2026-09-03</x:v>
      </x:c>
    </x:row>
    <x:row r="164" ht="15" hidden="0" customHeight="1">
      <x:c r="A164" s="12" t="str">
        <x:v>S025</x:v>
      </x:c>
      <x:c r="B164" s="12" t="str">
        <x:v>L3</x:v>
      </x:c>
      <x:c r="C164" s="12" t="n">
        <x:v>1</x:v>
      </x:c>
      <x:c r="D164" s="12" t="str">
        <x:v>Controlled buffers and commercial pH references are used.</x:v>
      </x:c>
      <x:c r="E164" s="12" t="str">
        <x:v>PDF pp. 2–10; Figs. 1–6; Table 1; cited SI</x:v>
      </x:c>
      <x:c r="F164" s="12" t="str">
        <x:v>Clear</x:v>
      </x:c>
      <x:c r="G164" s="12" t="str">
        <x:v>Batch 02</x:v>
      </x:c>
    </x:row>
    <x:row r="165" ht="15" hidden="0" customHeight="1">
      <x:c r="A165" s="12" t="str">
        <x:v>S025</x:v>
      </x:c>
      <x:c r="B165" s="12" t="str">
        <x:v>L4</x:v>
      </x:c>
      <x:c r="C165" s="12" t="n">
        <x:v>1</x:v>
      </x:c>
      <x:c r="D165" s="12" t="str">
        <x:v>Sensitivity, response, drift, RSD and ex-vivo accuracy are reported.</x:v>
      </x:c>
      <x:c r="E165" s="12" t="str">
        <x:v>PDF pp. 2–10; Figs. 1–6; Table 1; cited SI</x:v>
      </x:c>
      <x:c r="F165" s="12" t="str">
        <x:v>Clear</x:v>
      </x:c>
      <x:c r="G165" s="12" t="str">
        <x:v>Batch 02</x:v>
      </x:c>
    </x:row>
    <x:row r="166" ht="15" hidden="0" customHeight="1">
      <x:c r="A166" s="12" t="str">
        <x:v>S025</x:v>
      </x:c>
      <x:c r="B166" s="12" t="str">
        <x:v>L5</x:v>
      </x:c>
      <x:c r="C166" s="12" t="n">
        <x:v>1</x:v>
      </x:c>
      <x:c r="D166" s="12" t="str">
        <x:v>Three calibration cycles, reversibility, 24 h stability and repeated insertions are quantified.</x:v>
      </x:c>
      <x:c r="E166" s="12" t="str">
        <x:v>PDF pp. 2–10; Figs. 1–6; Table 1; cited SI</x:v>
      </x:c>
      <x:c r="F166" s="12" t="str">
        <x:v>Clear</x:v>
      </x:c>
      <x:c r="G166" s="12" t="str">
        <x:v>Batch 02</x:v>
      </x:c>
    </x:row>
    <x:row r="167" ht="15" hidden="0" customHeight="1">
      <x:c r="A167" s="12" t="str">
        <x:v>S025</x:v>
      </x:c>
      <x:c r="B167" s="12" t="str">
        <x:v>L6</x:v>
      </x:c>
      <x:c r="C167" s="12" t="n">
        <x:v>1</x:v>
      </x:c>
      <x:c r="D167" s="12" t="str">
        <x:v>Temperature and repeated skin-insertion effects are reported.</x:v>
      </x:c>
      <x:c r="E167" s="12" t="str">
        <x:v>PDF pp. 2–10; Figs. 1–6; Table 1; cited SI</x:v>
      </x:c>
      <x:c r="F167" s="12" t="str">
        <x:v>Clear</x:v>
      </x:c>
      <x:c r="G167" s="12" t="str">
        <x:v>Batch 02</x:v>
      </x:c>
    </x:row>
    <x:row r="168" ht="15" hidden="0" customHeight="1">
      <x:c r="A168" s="12" t="str">
        <x:v>S025</x:v>
      </x:c>
      <x:c r="B168" s="12" t="str">
        <x:v>L7</x:v>
      </x:c>
      <x:c r="C168" s="12" t="n">
        <x:v>0</x:v>
      </x:c>
      <x:c r="D168" s="12" t="str">
        <x:v>Three consecutive insertions are performed for each patch. The conclusion explicitly places on-body measurements in future work.</x:v>
      </x:c>
      <x:c r="E168" s="12" t="str">
        <x:v>S025_Main.pdf, physical pp. 9-11, Fig. 5d, Fig. 6/Table 1 and Conclusions; S025_Supplement_01.pdf, ex-vivo and calibration methods.</x:v>
      </x:c>
      <x:c r="F168" s="12" t="str">
        <x:v>High</x:v>
      </x:c>
      <x:c r="G168" s="12" t="str">
        <x:v>Final L7 reassessment</x:v>
      </x:c>
    </x:row>
    <x:row r="169" ht="15" hidden="0" customHeight="1">
      <x:c r="A169" s="12" t="str">
        <x:v>S025</x:v>
      </x:c>
      <x:c r="B169" s="12" t="str">
        <x:v>L8</x:v>
      </x:c>
      <x:c r="C169" s="12" t="n">
        <x:v>1</x:v>
      </x:c>
      <x:c r="D169" s="12" t="str">
        <x:v>Six HMNs and four independently fabricated complete patches were compared quantitatively.</x:v>
      </x:c>
      <x:c r="E169" s="12" t="str">
        <x:v>PDF pp. 2–10; Figs. 1–6; Table 1; cited SI</x:v>
      </x:c>
      <x:c r="F169" s="12" t="str">
        <x:v>Clear</x:v>
      </x:c>
      <x:c r="G169" s="12" t="str">
        <x:v>Batch 02</x:v>
      </x:c>
    </x:row>
    <x:row r="170" ht="15" hidden="0" customHeight="1">
      <x:c r="A170" s="12" t="str">
        <x:v>S028</x:v>
      </x:c>
      <x:c r="B170" s="12" t="str">
        <x:v>L1</x:v>
      </x:c>
      <x:c r="C170" s="12" t="n">
        <x:v>1</x:v>
      </x:c>
      <x:c r="D170" s="12" t="str">
        <x:v>FDM term, printer, functional filaments, temperature, layer height, infill, speed and geometry are reported.</x:v>
      </x:c>
      <x:c r="E170" s="12" t="str">
        <x:v>PDF pp. 4–17; Figs. 1–10; Tables 1–4</x:v>
      </x:c>
      <x:c r="F170" s="12" t="str">
        <x:v>Clear</x:v>
      </x:c>
      <x:c r="G170" s="12" t="str">
        <x:v>Batch 03</x:v>
      </x:c>
    </x:row>
    <x:row r="171" ht="15" hidden="0" customHeight="1">
      <x:c r="A171" s="12" t="str">
        <x:v>S028</x:v>
      </x:c>
      <x:c r="B171" s="12" t="str">
        <x:v>L2</x:v>
      </x:c>
      <x:c r="C171" s="12" t="n">
        <x:v>1</x:v>
      </x:c>
      <x:c r="D171" s="12" t="str">
        <x:v>Conductive/dielectric filaments and readout roles are described.</x:v>
      </x:c>
      <x:c r="E171" s="12" t="str">
        <x:v>PDF pp. 4–17; Figs. 1–10; Tables 1–4</x:v>
      </x:c>
      <x:c r="F171" s="12" t="str">
        <x:v>Clear</x:v>
      </x:c>
      <x:c r="G171" s="12" t="str">
        <x:v>Batch 03</x:v>
      </x:c>
    </x:row>
    <x:row r="172" ht="15" hidden="0" customHeight="1">
      <x:c r="A172" s="12" t="str">
        <x:v>S028</x:v>
      </x:c>
      <x:c r="B172" s="12" t="str">
        <x:v>L3</x:v>
      </x:c>
      <x:c r="C172" s="12" t="n">
        <x:v>1</x:v>
      </x:c>
      <x:c r="D172" s="12" t="str">
        <x:v>Controlled load frame, synchronized load cell and pressure/frequency protocol are reported.</x:v>
      </x:c>
      <x:c r="E172" s="12" t="str">
        <x:v>PDF pp. 4–17; Figs. 1–10; Tables 1–4</x:v>
      </x:c>
      <x:c r="F172" s="12" t="str">
        <x:v>Clear</x:v>
      </x:c>
      <x:c r="G172" s="12" t="str">
        <x:v>Batch 03</x:v>
      </x:c>
    </x:row>
    <x:row r="173" ht="15" hidden="0" customHeight="1">
      <x:c r="A173" s="12" t="str">
        <x:v>S028</x:v>
      </x:c>
      <x:c r="B173" s="12" t="str">
        <x:v>L4</x:v>
      </x:c>
      <x:c r="C173" s="12" t="n">
        <x:v>1</x:v>
      </x:c>
      <x:c r="D173" s="12" t="str">
        <x:v>Sensitivity, hysteresis and linearity definitions, units and tested ranges are reported.</x:v>
      </x:c>
      <x:c r="E173" s="12" t="str">
        <x:v>PDF pp. 4–17; Figs. 1–10; Tables 1–4</x:v>
      </x:c>
      <x:c r="F173" s="12" t="str">
        <x:v>Clear</x:v>
      </x:c>
      <x:c r="G173" s="12" t="str">
        <x:v>Batch 03</x:v>
      </x:c>
    </x:row>
    <x:row r="174" ht="15" hidden="0" customHeight="1">
      <x:c r="A174" s="12" t="str">
        <x:v>S028</x:v>
      </x:c>
      <x:c r="B174" s="12" t="str">
        <x:v>L5</x:v>
      </x:c>
      <x:c r="C174" s="12" t="n">
        <x:v>1</x:v>
      </x:c>
      <x:c r="D174" s="12" t="str">
        <x:v>Twenty complete cycles per condition underpin cycle-level metrics.</x:v>
      </x:c>
      <x:c r="E174" s="12" t="str">
        <x:v>PDF pp. 4–17; Figs. 1–10; Tables 1–4</x:v>
      </x:c>
      <x:c r="F174" s="12" t="str">
        <x:v>Clear</x:v>
      </x:c>
      <x:c r="G174" s="12" t="str">
        <x:v>Batch 03</x:v>
      </x:c>
    </x:row>
    <x:row r="175" ht="15" hidden="0" customHeight="1">
      <x:c r="A175" s="12" t="str">
        <x:v>S028</x:v>
      </x:c>
      <x:c r="B175" s="12" t="str">
        <x:v>L6</x:v>
      </x:c>
      <x:c r="C175" s="12" t="n">
        <x:v>0</x:v>
      </x:c>
      <x:c r="D175" s="12" t="str">
        <x:v>Pressure/frequency are intended measurands; no separate environmental/use exposure was tested.</x:v>
      </x:c>
      <x:c r="E175" s="12" t="str">
        <x:v>PDF pp. 4–17; Figs. 1–10; Tables 1–4</x:v>
      </x:c>
      <x:c r="F175" s="12" t="str">
        <x:v>Clear</x:v>
      </x:c>
      <x:c r="G175" s="12" t="str">
        <x:v>Batch 03</x:v>
      </x:c>
    </x:row>
    <x:row r="176" ht="15" hidden="0" customHeight="1">
      <x:c r="A176" s="12" t="str">
        <x:v>S028</x:v>
      </x:c>
      <x:c r="B176" s="12" t="str">
        <x:v>L7</x:v>
      </x:c>
      <x:c r="C176" s="12" t="n">
        <x:v>0</x:v>
      </x:c>
      <x:c r="D176" s="12" t="str">
        <x:v>The article proposes future insole integration but does not test an assembled insole or interface endpoint.</x:v>
      </x:c>
      <x:c r="E176" s="12" t="str">
        <x:v>PDF pp. 4–17; Figs. 1–10; Tables 1–4</x:v>
      </x:c>
      <x:c r="F176" s="12" t="str">
        <x:v>Clear</x:v>
      </x:c>
      <x:c r="G176" s="12" t="str">
        <x:v>Batch 03</x:v>
      </x:c>
    </x:row>
    <x:row r="177" ht="15" hidden="0" customHeight="1">
      <x:c r="A177" s="12" t="str">
        <x:v>S028</x:v>
      </x:c>
      <x:c r="B177" s="12" t="str">
        <x:v>L8</x:v>
      </x:c>
      <x:c r="C177" s="12" t="n">
        <x:v>1</x:v>
      </x:c>
      <x:c r="D177" s="12" t="str">
        <x:v>Five separately printed units per design were tested and individual-device points/averages were reported.</x:v>
      </x:c>
      <x:c r="E177" s="12" t="str">
        <x:v>PDF pp. 4–17; Figs. 1–10; Tables 1–4</x:v>
      </x:c>
      <x:c r="F177" s="12" t="str">
        <x:v>Clear</x:v>
      </x:c>
      <x:c r="G177" s="12" t="str">
        <x:v>Batch 03</x:v>
      </x:c>
    </x:row>
    <x:row r="178" ht="15" hidden="0" customHeight="1">
      <x:c r="A178" s="12" t="str">
        <x:v>S029</x:v>
      </x:c>
      <x:c r="B178" s="12" t="str">
        <x:v>L1</x:v>
      </x:c>
      <x:c r="C178" s="12" t="n">
        <x:v>1</x:v>
      </x:c>
      <x:c r="D178" s="12" t="str">
        <x:v>FDM term, printer, c-TPU, nozzle, temperatures, speed, layer height, infill, orientation and geometry are reported.</x:v>
      </x:c>
      <x:c r="E178" s="12" t="str">
        <x:v>PDF pp. 4–23; Figs. 3–17; Tables 2–7</x:v>
      </x:c>
      <x:c r="F178" s="12" t="str">
        <x:v>Clear</x:v>
      </x:c>
      <x:c r="G178" s="12" t="str">
        <x:v>Batch 03</x:v>
      </x:c>
    </x:row>
    <x:row r="179" ht="15" hidden="0" customHeight="1">
      <x:c r="A179" s="12" t="str">
        <x:v>S029</x:v>
      </x:c>
      <x:c r="B179" s="12" t="str">
        <x:v>L2</x:v>
      </x:c>
      <x:c r="C179" s="12" t="n">
        <x:v>1</x:v>
      </x:c>
      <x:c r="D179" s="12" t="str">
        <x:v>Commercial conductive filament, glove mounting and readout are described.</x:v>
      </x:c>
      <x:c r="E179" s="12" t="str">
        <x:v>PDF pp. 4–23; Figs. 3–17; Tables 2–7</x:v>
      </x:c>
      <x:c r="F179" s="12" t="str">
        <x:v>Clear</x:v>
      </x:c>
      <x:c r="G179" s="12" t="str">
        <x:v>Batch 03</x:v>
      </x:c>
    </x:row>
    <x:row r="180" ht="15" hidden="0" customHeight="1">
      <x:c r="A180" s="12" t="str">
        <x:v>S029</x:v>
      </x:c>
      <x:c r="B180" s="12" t="str">
        <x:v>L3</x:v>
      </x:c>
      <x:c r="C180" s="12" t="n">
        <x:v>1</x:v>
      </x:c>
      <x:c r="D180" s="12" t="str">
        <x:v>Controlled angle fixture and commercial reference sensor are described.</x:v>
      </x:c>
      <x:c r="E180" s="12" t="str">
        <x:v>PDF pp. 4–23; Figs. 3–17; Tables 2–7</x:v>
      </x:c>
      <x:c r="F180" s="12" t="str">
        <x:v>Clear</x:v>
      </x:c>
      <x:c r="G180" s="12" t="str">
        <x:v>Batch 03</x:v>
      </x:c>
    </x:row>
    <x:row r="181" ht="15" hidden="0" customHeight="1">
      <x:c r="A181" s="12" t="str">
        <x:v>S029</x:v>
      </x:c>
      <x:c r="B181" s="12" t="str">
        <x:v>L4</x:v>
      </x:c>
      <x:c r="C181" s="12" t="n">
        <x:v>1</x:v>
      </x:c>
      <x:c r="D181" s="12" t="str">
        <x:v>GF, hysteresis, repeatability, drift and calibration fit are defined and quantified.</x:v>
      </x:c>
      <x:c r="E181" s="12" t="str">
        <x:v>PDF pp. 4–23; Figs. 3–17; Tables 2–7</x:v>
      </x:c>
      <x:c r="F181" s="12" t="str">
        <x:v>Clear</x:v>
      </x:c>
      <x:c r="G181" s="12" t="str">
        <x:v>Batch 03</x:v>
      </x:c>
    </x:row>
    <x:row r="182" ht="15" hidden="0" customHeight="1">
      <x:c r="A182" s="12" t="str">
        <x:v>S029</x:v>
      </x:c>
      <x:c r="B182" s="12" t="str">
        <x:v>L5</x:v>
      </x:c>
      <x:c r="C182" s="12" t="n">
        <x:v>1</x:v>
      </x:c>
      <x:c r="D182" s="12" t="str">
        <x:v>A selected sensor underwent 700 cycles with quantified repeatability and drift.</x:v>
      </x:c>
      <x:c r="E182" s="12" t="str">
        <x:v>PDF pp. 4–23; Figs. 3–17; Tables 2–7</x:v>
      </x:c>
      <x:c r="F182" s="12" t="str">
        <x:v>Clear</x:v>
      </x:c>
      <x:c r="G182" s="12" t="str">
        <x:v>Batch 03</x:v>
      </x:c>
    </x:row>
    <x:row r="183" ht="15" hidden="0" customHeight="1">
      <x:c r="A183" s="12" t="str">
        <x:v>S029</x:v>
      </x:c>
      <x:c r="B183" s="12" t="str">
        <x:v>L6</x:v>
      </x:c>
      <x:c r="C183" s="12" t="n">
        <x:v>1</x:v>
      </x:c>
      <x:c r="D183" s="12" t="str">
        <x:v>Fresh and 60-day-aged specimens were compared over repeated bends, giving a time/storage exposure response.</x:v>
      </x:c>
      <x:c r="E183" s="12" t="str">
        <x:v>PDF pp. 4–23; Figs. 3–17; Tables 2–7</x:v>
      </x:c>
      <x:c r="F183" s="12" t="str">
        <x:v>Clear</x:v>
      </x:c>
      <x:c r="G183" s="12" t="str">
        <x:v>Batch 03</x:v>
      </x:c>
    </x:row>
    <x:row r="184" ht="15" hidden="0" customHeight="1">
      <x:c r="A184" s="12" t="str">
        <x:v>S029</x:v>
      </x:c>
      <x:c r="B184" s="12" t="str">
        <x:v>L7</x:v>
      </x:c>
      <x:c r="C184" s="12" t="n">
        <x:v>0</x:v>
      </x:c>
      <x:c r="D184" s="12" t="str">
        <x:v>The application section demonstrates a glove prototype and response tracking; it also proposes a per-patient disposable-use model.</x:v>
      </x:c>
      <x:c r="E184" s="12" t="str">
        <x:v>S029_Main.pdf, physical pp. 22-23, section 3.6, application feasibility and glove demonstration.</x:v>
      </x:c>
      <x:c r="F184" s="12" t="str">
        <x:v>High</x:v>
      </x:c>
      <x:c r="G184" s="12" t="str">
        <x:v>Final L7 reassessment</x:v>
      </x:c>
    </x:row>
    <x:row r="185" ht="15" hidden="0" customHeight="1">
      <x:c r="A185" s="12" t="str">
        <x:v>S029</x:v>
      </x:c>
      <x:c r="B185" s="12" t="str">
        <x:v>L8</x:v>
      </x:c>
      <x:c r="C185" s="12" t="n">
        <x:v>1</x:v>
      </x:c>
      <x:c r="D185" s="12" t="str">
        <x:v>Two independent batches of 15 sensors were compared quantitatively.</x:v>
      </x:c>
      <x:c r="E185" s="12" t="str">
        <x:v>PDF pp. 4–23; Figs. 3–17; Tables 2–7</x:v>
      </x:c>
      <x:c r="F185" s="12" t="str">
        <x:v>Clear</x:v>
      </x:c>
      <x:c r="G185" s="12" t="str">
        <x:v>Batch 03</x:v>
      </x:c>
    </x:row>
    <x:row r="186" ht="24" hidden="0" customHeight="1">
      <x:c r="A186" s="12" t="str">
        <x:v>S031</x:v>
      </x:c>
      <x:c r="B186" s="12" t="str">
        <x:v>L1</x:v>
      </x:c>
      <x:c r="C186" s="12" t="n">
        <x:v>0</x:v>
      </x:c>
      <x:c r="D186" s="12" t="str">
        <x:v>Printer and ABS are named, but nozzle, temperature, layer height, speed, infill and toolpath are absent.</x:v>
      </x:c>
      <x:c r="E186" s="12" t="str">
        <x:v>PDF pp. 3–12; Figs. 1–9; Tables 1–3; Appendix A</x:v>
      </x:c>
      <x:c r="F186" s="12" t="str">
        <x:v>Clear</x:v>
      </x:c>
      <x:c r="G186" s="12" t="str">
        <x:v>Batch 03</x:v>
      </x:c>
    </x:row>
    <x:row r="187" ht="24" hidden="0" customHeight="1">
      <x:c r="A187" s="12" t="str">
        <x:v>S031</x:v>
      </x:c>
      <x:c r="B187" s="12" t="str">
        <x:v>L2</x:v>
      </x:c>
      <x:c r="C187" s="12" t="n">
        <x:v>1</x:v>
      </x:c>
      <x:c r="D187" s="12" t="str">
        <x:v>Printed arms, sensor, electronics and attachment roles are described.</x:v>
      </x:c>
      <x:c r="E187" s="12" t="str">
        <x:v>PDF pp. 3–12; Figs. 1–9; Tables 1–3; Appendix A</x:v>
      </x:c>
      <x:c r="F187" s="12" t="str">
        <x:v>Clear</x:v>
      </x:c>
      <x:c r="G187" s="12" t="str">
        <x:v>Batch 03</x:v>
      </x:c>
    </x:row>
    <x:row r="188" ht="24" hidden="0" customHeight="1">
      <x:c r="A188" s="12" t="str">
        <x:v>S031</x:v>
      </x:c>
      <x:c r="B188" s="12" t="str">
        <x:v>L3</x:v>
      </x:c>
      <x:c r="C188" s="12" t="n">
        <x:v>1</x:v>
      </x:c>
      <x:c r="D188" s="12" t="str">
        <x:v>Commercial goniometer and Aktos-t IMUs provide reference measurements under stated protocols.</x:v>
      </x:c>
      <x:c r="E188" s="12" t="str">
        <x:v>PDF pp. 3–12; Figs. 1–9; Tables 1–3; Appendix A</x:v>
      </x:c>
      <x:c r="F188" s="12" t="str">
        <x:v>Clear</x:v>
      </x:c>
      <x:c r="G188" s="12" t="str">
        <x:v>Batch 03</x:v>
      </x:c>
    </x:row>
    <x:row r="189" ht="24" hidden="0" customHeight="1">
      <x:c r="A189" s="12" t="str">
        <x:v>S031</x:v>
      </x:c>
      <x:c r="B189" s="12" t="str">
        <x:v>L4</x:v>
      </x:c>
      <x:c r="C189" s="12" t="n">
        <x:v>1</x:v>
      </x:c>
      <x:c r="D189" s="12" t="str">
        <x:v>MAE, MAD and activity-detection accuracy are reported over stated ranges.</x:v>
      </x:c>
      <x:c r="E189" s="12" t="str">
        <x:v>PDF pp. 3–12; Figs. 1–9; Tables 1–3; Appendix A</x:v>
      </x:c>
      <x:c r="F189" s="12" t="str">
        <x:v>Clear</x:v>
      </x:c>
      <x:c r="G189" s="12" t="str">
        <x:v>Batch 03</x:v>
      </x:c>
    </x:row>
    <x:row r="190" ht="24" hidden="0" customHeight="1">
      <x:c r="A190" s="12" t="str">
        <x:v>S031</x:v>
      </x:c>
      <x:c r="B190" s="12" t="str">
        <x:v>L5</x:v>
      </x:c>
      <x:c r="C190" s="12" t="n">
        <x:v>0</x:v>
      </x:c>
      <x:c r="D190" s="12" t="str">
        <x:v>Six gait cycles were analyzed, but no same-device response-retention or stability endpoint was reported.</x:v>
      </x:c>
      <x:c r="E190" s="12" t="str">
        <x:v>PDF pp. 3–12; Figs. 1–9; Tables 1–3; Appendix A</x:v>
      </x:c>
      <x:c r="F190" s="12" t="str">
        <x:v>Clear</x:v>
      </x:c>
      <x:c r="G190" s="12" t="str">
        <x:v>Batch 03</x:v>
      </x:c>
    </x:row>
    <x:row r="191" ht="24" hidden="0" customHeight="1">
      <x:c r="A191" s="12" t="str">
        <x:v>S031</x:v>
      </x:c>
      <x:c r="B191" s="12" t="str">
        <x:v>L6</x:v>
      </x:c>
      <x:c r="C191" s="12" t="n">
        <x:v>0</x:v>
      </x:c>
      <x:c r="D191" s="12" t="str">
        <x:v>Walking speeds are the intended activity protocol; no separate qualifying exposure was tested.</x:v>
      </x:c>
      <x:c r="E191" s="12" t="str">
        <x:v>PDF pp. 3–12; Figs. 1–9; Tables 1–3; Appendix A</x:v>
      </x:c>
      <x:c r="F191" s="12" t="str">
        <x:v>Clear</x:v>
      </x:c>
      <x:c r="G191" s="12" t="str">
        <x:v>Batch 03</x:v>
      </x:c>
    </x:row>
    <x:row r="192" ht="24" hidden="0" customHeight="1">
      <x:c r="A192" s="12" t="str">
        <x:v>S031</x:v>
      </x:c>
      <x:c r="B192" s="12" t="str">
        <x:v>L7</x:v>
      </x:c>
      <x:c r="C192" s="12" t="n">
        <x:v>0</x:v>
      </x:c>
      <x:c r="D192" s="12" t="str">
        <x:v>The complete wearable was tested, but attachment/misalignment was not evaluated with a prespecified quantitative integration endpoint.</x:v>
      </x:c>
      <x:c r="E192" s="12" t="str">
        <x:v>PDF pp. 3–12; Figs. 1–9; Tables 1–3; Appendix A</x:v>
      </x:c>
      <x:c r="F192" s="12" t="str">
        <x:v>Clear</x:v>
      </x:c>
      <x:c r="G192" s="12" t="str">
        <x:v>Batch 03</x:v>
      </x:c>
    </x:row>
    <x:row r="193" ht="24" hidden="0" customHeight="1">
      <x:c r="A193" s="12" t="str">
        <x:v>S031</x:v>
      </x:c>
      <x:c r="B193" s="12" t="str">
        <x:v>L8</x:v>
      </x:c>
      <x:c r="C193" s="12" t="n">
        <x:v>0</x:v>
      </x:c>
      <x:c r="D193" s="12" t="str">
        <x:v>One wearable was used across participants; participants are not devices.</x:v>
      </x:c>
      <x:c r="E193" s="12" t="str">
        <x:v>PDF pp. 3–12; Figs. 1–9; Tables 1–3; Appendix A</x:v>
      </x:c>
      <x:c r="F193" s="12" t="str">
        <x:v>Clear</x:v>
      </x:c>
      <x:c r="G193" s="12" t="str">
        <x:v>Batch 03</x:v>
      </x:c>
    </x:row>
    <x:row r="194" ht="15" hidden="0" customHeight="1">
      <x:c r="A194" s="12" t="str">
        <x:v>S032</x:v>
      </x:c>
      <x:c r="B194" s="12" t="str">
        <x:v>L1</x:v>
      </x:c>
      <x:c r="C194" s="12" t="n">
        <x:v>0</x:v>
      </x:c>
      <x:c r="D194" s="12" t="str">
        <x:v>Printer, PLA and probe geometry are reported, but core print settings are absent.</x:v>
      </x:c>
      <x:c r="E194" s="12" t="str">
        <x:v>PDF pp. 3–10; Figs. 1–8</x:v>
      </x:c>
      <x:c r="F194" s="12" t="str">
        <x:v>Clear</x:v>
      </x:c>
      <x:c r="G194" s="12" t="str">
        <x:v>Batch 03</x:v>
      </x:c>
    </x:row>
    <x:row r="195" ht="15" hidden="0" customHeight="1">
      <x:c r="A195" s="12" t="str">
        <x:v>S032</x:v>
      </x:c>
      <x:c r="B195" s="12" t="str">
        <x:v>L2</x:v>
      </x:c>
      <x:c r="C195" s="12" t="n">
        <x:v>1</x:v>
      </x:c>
      <x:c r="D195" s="12" t="str">
        <x:v>Probe, optical sources/detector, thermistor, fixation and signal roles are described.</x:v>
      </x:c>
      <x:c r="E195" s="12" t="str">
        <x:v>PDF pp. 3–10; Figs. 1–8</x:v>
      </x:c>
      <x:c r="F195" s="12" t="str">
        <x:v>Clear</x:v>
      </x:c>
      <x:c r="G195" s="12" t="str">
        <x:v>Batch 03</x:v>
      </x:c>
    </x:row>
    <x:row r="196" ht="15" hidden="0" customHeight="1">
      <x:c r="A196" s="12" t="str">
        <x:v>S032</x:v>
      </x:c>
      <x:c r="B196" s="12" t="str">
        <x:v>L3</x:v>
      </x:c>
      <x:c r="C196" s="12" t="n">
        <x:v>1</x:v>
      </x:c>
      <x:c r="D196" s="12" t="str">
        <x:v>Phantom comparison and cuff-occlusion protocol are described.</x:v>
      </x:c>
      <x:c r="E196" s="12" t="str">
        <x:v>PDF pp. 3–10; Figs. 1–8</x:v>
      </x:c>
      <x:c r="F196" s="12" t="str">
        <x:v>Clear</x:v>
      </x:c>
      <x:c r="G196" s="12" t="str">
        <x:v>Batch 03</x:v>
      </x:c>
    </x:row>
    <x:row r="197" ht="15" hidden="0" customHeight="1">
      <x:c r="A197" s="12" t="str">
        <x:v>S032</x:v>
      </x:c>
      <x:c r="B197" s="12" t="str">
        <x:v>L4</x:v>
      </x:c>
      <x:c r="C197" s="12" t="n">
        <x:v>1</x:v>
      </x:c>
      <x:c r="D197" s="12" t="str">
        <x:v>Relative-flow, concentration-change, SNR and temperature outcomes are defined and reported.</x:v>
      </x:c>
      <x:c r="E197" s="12" t="str">
        <x:v>PDF pp. 3–10; Figs. 1–8</x:v>
      </x:c>
      <x:c r="F197" s="12" t="str">
        <x:v>Clear</x:v>
      </x:c>
      <x:c r="G197" s="12" t="str">
        <x:v>Batch 03</x:v>
      </x:c>
    </x:row>
    <x:row r="198" ht="15" hidden="0" customHeight="1">
      <x:c r="A198" s="12" t="str">
        <x:v>S032</x:v>
      </x:c>
      <x:c r="B198" s="12" t="str">
        <x:v>L5</x:v>
      </x:c>
      <x:c r="C198" s="12" t="n">
        <x:v>0</x:v>
      </x:c>
      <x:c r="D198" s="12" t="str">
        <x:v>Continuous time series and five participants do not constitute three repeated complete exposure cycles with a stability endpoint.</x:v>
      </x:c>
      <x:c r="E198" s="12" t="str">
        <x:v>PDF pp. 3–10; Figs. 1–8</x:v>
      </x:c>
      <x:c r="F198" s="12" t="str">
        <x:v>Clear</x:v>
      </x:c>
      <x:c r="G198" s="12" t="str">
        <x:v>Batch 03</x:v>
      </x:c>
    </x:row>
    <x:row r="199" ht="15" hidden="0" customHeight="1">
      <x:c r="A199" s="12" t="str">
        <x:v>S032</x:v>
      </x:c>
      <x:c r="B199" s="12" t="str">
        <x:v>L6</x:v>
      </x:c>
      <x:c r="C199" s="12" t="n">
        <x:v>0</x:v>
      </x:c>
      <x:c r="D199" s="12" t="str">
        <x:v>Room temperature was controlled but not varied as an exposure; cuff occlusion is the intended physiological perturbation.</x:v>
      </x:c>
      <x:c r="E199" s="12" t="str">
        <x:v>PDF pp. 3–10; Figs. 1–8</x:v>
      </x:c>
      <x:c r="F199" s="12" t="str">
        <x:v>Clear</x:v>
      </x:c>
      <x:c r="G199" s="12" t="str">
        <x:v>Batch 03</x:v>
      </x:c>
    </x:row>
    <x:row r="200" ht="15" hidden="0" customHeight="1">
      <x:c r="A200" s="12" t="str">
        <x:v>S032</x:v>
      </x:c>
      <x:c r="B200" s="12" t="str">
        <x:v>L7</x:v>
      </x:c>
      <x:c r="C200" s="12" t="n">
        <x:v>0</x:v>
      </x:c>
      <x:c r="D200" s="12" t="str">
        <x:v>No qualifying interface-integrity test or repeated final monolithic wearable-assembly test with a retention/failure endpoint was located.</x:v>
      </x:c>
      <x:c r="E200" s="12" t="str">
        <x:v>PDF pp. 3–10; Figs. 1–8</x:v>
      </x:c>
      <x:c r="F200" s="12" t="str">
        <x:v>Clear</x:v>
      </x:c>
      <x:c r="G200" s="12" t="str">
        <x:v>Adjudicated to Reviewer 2</x:v>
      </x:c>
    </x:row>
    <x:row r="201" ht="15" hidden="0" customHeight="1">
      <x:c r="A201" s="12" t="str">
        <x:v>S032</x:v>
      </x:c>
      <x:c r="B201" s="12" t="str">
        <x:v>L8</x:v>
      </x:c>
      <x:c r="C201" s="12" t="n">
        <x:v>0</x:v>
      </x:c>
      <x:c r="D201" s="12" t="str">
        <x:v>One probe is described; participants are not separate devices.</x:v>
      </x:c>
      <x:c r="E201" s="12" t="str">
        <x:v>PDF pp. 3–10; Figs. 1–8</x:v>
      </x:c>
      <x:c r="F201" s="12" t="str">
        <x:v>Clear</x:v>
      </x:c>
      <x:c r="G201" s="12" t="str">
        <x:v>Batch 03</x:v>
      </x:c>
    </x:row>
    <x:row r="202" ht="24" hidden="0" customHeight="1">
      <x:c r="A202" s="12" t="str">
        <x:v>S033</x:v>
      </x:c>
      <x:c r="B202" s="12" t="str">
        <x:v>L1</x:v>
      </x:c>
      <x:c r="C202" s="12" t="n">
        <x:v>0</x:v>
      </x:c>
      <x:c r="D202" s="12" t="str">
        <x:v>FDM/printer/material/melt temperature and geometry are reported, but nozzle diameter, layer height, speed, infill and toolpath are absent.</x:v>
      </x:c>
      <x:c r="E202" s="12" t="str">
        <x:v>PDF pp. 2–7; Figs. 1–5; cited SI</x:v>
      </x:c>
      <x:c r="F202" s="12" t="str">
        <x:v>Clear</x:v>
      </x:c>
      <x:c r="G202" s="12" t="str">
        <x:v>Batch 03</x:v>
      </x:c>
    </x:row>
    <x:row r="203" ht="15" hidden="0" customHeight="1">
      <x:c r="A203" s="12" t="str">
        <x:v>S033</x:v>
      </x:c>
      <x:c r="B203" s="12" t="str">
        <x:v>L2</x:v>
      </x:c>
      <x:c r="C203" s="12" t="n">
        <x:v>1</x:v>
      </x:c>
      <x:c r="D203" s="12" t="str">
        <x:v>TPE, CNT dispersion concentrations, thermal embedding and copper electrodes are described.</x:v>
      </x:c>
      <x:c r="E203" s="12" t="str">
        <x:v>PDF pp. 2–7; Figs. 1–5; cited SI</x:v>
      </x:c>
      <x:c r="F203" s="12" t="str">
        <x:v>Clear</x:v>
      </x:c>
      <x:c r="G203" s="12" t="str">
        <x:v>Batch 03</x:v>
      </x:c>
    </x:row>
    <x:row r="204" ht="15" hidden="0" customHeight="1">
      <x:c r="A204" s="12" t="str">
        <x:v>S033</x:v>
      </x:c>
      <x:c r="B204" s="12" t="str">
        <x:v>L3</x:v>
      </x:c>
      <x:c r="C204" s="12" t="n">
        <x:v>1</x:v>
      </x:c>
      <x:c r="D204" s="12" t="str">
        <x:v>Universal tester/LCR measurement and strain/pressure protocols are described.</x:v>
      </x:c>
      <x:c r="E204" s="12" t="str">
        <x:v>PDF pp. 2–7; Figs. 1–5; cited SI</x:v>
      </x:c>
      <x:c r="F204" s="12" t="str">
        <x:v>Clear</x:v>
      </x:c>
      <x:c r="G204" s="12" t="str">
        <x:v>Batch 03</x:v>
      </x:c>
    </x:row>
    <x:row r="205" ht="15" hidden="0" customHeight="1">
      <x:c r="A205" s="12" t="str">
        <x:v>S033</x:v>
      </x:c>
      <x:c r="B205" s="12" t="str">
        <x:v>L4</x:v>
      </x:c>
      <x:c r="C205" s="12" t="n">
        <x:v>1</x:v>
      </x:c>
      <x:c r="D205" s="12" t="str">
        <x:v>GF and pressure sensitivity equations, units and ranges are reported.</x:v>
      </x:c>
      <x:c r="E205" s="12" t="str">
        <x:v>PDF pp. 2–7; Figs. 1–5; cited SI</x:v>
      </x:c>
      <x:c r="F205" s="12" t="str">
        <x:v>Clear</x:v>
      </x:c>
      <x:c r="G205" s="12" t="str">
        <x:v>Batch 03</x:v>
      </x:c>
    </x:row>
    <x:row r="206" ht="15" hidden="0" customHeight="1">
      <x:c r="A206" s="12" t="str">
        <x:v>S033</x:v>
      </x:c>
      <x:c r="B206" s="12" t="str">
        <x:v>L5</x:v>
      </x:c>
      <x:c r="C206" s="12" t="n">
        <x:v>1</x:v>
      </x:c>
      <x:c r="D206" s="12" t="str">
        <x:v>A 1000-cycle 10 kPa loading test reports about 30% baseline reduction and subsequent tendency toward stability.</x:v>
      </x:c>
      <x:c r="E206" s="12" t="str">
        <x:v>PDF pp. 2–7; Figs. 1–5; cited SI</x:v>
      </x:c>
      <x:c r="F206" s="12" t="str">
        <x:v>Clear</x:v>
      </x:c>
      <x:c r="G206" s="12" t="str">
        <x:v>Batch 03</x:v>
      </x:c>
    </x:row>
    <x:row r="207" ht="15" hidden="0" customHeight="1">
      <x:c r="A207" s="12" t="str">
        <x:v>S033</x:v>
      </x:c>
      <x:c r="B207" s="12" t="str">
        <x:v>L6</x:v>
      </x:c>
      <x:c r="C207" s="12" t="n">
        <x:v>0</x:v>
      </x:c>
      <x:c r="D207" s="12" t="str">
        <x:v>Temperature/RH were test conditions for peel testing, not a varied exposure with sensor-response retention.</x:v>
      </x:c>
      <x:c r="E207" s="12" t="str">
        <x:v>PDF pp. 2–7; Figs. 1–5; cited SI</x:v>
      </x:c>
      <x:c r="F207" s="12" t="str">
        <x:v>Clear</x:v>
      </x:c>
      <x:c r="G207" s="12" t="str">
        <x:v>Batch 03</x:v>
      </x:c>
    </x:row>
    <x:row r="208" ht="24" hidden="0" customHeight="1">
      <x:c r="A208" s="12" t="str">
        <x:v>S033</x:v>
      </x:c>
      <x:c r="B208" s="12" t="str">
        <x:v>L7</x:v>
      </x:c>
      <x:c r="C208" s="12" t="n">
        <x:v>0</x:v>
      </x:c>
      <x:c r="D208" s="12" t="str">
        <x:v>The 1000-cycle experiment reports about 30% initial resistance reduction under specimen pressure loading. Fig. 5 demonstrates body-motion response.</x:v>
      </x:c>
      <x:c r="E208" s="12" t="str">
        <x:v>S033_Main.pdf, physical pp. 5-7, Figs. 4e and 5; S033_Supplement_01.pdf, pp. 2-3/Figs. S1-S4; supplied Videos S1-S2.</x:v>
      </x:c>
      <x:c r="F208" s="12" t="str">
        <x:v>High</x:v>
      </x:c>
      <x:c r="G208" s="12" t="str">
        <x:v>Final L7 reassessment</x:v>
      </x:c>
    </x:row>
    <x:row r="209" ht="15" hidden="0" customHeight="1">
      <x:c r="A209" s="12" t="str">
        <x:v>S033</x:v>
      </x:c>
      <x:c r="B209" s="12" t="str">
        <x:v>L8</x:v>
      </x:c>
      <x:c r="C209" s="12" t="n">
        <x:v>0</x:v>
      </x:c>
      <x:c r="D209" s="12" t="str">
        <x:v>Thickness/concentration variants are not a ≥3 independent-device comparison; replicate count is not reported.</x:v>
      </x:c>
      <x:c r="E209" s="12" t="str">
        <x:v>PDF pp. 2–7; Figs. 1–5; cited SI</x:v>
      </x:c>
      <x:c r="F209" s="12" t="str">
        <x:v>Clear</x:v>
      </x:c>
      <x:c r="G209" s="12" t="str">
        <x:v>Batch 03</x:v>
      </x:c>
    </x:row>
    <x:row r="210" ht="24" hidden="0" customHeight="1">
      <x:c r="A210" s="12" t="str">
        <x:v>S034</x:v>
      </x:c>
      <x:c r="B210" s="12" t="str">
        <x:v>L1</x:v>
      </x:c>
      <x:c r="C210" s="12" t="n">
        <x:v>0</x:v>
      </x:c>
      <x:c r="D210" s="12" t="str">
        <x:v>FDM/printer/material/nozzle and bed temperatures are reported, but layer height, speed, infill and toolpath are absent from the main method.</x:v>
      </x:c>
      <x:c r="E210" s="12" t="str">
        <x:v>PDF pp. 2–9; Figs. 1–5; cited SI</x:v>
      </x:c>
      <x:c r="F210" s="12" t="str">
        <x:v>Clear</x:v>
      </x:c>
      <x:c r="G210" s="12" t="str">
        <x:v>Batch 03</x:v>
      </x:c>
    </x:row>
    <x:row r="211" ht="15" hidden="0" customHeight="1">
      <x:c r="A211" s="12" t="str">
        <x:v>S034</x:v>
      </x:c>
      <x:c r="B211" s="12" t="str">
        <x:v>L2</x:v>
      </x:c>
      <x:c r="C211" s="12" t="n">
        <x:v>1</x:v>
      </x:c>
      <x:c r="D211" s="12" t="str">
        <x:v>ABS fluidics, cotton, ion-selective/reference electrode compositions and readout are described.</x:v>
      </x:c>
      <x:c r="E211" s="12" t="str">
        <x:v>PDF pp. 2–9; Figs. 1–5; cited SI</x:v>
      </x:c>
      <x:c r="F211" s="12" t="str">
        <x:v>Clear</x:v>
      </x:c>
      <x:c r="G211" s="12" t="str">
        <x:v>Batch 03</x:v>
      </x:c>
    </x:row>
    <x:row r="212" ht="15" hidden="0" customHeight="1">
      <x:c r="A212" s="12" t="str">
        <x:v>S034</x:v>
      </x:c>
      <x:c r="B212" s="12" t="str">
        <x:v>L3</x:v>
      </x:c>
      <x:c r="C212" s="12" t="n">
        <x:v>1</x:v>
      </x:c>
      <x:c r="D212" s="12" t="str">
        <x:v>Standard solutions and ion chromatography are used under stated procedures.</x:v>
      </x:c>
      <x:c r="E212" s="12" t="str">
        <x:v>PDF pp. 2–9; Figs. 1–5; cited SI</x:v>
      </x:c>
      <x:c r="F212" s="12" t="str">
        <x:v>Clear</x:v>
      </x:c>
      <x:c r="G212" s="12" t="str">
        <x:v>Batch 03</x:v>
      </x:c>
    </x:row>
    <x:row r="213" ht="15" hidden="0" customHeight="1">
      <x:c r="A213" s="12" t="str">
        <x:v>S034</x:v>
      </x:c>
      <x:c r="B213" s="12" t="str">
        <x:v>L4</x:v>
      </x:c>
      <x:c r="C213" s="12" t="n">
        <x:v>1</x:v>
      </x:c>
      <x:c r="D213" s="12" t="str">
        <x:v>Calibration range, slopes, LOD, RSD and biofluid concentrations are reported.</x:v>
      </x:c>
      <x:c r="E213" s="12" t="str">
        <x:v>PDF pp. 2–9; Figs. 1–5; cited SI</x:v>
      </x:c>
      <x:c r="F213" s="12" t="str">
        <x:v>Clear</x:v>
      </x:c>
      <x:c r="G213" s="12" t="str">
        <x:v>Batch 03</x:v>
      </x:c>
    </x:row>
    <x:row r="214" ht="15" hidden="0" customHeight="1">
      <x:c r="A214" s="12" t="str">
        <x:v>S034</x:v>
      </x:c>
      <x:c r="B214" s="12" t="str">
        <x:v>L5</x:v>
      </x:c>
      <x:c r="C214" s="12" t="n">
        <x:v>1</x:v>
      </x:c>
      <x:c r="D214" s="12" t="str">
        <x:v>Sixty–seventy structural wash cycles and 30 response/carryover cycles report retained function.</x:v>
      </x:c>
      <x:c r="E214" s="12" t="str">
        <x:v>PDF pp. 2–9; Figs. 1–5; cited SI</x:v>
      </x:c>
      <x:c r="F214" s="12" t="str">
        <x:v>Clear</x:v>
      </x:c>
      <x:c r="G214" s="12" t="str">
        <x:v>Batch 03</x:v>
      </x:c>
    </x:row>
    <x:row r="215" ht="15" hidden="0" customHeight="1">
      <x:c r="A215" s="12" t="str">
        <x:v>S034</x:v>
      </x:c>
      <x:c r="B215" s="12" t="str">
        <x:v>L6</x:v>
      </x:c>
      <x:c r="C215" s="12" t="n">
        <x:v>1</x:v>
      </x:c>
      <x:c r="D215" s="12" t="str">
        <x:v>Water/ethanol washing is a declared use-related exposure with response and structural outcomes.</x:v>
      </x:c>
      <x:c r="E215" s="12" t="str">
        <x:v>PDF pp. 2–9; Figs. 1–5; cited SI</x:v>
      </x:c>
      <x:c r="F215" s="12" t="str">
        <x:v>Clear</x:v>
      </x:c>
      <x:c r="G215" s="12" t="str">
        <x:v>Batch 03</x:v>
      </x:c>
    </x:row>
    <x:row r="216" ht="15" hidden="0" customHeight="1">
      <x:c r="A216" s="12" t="str">
        <x:v>S034</x:v>
      </x:c>
      <x:c r="B216" s="12" t="str">
        <x:v>L7</x:v>
      </x:c>
      <x:c r="C216" s="12" t="n">
        <x:v>0</x:v>
      </x:c>
      <x:c r="D216" s="12" t="str">
        <x:v>The authors report no carryover after rinsing. Sweat collection/contact is demonstrated, but the rinse/reuse experiments do not establish a repeatedly attached body-worn assembly.</x:v>
      </x:c>
      <x:c r="E216" s="12" t="str">
        <x:v>S034_Main.pdf, physical pp. 8-10, biofluid applications, reuse discussion and Conclusions.</x:v>
      </x:c>
      <x:c r="F216" s="12" t="str">
        <x:v>High</x:v>
      </x:c>
      <x:c r="G216" s="12" t="str">
        <x:v>Final L7 reassessment</x:v>
      </x:c>
    </x:row>
    <x:row r="217" ht="15" hidden="0" customHeight="1">
      <x:c r="A217" s="12" t="str">
        <x:v>S034</x:v>
      </x:c>
      <x:c r="B217" s="12" t="str">
        <x:v>L8</x:v>
      </x:c>
      <x:c r="C217" s="12" t="n">
        <x:v>1</x:v>
      </x:c>
      <x:c r="D217" s="12" t="str">
        <x:v>Three complete sensor devices were used for accuracy tests and three-sensor RSDs were reported.</x:v>
      </x:c>
      <x:c r="E217" s="12" t="str">
        <x:v>PDF pp. 2–9; Figs. 1–5; cited SI</x:v>
      </x:c>
      <x:c r="F217" s="12" t="str">
        <x:v>Clear</x:v>
      </x:c>
      <x:c r="G217" s="12" t="str">
        <x:v>Batch 03</x:v>
      </x:c>
    </x:row>
    <x:row r="218" ht="24" hidden="0" customHeight="1">
      <x:c r="A218" s="12" t="str">
        <x:v>S035</x:v>
      </x:c>
      <x:c r="B218" s="12" t="str">
        <x:v>L1</x:v>
      </x:c>
      <x:c r="C218" s="12" t="n">
        <x:v>0</x:v>
      </x:c>
      <x:c r="D218" s="12" t="str">
        <x:v>FDM/printer/material/temperatures/speed and geometry are reported, but nozzle diameter, layer height, infill and toolpath are absent.</x:v>
      </x:c>
      <x:c r="E218" s="12" t="str">
        <x:v>PDF pp. 1–5; Figs. 1–4; cited SI</x:v>
      </x:c>
      <x:c r="F218" s="12" t="str">
        <x:v>Clear</x:v>
      </x:c>
      <x:c r="G218" s="12" t="str">
        <x:v>Batch 03</x:v>
      </x:c>
    </x:row>
    <x:row r="219" ht="15" hidden="0" customHeight="1">
      <x:c r="A219" s="12" t="str">
        <x:v>S035</x:v>
      </x:c>
      <x:c r="B219" s="12" t="str">
        <x:v>L2</x:v>
      </x:c>
      <x:c r="C219" s="12" t="n">
        <x:v>1</x:v>
      </x:c>
      <x:c r="D219" s="12" t="str">
        <x:v>Conductive and nonconductive filament roles, gold modification and readout are described.</x:v>
      </x:c>
      <x:c r="E219" s="12" t="str">
        <x:v>PDF pp. 1–5; Figs. 1–4; cited SI</x:v>
      </x:c>
      <x:c r="F219" s="12" t="str">
        <x:v>Clear</x:v>
      </x:c>
      <x:c r="G219" s="12" t="str">
        <x:v>Batch 03</x:v>
      </x:c>
    </x:row>
    <x:row r="220" ht="15" hidden="0" customHeight="1">
      <x:c r="A220" s="12" t="str">
        <x:v>S035</x:v>
      </x:c>
      <x:c r="B220" s="12" t="str">
        <x:v>L3</x:v>
      </x:c>
      <x:c r="C220" s="12" t="n">
        <x:v>1</x:v>
      </x:c>
      <x:c r="D220" s="12" t="str">
        <x:v>Artificial-sweat calibration and reference-electrode comparison procedures are stated.</x:v>
      </x:c>
      <x:c r="E220" s="12" t="str">
        <x:v>PDF pp. 1–5; Figs. 1–4; cited SI</x:v>
      </x:c>
      <x:c r="F220" s="12" t="str">
        <x:v>Clear</x:v>
      </x:c>
      <x:c r="G220" s="12" t="str">
        <x:v>Batch 03</x:v>
      </x:c>
    </x:row>
    <x:row r="221" ht="15" hidden="0" customHeight="1">
      <x:c r="A221" s="12" t="str">
        <x:v>S035</x:v>
      </x:c>
      <x:c r="B221" s="12" t="str">
        <x:v>L4</x:v>
      </x:c>
      <x:c r="C221" s="12" t="n">
        <x:v>1</x:v>
      </x:c>
      <x:c r="D221" s="12" t="str">
        <x:v>Range, LOD, RSD, stability and on-body ratios are reported.</x:v>
      </x:c>
      <x:c r="E221" s="12" t="str">
        <x:v>PDF pp. 1–5; Figs. 1–4; cited SI</x:v>
      </x:c>
      <x:c r="F221" s="12" t="str">
        <x:v>Clear</x:v>
      </x:c>
      <x:c r="G221" s="12" t="str">
        <x:v>Batch 03</x:v>
      </x:c>
    </x:row>
    <x:row r="222" ht="15" hidden="0" customHeight="1">
      <x:c r="A222" s="12" t="str">
        <x:v>S035</x:v>
      </x:c>
      <x:c r="B222" s="12" t="str">
        <x:v>L5</x:v>
      </x:c>
      <x:c r="C222" s="12" t="n">
        <x:v>1</x:v>
      </x:c>
      <x:c r="D222" s="12" t="str">
        <x:v>Ten-day triplicate measurements and 15 bending cycles report stability.</x:v>
      </x:c>
      <x:c r="E222" s="12" t="str">
        <x:v>PDF pp. 1–5; Figs. 1–4; cited SI</x:v>
      </x:c>
      <x:c r="F222" s="12" t="str">
        <x:v>Clear</x:v>
      </x:c>
      <x:c r="G222" s="12" t="str">
        <x:v>Batch 03</x:v>
      </x:c>
    </x:row>
    <x:row r="223" ht="15" hidden="0" customHeight="1">
      <x:c r="A223" s="12" t="str">
        <x:v>S035</x:v>
      </x:c>
      <x:c r="B223" s="12" t="str">
        <x:v>L6</x:v>
      </x:c>
      <x:c r="C223" s="12" t="n">
        <x:v>1</x:v>
      </x:c>
      <x:c r="D223" s="12" t="str">
        <x:v>Daily washing/ambient storage over 10 days is a declared exposure with retained response.</x:v>
      </x:c>
      <x:c r="E223" s="12" t="str">
        <x:v>PDF pp. 1–5; Figs. 1–4; cited SI</x:v>
      </x:c>
      <x:c r="F223" s="12" t="str">
        <x:v>Clear</x:v>
      </x:c>
      <x:c r="G223" s="12" t="str">
        <x:v>Batch 03</x:v>
      </x:c>
    </x:row>
    <x:row r="224" ht="15" hidden="0" customHeight="1">
      <x:c r="A224" s="12" t="str">
        <x:v>S035</x:v>
      </x:c>
      <x:c r="B224" s="12" t="str">
        <x:v>L7</x:v>
      </x:c>
      <x:c r="C224" s="12" t="n">
        <x:v>0</x:v>
      </x:c>
      <x:c r="D224" s="12" t="str">
        <x:v>Ten-day stability follows three daily measurements in artificial sweat, washing and room storage. Fifteen bending cycles are described using the illustrated ring deformation; on-body meal monitoring is separate.</x:v>
      </x:c>
      <x:c r="E224" s="12" t="str">
        <x:v>S035_Main.pdf, physical pp. 3-5, stability protocol/Fig. 4a versus on-body Fig. 4b; p. 2, Fig. 1B.</x:v>
      </x:c>
      <x:c r="F224" s="12" t="str">
        <x:v>High</x:v>
      </x:c>
      <x:c r="G224" s="12" t="str">
        <x:v>Final L7 reassessment</x:v>
      </x:c>
    </x:row>
    <x:row r="225" ht="15" hidden="0" customHeight="1">
      <x:c r="A225" s="12" t="str">
        <x:v>S035</x:v>
      </x:c>
      <x:c r="B225" s="12" t="str">
        <x:v>L8</x:v>
      </x:c>
      <x:c r="C225" s="12" t="n">
        <x:v>1</x:v>
      </x:c>
      <x:c r="D225" s="12" t="str">
        <x:v>Four rings were compared for glucose response and six rings for reference potential.</x:v>
      </x:c>
      <x:c r="E225" s="12" t="str">
        <x:v>PDF pp. 1–5; Figs. 1–4; cited SI</x:v>
      </x:c>
      <x:c r="F225" s="12" t="str">
        <x:v>Clear</x:v>
      </x:c>
      <x:c r="G225" s="12" t="str">
        <x:v>Batch 03</x:v>
      </x:c>
    </x:row>
    <x:row r="226" ht="24" hidden="0" customHeight="1">
      <x:c r="A226" s="12" t="str">
        <x:v>S036</x:v>
      </x:c>
      <x:c r="B226" s="12" t="str">
        <x:v>L1</x:v>
      </x:c>
      <x:c r="C226" s="12" t="n">
        <x:v>0</x:v>
      </x:c>
      <x:c r="D226" s="12" t="str">
        <x:v>FFF term, functional filaments, temperatures, speed, infill, functional-layer/channel dimensions and geometry are reported, but the printer model and nozzle diameter are not.</x:v>
      </x:c>
      <x:c r="E226" s="12" t="str">
        <x:v>PDF pp. 2–11; Figs. 1–6; cited SI</x:v>
      </x:c>
      <x:c r="F226" s="12" t="str">
        <x:v>Clear</x:v>
      </x:c>
      <x:c r="G226" s="12" t="str">
        <x:v>Batch 03</x:v>
      </x:c>
    </x:row>
    <x:row r="227" ht="15" hidden="0" customHeight="1">
      <x:c r="A227" s="12" t="str">
        <x:v>S036</x:v>
      </x:c>
      <x:c r="B227" s="12" t="str">
        <x:v>L2</x:v>
      </x:c>
      <x:c r="C227" s="12" t="n">
        <x:v>1</x:v>
      </x:c>
      <x:c r="D227" s="12" t="str">
        <x:v>CB-PLA/PLA layers, electrode roles, microfluidics, adhesive and readout are described.</x:v>
      </x:c>
      <x:c r="E227" s="12" t="str">
        <x:v>PDF pp. 2–11; Figs. 1–6; cited SI</x:v>
      </x:c>
      <x:c r="F227" s="12" t="str">
        <x:v>Clear</x:v>
      </x:c>
      <x:c r="G227" s="12" t="str">
        <x:v>Batch 03</x:v>
      </x:c>
    </x:row>
    <x:row r="228" ht="15" hidden="0" customHeight="1">
      <x:c r="A228" s="12" t="str">
        <x:v>S036</x:v>
      </x:c>
      <x:c r="B228" s="12" t="str">
        <x:v>L3</x:v>
      </x:c>
      <x:c r="C228" s="12" t="n">
        <x:v>1</x:v>
      </x:c>
      <x:c r="D228" s="12" t="str">
        <x:v>Syringe-pump/timer references and on-body comparison protocols are reported.</x:v>
      </x:c>
      <x:c r="E228" s="12" t="str">
        <x:v>PDF pp. 2–11; Figs. 1–6; cited SI</x:v>
      </x:c>
      <x:c r="F228" s="12" t="str">
        <x:v>Clear</x:v>
      </x:c>
      <x:c r="G228" s="12" t="str">
        <x:v>Batch 03</x:v>
      </x:c>
    </x:row>
    <x:row r="229" ht="15" hidden="0" customHeight="1">
      <x:c r="A229" s="12" t="str">
        <x:v>S036</x:v>
      </x:c>
      <x:c r="B229" s="12" t="str">
        <x:v>L4</x:v>
      </x:c>
      <x:c r="C229" s="12" t="n">
        <x:v>1</x:v>
      </x:c>
      <x:c r="D229" s="12" t="str">
        <x:v>Calibration equations, rate ranges, differences, correlations and uncertainty/dispersion are reported.</x:v>
      </x:c>
      <x:c r="E229" s="12" t="str">
        <x:v>PDF pp. 2–11; Figs. 1–6; cited SI</x:v>
      </x:c>
      <x:c r="F229" s="12" t="str">
        <x:v>Clear</x:v>
      </x:c>
      <x:c r="G229" s="12" t="str">
        <x:v>Batch 03</x:v>
      </x:c>
    </x:row>
    <x:row r="230" ht="15" hidden="0" customHeight="1">
      <x:c r="A230" s="12" t="str">
        <x:v>S036</x:v>
      </x:c>
      <x:c r="B230" s="12" t="str">
        <x:v>L5</x:v>
      </x:c>
      <x:c r="C230" s="12" t="n">
        <x:v>1</x:v>
      </x:c>
      <x:c r="D230" s="12" t="str">
        <x:v>Repeated fixed-rate observations with n=6–8 and standard deviations report repeated-measurement precision.</x:v>
      </x:c>
      <x:c r="E230" s="12" t="str">
        <x:v>PDF pp. 2–11; Figs. 1–6; cited SI</x:v>
      </x:c>
      <x:c r="F230" s="12" t="str">
        <x:v>Clear</x:v>
      </x:c>
      <x:c r="G230" s="12" t="str">
        <x:v>Batch 03</x:v>
      </x:c>
    </x:row>
    <x:row r="231" ht="15" hidden="0" customHeight="1">
      <x:c r="A231" s="12" t="str">
        <x:v>S036</x:v>
      </x:c>
      <x:c r="B231" s="12" t="str">
        <x:v>L6</x:v>
      </x:c>
      <x:c r="C231" s="12" t="n">
        <x:v>1</x:v>
      </x:c>
      <x:c r="D231" s="12" t="str">
        <x:v>Temperature 24–40 °C and concentration 0.5×–1.25× were varied with sweat-rate deviation reported.</x:v>
      </x:c>
      <x:c r="E231" s="12" t="str">
        <x:v>PDF pp. 2–11; Figs. 1–6; cited SI</x:v>
      </x:c>
      <x:c r="F231" s="12" t="str">
        <x:v>Clear</x:v>
      </x:c>
      <x:c r="G231" s="12" t="str">
        <x:v>Batch 03</x:v>
      </x:c>
    </x:row>
    <x:row r="232" ht="24" hidden="0" customHeight="1">
      <x:c r="A232" s="12" t="str">
        <x:v>S036</x:v>
      </x:c>
      <x:c r="B232" s="12" t="str">
        <x:v>L7</x:v>
      </x:c>
      <x:c r="C232" s="12" t="n">
        <x:v>1</x:v>
      </x:c>
      <x:c r="D232" s="12" t="str">
        <x:v>The attached sweat-rate device cannot accommodate the entire exercise's perspiration volume; monitoring ends at approximately 2200 seconds because its capacity is insufficient.</x:v>
      </x:c>
      <x:c r="E232" s="12" t="str">
        <x:v>S036_Main.pdf, physical p. 3, assembly/cycling protocol; pp. 9-10, on-body section, p. 10 first paragraph/Fig. 6.</x:v>
      </x:c>
      <x:c r="F232" s="12" t="str">
        <x:v>High</x:v>
      </x:c>
      <x:c r="G232" s="12" t="str">
        <x:v>Final L7 reassessment</x:v>
      </x:c>
    </x:row>
    <x:row r="233" ht="15" hidden="0" customHeight="1">
      <x:c r="A233" s="12" t="str">
        <x:v>S036</x:v>
      </x:c>
      <x:c r="B233" s="12" t="str">
        <x:v>L8</x:v>
      </x:c>
      <x:c r="C233" s="12" t="n">
        <x:v>0</x:v>
      </x:c>
      <x:c r="D233" s="12" t="str">
        <x:v>Replicate observations and two participants are reported; ≥3 separate fabricated devices are not identified.</x:v>
      </x:c>
      <x:c r="E233" s="12" t="str">
        <x:v>PDF pp. 2–11; Figs. 1–6; cited SI</x:v>
      </x:c>
      <x:c r="F233" s="12" t="str">
        <x:v>Clear</x:v>
      </x:c>
      <x:c r="G233" s="12" t="str">
        <x:v>Batch 03</x:v>
      </x:c>
    </x:row>
    <x:row r="234" ht="24" hidden="0" customHeight="1">
      <x:c r="A234" s="12" t="str">
        <x:v>S037</x:v>
      </x:c>
      <x:c r="B234" s="12" t="str">
        <x:v>L1</x:v>
      </x:c>
      <x:c r="C234" s="12" t="n">
        <x:v>0</x:v>
      </x:c>
      <x:c r="D234" s="12" t="str">
        <x:v>Printer, materials, layer height, gauge path and geometry are reported, but nozzle, temperatures, speed and sensor infill are absent.</x:v>
      </x:c>
      <x:c r="E234" s="12" t="str">
        <x:v>PDF pp. 1–10; Figs. 1–16</x:v>
      </x:c>
      <x:c r="F234" s="12" t="str">
        <x:v>Clear</x:v>
      </x:c>
      <x:c r="G234" s="12" t="str">
        <x:v>Batch 03</x:v>
      </x:c>
    </x:row>
    <x:row r="235" ht="15" hidden="0" customHeight="1">
      <x:c r="A235" s="12" t="str">
        <x:v>S037</x:v>
      </x:c>
      <x:c r="B235" s="12" t="str">
        <x:v>L2</x:v>
      </x:c>
      <x:c r="C235" s="12" t="n">
        <x:v>1</x:v>
      </x:c>
      <x:c r="D235" s="12" t="str">
        <x:v>Conductive/nonconductive TPU, PETG, contacts, gauge and bridge roles are described.</x:v>
      </x:c>
      <x:c r="E235" s="12" t="str">
        <x:v>PDF pp. 1–10; Figs. 1–16</x:v>
      </x:c>
      <x:c r="F235" s="12" t="str">
        <x:v>Clear</x:v>
      </x:c>
      <x:c r="G235" s="12" t="str">
        <x:v>Batch 03</x:v>
      </x:c>
    </x:row>
    <x:row r="236" ht="15" hidden="0" customHeight="1">
      <x:c r="A236" s="12" t="str">
        <x:v>S037</x:v>
      </x:c>
      <x:c r="B236" s="12" t="str">
        <x:v>L3</x:v>
      </x:c>
      <x:c r="C236" s="12" t="n">
        <x:v>1</x:v>
      </x:c>
      <x:c r="D236" s="12" t="str">
        <x:v>Actuator/load-cell references, angles, force, frequency and processing are reported.</x:v>
      </x:c>
      <x:c r="E236" s="12" t="str">
        <x:v>PDF pp. 1–10; Figs. 1–16</x:v>
      </x:c>
      <x:c r="F236" s="12" t="str">
        <x:v>Clear</x:v>
      </x:c>
      <x:c r="G236" s="12" t="str">
        <x:v>Batch 03</x:v>
      </x:c>
    </x:row>
    <x:row r="237" ht="15" hidden="0" customHeight="1">
      <x:c r="A237" s="12" t="str">
        <x:v>S037</x:v>
      </x:c>
      <x:c r="B237" s="12" t="str">
        <x:v>L4</x:v>
      </x:c>
      <x:c r="C237" s="12" t="n">
        <x:v>1</x:v>
      </x:c>
      <x:c r="D237" s="12" t="str">
        <x:v>Normalized output and stated force/strain ranges are reported; performance is chiefly graphical.</x:v>
      </x:c>
      <x:c r="E237" s="12" t="str">
        <x:v>PDF pp. 1–10; Figs. 1–16</x:v>
      </x:c>
      <x:c r="F237" s="12" t="str">
        <x:v>Clear</x:v>
      </x:c>
      <x:c r="G237" s="12" t="str">
        <x:v>Batch 03</x:v>
      </x:c>
    </x:row>
    <x:row r="238" ht="15" hidden="0" customHeight="1">
      <x:c r="A238" s="12" t="str">
        <x:v>S037</x:v>
      </x:c>
      <x:c r="B238" s="12" t="str">
        <x:v>L5</x:v>
      </x:c>
      <x:c r="C238" s="12" t="n">
        <x:v>1</x:v>
      </x:c>
      <x:c r="D238" s="12" t="str">
        <x:v>Ten material cycles and approximately ten sensor cycles per condition are summarized with means/SD and settling behavior.</x:v>
      </x:c>
      <x:c r="E238" s="12" t="str">
        <x:v>PDF pp. 1–10; Figs. 1–16</x:v>
      </x:c>
      <x:c r="F238" s="12" t="str">
        <x:v>Clear</x:v>
      </x:c>
      <x:c r="G238" s="12" t="str">
        <x:v>Batch 03</x:v>
      </x:c>
    </x:row>
    <x:row r="239" ht="15" hidden="0" customHeight="1">
      <x:c r="A239" s="12" t="str">
        <x:v>S037</x:v>
      </x:c>
      <x:c r="B239" s="12" t="str">
        <x:v>L6</x:v>
      </x:c>
      <x:c r="C239" s="12" t="n">
        <x:v>0</x:v>
      </x:c>
      <x:c r="D239" s="12" t="str">
        <x:v>No qualifying environmental/use exposure was tested.</x:v>
      </x:c>
      <x:c r="E239" s="12" t="str">
        <x:v>PDF pp. 1–10; Figs. 1–16</x:v>
      </x:c>
      <x:c r="F239" s="12" t="str">
        <x:v>Clear</x:v>
      </x:c>
      <x:c r="G239" s="12" t="str">
        <x:v>Batch 03</x:v>
      </x:c>
    </x:row>
    <x:row r="240" ht="24" hidden="0" customHeight="1">
      <x:c r="A240" s="12" t="str">
        <x:v>S037</x:v>
      </x:c>
      <x:c r="B240" s="12" t="str">
        <x:v>L7</x:v>
      </x:c>
      <x:c r="C240" s="12" t="n">
        <x:v>0</x:v>
      </x:c>
      <x:c r="D240" s="12" t="str">
        <x:v>A phantom was fixed to prevent slip, but no quantitative body/interface endpoint or pre/post integration comparison was reported.</x:v>
      </x:c>
      <x:c r="E240" s="12" t="str">
        <x:v>PDF pp. 1–10; Figs. 1–16</x:v>
      </x:c>
      <x:c r="F240" s="12" t="str">
        <x:v>Clear</x:v>
      </x:c>
      <x:c r="G240" s="12" t="str">
        <x:v>Batch 03</x:v>
      </x:c>
    </x:row>
    <x:row r="241" ht="15" hidden="0" customHeight="1">
      <x:c r="A241" s="12" t="str">
        <x:v>S037</x:v>
      </x:c>
      <x:c r="B241" s="12" t="str">
        <x:v>L8</x:v>
      </x:c>
      <x:c r="C241" s="12" t="n">
        <x:v>0</x:v>
      </x:c>
      <x:c r="D241" s="12" t="str">
        <x:v>Only inside/outside prototypes are described; configurations are not three independent replicate devices.</x:v>
      </x:c>
      <x:c r="E241" s="12" t="str">
        <x:v>PDF pp. 1–10; Figs. 1–16</x:v>
      </x:c>
      <x:c r="F241" s="12" t="str">
        <x:v>Clear</x:v>
      </x:c>
      <x:c r="G241" s="12" t="str">
        <x:v>Batch 03</x:v>
      </x:c>
    </x:row>
    <x:row r="242" ht="24" hidden="0" customHeight="1">
      <x:c r="A242" s="12" t="str">
        <x:v>S038</x:v>
      </x:c>
      <x:c r="B242" s="12" t="str">
        <x:v>L1</x:v>
      </x:c>
      <x:c r="C242" s="12" t="n">
        <x:v>1</x:v>
      </x:c>
      <x:c r="D242" s="12" t="str">
        <x:v>FFF term, printer model, both functional filaments, nozzle/bed temperatures, speed, layer height, infill and geometry are reported.</x:v>
      </x:c>
      <x:c r="E242" s="12" t="str">
        <x:v>PDF pp. 3–12; Figs. 1–11; Table 1</x:v>
      </x:c>
      <x:c r="F242" s="12" t="str">
        <x:v>Clear</x:v>
      </x:c>
      <x:c r="G242" s="12" t="str">
        <x:v>Batch 04</x:v>
      </x:c>
    </x:row>
    <x:row r="243" ht="15" hidden="0" customHeight="1">
      <x:c r="A243" s="12" t="str">
        <x:v>S038</x:v>
      </x:c>
      <x:c r="B243" s="12" t="str">
        <x:v>L2</x:v>
      </x:c>
      <x:c r="C243" s="12" t="n">
        <x:v>1</x:v>
      </x:c>
      <x:c r="D243" s="12" t="str">
        <x:v>Conductive and insulating materials, trace geometry and contacts are described.</x:v>
      </x:c>
      <x:c r="E243" s="12" t="str">
        <x:v>PDF pp. 3–12; Figs. 1–11; Table 1</x:v>
      </x:c>
      <x:c r="F243" s="12" t="str">
        <x:v>Clear</x:v>
      </x:c>
      <x:c r="G243" s="12" t="str">
        <x:v>Batch 04</x:v>
      </x:c>
    </x:row>
    <x:row r="244" ht="15" hidden="0" customHeight="1">
      <x:c r="A244" s="12" t="str">
        <x:v>S038</x:v>
      </x:c>
      <x:c r="B244" s="12" t="str">
        <x:v>L3</x:v>
      </x:c>
      <x:c r="C244" s="12" t="n">
        <x:v>1</x:v>
      </x:c>
      <x:c r="D244" s="12" t="str">
        <x:v>A custom tensile machine, loading rates, hold time and resistance circuit are reported.</x:v>
      </x:c>
      <x:c r="E244" s="12" t="str">
        <x:v>PDF pp. 3–12; Figs. 1–11; Table 1</x:v>
      </x:c>
      <x:c r="F244" s="12" t="str">
        <x:v>Clear</x:v>
      </x:c>
      <x:c r="G244" s="12" t="str">
        <x:v>Batch 04</x:v>
      </x:c>
    </x:row>
    <x:row r="245" ht="15" hidden="0" customHeight="1">
      <x:c r="A245" s="12" t="str">
        <x:v>S038</x:v>
      </x:c>
      <x:c r="B245" s="12" t="str">
        <x:v>L4</x:v>
      </x:c>
      <x:c r="C245" s="12" t="n">
        <x:v>1</x:v>
      </x:c>
      <x:c r="D245" s="12" t="str">
        <x:v>Relative resistance and gauge factor are reported over stated strain ranges.</x:v>
      </x:c>
      <x:c r="E245" s="12" t="str">
        <x:v>PDF pp. 3–12; Figs. 1–11; Table 1</x:v>
      </x:c>
      <x:c r="F245" s="12" t="str">
        <x:v>Clear</x:v>
      </x:c>
      <x:c r="G245" s="12" t="str">
        <x:v>Batch 04</x:v>
      </x:c>
    </x:row>
    <x:row r="246" ht="15" hidden="0" customHeight="1">
      <x:c r="A246" s="12" t="str">
        <x:v>S038</x:v>
      </x:c>
      <x:c r="B246" s="12" t="str">
        <x:v>L5</x:v>
      </x:c>
      <x:c r="C246" s="12" t="n">
        <x:v>1</x:v>
      </x:c>
      <x:c r="D246" s="12" t="str">
        <x:v>Twenty loading–unloading cycles at 50% strain report early drift and later repeatability.</x:v>
      </x:c>
      <x:c r="E246" s="12" t="str">
        <x:v>PDF pp. 3–12; Figs. 1–11; Table 1</x:v>
      </x:c>
      <x:c r="F246" s="12" t="str">
        <x:v>Clear</x:v>
      </x:c>
      <x:c r="G246" s="12" t="str">
        <x:v>Batch 04</x:v>
      </x:c>
    </x:row>
    <x:row r="247" ht="15" hidden="0" customHeight="1">
      <x:c r="A247" s="12" t="str">
        <x:v>S038</x:v>
      </x:c>
      <x:c r="B247" s="12" t="str">
        <x:v>L6</x:v>
      </x:c>
      <x:c r="C247" s="12" t="n">
        <x:v>0</x:v>
      </x:c>
      <x:c r="D247" s="12" t="str">
        <x:v>No environmental or separate use-related exposure was tested.</x:v>
      </x:c>
      <x:c r="E247" s="12" t="str">
        <x:v>PDF pp. 3–12; Figs. 1–11; Table 1</x:v>
      </x:c>
      <x:c r="F247" s="12" t="str">
        <x:v>Clear</x:v>
      </x:c>
      <x:c r="G247" s="12" t="str">
        <x:v>Batch 04</x:v>
      </x:c>
    </x:row>
    <x:row r="248" ht="15" hidden="0" customHeight="1">
      <x:c r="A248" s="12" t="str">
        <x:v>S038</x:v>
      </x:c>
      <x:c r="B248" s="12" t="str">
        <x:v>L7</x:v>
      </x:c>
      <x:c r="C248" s="12" t="n">
        <x:v>1</x:v>
      </x:c>
      <x:c r="D248" s="12" t="str">
        <x:v>The text explicitly reports relatively repeatable resistance responses across all three flexing cycles at the specified positions.</x:v>
      </x:c>
      <x:c r="E248" s="12" t="str">
        <x:v>S038_Main.pdf, physical p. 12, section 3.5 and Fig. 11b-c.</x:v>
      </x:c>
      <x:c r="F248" s="12" t="str">
        <x:v>Moderate</x:v>
      </x:c>
      <x:c r="G248" s="12" t="str">
        <x:v>Final L7 reassessment</x:v>
      </x:c>
    </x:row>
    <x:row r="249" ht="15" hidden="0" customHeight="1">
      <x:c r="A249" s="12" t="str">
        <x:v>S038</x:v>
      </x:c>
      <x:c r="B249" s="12" t="str">
        <x:v>L8</x:v>
      </x:c>
      <x:c r="C249" s="12" t="n">
        <x:v>0</x:v>
      </x:c>
      <x:c r="D249" s="12" t="str">
        <x:v>Architectures and directions were compared, but three separately fabricated units per condition were not identified.</x:v>
      </x:c>
      <x:c r="E249" s="12" t="str">
        <x:v>PDF pp. 3–12; Figs. 1–11; Table 1</x:v>
      </x:c>
      <x:c r="F249" s="12" t="str">
        <x:v>Clear</x:v>
      </x:c>
      <x:c r="G249" s="12" t="str">
        <x:v>Batch 04</x:v>
      </x:c>
    </x:row>
    <x:row r="250" ht="15" hidden="0" customHeight="1">
      <x:c r="A250" s="12" t="str">
        <x:v>S039</x:v>
      </x:c>
      <x:c r="B250" s="12" t="str">
        <x:v>L1</x:v>
      </x:c>
      <x:c r="C250" s="12" t="n">
        <x:v>1</x:v>
      </x:c>
      <x:c r="D250" s="12" t="str">
        <x:v>FDM term, printer, TPU, temperatures, speed, layer heights, infill, orientation and geometry are reported.</x:v>
      </x:c>
      <x:c r="E250" s="12" t="str">
        <x:v>PDF pp. 3–9; Figs. 2–10</x:v>
      </x:c>
      <x:c r="F250" s="12" t="str">
        <x:v>Clear</x:v>
      </x:c>
      <x:c r="G250" s="12" t="str">
        <x:v>Batch 04</x:v>
      </x:c>
    </x:row>
    <x:row r="251" ht="15" hidden="0" customHeight="1">
      <x:c r="A251" s="12" t="str">
        <x:v>S039</x:v>
      </x:c>
      <x:c r="B251" s="12" t="str">
        <x:v>L2</x:v>
      </x:c>
      <x:c r="C251" s="12" t="n">
        <x:v>1</x:v>
      </x:c>
      <x:c r="D251" s="12" t="str">
        <x:v>Printed TPU, Pt layer, prestretch, contacts and sensing roles are described.</x:v>
      </x:c>
      <x:c r="E251" s="12" t="str">
        <x:v>PDF pp. 3–9; Figs. 2–10</x:v>
      </x:c>
      <x:c r="F251" s="12" t="str">
        <x:v>Clear</x:v>
      </x:c>
      <x:c r="G251" s="12" t="str">
        <x:v>Batch 04</x:v>
      </x:c>
    </x:row>
    <x:row r="252" ht="15" hidden="0" customHeight="1">
      <x:c r="A252" s="12" t="str">
        <x:v>S039</x:v>
      </x:c>
      <x:c r="B252" s="12" t="str">
        <x:v>L3</x:v>
      </x:c>
      <x:c r="C252" s="12" t="n">
        <x:v>1</x:v>
      </x:c>
      <x:c r="D252" s="12" t="str">
        <x:v>Controlled stretching and defined body-motion protocols are reported.</x:v>
      </x:c>
      <x:c r="E252" s="12" t="str">
        <x:v>PDF pp. 3–9; Figs. 2–10</x:v>
      </x:c>
      <x:c r="F252" s="12" t="str">
        <x:v>Clear</x:v>
      </x:c>
      <x:c r="G252" s="12" t="str">
        <x:v>Batch 04</x:v>
      </x:c>
    </x:row>
    <x:row r="253" ht="15" hidden="0" customHeight="1">
      <x:c r="A253" s="12" t="str">
        <x:v>S039</x:v>
      </x:c>
      <x:c r="B253" s="12" t="str">
        <x:v>L4</x:v>
      </x:c>
      <x:c r="C253" s="12" t="n">
        <x:v>1</x:v>
      </x:c>
      <x:c r="D253" s="12" t="str">
        <x:v>GF and recovery time are defined and quantified over the stated strain range.</x:v>
      </x:c>
      <x:c r="E253" s="12" t="str">
        <x:v>PDF pp. 3–9; Figs. 2–10</x:v>
      </x:c>
      <x:c r="F253" s="12" t="str">
        <x:v>Clear</x:v>
      </x:c>
      <x:c r="G253" s="12" t="str">
        <x:v>Batch 04</x:v>
      </x:c>
    </x:row>
    <x:row r="254" ht="15" hidden="0" customHeight="1">
      <x:c r="A254" s="12" t="str">
        <x:v>S039</x:v>
      </x:c>
      <x:c r="B254" s="12" t="str">
        <x:v>L5</x:v>
      </x:c>
      <x:c r="C254" s="12" t="n">
        <x:v>1</x:v>
      </x:c>
      <x:c r="D254" s="12" t="str">
        <x:v>Five transient repetitions and 500 continuous cycles report response stability.</x:v>
      </x:c>
      <x:c r="E254" s="12" t="str">
        <x:v>PDF pp. 3–9; Figs. 2–10</x:v>
      </x:c>
      <x:c r="F254" s="12" t="str">
        <x:v>Clear</x:v>
      </x:c>
      <x:c r="G254" s="12" t="str">
        <x:v>Batch 04</x:v>
      </x:c>
    </x:row>
    <x:row r="255" ht="15" hidden="0" customHeight="1">
      <x:c r="A255" s="12" t="str">
        <x:v>S039</x:v>
      </x:c>
      <x:c r="B255" s="12" t="str">
        <x:v>L6</x:v>
      </x:c>
      <x:c r="C255" s="12" t="n">
        <x:v>0</x:v>
      </x:c>
      <x:c r="D255" s="12" t="str">
        <x:v>Exercise changed the physiological measurand; no separate environmental/use exposure was applied to the sensor.</x:v>
      </x:c>
      <x:c r="E255" s="12" t="str">
        <x:v>PDF pp. 3–9; Figs. 2–10</x:v>
      </x:c>
      <x:c r="F255" s="12" t="str">
        <x:v>Clear</x:v>
      </x:c>
      <x:c r="G255" s="12" t="str">
        <x:v>Batch 04</x:v>
      </x:c>
    </x:row>
    <x:row r="256" ht="15" hidden="0" customHeight="1">
      <x:c r="A256" s="12" t="str">
        <x:v>S039</x:v>
      </x:c>
      <x:c r="B256" s="12" t="str">
        <x:v>L7</x:v>
      </x:c>
      <x:c r="C256" s="12" t="n">
        <x:v>1</x:v>
      </x:c>
      <x:c r="D256" s="12" t="str">
        <x:v>The printed finger glove returned to its initial signal during continuous bending/releasing motions.</x:v>
      </x:c>
      <x:c r="E256" s="12" t="str">
        <x:v>PDF pp. 3–9; Figs. 2–10</x:v>
      </x:c>
      <x:c r="F256" s="12" t="str">
        <x:v>Clear</x:v>
      </x:c>
      <x:c r="G256" s="12" t="str">
        <x:v>Batch 04</x:v>
      </x:c>
    </x:row>
    <x:row r="257" ht="15" hidden="0" customHeight="1">
      <x:c r="A257" s="12" t="str">
        <x:v>S039</x:v>
      </x:c>
      <x:c r="B257" s="12" t="str">
        <x:v>L8</x:v>
      </x:c>
      <x:c r="C257" s="12" t="n">
        <x:v>1</x:v>
      </x:c>
      <x:c r="D257" s="12" t="str">
        <x:v>Four separate samples per FSG type were quantitatively compared with averages/deviations.</x:v>
      </x:c>
      <x:c r="E257" s="12" t="str">
        <x:v>PDF pp. 3–9; Figs. 2–10</x:v>
      </x:c>
      <x:c r="F257" s="12" t="str">
        <x:v>Clear</x:v>
      </x:c>
      <x:c r="G257" s="12" t="str">
        <x:v>Batch 04</x:v>
      </x:c>
    </x:row>
    <x:row r="258" ht="15" hidden="0" customHeight="1">
      <x:c r="A258" s="12" t="str">
        <x:v>S043</x:v>
      </x:c>
      <x:c r="B258" s="12" t="str">
        <x:v>L1</x:v>
      </x:c>
      <x:c r="C258" s="12" t="n">
        <x:v>1</x:v>
      </x:c>
      <x:c r="D258" s="12" t="str">
        <x:v>FFF printers, materials, nozzle, temperatures, speed, infill and electrode/wristband geometry are reported.</x:v>
      </x:c>
      <x:c r="E258" s="12" t="str">
        <x:v>PDF pp. 2–12; Figs. 1–8; Tables 1–4; cited SI</x:v>
      </x:c>
      <x:c r="F258" s="12" t="str">
        <x:v>Clear</x:v>
      </x:c>
      <x:c r="G258" s="12" t="str">
        <x:v>Batch 04</x:v>
      </x:c>
    </x:row>
    <x:row r="259" ht="15" hidden="0" customHeight="1">
      <x:c r="A259" s="12" t="str">
        <x:v>S043</x:v>
      </x:c>
      <x:c r="B259" s="12" t="str">
        <x:v>L2</x:v>
      </x:c>
      <x:c r="C259" s="12" t="n">
        <x:v>1</x:v>
      </x:c>
      <x:c r="D259" s="12" t="str">
        <x:v>Electrode compositions, wristband, treatments, connectors and electrochemical roles are described.</x:v>
      </x:c>
      <x:c r="E259" s="12" t="str">
        <x:v>PDF pp. 2–12; Figs. 1–8; Tables 1–4; cited SI</x:v>
      </x:c>
      <x:c r="F259" s="12" t="str">
        <x:v>Clear</x:v>
      </x:c>
      <x:c r="G259" s="12" t="str">
        <x:v>Batch 04</x:v>
      </x:c>
    </x:row>
    <x:row r="260" ht="15" hidden="0" customHeight="1">
      <x:c r="A260" s="12" t="str">
        <x:v>S043</x:v>
      </x:c>
      <x:c r="B260" s="12" t="str">
        <x:v>L3</x:v>
      </x:c>
      <x:c r="C260" s="12" t="n">
        <x:v>1</x:v>
      </x:c>
      <x:c r="D260" s="12" t="str">
        <x:v>Benchmark redox probes, commercial electrodes and standard-addition procedures are reported.</x:v>
      </x:c>
      <x:c r="E260" s="12" t="str">
        <x:v>PDF pp. 2–12; Figs. 1–8; Tables 1–4; cited SI</x:v>
      </x:c>
      <x:c r="F260" s="12" t="str">
        <x:v>Clear</x:v>
      </x:c>
      <x:c r="G260" s="12" t="str">
        <x:v>Batch 04</x:v>
      </x:c>
    </x:row>
    <x:row r="261" ht="15" hidden="0" customHeight="1">
      <x:c r="A261" s="12" t="str">
        <x:v>S043</x:v>
      </x:c>
      <x:c r="B261" s="12" t="str">
        <x:v>L4</x:v>
      </x:c>
      <x:c r="C261" s="12" t="n">
        <x:v>1</x:v>
      </x:c>
      <x:c r="D261" s="12" t="str">
        <x:v>Linear range, regression, LOD/LOQ and recovery are defined and quantified.</x:v>
      </x:c>
      <x:c r="E261" s="12" t="str">
        <x:v>PDF pp. 2–12; Figs. 1–8; Tables 1–4; cited SI</x:v>
      </x:c>
      <x:c r="F261" s="12" t="str">
        <x:v>Clear</x:v>
      </x:c>
      <x:c r="G261" s="12" t="str">
        <x:v>Batch 04</x:v>
      </x:c>
    </x:row>
    <x:row r="262" ht="15" hidden="0" customHeight="1">
      <x:c r="A262" s="12" t="str">
        <x:v>S043</x:v>
      </x:c>
      <x:c r="B262" s="12" t="str">
        <x:v>L5</x:v>
      </x:c>
      <x:c r="C262" s="12" t="n">
        <x:v>0</x:v>
      </x:c>
      <x:c r="D262" s="12" t="str">
        <x:v>No ≥3-cycle same-device retention test with a stability endpoint was identified.</x:v>
      </x:c>
      <x:c r="E262" s="12" t="str">
        <x:v>PDF pp. 2–12; Figs. 1–8; Tables 1–4; cited SI</x:v>
      </x:c>
      <x:c r="F262" s="12" t="str">
        <x:v>Clear</x:v>
      </x:c>
      <x:c r="G262" s="12" t="str">
        <x:v>Batch 04</x:v>
      </x:c>
    </x:row>
    <x:row r="263" ht="15" hidden="0" customHeight="1">
      <x:c r="A263" s="12" t="str">
        <x:v>S043</x:v>
      </x:c>
      <x:c r="B263" s="12" t="str">
        <x:v>L6</x:v>
      </x:c>
      <x:c r="C263" s="12" t="n">
        <x:v>0</x:v>
      </x:c>
      <x:c r="D263" s="12" t="str">
        <x:v>Artificial sweat is the analytical sample matrix, not a separate environmental exposure.</x:v>
      </x:c>
      <x:c r="E263" s="12" t="str">
        <x:v>PDF pp. 2–12; Figs. 1–8; Tables 1–4; cited SI</x:v>
      </x:c>
      <x:c r="F263" s="12" t="str">
        <x:v>Clear</x:v>
      </x:c>
      <x:c r="G263" s="12" t="str">
        <x:v>Batch 04</x:v>
      </x:c>
    </x:row>
    <x:row r="264" ht="15" hidden="0" customHeight="1">
      <x:c r="A264" s="12" t="str">
        <x:v>S043</x:v>
      </x:c>
      <x:c r="B264" s="12" t="str">
        <x:v>L7</x:v>
      </x:c>
      <x:c r="C264" s="12" t="n">
        <x:v>0</x:v>
      </x:c>
      <x:c r="D264" s="12" t="str">
        <x:v>A complete wristband was shown and tested, but no quantitative attachment or pre/post integration endpoint was reported.</x:v>
      </x:c>
      <x:c r="E264" s="12" t="str">
        <x:v>PDF pp. 2–12; Figs. 1–8; Tables 1–4; cited SI</x:v>
      </x:c>
      <x:c r="F264" s="12" t="str">
        <x:v>Clear</x:v>
      </x:c>
      <x:c r="G264" s="12" t="str">
        <x:v>Batch 04</x:v>
      </x:c>
    </x:row>
    <x:row r="265" ht="15" hidden="0" customHeight="1">
      <x:c r="A265" s="12" t="str">
        <x:v>S043</x:v>
      </x:c>
      <x:c r="B265" s="12" t="str">
        <x:v>L8</x:v>
      </x:c>
      <x:c r="C265" s="12" t="n">
        <x:v>0</x:v>
      </x:c>
      <x:c r="D265" s="12" t="str">
        <x:v>The number of separately fabricated complete sensor systems used for quantitative comparison was not stated.</x:v>
      </x:c>
      <x:c r="E265" s="12" t="str">
        <x:v>PDF pp. 2–12; Figs. 1–8; Tables 1–4; cited SI</x:v>
      </x:c>
      <x:c r="F265" s="12" t="str">
        <x:v>Clear</x:v>
      </x:c>
      <x:c r="G265" s="12" t="str">
        <x:v>Batch 04</x:v>
      </x:c>
    </x:row>
    <x:row r="266" ht="15" hidden="0" customHeight="1">
      <x:c r="A266" s="12" t="str">
        <x:v>S044</x:v>
      </x:c>
      <x:c r="B266" s="12" t="str">
        <x:v>L1</x:v>
      </x:c>
      <x:c r="C266" s="12" t="n">
        <x:v>1</x:v>
      </x:c>
      <x:c r="D266" s="12" t="str">
        <x:v>FDM term, printer, functional filament, nozzle temperature, layer height, infill and geometry are reported.</x:v>
      </x:c>
      <x:c r="E266" s="12" t="str">
        <x:v>PDF pp. 4–11; Figs. 1, 5–6; cited SI</x:v>
      </x:c>
      <x:c r="F266" s="12" t="str">
        <x:v>Clear</x:v>
      </x:c>
      <x:c r="G266" s="12" t="str">
        <x:v>Batch 04</x:v>
      </x:c>
    </x:row>
    <x:row r="267" ht="15" hidden="0" customHeight="1">
      <x:c r="A267" s="12" t="str">
        <x:v>S044</x:v>
      </x:c>
      <x:c r="B267" s="12" t="str">
        <x:v>L2</x:v>
      </x:c>
      <x:c r="C267" s="12" t="n">
        <x:v>1</x:v>
      </x:c>
      <x:c r="D267" s="12" t="str">
        <x:v>GNP/TPU filament, electrodes, encapsulation and signal acquisition are described.</x:v>
      </x:c>
      <x:c r="E267" s="12" t="str">
        <x:v>PDF pp. 4–11; Figs. 1, 5–6; cited SI</x:v>
      </x:c>
      <x:c r="F267" s="12" t="str">
        <x:v>Clear</x:v>
      </x:c>
      <x:c r="G267" s="12" t="str">
        <x:v>Batch 04</x:v>
      </x:c>
    </x:row>
    <x:row r="268" ht="15" hidden="0" customHeight="1">
      <x:c r="A268" s="12" t="str">
        <x:v>S044</x:v>
      </x:c>
      <x:c r="B268" s="12" t="str">
        <x:v>L3</x:v>
      </x:c>
      <x:c r="C268" s="12" t="n">
        <x:v>1</x:v>
      </x:c>
      <x:c r="D268" s="12" t="str">
        <x:v>Universal mechanical testing and stated loading protocols are reported.</x:v>
      </x:c>
      <x:c r="E268" s="12" t="str">
        <x:v>PDF pp. 4–11; Figs. 1, 5–6; cited SI</x:v>
      </x:c>
      <x:c r="F268" s="12" t="str">
        <x:v>Clear</x:v>
      </x:c>
      <x:c r="G268" s="12" t="str">
        <x:v>Batch 04</x:v>
      </x:c>
    </x:row>
    <x:row r="269" ht="15" hidden="0" customHeight="1">
      <x:c r="A269" s="12" t="str">
        <x:v>S044</x:v>
      </x:c>
      <x:c r="B269" s="12" t="str">
        <x:v>L4</x:v>
      </x:c>
      <x:c r="C269" s="12" t="n">
        <x:v>1</x:v>
      </x:c>
      <x:c r="D269" s="12" t="str">
        <x:v>GF, hysteresis and drift are quantified over stated strain/rate ranges.</x:v>
      </x:c>
      <x:c r="E269" s="12" t="str">
        <x:v>PDF pp. 4–11; Figs. 1, 5–6; cited SI</x:v>
      </x:c>
      <x:c r="F269" s="12" t="str">
        <x:v>Clear</x:v>
      </x:c>
      <x:c r="G269" s="12" t="str">
        <x:v>Batch 04</x:v>
      </x:c>
    </x:row>
    <x:row r="270" ht="15" hidden="0" customHeight="1">
      <x:c r="A270" s="12" t="str">
        <x:v>S044</x:v>
      </x:c>
      <x:c r="B270" s="12" t="str">
        <x:v>L5</x:v>
      </x:c>
      <x:c r="C270" s="12" t="n">
        <x:v>1</x:v>
      </x:c>
      <x:c r="D270" s="12" t="str">
        <x:v>A 500-cycle compression test reports a maximum 9.5% GF drift after 400 cycles.</x:v>
      </x:c>
      <x:c r="E270" s="12" t="str">
        <x:v>PDF pp. 4–11; Figs. 1, 5–6; cited SI</x:v>
      </x:c>
      <x:c r="F270" s="12" t="str">
        <x:v>Clear</x:v>
      </x:c>
      <x:c r="G270" s="12" t="str">
        <x:v>Batch 04</x:v>
      </x:c>
    </x:row>
    <x:row r="271" ht="15" hidden="0" customHeight="1">
      <x:c r="A271" s="12" t="str">
        <x:v>S044</x:v>
      </x:c>
      <x:c r="B271" s="12" t="str">
        <x:v>L6</x:v>
      </x:c>
      <x:c r="C271" s="12" t="n">
        <x:v>0</x:v>
      </x:c>
      <x:c r="D271" s="12" t="str">
        <x:v>Loading speed is a test variable for the intended measurand; no separate qualifying exposure was tested.</x:v>
      </x:c>
      <x:c r="E271" s="12" t="str">
        <x:v>PDF pp. 4–11; Figs. 1, 5–6; cited SI</x:v>
      </x:c>
      <x:c r="F271" s="12" t="str">
        <x:v>Clear</x:v>
      </x:c>
      <x:c r="G271" s="12" t="str">
        <x:v>Batch 04</x:v>
      </x:c>
    </x:row>
    <x:row r="272" ht="15" hidden="0" customHeight="1">
      <x:c r="A272" s="12" t="str">
        <x:v>S044</x:v>
      </x:c>
      <x:c r="B272" s="12" t="str">
        <x:v>L7</x:v>
      </x:c>
      <x:c r="C272" s="12" t="n">
        <x:v>0</x:v>
      </x:c>
      <x:c r="D272" s="12" t="str">
        <x:v>Sensors were worn on the neck and foot, but no quantitative interface or pre/post integration endpoint was reported.</x:v>
      </x:c>
      <x:c r="E272" s="12" t="str">
        <x:v>PDF pp. 4–11; Figs. 1, 5–6; cited SI</x:v>
      </x:c>
      <x:c r="F272" s="12" t="str">
        <x:v>Clear</x:v>
      </x:c>
      <x:c r="G272" s="12" t="str">
        <x:v>Batch 04</x:v>
      </x:c>
    </x:row>
    <x:row r="273" ht="15" hidden="0" customHeight="1">
      <x:c r="A273" s="12" t="str">
        <x:v>S044</x:v>
      </x:c>
      <x:c r="B273" s="12" t="str">
        <x:v>L8</x:v>
      </x:c>
      <x:c r="C273" s="12" t="n">
        <x:v>0</x:v>
      </x:c>
      <x:c r="D273" s="12" t="str">
        <x:v>Architecture variants were compared; ≥3 separately fabricated replicate devices were not identified.</x:v>
      </x:c>
      <x:c r="E273" s="12" t="str">
        <x:v>PDF pp. 4–11; Figs. 1, 5–6; cited SI</x:v>
      </x:c>
      <x:c r="F273" s="12" t="str">
        <x:v>Clear</x:v>
      </x:c>
      <x:c r="G273" s="12" t="str">
        <x:v>Batch 04</x:v>
      </x:c>
    </x:row>
    <x:row r="274" ht="24" hidden="0" customHeight="1">
      <x:c r="A274" s="12" t="str">
        <x:v>S046</x:v>
      </x:c>
      <x:c r="B274" s="12" t="str">
        <x:v>L1</x:v>
      </x:c>
      <x:c r="C274" s="12" t="n">
        <x:v>0</x:v>
      </x:c>
      <x:c r="D274" s="12" t="str">
        <x:v>The supplement reports the Anycubic Kobra Plus i3 printer, 90 °C platform, 250 °C nozzle and 15 mm s^-1 speed, but layer height, infill value/pattern and orientation/toolpath remain unreported; the tested device cannot be fully reconstructed.</x:v>
      </x:c>
      <x:c r="E274" s="12" t="str">
        <x:v>Supplementary pp. 3-4; Fig. S3</x:v>
      </x:c>
      <x:c r="F274" s="12" t="str">
        <x:v>Clear</x:v>
      </x:c>
      <x:c r="G274" s="12" t="str">
        <x:v>Supplement verified 2026-09-03</x:v>
      </x:c>
    </x:row>
    <x:row r="275" ht="24" hidden="0" customHeight="1">
      <x:c r="A275" s="12" t="str">
        <x:v>S046</x:v>
      </x:c>
      <x:c r="B275" s="12" t="str">
        <x:v>L2</x:v>
      </x:c>
      <x:c r="C275" s="12" t="n">
        <x:v>1</x:v>
      </x:c>
      <x:c r="D275" s="12" t="str">
        <x:v>PVDF/CFO composition, filament preparation and voltage acquisition are described.</x:v>
      </x:c>
      <x:c r="E275" s="12" t="str">
        <x:v>PDF pp. 2–7; Figs. 3–5; cited Supplementary Figs. S1–S5</x:v>
      </x:c>
      <x:c r="F275" s="12" t="str">
        <x:v>Clear</x:v>
      </x:c>
      <x:c r="G275" s="12" t="str">
        <x:v>Batch 04</x:v>
      </x:c>
    </x:row>
    <x:row r="276" ht="24" hidden="0" customHeight="1">
      <x:c r="A276" s="12" t="str">
        <x:v>S046</x:v>
      </x:c>
      <x:c r="B276" s="12" t="str">
        <x:v>L3</x:v>
      </x:c>
      <x:c r="C276" s="12" t="n">
        <x:v>1</x:v>
      </x:c>
      <x:c r="D276" s="12" t="str">
        <x:v>Controlled drop weights/heights, periodic magnetic fields and stated walking frequencies are reported.</x:v>
      </x:c>
      <x:c r="E276" s="12" t="str">
        <x:v>PDF pp. 2–7; Figs. 3–5; cited Supplementary Figs. S1–S5</x:v>
      </x:c>
      <x:c r="F276" s="12" t="str">
        <x:v>Clear</x:v>
      </x:c>
      <x:c r="G276" s="12" t="str">
        <x:v>Batch 04</x:v>
      </x:c>
    </x:row>
    <x:row r="277" ht="24" hidden="0" customHeight="1">
      <x:c r="A277" s="12" t="str">
        <x:v>S046</x:v>
      </x:c>
      <x:c r="B277" s="12" t="str">
        <x:v>L4</x:v>
      </x:c>
      <x:c r="C277" s="12" t="n">
        <x:v>1</x:v>
      </x:c>
      <x:c r="D277" s="12" t="str">
        <x:v>Output voltage, piezoelectric voltage coefficient and magnetoelectric coefficient are defined and quantified.</x:v>
      </x:c>
      <x:c r="E277" s="12" t="str">
        <x:v>PDF pp. 2–7; Figs. 3–5; cited Supplementary Figs. S1–S5</x:v>
      </x:c>
      <x:c r="F277" s="12" t="str">
        <x:v>Clear</x:v>
      </x:c>
      <x:c r="G277" s="12" t="str">
        <x:v>Batch 04</x:v>
      </x:c>
    </x:row>
    <x:row r="278" ht="24" hidden="0" customHeight="1">
      <x:c r="A278" s="12" t="str">
        <x:v>S046</x:v>
      </x:c>
      <x:c r="B278" s="12" t="str">
        <x:v>L5</x:v>
      </x:c>
      <x:c r="C278" s="12" t="n">
        <x:v>0</x:v>
      </x:c>
      <x:c r="D278" s="12" t="str">
        <x:v>Periodic responses are shown, but an explicit ≥3-cycle count and retention outcome are not reported.</x:v>
      </x:c>
      <x:c r="E278" s="12" t="str">
        <x:v>PDF pp. 2–7; Figs. 3–5; cited Supplementary Figs. S1–S5</x:v>
      </x:c>
      <x:c r="F278" s="12" t="str">
        <x:v>Clear</x:v>
      </x:c>
      <x:c r="G278" s="12" t="str">
        <x:v>Batch 04</x:v>
      </x:c>
    </x:row>
    <x:row r="279" ht="24" hidden="0" customHeight="1">
      <x:c r="A279" s="12" t="str">
        <x:v>S046</x:v>
      </x:c>
      <x:c r="B279" s="12" t="str">
        <x:v>L6</x:v>
      </x:c>
      <x:c r="C279" s="12" t="n">
        <x:v>0</x:v>
      </x:c>
      <x:c r="D279" s="12" t="str">
        <x:v>No qualifying environmental exposure was tested.</x:v>
      </x:c>
      <x:c r="E279" s="12" t="str">
        <x:v>PDF pp. 2–7; Figs. 3–5; cited Supplementary Figs. S1–S5</x:v>
      </x:c>
      <x:c r="F279" s="12" t="str">
        <x:v>Clear</x:v>
      </x:c>
      <x:c r="G279" s="12" t="str">
        <x:v>Batch 04</x:v>
      </x:c>
    </x:row>
    <x:row r="280" ht="24" hidden="0" customHeight="1">
      <x:c r="A280" s="12" t="str">
        <x:v>S046</x:v>
      </x:c>
      <x:c r="B280" s="12" t="str">
        <x:v>L7</x:v>
      </x:c>
      <x:c r="C280" s="12" t="n">
        <x:v>1</x:v>
      </x:c>
      <x:c r="D280" s="12" t="str">
        <x:v>A Z-shaped spring embedded in the author's insole is assessed during repeated walking at two frequencies; maintained stable voltage is explicitly reported.</x:v>
      </x:c>
      <x:c r="E280" s="12" t="str">
        <x:v>S046_Main.pdf, physical pp. 6-7, Fig. 5c-e and application paragraph (printed pp. 1021-1022).</x:v>
      </x:c>
      <x:c r="F280" s="12" t="str">
        <x:v>Moderate</x:v>
      </x:c>
      <x:c r="G280" s="12" t="str">
        <x:v>Final L7 reassessment</x:v>
      </x:c>
    </x:row>
    <x:row r="281" ht="24" hidden="0" customHeight="1">
      <x:c r="A281" s="12" t="str">
        <x:v>S046</x:v>
      </x:c>
      <x:c r="B281" s="12" t="str">
        <x:v>L8</x:v>
      </x:c>
      <x:c r="C281" s="12" t="n">
        <x:v>0</x:v>
      </x:c>
      <x:c r="D281" s="12" t="str">
        <x:v>Only one demonstrated sleeve and one Z spring were identified; composition variants are not replicate devices.</x:v>
      </x:c>
      <x:c r="E281" s="12" t="str">
        <x:v>PDF pp. 2–7; Figs. 3–5; cited Supplementary Figs. S1–S5</x:v>
      </x:c>
      <x:c r="F281" s="12" t="str">
        <x:v>Clear</x:v>
      </x:c>
      <x:c r="G281" s="12" t="str">
        <x:v>Batch 04</x:v>
      </x:c>
    </x:row>
    <x:row r="282" ht="15" hidden="0" customHeight="1">
      <x:c r="A282" s="12" t="str">
        <x:v>S047</x:v>
      </x:c>
      <x:c r="B282" s="12" t="str">
        <x:v>L1</x:v>
      </x:c>
      <x:c r="C282" s="12" t="n">
        <x:v>0</x:v>
      </x:c>
      <x:c r="D282" s="12" t="str">
        <x:v>FDM, printer and PLA are named, but nozzle, temperatures, speed, layer height and infill are not reported.</x:v>
      </x:c>
      <x:c r="E282" s="12" t="str">
        <x:v>PDF pp. 3–13; Figs. 2–12; Table 1</x:v>
      </x:c>
      <x:c r="F282" s="12" t="str">
        <x:v>Clear</x:v>
      </x:c>
      <x:c r="G282" s="12" t="str">
        <x:v>Batch 04</x:v>
      </x:c>
    </x:row>
    <x:row r="283" ht="15" hidden="0" customHeight="1">
      <x:c r="A283" s="12" t="str">
        <x:v>S047</x:v>
      </x:c>
      <x:c r="B283" s="12" t="str">
        <x:v>L2</x:v>
      </x:c>
      <x:c r="C283" s="12" t="n">
        <x:v>1</x:v>
      </x:c>
      <x:c r="D283" s="12" t="str">
        <x:v>Mask, FSR modules, silicone interface, straps and readout architecture are described.</x:v>
      </x:c>
      <x:c r="E283" s="12" t="str">
        <x:v>PDF pp. 3–13; Figs. 2–12; Table 1</x:v>
      </x:c>
      <x:c r="F283" s="12" t="str">
        <x:v>Clear</x:v>
      </x:c>
      <x:c r="G283" s="12" t="str">
        <x:v>Batch 04</x:v>
      </x:c>
    </x:row>
    <x:row r="284" ht="15" hidden="0" customHeight="1">
      <x:c r="A284" s="12" t="str">
        <x:v>S047</x:v>
      </x:c>
      <x:c r="B284" s="12" t="str">
        <x:v>L3</x:v>
      </x:c>
      <x:c r="C284" s="12" t="n">
        <x:v>1</x:v>
      </x:c>
      <x:c r="D284" s="12" t="str">
        <x:v>Weight screening and patient-specific PicoPress calibration at 15 and 25 mmHg are reported.</x:v>
      </x:c>
      <x:c r="E284" s="12" t="str">
        <x:v>PDF pp. 3–13; Figs. 2–12; Table 1</x:v>
      </x:c>
      <x:c r="F284" s="12" t="str">
        <x:v>Clear</x:v>
      </x:c>
      <x:c r="G284" s="12" t="str">
        <x:v>Batch 04</x:v>
      </x:c>
    </x:row>
    <x:row r="285" ht="15" hidden="0" customHeight="1">
      <x:c r="A285" s="12" t="str">
        <x:v>S047</x:v>
      </x:c>
      <x:c r="B285" s="12" t="str">
        <x:v>L4</x:v>
      </x:c>
      <x:c r="C285" s="12" t="n">
        <x:v>1</x:v>
      </x:c>
      <x:c r="D285" s="12" t="str">
        <x:v>Pressure, logged averages/SD and clinical outcomes are quantitatively reported.</x:v>
      </x:c>
      <x:c r="E285" s="12" t="str">
        <x:v>PDF pp. 3–13; Figs. 2–12; Table 1</x:v>
      </x:c>
      <x:c r="F285" s="12" t="str">
        <x:v>Clear</x:v>
      </x:c>
      <x:c r="G285" s="12" t="str">
        <x:v>Batch 04</x:v>
      </x:c>
    </x:row>
    <x:row r="286" ht="15" hidden="0" customHeight="1">
      <x:c r="A286" s="12" t="str">
        <x:v>S047</x:v>
      </x:c>
      <x:c r="B286" s="12" t="str">
        <x:v>L5</x:v>
      </x:c>
      <x:c r="C286" s="12" t="n">
        <x:v>0</x:v>
      </x:c>
      <x:c r="D286" s="12" t="str">
        <x:v>Four-week monitoring does not report a controlled repeated sensor-retention test or recalibration drift endpoint.</x:v>
      </x:c>
      <x:c r="E286" s="12" t="str">
        <x:v>PDF pp. 3–13; Figs. 2–12; Table 1</x:v>
      </x:c>
      <x:c r="F286" s="12" t="str">
        <x:v>Clear</x:v>
      </x:c>
      <x:c r="G286" s="12" t="str">
        <x:v>Batch 04</x:v>
      </x:c>
    </x:row>
    <x:row r="287" ht="15" hidden="0" customHeight="1">
      <x:c r="A287" s="12" t="str">
        <x:v>S047</x:v>
      </x:c>
      <x:c r="B287" s="12" t="str">
        <x:v>L6</x:v>
      </x:c>
      <x:c r="C287" s="12" t="n">
        <x:v>0</x:v>
      </x:c>
      <x:c r="D287" s="12" t="str">
        <x:v>Clinical wear provides application data but no declared environmental exposure with sensor-response retention.</x:v>
      </x:c>
      <x:c r="E287" s="12" t="str">
        <x:v>PDF pp. 3–13; Figs. 2–12; Table 1</x:v>
      </x:c>
      <x:c r="F287" s="12" t="str">
        <x:v>Clear</x:v>
      </x:c>
      <x:c r="G287" s="12" t="str">
        <x:v>Batch 04</x:v>
      </x:c>
    </x:row>
    <x:row r="288" ht="15" hidden="0" customHeight="1">
      <x:c r="A288" s="12" t="str">
        <x:v>S047</x:v>
      </x:c>
      <x:c r="B288" s="12" t="str">
        <x:v>L7</x:v>
      </x:c>
      <x:c r="C288" s="12" t="n">
        <x:v>1</x:v>
      </x:c>
      <x:c r="D288" s="12" t="str">
        <x:v>Pressure is recorded to confirm maintenance of 15-25 mmHg; section 3.2.1 reports that mean pressure is maintained through the trial with strap adjustment.</x:v>
      </x:c>
      <x:c r="E288" s="12" t="str">
        <x:v>S047_Main.pdf, physical p. 6, clinical protocol; pp. 9-10, section 3.2.1/Fig. 9. The figure shows the initial hour; adjacent text reports trial-period maintenance.</x:v>
      </x:c>
      <x:c r="F288" s="12" t="str">
        <x:v>Moderate</x:v>
      </x:c>
      <x:c r="G288" s="12" t="str">
        <x:v>Final L7 reassessment</x:v>
      </x:c>
    </x:row>
    <x:row r="289" ht="15" hidden="0" customHeight="1">
      <x:c r="A289" s="12" t="str">
        <x:v>S047</x:v>
      </x:c>
      <x:c r="B289" s="12" t="str">
        <x:v>L8</x:v>
      </x:c>
      <x:c r="C289" s="12" t="n">
        <x:v>0</x:v>
      </x:c>
      <x:c r="D289" s="12" t="str">
        <x:v>Two masks were used; eight commercial FSR modules were screened, not three separately fabricated FDM sensing systems.</x:v>
      </x:c>
      <x:c r="E289" s="12" t="str">
        <x:v>PDF pp. 3–13; Figs. 2–12; Table 1</x:v>
      </x:c>
      <x:c r="F289" s="12" t="str">
        <x:v>Clear</x:v>
      </x:c>
      <x:c r="G289" s="12" t="str">
        <x:v>Batch 04</x:v>
      </x:c>
    </x:row>
    <x:row r="290" ht="15" hidden="0" customHeight="1">
      <x:c r="A290" s="12" t="str">
        <x:v>S048</x:v>
      </x:c>
      <x:c r="B290" s="12" t="str">
        <x:v>L1</x:v>
      </x:c>
      <x:c r="C290" s="12" t="n">
        <x:v>1</x:v>
      </x:c>
      <x:c r="D290" s="12" t="str">
        <x:v>FDM printer, TPU/graphene, nozzle, temperature, speed, layer height, pattern/infill and processing geometry are reported.</x:v>
      </x:c>
      <x:c r="E290" s="12" t="str">
        <x:v>PDF pp. 3–9; Figs. 1, 4–9; cited SI</x:v>
      </x:c>
      <x:c r="F290" s="12" t="str">
        <x:v>Clear</x:v>
      </x:c>
      <x:c r="G290" s="12" t="str">
        <x:v>Batch 04</x:v>
      </x:c>
    </x:row>
    <x:row r="291" ht="15" hidden="0" customHeight="1">
      <x:c r="A291" s="12" t="str">
        <x:v>S048</x:v>
      </x:c>
      <x:c r="B291" s="12" t="str">
        <x:v>L2</x:v>
      </x:c>
      <x:c r="C291" s="12" t="n">
        <x:v>1</x:v>
      </x:c>
      <x:c r="D291" s="12" t="str">
        <x:v>TPU, graphene deposition/embedding, contacts and sensing roles are described.</x:v>
      </x:c>
      <x:c r="E291" s="12" t="str">
        <x:v>PDF pp. 3–9; Figs. 1, 4–9; cited SI</x:v>
      </x:c>
      <x:c r="F291" s="12" t="str">
        <x:v>Clear</x:v>
      </x:c>
      <x:c r="G291" s="12" t="str">
        <x:v>Batch 04</x:v>
      </x:c>
    </x:row>
    <x:row r="292" ht="15" hidden="0" customHeight="1">
      <x:c r="A292" s="12" t="str">
        <x:v>S048</x:v>
      </x:c>
      <x:c r="B292" s="12" t="str">
        <x:v>L3</x:v>
      </x:c>
      <x:c r="C292" s="12" t="n">
        <x:v>1</x:v>
      </x:c>
      <x:c r="D292" s="12" t="str">
        <x:v>Mechanical test conditions and resistance/current acquisition are reported.</x:v>
      </x:c>
      <x:c r="E292" s="12" t="str">
        <x:v>PDF pp. 3–9; Figs. 1, 4–9; cited SI</x:v>
      </x:c>
      <x:c r="F292" s="12" t="str">
        <x:v>Clear</x:v>
      </x:c>
      <x:c r="G292" s="12" t="str">
        <x:v>Batch 04</x:v>
      </x:c>
    </x:row>
    <x:row r="293" ht="15" hidden="0" customHeight="1">
      <x:c r="A293" s="12" t="str">
        <x:v>S048</x:v>
      </x:c>
      <x:c r="B293" s="12" t="str">
        <x:v>L4</x:v>
      </x:c>
      <x:c r="C293" s="12" t="n">
        <x:v>1</x:v>
      </x:c>
      <x:c r="D293" s="12" t="str">
        <x:v>Sensitivity and GF equations, ranges, cycling thresholds and exposure response are reported.</x:v>
      </x:c>
      <x:c r="E293" s="12" t="str">
        <x:v>PDF pp. 3–9; Figs. 1, 4–9; cited SI</x:v>
      </x:c>
      <x:c r="F293" s="12" t="str">
        <x:v>Clear</x:v>
      </x:c>
      <x:c r="G293" s="12" t="str">
        <x:v>Batch 04</x:v>
      </x:c>
    </x:row>
    <x:row r="294" ht="15" hidden="0" customHeight="1">
      <x:c r="A294" s="12" t="str">
        <x:v>S048</x:v>
      </x:c>
      <x:c r="B294" s="12" t="str">
        <x:v>L5</x:v>
      </x:c>
      <x:c r="C294" s="12" t="n">
        <x:v>1</x:v>
      </x:c>
      <x:c r="D294" s="12" t="str">
        <x:v>Five-cycle compression tests and a tensile test beyond 1500 cycles report recovery and degradation.</x:v>
      </x:c>
      <x:c r="E294" s="12" t="str">
        <x:v>PDF pp. 3–9; Figs. 1, 4–9; cited SI</x:v>
      </x:c>
      <x:c r="F294" s="12" t="str">
        <x:v>Clear</x:v>
      </x:c>
      <x:c r="G294" s="12" t="str">
        <x:v>Batch 04</x:v>
      </x:c>
    </x:row>
    <x:row r="295" ht="15" hidden="0" customHeight="1">
      <x:c r="A295" s="12" t="str">
        <x:v>S048</x:v>
      </x:c>
      <x:c r="B295" s="12" t="str">
        <x:v>L6</x:v>
      </x:c>
      <x:c r="C295" s="12" t="n">
        <x:v>1</x:v>
      </x:c>
      <x:c r="D295" s="12" t="str">
        <x:v>Water and organic-solvent immersion/ultrasonication for four hours was followed by resistance measurements.</x:v>
      </x:c>
      <x:c r="E295" s="12" t="str">
        <x:v>PDF pp. 3–9; Figs. 1, 4–9; cited SI</x:v>
      </x:c>
      <x:c r="F295" s="12" t="str">
        <x:v>Clear</x:v>
      </x:c>
      <x:c r="G295" s="12" t="str">
        <x:v>Batch 04</x:v>
      </x:c>
    </x:row>
    <x:row r="296" ht="15" hidden="0" customHeight="1">
      <x:c r="A296" s="12" t="str">
        <x:v>S048</x:v>
      </x:c>
      <x:c r="B296" s="12" t="str">
        <x:v>L7</x:v>
      </x:c>
      <x:c r="C296" s="12" t="n">
        <x:v>0</x:v>
      </x:c>
      <x:c r="D296" s="12" t="str">
        <x:v>Body-mounted demonstrations were reported without a quantitative interface or pre/post integration endpoint.</x:v>
      </x:c>
      <x:c r="E296" s="12" t="str">
        <x:v>PDF pp. 3–9; Figs. 1, 4–9; cited SI</x:v>
      </x:c>
      <x:c r="F296" s="12" t="str">
        <x:v>Clear</x:v>
      </x:c>
      <x:c r="G296" s="12" t="str">
        <x:v>Batch 04</x:v>
      </x:c>
    </x:row>
    <x:row r="297" ht="15" hidden="0" customHeight="1">
      <x:c r="A297" s="12" t="str">
        <x:v>S048</x:v>
      </x:c>
      <x:c r="B297" s="12" t="str">
        <x:v>L8</x:v>
      </x:c>
      <x:c r="C297" s="12" t="n">
        <x:v>0</x:v>
      </x:c>
      <x:c r="D297" s="12" t="str">
        <x:v>Material and pattern variants were tested; ≥3 separate complete sensors were not quantitatively compared.</x:v>
      </x:c>
      <x:c r="E297" s="12" t="str">
        <x:v>PDF pp. 3–9; Figs. 1, 4–9; cited SI</x:v>
      </x:c>
      <x:c r="F297" s="12" t="str">
        <x:v>Clear</x:v>
      </x:c>
      <x:c r="G297" s="12" t="str">
        <x:v>Batch 04</x:v>
      </x:c>
    </x:row>
    <x:row r="298" ht="15" hidden="0" customHeight="1">
      <x:c r="A298" s="12" t="str">
        <x:v>S050</x:v>
      </x:c>
      <x:c r="B298" s="12" t="str">
        <x:v>L1</x:v>
      </x:c>
      <x:c r="C298" s="12" t="n">
        <x:v>0</x:v>
      </x:c>
      <x:c r="D298" s="12" t="str">
        <x:v>Printer and materials are named, but nozzle/extrusion temperature, layer height, speed and toolpath are not reported.</x:v>
      </x:c>
      <x:c r="E298" s="12" t="str">
        <x:v>PDF pp. 3–10; Figs. 1–8</x:v>
      </x:c>
      <x:c r="F298" s="12" t="str">
        <x:v>Clear</x:v>
      </x:c>
      <x:c r="G298" s="12" t="str">
        <x:v>Batch 05</x:v>
      </x:c>
    </x:row>
    <x:row r="299" ht="15" hidden="0" customHeight="1">
      <x:c r="A299" s="12" t="str">
        <x:v>S050</x:v>
      </x:c>
      <x:c r="B299" s="12" t="str">
        <x:v>L2</x:v>
      </x:c>
      <x:c r="C299" s="12" t="n">
        <x:v>1</x:v>
      </x:c>
      <x:c r="D299" s="12" t="str">
        <x:v>ABS/TPU support roles and both embedded FBGs are described.</x:v>
      </x:c>
      <x:c r="E299" s="12" t="str">
        <x:v>PDF pp. 3–10; Figs. 1–8</x:v>
      </x:c>
      <x:c r="F299" s="12" t="str">
        <x:v>Clear</x:v>
      </x:c>
      <x:c r="G299" s="12" t="str">
        <x:v>Batch 05</x:v>
      </x:c>
    </x:row>
    <x:row r="300" ht="15" hidden="0" customHeight="1">
      <x:c r="A300" s="12" t="str">
        <x:v>S050</x:v>
      </x:c>
      <x:c r="B300" s="12" t="str">
        <x:v>L3</x:v>
      </x:c>
      <x:c r="C300" s="12" t="n">
        <x:v>1</x:v>
      </x:c>
      <x:c r="D300" s="12" t="str">
        <x:v>Controlled force, temperature and motion tests use stated references.</x:v>
      </x:c>
      <x:c r="E300" s="12" t="str">
        <x:v>PDF pp. 3–10; Figs. 1–8</x:v>
      </x:c>
      <x:c r="F300" s="12" t="str">
        <x:v>Clear</x:v>
      </x:c>
      <x:c r="G300" s="12" t="str">
        <x:v>Batch 05</x:v>
      </x:c>
    </x:row>
    <x:row r="301" ht="15" hidden="0" customHeight="1">
      <x:c r="A301" s="12" t="str">
        <x:v>S050</x:v>
      </x:c>
      <x:c r="B301" s="12" t="str">
        <x:v>L4</x:v>
      </x:c>
      <x:c r="C301" s="12" t="n">
        <x:v>1</x:v>
      </x:c>
      <x:c r="D301" s="12" t="str">
        <x:v>Sensitivities, errors and tested ranges are quantified.</x:v>
      </x:c>
      <x:c r="E301" s="12" t="str">
        <x:v>PDF pp. 3–10; Figs. 1–8</x:v>
      </x:c>
      <x:c r="F301" s="12" t="str">
        <x:v>Clear</x:v>
      </x:c>
      <x:c r="G301" s="12" t="str">
        <x:v>Batch 05</x:v>
      </x:c>
    </x:row>
    <x:row r="302" ht="15" hidden="0" customHeight="1">
      <x:c r="A302" s="12" t="str">
        <x:v>S050</x:v>
      </x:c>
      <x:c r="B302" s="12" t="str">
        <x:v>L5</x:v>
      </x:c>
      <x:c r="C302" s="12" t="n">
        <x:v>1</x:v>
      </x:c>
      <x:c r="D302" s="12" t="str">
        <x:v>Five exoskeleton flexion/extension cycles provide a repeated application-response trace.</x:v>
      </x:c>
      <x:c r="E302" s="12" t="str">
        <x:v>PDF pp. 3–10; Figs. 1–8</x:v>
      </x:c>
      <x:c r="F302" s="12" t="str">
        <x:v>Clear</x:v>
      </x:c>
      <x:c r="G302" s="12" t="str">
        <x:v>Batch 05</x:v>
      </x:c>
    </x:row>
    <x:row r="303" ht="15" hidden="0" customHeight="1">
      <x:c r="A303" s="12" t="str">
        <x:v>S050</x:v>
      </x:c>
      <x:c r="B303" s="12" t="str">
        <x:v>L6</x:v>
      </x:c>
      <x:c r="C303" s="12" t="n">
        <x:v>1</x:v>
      </x:c>
      <x:c r="D303" s="12" t="str">
        <x:v>Sensor response was quantified from 25 to 45 °C and force compensation was evaluated.</x:v>
      </x:c>
      <x:c r="E303" s="12" t="str">
        <x:v>PDF pp. 3–10; Figs. 1–8</x:v>
      </x:c>
      <x:c r="F303" s="12" t="str">
        <x:v>Clear</x:v>
      </x:c>
      <x:c r="G303" s="12" t="str">
        <x:v>Batch 05</x:v>
      </x:c>
    </x:row>
    <x:row r="304" ht="15" hidden="0" customHeight="1">
      <x:c r="A304" s="12" t="str">
        <x:v>S050</x:v>
      </x:c>
      <x:c r="B304" s="12" t="str">
        <x:v>L7</x:v>
      </x:c>
      <x:c r="C304" s="12" t="n">
        <x:v>0</x:v>
      </x:c>
      <x:c r="D304" s="12" t="str">
        <x:v>No qualifying interface-integrity test or repeated final monolithic wearable-assembly test with a retention/failure endpoint was located.</x:v>
      </x:c>
      <x:c r="E304" s="12" t="str">
        <x:v>PDF pp. 3–10; Figs. 1–8</x:v>
      </x:c>
      <x:c r="F304" s="12" t="str">
        <x:v>Clear</x:v>
      </x:c>
      <x:c r="G304" s="12" t="str">
        <x:v>Adjudicated to Reviewer 2</x:v>
      </x:c>
    </x:row>
    <x:row r="305" ht="15" hidden="0" customHeight="1">
      <x:c r="A305" s="12" t="str">
        <x:v>S050</x:v>
      </x:c>
      <x:c r="B305" s="12" t="str">
        <x:v>L8</x:v>
      </x:c>
      <x:c r="C305" s="12" t="n">
        <x:v>0</x:v>
      </x:c>
      <x:c r="D305" s="12" t="str">
        <x:v>Only two complete support/FBG assemblies were identified.</x:v>
      </x:c>
      <x:c r="E305" s="12" t="str">
        <x:v>PDF pp. 3–10; Figs. 1–8</x:v>
      </x:c>
      <x:c r="F305" s="12" t="str">
        <x:v>Clear</x:v>
      </x:c>
      <x:c r="G305" s="12" t="str">
        <x:v>Batch 05</x:v>
      </x:c>
    </x:row>
    <x:row r="306" ht="15" hidden="0" customHeight="1">
      <x:c r="A306" s="12" t="str">
        <x:v>S051</x:v>
      </x:c>
      <x:c r="B306" s="12" t="str">
        <x:v>L1</x:v>
      </x:c>
      <x:c r="C306" s="12" t="n">
        <x:v>1</x:v>
      </x:c>
      <x:c r="D306" s="12" t="str">
        <x:v>FDM printer, flexible filament, nozzle, temperatures, speed, layer height and device/channel geometry are reported.</x:v>
      </x:c>
      <x:c r="E306" s="12" t="str">
        <x:v>PDF pp. 2–7; Figs. 1–5</x:v>
      </x:c>
      <x:c r="F306" s="12" t="str">
        <x:v>Clear</x:v>
      </x:c>
      <x:c r="G306" s="12" t="str">
        <x:v>Batch 05</x:v>
      </x:c>
    </x:row>
    <x:row r="307" ht="15" hidden="0" customHeight="1">
      <x:c r="A307" s="12" t="str">
        <x:v>S051</x:v>
      </x:c>
      <x:c r="B307" s="12" t="str">
        <x:v>L2</x:v>
      </x:c>
      <x:c r="C307" s="12" t="n">
        <x:v>1</x:v>
      </x:c>
      <x:c r="D307" s="12" t="str">
        <x:v>Printed polyurethane, Galinstan, PDMS/epoxy and electronic elements are described by role.</x:v>
      </x:c>
      <x:c r="E307" s="12" t="str">
        <x:v>PDF pp. 2–7; Figs. 1–5</x:v>
      </x:c>
      <x:c r="F307" s="12" t="str">
        <x:v>Clear</x:v>
      </x:c>
      <x:c r="G307" s="12" t="str">
        <x:v>Batch 05</x:v>
      </x:c>
    </x:row>
    <x:row r="308" ht="15" hidden="0" customHeight="1">
      <x:c r="A308" s="12" t="str">
        <x:v>S051</x:v>
      </x:c>
      <x:c r="B308" s="12" t="str">
        <x:v>L3</x:v>
      </x:c>
      <x:c r="C308" s="12" t="n">
        <x:v>1</x:v>
      </x:c>
      <x:c r="D308" s="12" t="str">
        <x:v>Temperature calibration and stated room/exercise conditions are reported.</x:v>
      </x:c>
      <x:c r="E308" s="12" t="str">
        <x:v>PDF pp. 2–7; Figs. 1–5</x:v>
      </x:c>
      <x:c r="F308" s="12" t="str">
        <x:v>Clear</x:v>
      </x:c>
      <x:c r="G308" s="12" t="str">
        <x:v>Batch 05</x:v>
      </x:c>
    </x:row>
    <x:row r="309" ht="15" hidden="0" customHeight="1">
      <x:c r="A309" s="12" t="str">
        <x:v>S051</x:v>
      </x:c>
      <x:c r="B309" s="12" t="str">
        <x:v>L4</x:v>
      </x:c>
      <x:c r="C309" s="12" t="n">
        <x:v>1</x:v>
      </x:c>
      <x:c r="D309" s="12" t="str">
        <x:v>Calibration ranges, frequency response and time-series temperature outputs are quantitative.</x:v>
      </x:c>
      <x:c r="E309" s="12" t="str">
        <x:v>PDF pp. 2–7; Figs. 1–5</x:v>
      </x:c>
      <x:c r="F309" s="12" t="str">
        <x:v>Clear</x:v>
      </x:c>
      <x:c r="G309" s="12" t="str">
        <x:v>Batch 05</x:v>
      </x:c>
    </x:row>
    <x:row r="310" ht="15" hidden="0" customHeight="1">
      <x:c r="A310" s="12" t="str">
        <x:v>S051</x:v>
      </x:c>
      <x:c r="B310" s="12" t="str">
        <x:v>L5</x:v>
      </x:c>
      <x:c r="C310" s="12" t="n">
        <x:v>0</x:v>
      </x:c>
      <x:c r="D310" s="12" t="str">
        <x:v>No same-stimulus ≥3-cycle stability or retention endpoint was identified.</x:v>
      </x:c>
      <x:c r="E310" s="12" t="str">
        <x:v>PDF pp. 2–7; Figs. 1–5</x:v>
      </x:c>
      <x:c r="F310" s="12" t="str">
        <x:v>Clear</x:v>
      </x:c>
      <x:c r="G310" s="12" t="str">
        <x:v>Batch 05</x:v>
      </x:c>
    </x:row>
    <x:row r="311" ht="15" hidden="0" customHeight="1">
      <x:c r="A311" s="12" t="str">
        <x:v>S051</x:v>
      </x:c>
      <x:c r="B311" s="12" t="str">
        <x:v>L6</x:v>
      </x:c>
      <x:c r="C311" s="12" t="n">
        <x:v>1</x:v>
      </x:c>
      <x:c r="D311" s="12" t="str">
        <x:v>The device response was measured in rooms from 6 to 40 °C.</x:v>
      </x:c>
      <x:c r="E311" s="12" t="str">
        <x:v>PDF pp. 2–7; Figs. 1–5</x:v>
      </x:c>
      <x:c r="F311" s="12" t="str">
        <x:v>Clear</x:v>
      </x:c>
      <x:c r="G311" s="12" t="str">
        <x:v>Batch 05</x:v>
      </x:c>
    </x:row>
    <x:row r="312" ht="15" hidden="0" customHeight="1">
      <x:c r="A312" s="12" t="str">
        <x:v>S051</x:v>
      </x:c>
      <x:c r="B312" s="12" t="str">
        <x:v>L7</x:v>
      </x:c>
      <x:c r="C312" s="12" t="n">
        <x:v>0</x:v>
      </x:c>
      <x:c r="D312" s="12" t="str">
        <x:v>No qualifying interface-integrity test or repeated final monolithic wearable-assembly test with a retention/failure endpoint was located.</x:v>
      </x:c>
      <x:c r="E312" s="12" t="str">
        <x:v>PDF pp. 2–7; Figs. 1–5</x:v>
      </x:c>
      <x:c r="F312" s="12" t="str">
        <x:v>Clear</x:v>
      </x:c>
      <x:c r="G312" s="12" t="str">
        <x:v>Adjudicated to Reviewer 2</x:v>
      </x:c>
    </x:row>
    <x:row r="313" ht="15" hidden="0" customHeight="1">
      <x:c r="A313" s="12" t="str">
        <x:v>S051</x:v>
      </x:c>
      <x:c r="B313" s="12" t="str">
        <x:v>L8</x:v>
      </x:c>
      <x:c r="C313" s="12" t="n">
        <x:v>0</x:v>
      </x:c>
      <x:c r="D313" s="12" t="str">
        <x:v>No quantitative comparison of ≥3 separately fabricated complete earables was reported.</x:v>
      </x:c>
      <x:c r="E313" s="12" t="str">
        <x:v>PDF pp. 2–7; Figs. 1–5</x:v>
      </x:c>
      <x:c r="F313" s="12" t="str">
        <x:v>Clear</x:v>
      </x:c>
      <x:c r="G313" s="12" t="str">
        <x:v>Batch 05</x:v>
      </x:c>
    </x:row>
    <x:row r="314" ht="24" hidden="0" customHeight="1">
      <x:c r="A314" s="12" t="str">
        <x:v>S052</x:v>
      </x:c>
      <x:c r="B314" s="12" t="str">
        <x:v>L1</x:v>
      </x:c>
      <x:c r="C314" s="12" t="n">
        <x:v>0</x:v>
      </x:c>
      <x:c r="D314" s="12" t="str">
        <x:v>The main article reports the F430 NX printer and 225/130 °C nozzle/base temperatures, and Supplementary Table S1 gives device geometry; nozzle diameter, layer height, print speed, infill and orientation/toolpath remain unreported.</x:v>
      </x:c>
      <x:c r="E314" s="12" t="str">
        <x:v>Main article p. 2; Supplementary Table S1</x:v>
      </x:c>
      <x:c r="F314" s="12" t="str">
        <x:v>Clear</x:v>
      </x:c>
      <x:c r="G314" s="12" t="str">
        <x:v>Supplement verified 2026-09-03</x:v>
      </x:c>
    </x:row>
    <x:row r="315" ht="24" hidden="0" customHeight="1">
      <x:c r="A315" s="12" t="str">
        <x:v>S052</x:v>
      </x:c>
      <x:c r="B315" s="12" t="str">
        <x:v>L2</x:v>
      </x:c>
      <x:c r="C315" s="12" t="n">
        <x:v>1</x:v>
      </x:c>
      <x:c r="D315" s="12" t="str">
        <x:v>PVDF grade, MMT loadings, filament preparation and device role are described.</x:v>
      </x:c>
      <x:c r="E315" s="12" t="str">
        <x:v>PDF pp. 2–12; Figs. 1–6; cited Supplementary Table S1 and Figs. S1–S21</x:v>
      </x:c>
      <x:c r="F315" s="12" t="str">
        <x:v>Clear</x:v>
      </x:c>
      <x:c r="G315" s="12" t="str">
        <x:v>Batch 05</x:v>
      </x:c>
    </x:row>
    <x:row r="316" ht="24" hidden="0" customHeight="1">
      <x:c r="A316" s="12" t="str">
        <x:v>S052</x:v>
      </x:c>
      <x:c r="B316" s="12" t="str">
        <x:v>L3</x:v>
      </x:c>
      <x:c r="C316" s="12" t="n">
        <x:v>1</x:v>
      </x:c>
      <x:c r="D316" s="12" t="str">
        <x:v>Mechanical/electrical tests use stated loading and instruments.</x:v>
      </x:c>
      <x:c r="E316" s="12" t="str">
        <x:v>PDF pp. 2–12; Figs. 1–6; cited Supplementary Table S1 and Figs. S1–S21</x:v>
      </x:c>
      <x:c r="F316" s="12" t="str">
        <x:v>Clear</x:v>
      </x:c>
      <x:c r="G316" s="12" t="str">
        <x:v>Batch 05</x:v>
      </x:c>
    </x:row>
    <x:row r="317" ht="24" hidden="0" customHeight="1">
      <x:c r="A317" s="12" t="str">
        <x:v>S052</x:v>
      </x:c>
      <x:c r="B317" s="12" t="str">
        <x:v>L4</x:v>
      </x:c>
      <x:c r="C317" s="12" t="n">
        <x:v>1</x:v>
      </x:c>
      <x:c r="D317" s="12" t="str">
        <x:v>Mechanical, piezoelectric, timing and classification outcomes are quantified over stated ranges.</x:v>
      </x:c>
      <x:c r="E317" s="12" t="str">
        <x:v>PDF pp. 2–12; Figs. 1–6; cited Supplementary Table S1 and Figs. S1–S21</x:v>
      </x:c>
      <x:c r="F317" s="12" t="str">
        <x:v>Clear</x:v>
      </x:c>
      <x:c r="G317" s="12" t="str">
        <x:v>Batch 05</x:v>
      </x:c>
    </x:row>
    <x:row r="318" ht="24" hidden="0" customHeight="1">
      <x:c r="A318" s="12" t="str">
        <x:v>S052</x:v>
      </x:c>
      <x:c r="B318" s="12" t="str">
        <x:v>L5</x:v>
      </x:c>
      <x:c r="C318" s="12" t="n">
        <x:v>1</x:v>
      </x:c>
      <x:c r="D318" s="12" t="str">
        <x:v>Two hundred mechanical cycles and 5000 sensor cycles report retained response.</x:v>
      </x:c>
      <x:c r="E318" s="12" t="str">
        <x:v>PDF pp. 2–12; Figs. 1–6; cited Supplementary Table S1 and Figs. S1–S21</x:v>
      </x:c>
      <x:c r="F318" s="12" t="str">
        <x:v>Clear</x:v>
      </x:c>
      <x:c r="G318" s="12" t="str">
        <x:v>Batch 05</x:v>
      </x:c>
    </x:row>
    <x:row r="319" ht="24" hidden="0" customHeight="1">
      <x:c r="A319" s="12" t="str">
        <x:v>S052</x:v>
      </x:c>
      <x:c r="B319" s="12" t="str">
        <x:v>L6</x:v>
      </x:c>
      <x:c r="C319" s="12" t="n">
        <x:v>1</x:v>
      </x:c>
      <x:c r="D319" s="12" t="str">
        <x:v>Ambient humidity and temperature response are explicitly reported, with detail in cited supplementary figures.</x:v>
      </x:c>
      <x:c r="E319" s="12" t="str">
        <x:v>PDF pp. 2–12; Figs. 1–6; cited Supplementary Table S1 and Figs. S1–S21</x:v>
      </x:c>
      <x:c r="F319" s="12" t="str">
        <x:v>Clear</x:v>
      </x:c>
      <x:c r="G319" s="12" t="str">
        <x:v>Batch 05</x:v>
      </x:c>
    </x:row>
    <x:row r="320" ht="24" hidden="0" customHeight="1">
      <x:c r="A320" s="12" t="str">
        <x:v>S052</x:v>
      </x:c>
      <x:c r="B320" s="12" t="str">
        <x:v>L7</x:v>
      </x:c>
      <x:c r="C320" s="12" t="n">
        <x:v>1</x:v>
      </x:c>
      <x:c r="D320" s="12" t="str">
        <x:v>The final hand-worn sensor was quantitatively evaluated across five object-manipulation classes.</x:v>
      </x:c>
      <x:c r="E320" s="12" t="str">
        <x:v>PDF pp. 10-12; Fig. 6</x:v>
      </x:c>
      <x:c r="F320" s="12" t="str">
        <x:v>Clear</x:v>
      </x:c>
      <x:c r="G320" s="12" t="str">
        <x:v>Final L7 reassessment</x:v>
      </x:c>
    </x:row>
    <x:row r="321" ht="24" hidden="0" customHeight="1">
      <x:c r="A321" s="12" t="str">
        <x:v>S052</x:v>
      </x:c>
      <x:c r="B321" s="12" t="str">
        <x:v>L8</x:v>
      </x:c>
      <x:c r="C321" s="12" t="n">
        <x:v>0</x:v>
      </x:c>
      <x:c r="D321" s="12" t="str">
        <x:v>A ±6% batch variation is stated, but the number of separately fabricated complete sensors is not identified.</x:v>
      </x:c>
      <x:c r="E321" s="12" t="str">
        <x:v>PDF pp. 2–12; Figs. 1–6; cited Supplementary Table S1 and Figs. S1–S21</x:v>
      </x:c>
      <x:c r="F321" s="12" t="str">
        <x:v>Clear</x:v>
      </x:c>
      <x:c r="G321" s="12" t="str">
        <x:v>Batch 05</x:v>
      </x:c>
    </x:row>
    <x:row r="322" ht="15" hidden="0" customHeight="1">
      <x:c r="A322" s="12" t="str">
        <x:v>S053</x:v>
      </x:c>
      <x:c r="B322" s="12" t="str">
        <x:v>L1</x:v>
      </x:c>
      <x:c r="C322" s="12" t="n">
        <x:v>0</x:v>
      </x:c>
      <x:c r="D322" s="12" t="str">
        <x:v>FDM, composition, nozzle temperature, layer height, infill and geometry are stated, but the printer model is not reported.</x:v>
      </x:c>
      <x:c r="E322" s="12" t="str">
        <x:v>PDF pp. 3–13; Figs. 1–9</x:v>
      </x:c>
      <x:c r="F322" s="12" t="str">
        <x:v>Clear</x:v>
      </x:c>
      <x:c r="G322" s="12" t="str">
        <x:v>Batch 05</x:v>
      </x:c>
    </x:row>
    <x:row r="323" ht="15" hidden="0" customHeight="1">
      <x:c r="A323" s="12" t="str">
        <x:v>S053</x:v>
      </x:c>
      <x:c r="B323" s="12" t="str">
        <x:v>L2</x:v>
      </x:c>
      <x:c r="C323" s="12" t="n">
        <x:v>1</x:v>
      </x:c>
      <x:c r="D323" s="12" t="str">
        <x:v>Hybrid-filler ratios, TPU matrix and porosity variants are described.</x:v>
      </x:c>
      <x:c r="E323" s="12" t="str">
        <x:v>PDF pp. 3–13; Figs. 1–9</x:v>
      </x:c>
      <x:c r="F323" s="12" t="str">
        <x:v>Clear</x:v>
      </x:c>
      <x:c r="G323" s="12" t="str">
        <x:v>Batch 05</x:v>
      </x:c>
    </x:row>
    <x:row r="324" ht="15" hidden="0" customHeight="1">
      <x:c r="A324" s="12" t="str">
        <x:v>S053</x:v>
      </x:c>
      <x:c r="B324" s="12" t="str">
        <x:v>L3</x:v>
      </x:c>
      <x:c r="C324" s="12" t="n">
        <x:v>1</x:v>
      </x:c>
      <x:c r="D324" s="12" t="str">
        <x:v>Controlled compression and body-action protocols are reported.</x:v>
      </x:c>
      <x:c r="E324" s="12" t="str">
        <x:v>PDF pp. 3–13; Figs. 1–9</x:v>
      </x:c>
      <x:c r="F324" s="12" t="str">
        <x:v>Clear</x:v>
      </x:c>
      <x:c r="G324" s="12" t="str">
        <x:v>Batch 05</x:v>
      </x:c>
    </x:row>
    <x:row r="325" ht="15" hidden="0" customHeight="1">
      <x:c r="A325" s="12" t="str">
        <x:v>S053</x:v>
      </x:c>
      <x:c r="B325" s="12" t="str">
        <x:v>L4</x:v>
      </x:c>
      <x:c r="C325" s="12" t="n">
        <x:v>1</x:v>
      </x:c>
      <x:c r="D325" s="12" t="str">
        <x:v>Sensitivity, range, timing and durability outcomes are quantitative.</x:v>
      </x:c>
      <x:c r="E325" s="12" t="str">
        <x:v>PDF pp. 3–13; Figs. 1–9</x:v>
      </x:c>
      <x:c r="F325" s="12" t="str">
        <x:v>Clear</x:v>
      </x:c>
      <x:c r="G325" s="12" t="str">
        <x:v>Batch 05</x:v>
      </x:c>
    </x:row>
    <x:row r="326" ht="15" hidden="0" customHeight="1">
      <x:c r="A326" s="12" t="str">
        <x:v>S053</x:v>
      </x:c>
      <x:c r="B326" s="12" t="str">
        <x:v>L5</x:v>
      </x:c>
      <x:c r="C326" s="12" t="n">
        <x:v>1</x:v>
      </x:c>
      <x:c r="D326" s="12" t="str">
        <x:v>The selected sensor completed 1000 cycles and a 10,000 s loading test.</x:v>
      </x:c>
      <x:c r="E326" s="12" t="str">
        <x:v>PDF pp. 3–13; Figs. 1–9</x:v>
      </x:c>
      <x:c r="F326" s="12" t="str">
        <x:v>Clear</x:v>
      </x:c>
      <x:c r="G326" s="12" t="str">
        <x:v>Batch 05</x:v>
      </x:c>
    </x:row>
    <x:row r="327" ht="15" hidden="0" customHeight="1">
      <x:c r="A327" s="12" t="str">
        <x:v>S053</x:v>
      </x:c>
      <x:c r="B327" s="12" t="str">
        <x:v>L6</x:v>
      </x:c>
      <x:c r="C327" s="12" t="n">
        <x:v>0</x:v>
      </x:c>
      <x:c r="D327" s="12" t="str">
        <x:v>No distinct qualifying environmental or use-related exposure was identified.</x:v>
      </x:c>
      <x:c r="E327" s="12" t="str">
        <x:v>PDF pp. 3–13; Figs. 1–9</x:v>
      </x:c>
      <x:c r="F327" s="12" t="str">
        <x:v>Clear</x:v>
      </x:c>
      <x:c r="G327" s="12" t="str">
        <x:v>Batch 05</x:v>
      </x:c>
    </x:row>
    <x:row r="328" ht="15" hidden="0" customHeight="1">
      <x:c r="A328" s="12" t="str">
        <x:v>S053</x:v>
      </x:c>
      <x:c r="B328" s="12" t="str">
        <x:v>L7</x:v>
      </x:c>
      <x:c r="C328" s="12" t="n">
        <x:v>0</x:v>
      </x:c>
      <x:c r="D328" s="12" t="str">
        <x:v>No qualifying interface-integrity test or repeated final monolithic wearable-assembly test with a retention/failure endpoint was located.</x:v>
      </x:c>
      <x:c r="E328" s="12" t="str">
        <x:v>PDF pp. 3–13; Figs. 1–9</x:v>
      </x:c>
      <x:c r="F328" s="12" t="str">
        <x:v>Clear</x:v>
      </x:c>
      <x:c r="G328" s="12" t="str">
        <x:v>Adjudicated to Reviewer 2</x:v>
      </x:c>
    </x:row>
    <x:row r="329" ht="15" hidden="0" customHeight="1">
      <x:c r="A329" s="12" t="str">
        <x:v>S053</x:v>
      </x:c>
      <x:c r="B329" s="12" t="str">
        <x:v>L8</x:v>
      </x:c>
      <x:c r="C329" s="12" t="n">
        <x:v>0</x:v>
      </x:c>
      <x:c r="D329" s="12" t="str">
        <x:v>No comparison of ≥3 separately fabricated complete sensors was identified.</x:v>
      </x:c>
      <x:c r="E329" s="12" t="str">
        <x:v>PDF pp. 3–13; Figs. 1–9</x:v>
      </x:c>
      <x:c r="F329" s="12" t="str">
        <x:v>Clear</x:v>
      </x:c>
      <x:c r="G329" s="12" t="str">
        <x:v>Batch 05</x:v>
      </x:c>
    </x:row>
    <x:row r="330" ht="15" hidden="0" customHeight="1">
      <x:c r="A330" s="12" t="str">
        <x:v>S054</x:v>
      </x:c>
      <x:c r="B330" s="12" t="str">
        <x:v>L1</x:v>
      </x:c>
      <x:c r="C330" s="12" t="n">
        <x:v>0</x:v>
      </x:c>
      <x:c r="D330" s="12" t="str">
        <x:v>FDM and Filaflex geometry are stated, but printer and essential processing settings are absent.</x:v>
      </x:c>
      <x:c r="E330" s="12" t="str">
        <x:v>PDF pp. 3–9; Figs. 1–7; Appendix 1</x:v>
      </x:c>
      <x:c r="F330" s="12" t="str">
        <x:v>Clear</x:v>
      </x:c>
      <x:c r="G330" s="12" t="str">
        <x:v>Batch 05</x:v>
      </x:c>
    </x:row>
    <x:row r="331" ht="15" hidden="0" customHeight="1">
      <x:c r="A331" s="12" t="str">
        <x:v>S054</x:v>
      </x:c>
      <x:c r="B331" s="12" t="str">
        <x:v>L2</x:v>
      </x:c>
      <x:c r="C331" s="12" t="n">
        <x:v>1</x:v>
      </x:c>
      <x:c r="D331" s="12" t="str">
        <x:v>Filaflex grade and complete thin-wall geometry are described.</x:v>
      </x:c>
      <x:c r="E331" s="12" t="str">
        <x:v>PDF pp. 3–9; Figs. 1–7; Appendix 1</x:v>
      </x:c>
      <x:c r="F331" s="12" t="str">
        <x:v>Clear</x:v>
      </x:c>
      <x:c r="G331" s="12" t="str">
        <x:v>Batch 05</x:v>
      </x:c>
    </x:row>
    <x:row r="332" ht="15" hidden="0" customHeight="1">
      <x:c r="A332" s="12" t="str">
        <x:v>S054</x:v>
      </x:c>
      <x:c r="B332" s="12" t="str">
        <x:v>L3</x:v>
      </x:c>
      <x:c r="C332" s="12" t="n">
        <x:v>1</x:v>
      </x:c>
      <x:c r="D332" s="12" t="str">
        <x:v>Randomized mechanical ageing magnitudes and controlled cycling are reported.</x:v>
      </x:c>
      <x:c r="E332" s="12" t="str">
        <x:v>PDF pp. 3–9; Figs. 1–7; Appendix 1</x:v>
      </x:c>
      <x:c r="F332" s="12" t="str">
        <x:v>Clear</x:v>
      </x:c>
      <x:c r="G332" s="12" t="str">
        <x:v>Batch 05</x:v>
      </x:c>
    </x:row>
    <x:row r="333" ht="15" hidden="0" customHeight="1">
      <x:c r="A333" s="12" t="str">
        <x:v>S054</x:v>
      </x:c>
      <x:c r="B333" s="12" t="str">
        <x:v>L4</x:v>
      </x:c>
      <x:c r="C333" s="12" t="n">
        <x:v>1</x:v>
      </x:c>
      <x:c r="D333" s="12" t="str">
        <x:v>Pmax, stiffness, threshold, AUC, sensitivity and specificity are defined and quantified.</x:v>
      </x:c>
      <x:c r="E333" s="12" t="str">
        <x:v>PDF pp. 3–9; Figs. 1–7; Appendix 1</x:v>
      </x:c>
      <x:c r="F333" s="12" t="str">
        <x:v>Clear</x:v>
      </x:c>
      <x:c r="G333" s="12" t="str">
        <x:v>Batch 05</x:v>
      </x:c>
    </x:row>
    <x:row r="334" ht="15" hidden="0" customHeight="1">
      <x:c r="A334" s="12" t="str">
        <x:v>S054</x:v>
      </x:c>
      <x:c r="B334" s="12" t="str">
        <x:v>L5</x:v>
      </x:c>
      <x:c r="C334" s="12" t="n">
        <x:v>1</x:v>
      </x:c>
      <x:c r="D334" s="12" t="str">
        <x:v>Specimens completed 2000 or 14,000 repeated compression cycles with pre/post outcomes.</x:v>
      </x:c>
      <x:c r="E334" s="12" t="str">
        <x:v>PDF pp. 3–9; Figs. 1–7; Appendix 1</x:v>
      </x:c>
      <x:c r="F334" s="12" t="str">
        <x:v>Clear</x:v>
      </x:c>
      <x:c r="G334" s="12" t="str">
        <x:v>Batch 05</x:v>
      </x:c>
    </x:row>
    <x:row r="335" ht="15" hidden="0" customHeight="1">
      <x:c r="A335" s="12" t="str">
        <x:v>S054</x:v>
      </x:c>
      <x:c r="B335" s="12" t="str">
        <x:v>L6</x:v>
      </x:c>
      <x:c r="C335" s="12" t="n">
        <x:v>0</x:v>
      </x:c>
      <x:c r="D335" s="12" t="str">
        <x:v>Only room-temperature cyclic loading was used; temperature/humidity were explicitly left for future work.</x:v>
      </x:c>
      <x:c r="E335" s="12" t="str">
        <x:v>PDF pp. 3–9; Figs. 1–7; Appendix 1</x:v>
      </x:c>
      <x:c r="F335" s="12" t="str">
        <x:v>Clear</x:v>
      </x:c>
      <x:c r="G335" s="12" t="str">
        <x:v>Batch 05</x:v>
      </x:c>
    </x:row>
    <x:row r="336" ht="15" hidden="0" customHeight="1">
      <x:c r="A336" s="12" t="str">
        <x:v>S054</x:v>
      </x:c>
      <x:c r="B336" s="12" t="str">
        <x:v>L7</x:v>
      </x:c>
      <x:c r="C336" s="12" t="n">
        <x:v>0</x:v>
      </x:c>
      <x:c r="D336" s="12" t="str">
        <x:v>The application was simulated on the bench; no final in-shoe assembly or quantitative interface test was performed.</x:v>
      </x:c>
      <x:c r="E336" s="12" t="str">
        <x:v>PDF pp. 3–9; Figs. 1–7; Appendix 1</x:v>
      </x:c>
      <x:c r="F336" s="12" t="str">
        <x:v>Clear</x:v>
      </x:c>
      <x:c r="G336" s="12" t="str">
        <x:v>Batch 05</x:v>
      </x:c>
    </x:row>
    <x:row r="337" ht="15" hidden="0" customHeight="1">
      <x:c r="A337" s="12" t="str">
        <x:v>S054</x:v>
      </x:c>
      <x:c r="B337" s="12" t="str">
        <x:v>L8</x:v>
      </x:c>
      <x:c r="C337" s="12" t="n">
        <x:v>1</x:v>
      </x:c>
      <x:c r="D337" s="12" t="str">
        <x:v>Twenty-six independently printed specimens were quantitatively compared.</x:v>
      </x:c>
      <x:c r="E337" s="12" t="str">
        <x:v>PDF pp. 3–9; Figs. 1–7; Appendix 1</x:v>
      </x:c>
      <x:c r="F337" s="12" t="str">
        <x:v>Clear</x:v>
      </x:c>
      <x:c r="G337" s="12" t="str">
        <x:v>Batch 05</x:v>
      </x:c>
    </x:row>
    <x:row r="338" ht="15" hidden="0" customHeight="1">
      <x:c r="A338" s="12" t="str">
        <x:v>S055</x:v>
      </x:c>
      <x:c r="B338" s="12" t="str">
        <x:v>L1</x:v>
      </x:c>
      <x:c r="C338" s="12" t="n">
        <x:v>1</x:v>
      </x:c>
      <x:c r="D338" s="12" t="str">
        <x:v>Modified printer, PVDF, nozzle, temperatures, speed, layer height, infill, orientation and electric-field settings are reported.</x:v>
      </x:c>
      <x:c r="E338" s="12" t="str">
        <x:v>PDF pp. 3–9; Figs. 1–10</x:v>
      </x:c>
      <x:c r="F338" s="12" t="str">
        <x:v>Clear</x:v>
      </x:c>
      <x:c r="G338" s="12" t="str">
        <x:v>Batch 05</x:v>
      </x:c>
    </x:row>
    <x:row r="339" ht="15" hidden="0" customHeight="1">
      <x:c r="A339" s="12" t="str">
        <x:v>S055</x:v>
      </x:c>
      <x:c r="B339" s="12" t="str">
        <x:v>L2</x:v>
      </x:c>
      <x:c r="C339" s="12" t="n">
        <x:v>1</x:v>
      </x:c>
      <x:c r="D339" s="12" t="str">
        <x:v>PVDF, layer variants, copper electrodes and PET are described.</x:v>
      </x:c>
      <x:c r="E339" s="12" t="str">
        <x:v>PDF pp. 3–9; Figs. 1–10</x:v>
      </x:c>
      <x:c r="F339" s="12" t="str">
        <x:v>Clear</x:v>
      </x:c>
      <x:c r="G339" s="12" t="str">
        <x:v>Batch 05</x:v>
      </x:c>
    </x:row>
    <x:row r="340" ht="15" hidden="0" customHeight="1">
      <x:c r="A340" s="12" t="str">
        <x:v>S055</x:v>
      </x:c>
      <x:c r="B340" s="12" t="str">
        <x:v>L3</x:v>
      </x:c>
      <x:c r="C340" s="12" t="n">
        <x:v>1</x:v>
      </x:c>
      <x:c r="D340" s="12" t="str">
        <x:v>Controlled force, frequency and motion tests are reported.</x:v>
      </x:c>
      <x:c r="E340" s="12" t="str">
        <x:v>PDF pp. 3–9; Figs. 1–10</x:v>
      </x:c>
      <x:c r="F340" s="12" t="str">
        <x:v>Clear</x:v>
      </x:c>
      <x:c r="G340" s="12" t="str">
        <x:v>Batch 05</x:v>
      </x:c>
    </x:row>
    <x:row r="341" ht="15" hidden="0" customHeight="1">
      <x:c r="A341" s="12" t="str">
        <x:v>S055</x:v>
      </x:c>
      <x:c r="B341" s="12" t="str">
        <x:v>L4</x:v>
      </x:c>
      <x:c r="C341" s="12" t="n">
        <x:v>1</x:v>
      </x:c>
      <x:c r="D341" s="12" t="str">
        <x:v>Sensitivity, linearity, voltage and cycle outcomes are quantitative.</x:v>
      </x:c>
      <x:c r="E341" s="12" t="str">
        <x:v>PDF pp. 3–9; Figs. 1–10</x:v>
      </x:c>
      <x:c r="F341" s="12" t="str">
        <x:v>Clear</x:v>
      </x:c>
      <x:c r="G341" s="12" t="str">
        <x:v>Batch 05</x:v>
      </x:c>
    </x:row>
    <x:row r="342" ht="15" hidden="0" customHeight="1">
      <x:c r="A342" s="12" t="str">
        <x:v>S055</x:v>
      </x:c>
      <x:c r="B342" s="12" t="str">
        <x:v>L5</x:v>
      </x:c>
      <x:c r="C342" s="12" t="n">
        <x:v>1</x:v>
      </x:c>
      <x:c r="D342" s="12" t="str">
        <x:v>The sensor was tested beyond 11,600 cycles with a reported stable response.</x:v>
      </x:c>
      <x:c r="E342" s="12" t="str">
        <x:v>PDF pp. 3–9; Figs. 1–10</x:v>
      </x:c>
      <x:c r="F342" s="12" t="str">
        <x:v>Clear</x:v>
      </x:c>
      <x:c r="G342" s="12" t="str">
        <x:v>Batch 05</x:v>
      </x:c>
    </x:row>
    <x:row r="343" ht="15" hidden="0" customHeight="1">
      <x:c r="A343" s="12" t="str">
        <x:v>S055</x:v>
      </x:c>
      <x:c r="B343" s="12" t="str">
        <x:v>L6</x:v>
      </x:c>
      <x:c r="C343" s="12" t="n">
        <x:v>0</x:v>
      </x:c>
      <x:c r="D343" s="12" t="str">
        <x:v>No separate qualifying environmental/use exposure was identified.</x:v>
      </x:c>
      <x:c r="E343" s="12" t="str">
        <x:v>PDF pp. 3–9; Figs. 1–10</x:v>
      </x:c>
      <x:c r="F343" s="12" t="str">
        <x:v>Clear</x:v>
      </x:c>
      <x:c r="G343" s="12" t="str">
        <x:v>Batch 05</x:v>
      </x:c>
    </x:row>
    <x:row r="344" ht="15" hidden="0" customHeight="1">
      <x:c r="A344" s="12" t="str">
        <x:v>S055</x:v>
      </x:c>
      <x:c r="B344" s="12" t="str">
        <x:v>L7</x:v>
      </x:c>
      <x:c r="C344" s="12" t="n">
        <x:v>1</x:v>
      </x:c>
      <x:c r="D344" s="12" t="str">
        <x:v>After initial gait adjustment, the body-attached sensor gives a consistent walking output over the reported 10-second interval. Separate 11600-cycle compression is not used for this score.</x:v>
      </x:c>
      <x:c r="E344" s="12" t="str">
        <x:v>S055_Main.pdf, physical p. 7, section 2.6; p. 9, Fig. 6a. Fig. 5g concerns bench durability.</x:v>
      </x:c>
      <x:c r="F344" s="12" t="str">
        <x:v>Moderate</x:v>
      </x:c>
      <x:c r="G344" s="12" t="str">
        <x:v>Final L7 reassessment</x:v>
      </x:c>
    </x:row>
    <x:row r="345" ht="15" hidden="0" customHeight="1">
      <x:c r="A345" s="12" t="str">
        <x:v>S055</x:v>
      </x:c>
      <x:c r="B345" s="12" t="str">
        <x:v>L8</x:v>
      </x:c>
      <x:c r="C345" s="12" t="n">
        <x:v>0</x:v>
      </x:c>
      <x:c r="D345" s="12" t="str">
        <x:v>Layer-count variants were compared, but ≥3 replicate complete sensors were not identified.</x:v>
      </x:c>
      <x:c r="E345" s="12" t="str">
        <x:v>PDF pp. 3–9; Figs. 1–10</x:v>
      </x:c>
      <x:c r="F345" s="12" t="str">
        <x:v>Clear</x:v>
      </x:c>
      <x:c r="G345" s="12" t="str">
        <x:v>Batch 05</x:v>
      </x:c>
    </x:row>
    <x:row r="346" ht="15" hidden="0" customHeight="1">
      <x:c r="A346" s="12" t="str">
        <x:v>S056</x:v>
      </x:c>
      <x:c r="B346" s="12" t="str">
        <x:v>L1</x:v>
      </x:c>
      <x:c r="C346" s="12" t="n">
        <x:v>1</x:v>
      </x:c>
      <x:c r="D346" s="12" t="str">
        <x:v>Printer, selected functional composition, nozzle/bed temperatures, speed, layer height, infill and geometries are reported.</x:v>
      </x:c>
      <x:c r="E346" s="12" t="str">
        <x:v>PDF pp. 3–15; Figs. 1–9; Tables 1–2</x:v>
      </x:c>
      <x:c r="F346" s="12" t="str">
        <x:v>Clear</x:v>
      </x:c>
      <x:c r="G346" s="12" t="str">
        <x:v>Batch 05</x:v>
      </x:c>
    </x:row>
    <x:row r="347" ht="15" hidden="0" customHeight="1">
      <x:c r="A347" s="12" t="str">
        <x:v>S056</x:v>
      </x:c>
      <x:c r="B347" s="12" t="str">
        <x:v>L2</x:v>
      </x:c>
      <x:c r="C347" s="12" t="n">
        <x:v>1</x:v>
      </x:c>
      <x:c r="D347" s="12" t="str">
        <x:v>MWCNT/CB loadings, TPU matrix and electrode/device roles are described.</x:v>
      </x:c>
      <x:c r="E347" s="12" t="str">
        <x:v>PDF pp. 3–15; Figs. 1–9; Tables 1–2</x:v>
      </x:c>
      <x:c r="F347" s="12" t="str">
        <x:v>Clear</x:v>
      </x:c>
      <x:c r="G347" s="12" t="str">
        <x:v>Batch 05</x:v>
      </x:c>
    </x:row>
    <x:row r="348" ht="15" hidden="0" customHeight="1">
      <x:c r="A348" s="12" t="str">
        <x:v>S056</x:v>
      </x:c>
      <x:c r="B348" s="12" t="str">
        <x:v>L3</x:v>
      </x:c>
      <x:c r="C348" s="12" t="n">
        <x:v>1</x:v>
      </x:c>
      <x:c r="D348" s="12" t="str">
        <x:v>Controlled mechanical/electrical protocols and declared environmental tests are reported.</x:v>
      </x:c>
      <x:c r="E348" s="12" t="str">
        <x:v>PDF pp. 3–15; Figs. 1–9; Tables 1–2</x:v>
      </x:c>
      <x:c r="F348" s="12" t="str">
        <x:v>Clear</x:v>
      </x:c>
      <x:c r="G348" s="12" t="str">
        <x:v>Batch 05</x:v>
      </x:c>
    </x:row>
    <x:row r="349" ht="15" hidden="0" customHeight="1">
      <x:c r="A349" s="12" t="str">
        <x:v>S056</x:v>
      </x:c>
      <x:c r="B349" s="12" t="str">
        <x:v>L4</x:v>
      </x:c>
      <x:c r="C349" s="12" t="n">
        <x:v>1</x:v>
      </x:c>
      <x:c r="D349" s="12" t="str">
        <x:v>Sensitivity, range, timing and cycle response are quantitative.</x:v>
      </x:c>
      <x:c r="E349" s="12" t="str">
        <x:v>PDF pp. 3–15; Figs. 1–9; Tables 1–2</x:v>
      </x:c>
      <x:c r="F349" s="12" t="str">
        <x:v>Clear</x:v>
      </x:c>
      <x:c r="G349" s="12" t="str">
        <x:v>Batch 05</x:v>
      </x:c>
    </x:row>
    <x:row r="350" ht="15" hidden="0" customHeight="1">
      <x:c r="A350" s="12" t="str">
        <x:v>S056</x:v>
      </x:c>
      <x:c r="B350" s="12" t="str">
        <x:v>L5</x:v>
      </x:c>
      <x:c r="C350" s="12" t="n">
        <x:v>1</x:v>
      </x:c>
      <x:c r="D350" s="12" t="str">
        <x:v>Pressure and strain devices underwent 20-cycle tests.</x:v>
      </x:c>
      <x:c r="E350" s="12" t="str">
        <x:v>PDF pp. 3–15; Figs. 1–9; Tables 1–2</x:v>
      </x:c>
      <x:c r="F350" s="12" t="str">
        <x:v>Clear</x:v>
      </x:c>
      <x:c r="G350" s="12" t="str">
        <x:v>Batch 05</x:v>
      </x:c>
    </x:row>
    <x:row r="351" ht="15" hidden="0" customHeight="1">
      <x:c r="A351" s="12" t="str">
        <x:v>S056</x:v>
      </x:c>
      <x:c r="B351" s="12" t="str">
        <x:v>L6</x:v>
      </x:c>
      <x:c r="C351" s="12" t="n">
        <x:v>1</x:v>
      </x:c>
      <x:c r="D351" s="12" t="str">
        <x:v>Liquids, humidity and sweat-related responses were measured.</x:v>
      </x:c>
      <x:c r="E351" s="12" t="str">
        <x:v>PDF pp. 3–15; Figs. 1–9; Tables 1–2</x:v>
      </x:c>
      <x:c r="F351" s="12" t="str">
        <x:v>Clear</x:v>
      </x:c>
      <x:c r="G351" s="12" t="str">
        <x:v>Batch 05</x:v>
      </x:c>
    </x:row>
    <x:row r="352" ht="15" hidden="0" customHeight="1">
      <x:c r="A352" s="12" t="str">
        <x:v>S056</x:v>
      </x:c>
      <x:c r="B352" s="12" t="str">
        <x:v>L7</x:v>
      </x:c>
      <x:c r="C352" s="12" t="n">
        <x:v>1</x:v>
      </x:c>
      <x:c r="D352" s="12" t="str">
        <x:v>The authors evaluate stable signal patterns for repeated calf/neck/larynx actions and stable responses for repeated joint movements in the worn demonstrations.</x:v>
      </x:c>
      <x:c r="E352" s="12" t="str">
        <x:v>S056_Main.pdf, physical p. 13, Fig. 11a-h; p. 14, accompanying interpretation and Fig. 12b-c.</x:v>
      </x:c>
      <x:c r="F352" s="12" t="str">
        <x:v>Moderate</x:v>
      </x:c>
      <x:c r="G352" s="12" t="str">
        <x:v>Final L7 reassessment</x:v>
      </x:c>
    </x:row>
    <x:row r="353" ht="15" hidden="0" customHeight="1">
      <x:c r="A353" s="12" t="str">
        <x:v>S056</x:v>
      </x:c>
      <x:c r="B353" s="12" t="str">
        <x:v>L8</x:v>
      </x:c>
      <x:c r="C353" s="12" t="n">
        <x:v>0</x:v>
      </x:c>
      <x:c r="D353" s="12" t="str">
        <x:v>Replicated material specimens were reported, but ≥3 separately fabricated complete sensors were not quantitatively compared.</x:v>
      </x:c>
      <x:c r="E353" s="12" t="str">
        <x:v>PDF pp. 3–15; Figs. 1–9; Tables 1–2</x:v>
      </x:c>
      <x:c r="F353" s="12" t="str">
        <x:v>Clear</x:v>
      </x:c>
      <x:c r="G353" s="12" t="str">
        <x:v>Batch 05</x:v>
      </x:c>
    </x:row>
    <x:row r="354" ht="15" hidden="0" customHeight="1">
      <x:c r="A354" s="12" t="str">
        <x:v>S057</x:v>
      </x:c>
      <x:c r="B354" s="12" t="str">
        <x:v>L1</x:v>
      </x:c>
      <x:c r="C354" s="12" t="n">
        <x:v>1</x:v>
      </x:c>
      <x:c r="D354" s="12" t="str">
        <x:v>Custom FDM system, functional composition, nozzle, temperatures, speed, layer height, infill and TPMS geometry are reported.</x:v>
      </x:c>
      <x:c r="E354" s="12" t="str">
        <x:v>PDF pp. 3–15; Figs. 1–10</x:v>
      </x:c>
      <x:c r="F354" s="12" t="str">
        <x:v>Clear</x:v>
      </x:c>
      <x:c r="G354" s="12" t="str">
        <x:v>Batch 05</x:v>
      </x:c>
    </x:row>
    <x:row r="355" ht="15" hidden="0" customHeight="1">
      <x:c r="A355" s="12" t="str">
        <x:v>S057</x:v>
      </x:c>
      <x:c r="B355" s="12" t="str">
        <x:v>L2</x:v>
      </x:c>
      <x:c r="C355" s="12" t="n">
        <x:v>1</x:v>
      </x:c>
      <x:c r="D355" s="12" t="str">
        <x:v>CNT loading series, TPU matrix and contacts are described.</x:v>
      </x:c>
      <x:c r="E355" s="12" t="str">
        <x:v>PDF pp. 3–15; Figs. 1–10</x:v>
      </x:c>
      <x:c r="F355" s="12" t="str">
        <x:v>Clear</x:v>
      </x:c>
      <x:c r="G355" s="12" t="str">
        <x:v>Batch 05</x:v>
      </x:c>
    </x:row>
    <x:row r="356" ht="15" hidden="0" customHeight="1">
      <x:c r="A356" s="12" t="str">
        <x:v>S057</x:v>
      </x:c>
      <x:c r="B356" s="12" t="str">
        <x:v>L3</x:v>
      </x:c>
      <x:c r="C356" s="12" t="n">
        <x:v>1</x:v>
      </x:c>
      <x:c r="D356" s="12" t="str">
        <x:v>Controlled tensile and application protocols are reported.</x:v>
      </x:c>
      <x:c r="E356" s="12" t="str">
        <x:v>PDF pp. 3–15; Figs. 1–10</x:v>
      </x:c>
      <x:c r="F356" s="12" t="str">
        <x:v>Clear</x:v>
      </x:c>
      <x:c r="G356" s="12" t="str">
        <x:v>Batch 05</x:v>
      </x:c>
    </x:row>
    <x:row r="357" ht="15" hidden="0" customHeight="1">
      <x:c r="A357" s="12" t="str">
        <x:v>S057</x:v>
      </x:c>
      <x:c r="B357" s="12" t="str">
        <x:v>L4</x:v>
      </x:c>
      <x:c r="C357" s="12" t="n">
        <x:v>1</x:v>
      </x:c>
      <x:c r="D357" s="12" t="str">
        <x:v>GF, range, response/recovery, drift and cycle outcomes are quantitative.</x:v>
      </x:c>
      <x:c r="E357" s="12" t="str">
        <x:v>PDF pp. 3–15; Figs. 1–10</x:v>
      </x:c>
      <x:c r="F357" s="12" t="str">
        <x:v>Clear</x:v>
      </x:c>
      <x:c r="G357" s="12" t="str">
        <x:v>Batch 05</x:v>
      </x:c>
    </x:row>
    <x:row r="358" ht="15" hidden="0" customHeight="1">
      <x:c r="A358" s="12" t="str">
        <x:v>S057</x:v>
      </x:c>
      <x:c r="B358" s="12" t="str">
        <x:v>L5</x:v>
      </x:c>
      <x:c r="C358" s="12" t="n">
        <x:v>1</x:v>
      </x:c>
      <x:c r="D358" s="12" t="str">
        <x:v>Selected sensors completed 500 cycles at three strain levels.</x:v>
      </x:c>
      <x:c r="E358" s="12" t="str">
        <x:v>PDF pp. 3–15; Figs. 1–10</x:v>
      </x:c>
      <x:c r="F358" s="12" t="str">
        <x:v>Clear</x:v>
      </x:c>
      <x:c r="G358" s="12" t="str">
        <x:v>Batch 05</x:v>
      </x:c>
    </x:row>
    <x:row r="359" ht="15" hidden="0" customHeight="1">
      <x:c r="A359" s="12" t="str">
        <x:v>S057</x:v>
      </x:c>
      <x:c r="B359" s="12" t="str">
        <x:v>L6</x:v>
      </x:c>
      <x:c r="C359" s="12" t="n">
        <x:v>0</x:v>
      </x:c>
      <x:c r="D359" s="12" t="str">
        <x:v>No distinct qualifying environmental/use exposure was identified.</x:v>
      </x:c>
      <x:c r="E359" s="12" t="str">
        <x:v>PDF pp. 3–15; Figs. 1–10</x:v>
      </x:c>
      <x:c r="F359" s="12" t="str">
        <x:v>Clear</x:v>
      </x:c>
      <x:c r="G359" s="12" t="str">
        <x:v>Batch 05</x:v>
      </x:c>
    </x:row>
    <x:row r="360" ht="15" hidden="0" customHeight="1">
      <x:c r="A360" s="12" t="str">
        <x:v>S057</x:v>
      </x:c>
      <x:c r="B360" s="12" t="str">
        <x:v>L7</x:v>
      </x:c>
      <x:c r="C360" s="12" t="n">
        <x:v>1</x:v>
      </x:c>
      <x:c r="D360" s="12" t="str">
        <x:v>Attached throat sensors produce distinct, reproducible swallowing/coughing profiles; the finger/wrist trials also receive an explicit repeatability assessment.</x:v>
      </x:c>
      <x:c r="E360" s="12" t="str">
        <x:v>S057_Main.pdf, physical pp. 15-16, section 3.3/Fig. 15c-e, especially p. 16 opening paragraph.</x:v>
      </x:c>
      <x:c r="F360" s="12" t="str">
        <x:v>Moderate</x:v>
      </x:c>
      <x:c r="G360" s="12" t="str">
        <x:v>Final L7 reassessment</x:v>
      </x:c>
    </x:row>
    <x:row r="361" ht="15" hidden="0" customHeight="1">
      <x:c r="A361" s="12" t="str">
        <x:v>S057</x:v>
      </x:c>
      <x:c r="B361" s="12" t="str">
        <x:v>L8</x:v>
      </x:c>
      <x:c r="C361" s="12" t="n">
        <x:v>0</x:v>
      </x:c>
      <x:c r="D361" s="12" t="str">
        <x:v>Five material-wire specimens were used, but ≥3 separately fabricated complete sensors were not compared.</x:v>
      </x:c>
      <x:c r="E361" s="12" t="str">
        <x:v>PDF pp. 3–15; Figs. 1–10</x:v>
      </x:c>
      <x:c r="F361" s="12" t="str">
        <x:v>Clear</x:v>
      </x:c>
      <x:c r="G361" s="12" t="str">
        <x:v>Batch 05</x:v>
      </x:c>
    </x:row>
    <x:row r="362" ht="24" hidden="0" customHeight="1">
      <x:c r="A362" s="12" t="str">
        <x:v>S058</x:v>
      </x:c>
      <x:c r="B362" s="12" t="str">
        <x:v>L1</x:v>
      </x:c>
      <x:c r="C362" s="12" t="n">
        <x:v>1</x:v>
      </x:c>
      <x:c r="D362" s="12" t="str">
        <x:v>The printer, TPE filament, 240 °C nozzle temperature, device dimensions and variant-specific nozzle diameter, layer height, first-layer height and thermal post-treatment are reported.</x:v>
      </x:c>
      <x:c r="E362" s="12" t="str">
        <x:v>Main article Experimental section 3.1; Supplementary Table S1</x:v>
      </x:c>
      <x:c r="F362" s="12" t="str">
        <x:v>Clear</x:v>
      </x:c>
      <x:c r="G362" s="12" t="str">
        <x:v>Supplement verified 2026-09-03</x:v>
      </x:c>
    </x:row>
    <x:row r="363" ht="24" hidden="0" customHeight="1">
      <x:c r="A363" s="12" t="str">
        <x:v>S058</x:v>
      </x:c>
      <x:c r="B363" s="12" t="str">
        <x:v>L2</x:v>
      </x:c>
      <x:c r="C363" s="12" t="n">
        <x:v>1</x:v>
      </x:c>
      <x:c r="D363" s="12" t="str">
        <x:v>TPE structure, FPC electrodes and encapsulation are described.</x:v>
      </x:c>
      <x:c r="E363" s="12" t="str">
        <x:v>PDF pp. 3–13; Figs. 1–8; cited Supplementary Table S1</x:v>
      </x:c>
      <x:c r="F363" s="12" t="str">
        <x:v>Clear</x:v>
      </x:c>
      <x:c r="G363" s="12" t="str">
        <x:v>Batch 05</x:v>
      </x:c>
    </x:row>
    <x:row r="364" ht="24" hidden="0" customHeight="1">
      <x:c r="A364" s="12" t="str">
        <x:v>S058</x:v>
      </x:c>
      <x:c r="B364" s="12" t="str">
        <x:v>L3</x:v>
      </x:c>
      <x:c r="C364" s="12" t="n">
        <x:v>1</x:v>
      </x:c>
      <x:c r="D364" s="12" t="str">
        <x:v>Controlled force, exposure, cycling and gait protocols are reported.</x:v>
      </x:c>
      <x:c r="E364" s="12" t="str">
        <x:v>PDF pp. 3–13; Figs. 1–8; cited Supplementary Table S1</x:v>
      </x:c>
      <x:c r="F364" s="12" t="str">
        <x:v>Clear</x:v>
      </x:c>
      <x:c r="G364" s="12" t="str">
        <x:v>Batch 05</x:v>
      </x:c>
    </x:row>
    <x:row r="365" ht="24" hidden="0" customHeight="1">
      <x:c r="A365" s="12" t="str">
        <x:v>S058</x:v>
      </x:c>
      <x:c r="B365" s="12" t="str">
        <x:v>L4</x:v>
      </x:c>
      <x:c r="C365" s="12" t="n">
        <x:v>1</x:v>
      </x:c>
      <x:c r="D365" s="12" t="str">
        <x:v>Sensitivity, retention, CV and classification metrics are quantitative.</x:v>
      </x:c>
      <x:c r="E365" s="12" t="str">
        <x:v>PDF pp. 3–13; Figs. 1–8; cited Supplementary Table S1</x:v>
      </x:c>
      <x:c r="F365" s="12" t="str">
        <x:v>Clear</x:v>
      </x:c>
      <x:c r="G365" s="12" t="str">
        <x:v>Batch 05</x:v>
      </x:c>
    </x:row>
    <x:row r="366" ht="24" hidden="0" customHeight="1">
      <x:c r="A366" s="12" t="str">
        <x:v>S058</x:v>
      </x:c>
      <x:c r="B366" s="12" t="str">
        <x:v>L5</x:v>
      </x:c>
      <x:c r="C366" s="12" t="n">
        <x:v>1</x:v>
      </x:c>
      <x:c r="D366" s="12" t="str">
        <x:v>20,000 loading and 5000 bending cycles report retained response.</x:v>
      </x:c>
      <x:c r="E366" s="12" t="str">
        <x:v>PDF pp. 3–13; Figs. 1–8; cited Supplementary Table S1</x:v>
      </x:c>
      <x:c r="F366" s="12" t="str">
        <x:v>Clear</x:v>
      </x:c>
      <x:c r="G366" s="12" t="str">
        <x:v>Batch 05</x:v>
      </x:c>
    </x:row>
    <x:row r="367" ht="24" hidden="0" customHeight="1">
      <x:c r="A367" s="12" t="str">
        <x:v>S058</x:v>
      </x:c>
      <x:c r="B367" s="12" t="str">
        <x:v>L6</x:v>
      </x:c>
      <x:c r="C367" s="12" t="n">
        <x:v>1</x:v>
      </x:c>
      <x:c r="D367" s="12" t="str">
        <x:v>Temperature, humidity and artificial-sweat responses were measured.</x:v>
      </x:c>
      <x:c r="E367" s="12" t="str">
        <x:v>PDF pp. 3–13; Figs. 1–8; cited Supplementary Table S1</x:v>
      </x:c>
      <x:c r="F367" s="12" t="str">
        <x:v>Clear</x:v>
      </x:c>
      <x:c r="G367" s="12" t="str">
        <x:v>Batch 05</x:v>
      </x:c>
    </x:row>
    <x:row r="368" ht="24" hidden="0" customHeight="1">
      <x:c r="A368" s="12" t="str">
        <x:v>S058</x:v>
      </x:c>
      <x:c r="B368" s="12" t="str">
        <x:v>L7</x:v>
      </x:c>
      <x:c r="C368" s="12" t="n">
        <x:v>1</x:v>
      </x:c>
      <x:c r="D368" s="12" t="str">
        <x:v>Supplementary Fig. S7c explicitly documents seven days of wear. The paper reports no structural damage, delamination or output failure after the reliability evaluation.</x:v>
      </x:c>
      <x:c r="E368" s="12" t="str">
        <x:v>S058_Supplement_01.docx, Fig. S7c (7-day wear trial); S058_Main.pdf, physical p. 8, reliability discussion, and p. 12, methods.</x:v>
      </x:c>
      <x:c r="F368" s="12" t="str">
        <x:v>High</x:v>
      </x:c>
      <x:c r="G368" s="12" t="str">
        <x:v>Final L7 reassessment</x:v>
      </x:c>
    </x:row>
    <x:row r="369" ht="24" hidden="0" customHeight="1">
      <x:c r="A369" s="12" t="str">
        <x:v>S058</x:v>
      </x:c>
      <x:c r="B369" s="12" t="str">
        <x:v>L8</x:v>
      </x:c>
      <x:c r="C369" s="12" t="n">
        <x:v>1</x:v>
      </x:c>
      <x:c r="D369" s="12" t="str">
        <x:v>Twenty-five sensors from five batches were quantitatively compared.</x:v>
      </x:c>
      <x:c r="E369" s="12" t="str">
        <x:v>PDF pp. 3–13; Figs. 1–8; cited Supplementary Table S1</x:v>
      </x:c>
      <x:c r="F369" s="12" t="str">
        <x:v>Clear</x:v>
      </x:c>
      <x:c r="G369" s="12" t="str">
        <x:v>Batch 05</x:v>
      </x:c>
    </x:row>
    <x:row r="370" ht="24" hidden="0" customHeight="1">
      <x:c r="A370" s="12" t="str">
        <x:v>S059</x:v>
      </x:c>
      <x:c r="B370" s="12" t="str">
        <x:v>L1</x:v>
      </x:c>
      <x:c r="C370" s="12" t="n">
        <x:v>1</x:v>
      </x:c>
      <x:c r="D370" s="12" t="str">
        <x:v>The Sovol SV04 IDEX process and material-specific extrusion/bed temperatures, speeds, layer thickness, line width, infill level/pattern and wall/top/bottom settings are reported.</x:v>
      </x:c>
      <x:c r="E370" s="12" t="str">
        <x:v>Main article pp. 3-4; Supplementary Table S1, SI pp. 3-4</x:v>
      </x:c>
      <x:c r="F370" s="12" t="str">
        <x:v>Clear</x:v>
      </x:c>
      <x:c r="G370" s="12" t="str">
        <x:v>Supplement verified 2026-09-03</x:v>
      </x:c>
    </x:row>
    <x:row r="371" ht="24" hidden="0" customHeight="1">
      <x:c r="A371" s="12" t="str">
        <x:v>S059</x:v>
      </x:c>
      <x:c r="B371" s="12" t="str">
        <x:v>L2</x:v>
      </x:c>
      <x:c r="C371" s="12" t="n">
        <x:v>1</x:v>
      </x:c>
      <x:c r="D371" s="12" t="str">
        <x:v>Conductive/insulating TPU, sensor/electrode geometries and integrated readout are described.</x:v>
      </x:c>
      <x:c r="E371" s="12" t="str">
        <x:v>PDF pp. 3–15; Figs. 1–9; cited Supplementary Table S1</x:v>
      </x:c>
      <x:c r="F371" s="12" t="str">
        <x:v>Clear</x:v>
      </x:c>
      <x:c r="G371" s="12" t="str">
        <x:v>Batch 05</x:v>
      </x:c>
    </x:row>
    <x:row r="372" ht="24" hidden="0" customHeight="1">
      <x:c r="A372" s="12" t="str">
        <x:v>S059</x:v>
      </x:c>
      <x:c r="B372" s="12" t="str">
        <x:v>L3</x:v>
      </x:c>
      <x:c r="C372" s="12" t="n">
        <x:v>1</x:v>
      </x:c>
      <x:c r="D372" s="12" t="str">
        <x:v>Controlled mechanical, impedance and human-reference protocols are reported.</x:v>
      </x:c>
      <x:c r="E372" s="12" t="str">
        <x:v>PDF pp. 3–15; Figs. 1–9; cited Supplementary Table S1</x:v>
      </x:c>
      <x:c r="F372" s="12" t="str">
        <x:v>Clear</x:v>
      </x:c>
      <x:c r="G372" s="12" t="str">
        <x:v>Batch 05</x:v>
      </x:c>
    </x:row>
    <x:row r="373" ht="24" hidden="0" customHeight="1">
      <x:c r="A373" s="12" t="str">
        <x:v>S059</x:v>
      </x:c>
      <x:c r="B373" s="12" t="str">
        <x:v>L4</x:v>
      </x:c>
      <x:c r="C373" s="12" t="n">
        <x:v>1</x:v>
      </x:c>
      <x:c r="D373" s="12" t="str">
        <x:v>GF, hysteresis, SNR, MAE and agreement outcomes are quantitative.</x:v>
      </x:c>
      <x:c r="E373" s="12" t="str">
        <x:v>PDF pp. 3–15; Figs. 1–9; cited Supplementary Table S1</x:v>
      </x:c>
      <x:c r="F373" s="12" t="str">
        <x:v>Clear</x:v>
      </x:c>
      <x:c r="G373" s="12" t="str">
        <x:v>Batch 05</x:v>
      </x:c>
    </x:row>
    <x:row r="374" ht="24" hidden="0" customHeight="1">
      <x:c r="A374" s="12" t="str">
        <x:v>S059</x:v>
      </x:c>
      <x:c r="B374" s="12" t="str">
        <x:v>L5</x:v>
      </x:c>
      <x:c r="C374" s="12" t="n">
        <x:v>1</x:v>
      </x:c>
      <x:c r="D374" s="12" t="str">
        <x:v>A 1000-cycle strain test reports stable performance.</x:v>
      </x:c>
      <x:c r="E374" s="12" t="str">
        <x:v>PDF pp. 3–15; Figs. 1–9; cited Supplementary Table S1</x:v>
      </x:c>
      <x:c r="F374" s="12" t="str">
        <x:v>Clear</x:v>
      </x:c>
      <x:c r="G374" s="12" t="str">
        <x:v>Batch 05</x:v>
      </x:c>
    </x:row>
    <x:row r="375" ht="24" hidden="0" customHeight="1">
      <x:c r="A375" s="12" t="str">
        <x:v>S059</x:v>
      </x:c>
      <x:c r="B375" s="12" t="str">
        <x:v>L6</x:v>
      </x:c>
      <x:c r="C375" s="12" t="n">
        <x:v>1</x:v>
      </x:c>
      <x:c r="D375" s="12" t="str">
        <x:v>Electrodes were tested dry and after declared water moistening with quantitative impedance/SNR response.</x:v>
      </x:c>
      <x:c r="E375" s="12" t="str">
        <x:v>PDF pp. 3–15; Figs. 1–9; cited Supplementary Table S1</x:v>
      </x:c>
      <x:c r="F375" s="12" t="str">
        <x:v>Clear</x:v>
      </x:c>
      <x:c r="G375" s="12" t="str">
        <x:v>Batch 05</x:v>
      </x:c>
    </x:row>
    <x:row r="376" ht="24" hidden="0" customHeight="1">
      <x:c r="A376" s="12" t="str">
        <x:v>S059</x:v>
      </x:c>
      <x:c r="B376" s="12" t="str">
        <x:v>L7</x:v>
      </x:c>
      <x:c r="C376" s="12" t="n">
        <x:v>0</x:v>
      </x:c>
      <x:c r="D376" s="12" t="str">
        <x:v>No qualifying interface-integrity test or repeated final monolithic wearable-assembly test with a retention/failure endpoint was located.</x:v>
      </x:c>
      <x:c r="E376" s="12" t="str">
        <x:v>PDF pp. 3–15; Figs. 1–9; cited Supplementary Table S1</x:v>
      </x:c>
      <x:c r="F376" s="12" t="str">
        <x:v>Clear</x:v>
      </x:c>
      <x:c r="G376" s="12" t="str">
        <x:v>Rule-clarification recode</x:v>
      </x:c>
    </x:row>
    <x:row r="377" ht="24" hidden="0" customHeight="1">
      <x:c r="A377" s="12" t="str">
        <x:v>S059</x:v>
      </x:c>
      <x:c r="B377" s="12" t="str">
        <x:v>L8</x:v>
      </x:c>
      <x:c r="C377" s="12" t="n">
        <x:v>0</x:v>
      </x:c>
      <x:c r="D377" s="12" t="str">
        <x:v>Design variants, repetitions and participants were reported, but ≥3 replicate complete systems were not compared.</x:v>
      </x:c>
      <x:c r="E377" s="12" t="str">
        <x:v>PDF pp. 3–15; Figs. 1–9; cited Supplementary Table S1</x:v>
      </x:c>
      <x:c r="F377" s="12" t="str">
        <x:v>Clear</x:v>
      </x:c>
      <x:c r="G377" s="12" t="str">
        <x:v>Batch 05</x:v>
      </x:c>
    </x:row>
    <x:row r="378" ht="15" hidden="0" customHeight="1">
      <x:c r="A378" s="12" t="str">
        <x:v>S060</x:v>
      </x:c>
      <x:c r="B378" s="12" t="str">
        <x:v>L1</x:v>
      </x:c>
      <x:c r="C378" s="12" t="n">
        <x:v>1</x:v>
      </x:c>
      <x:c r="D378" s="12" t="str">
        <x:v>Printer, active composite, nozzle, temperatures, speed, layer height and geometry are reported.</x:v>
      </x:c>
      <x:c r="E378" s="12" t="str">
        <x:v>PDF pp. 2–15; Figs. 1–10; Tables 1–4</x:v>
      </x:c>
      <x:c r="F378" s="12" t="str">
        <x:v>Clear</x:v>
      </x:c>
      <x:c r="G378" s="12" t="str">
        <x:v>Batch 06</x:v>
      </x:c>
    </x:row>
    <x:row r="379" ht="15" hidden="0" customHeight="1">
      <x:c r="A379" s="12" t="str">
        <x:v>S060</x:v>
      </x:c>
      <x:c r="B379" s="12" t="str">
        <x:v>L2</x:v>
      </x:c>
      <x:c r="C379" s="12" t="n">
        <x:v>1</x:v>
      </x:c>
      <x:c r="D379" s="12" t="str">
        <x:v>Composition, filament preparation, sensor geometry, contacts and integration are described.</x:v>
      </x:c>
      <x:c r="E379" s="12" t="str">
        <x:v>PDF pp. 2–15; Figs. 1–10; Tables 1–4</x:v>
      </x:c>
      <x:c r="F379" s="12" t="str">
        <x:v>Clear</x:v>
      </x:c>
      <x:c r="G379" s="12" t="str">
        <x:v>Batch 06</x:v>
      </x:c>
    </x:row>
    <x:row r="380" ht="15" hidden="0" customHeight="1">
      <x:c r="A380" s="12" t="str">
        <x:v>S060</x:v>
      </x:c>
      <x:c r="B380" s="12" t="str">
        <x:v>L3</x:v>
      </x:c>
      <x:c r="C380" s="12" t="n">
        <x:v>1</x:v>
      </x:c>
      <x:c r="D380" s="12" t="str">
        <x:v>Controlled compression and a step demonstration are reported.</x:v>
      </x:c>
      <x:c r="E380" s="12" t="str">
        <x:v>PDF pp. 2–15; Figs. 1–10; Tables 1–4</x:v>
      </x:c>
      <x:c r="F380" s="12" t="str">
        <x:v>Clear</x:v>
      </x:c>
      <x:c r="G380" s="12" t="str">
        <x:v>Batch 06</x:v>
      </x:c>
    </x:row>
    <x:row r="381" ht="15" hidden="0" customHeight="1">
      <x:c r="A381" s="12" t="str">
        <x:v>S060</x:v>
      </x:c>
      <x:c r="B381" s="12" t="str">
        <x:v>L4</x:v>
      </x:c>
      <x:c r="C381" s="12" t="n">
        <x:v>1</x:v>
      </x:c>
      <x:c r="D381" s="12" t="str">
        <x:v>GF, hysteresis, linearity and tested displacement ranges are quantified.</x:v>
      </x:c>
      <x:c r="E381" s="12" t="str">
        <x:v>PDF pp. 2–15; Figs. 1–10; Tables 1–4</x:v>
      </x:c>
      <x:c r="F381" s="12" t="str">
        <x:v>Clear</x:v>
      </x:c>
      <x:c r="G381" s="12" t="str">
        <x:v>Batch 06</x:v>
      </x:c>
    </x:row>
    <x:row r="382" ht="15" hidden="0" customHeight="1">
      <x:c r="A382" s="12" t="str">
        <x:v>S060</x:v>
      </x:c>
      <x:c r="B382" s="12" t="str">
        <x:v>L5</x:v>
      </x:c>
      <x:c r="C382" s="12" t="n">
        <x:v>1</x:v>
      </x:c>
      <x:c r="D382" s="12" t="str">
        <x:v>Four initial cycles and a 100-cycle endurance test report repeated response.</x:v>
      </x:c>
      <x:c r="E382" s="12" t="str">
        <x:v>PDF pp. 2–15; Figs. 1–10; Tables 1–4</x:v>
      </x:c>
      <x:c r="F382" s="12" t="str">
        <x:v>Clear</x:v>
      </x:c>
      <x:c r="G382" s="12" t="str">
        <x:v>Batch 06</x:v>
      </x:c>
    </x:row>
    <x:row r="383" ht="15" hidden="0" customHeight="1">
      <x:c r="A383" s="12" t="str">
        <x:v>S060</x:v>
      </x:c>
      <x:c r="B383" s="12" t="str">
        <x:v>L6</x:v>
      </x:c>
      <x:c r="C383" s="12" t="n">
        <x:v>0</x:v>
      </x:c>
      <x:c r="D383" s="12" t="str">
        <x:v>No distinct environmental or use-related exposure was tested.</x:v>
      </x:c>
      <x:c r="E383" s="12" t="str">
        <x:v>PDF pp. 2–15; Figs. 1–10; Tables 1–4</x:v>
      </x:c>
      <x:c r="F383" s="12" t="str">
        <x:v>Clear</x:v>
      </x:c>
      <x:c r="G383" s="12" t="str">
        <x:v>Batch 06</x:v>
      </x:c>
    </x:row>
    <x:row r="384" ht="15" hidden="0" customHeight="1">
      <x:c r="A384" s="12" t="str">
        <x:v>S060</x:v>
      </x:c>
      <x:c r="B384" s="12" t="str">
        <x:v>L7</x:v>
      </x:c>
      <x:c r="C384" s="12" t="n">
        <x:v>0</x:v>
      </x:c>
      <x:c r="D384" s="12" t="str">
        <x:v>No qualifying interface-integrity test or repeated final monolithic wearable-assembly test with a retention/failure endpoint was located.</x:v>
      </x:c>
      <x:c r="E384" s="12" t="str">
        <x:v>PDF pp. 2–15; Figs. 1–10; Tables 1–4</x:v>
      </x:c>
      <x:c r="F384" s="12" t="str">
        <x:v>Clear</x:v>
      </x:c>
      <x:c r="G384" s="12" t="str">
        <x:v>Adjudicated to Reviewer 2</x:v>
      </x:c>
    </x:row>
    <x:row r="385" ht="15" hidden="0" customHeight="1">
      <x:c r="A385" s="12" t="str">
        <x:v>S060</x:v>
      </x:c>
      <x:c r="B385" s="12" t="str">
        <x:v>L8</x:v>
      </x:c>
      <x:c r="C385" s="12" t="n">
        <x:v>0</x:v>
      </x:c>
      <x:c r="D385" s="12" t="str">
        <x:v>Each composition/cell-size configuration used one sensor; no ≥3-device same-condition comparison was reported.</x:v>
      </x:c>
      <x:c r="E385" s="12" t="str">
        <x:v>PDF pp. 2–15; Figs. 1–10; Tables 1–4</x:v>
      </x:c>
      <x:c r="F385" s="12" t="str">
        <x:v>Clear</x:v>
      </x:c>
      <x:c r="G385" s="12" t="str">
        <x:v>Batch 06</x:v>
      </x:c>
    </x:row>
    <x:row r="386" ht="15" hidden="0" customHeight="1">
      <x:c r="A386" s="12" t="str">
        <x:v>S061</x:v>
      </x:c>
      <x:c r="B386" s="12" t="str">
        <x:v>L1</x:v>
      </x:c>
      <x:c r="C386" s="12" t="n">
        <x:v>0</x:v>
      </x:c>
      <x:c r="D386" s="12" t="str">
        <x:v>FFF and several settings are stated, but printer model, nozzle diameter and layer height were not identified.</x:v>
      </x:c>
      <x:c r="E386" s="12" t="str">
        <x:v>PDF pp. 2–11; Figs. 1–13; Table 1</x:v>
      </x:c>
      <x:c r="F386" s="12" t="str">
        <x:v>Clear</x:v>
      </x:c>
      <x:c r="G386" s="12" t="str">
        <x:v>Batch 06</x:v>
      </x:c>
    </x:row>
    <x:row r="387" ht="15" hidden="0" customHeight="1">
      <x:c r="A387" s="12" t="str">
        <x:v>S061</x:v>
      </x:c>
      <x:c r="B387" s="12" t="str">
        <x:v>L2</x:v>
      </x:c>
      <x:c r="C387" s="12" t="n">
        <x:v>1</x:v>
      </x:c>
      <x:c r="D387" s="12" t="str">
        <x:v>PLA substrate, copper elements, connector and splint integration are described.</x:v>
      </x:c>
      <x:c r="E387" s="12" t="str">
        <x:v>PDF pp. 2–11; Figs. 1–13; Table 1</x:v>
      </x:c>
      <x:c r="F387" s="12" t="str">
        <x:v>Clear</x:v>
      </x:c>
      <x:c r="G387" s="12" t="str">
        <x:v>Batch 06</x:v>
      </x:c>
    </x:row>
    <x:row r="388" ht="15" hidden="0" customHeight="1">
      <x:c r="A388" s="12" t="str">
        <x:v>S061</x:v>
      </x:c>
      <x:c r="B388" s="12" t="str">
        <x:v>L3</x:v>
      </x:c>
      <x:c r="C388" s="12" t="n">
        <x:v>1</x:v>
      </x:c>
      <x:c r="D388" s="12" t="str">
        <x:v>Controlled loads and VNA measurements are reported.</x:v>
      </x:c>
      <x:c r="E388" s="12" t="str">
        <x:v>PDF pp. 2–11; Figs. 1–13; Table 1</x:v>
      </x:c>
      <x:c r="F388" s="12" t="str">
        <x:v>Clear</x:v>
      </x:c>
      <x:c r="G388" s="12" t="str">
        <x:v>Batch 06</x:v>
      </x:c>
    </x:row>
    <x:row r="389" ht="15" hidden="0" customHeight="1">
      <x:c r="A389" s="12" t="str">
        <x:v>S061</x:v>
      </x:c>
      <x:c r="B389" s="12" t="str">
        <x:v>L4</x:v>
      </x:c>
      <x:c r="C389" s="12" t="n">
        <x:v>1</x:v>
      </x:c>
      <x:c r="D389" s="12" t="str">
        <x:v>Frequency/S11 values and applied-load range are quantitative.</x:v>
      </x:c>
      <x:c r="E389" s="12" t="str">
        <x:v>PDF pp. 2–11; Figs. 1–13; Table 1</x:v>
      </x:c>
      <x:c r="F389" s="12" t="str">
        <x:v>Clear</x:v>
      </x:c>
      <x:c r="G389" s="12" t="str">
        <x:v>Batch 06</x:v>
      </x:c>
    </x:row>
    <x:row r="390" ht="15" hidden="0" customHeight="1">
      <x:c r="A390" s="12" t="str">
        <x:v>S061</x:v>
      </x:c>
      <x:c r="B390" s="12" t="str">
        <x:v>L5</x:v>
      </x:c>
      <x:c r="C390" s="12" t="n">
        <x:v>0</x:v>
      </x:c>
      <x:c r="D390" s="12" t="str">
        <x:v>The million-cycle result is a simulation; no experimental ≥3-cycle retention test was identified.</x:v>
      </x:c>
      <x:c r="E390" s="12" t="str">
        <x:v>PDF pp. 2–11; Figs. 1–13; Table 1</x:v>
      </x:c>
      <x:c r="F390" s="12" t="str">
        <x:v>Clear</x:v>
      </x:c>
      <x:c r="G390" s="12" t="str">
        <x:v>Batch 06</x:v>
      </x:c>
    </x:row>
    <x:row r="391" ht="15" hidden="0" customHeight="1">
      <x:c r="A391" s="12" t="str">
        <x:v>S061</x:v>
      </x:c>
      <x:c r="B391" s="12" t="str">
        <x:v>L6</x:v>
      </x:c>
      <x:c r="C391" s="12" t="n">
        <x:v>1</x:v>
      </x:c>
      <x:c r="D391" s="12" t="str">
        <x:v>Response was compared between stated with-wear/without-wear assembly-loading states.</x:v>
      </x:c>
      <x:c r="E391" s="12" t="str">
        <x:v>PDF pp. 2–11; Figs. 1–13; Table 1</x:v>
      </x:c>
      <x:c r="F391" s="12" t="str">
        <x:v>Clear</x:v>
      </x:c>
      <x:c r="G391" s="12" t="str">
        <x:v>Batch 06</x:v>
      </x:c>
    </x:row>
    <x:row r="392" ht="15" hidden="0" customHeight="1">
      <x:c r="A392" s="12" t="str">
        <x:v>S061</x:v>
      </x:c>
      <x:c r="B392" s="12" t="str">
        <x:v>L7</x:v>
      </x:c>
      <x:c r="C392" s="12" t="n">
        <x:v>0</x:v>
      </x:c>
      <x:c r="D392" s="12" t="str">
        <x:v>The million-cycle fatigue result is an ANSYS prediction. The worn measurements concern static pressure/antenna response.</x:v>
      </x:c>
      <x:c r="E392" s="12" t="str">
        <x:v>S061_Main.pdf, physical p. 6, fatigue simulation; pp. 7-8, Fig. 11/Table 2.</x:v>
      </x:c>
      <x:c r="F392" s="12" t="str">
        <x:v>High</x:v>
      </x:c>
      <x:c r="G392" s="12" t="str">
        <x:v>Final L7 reassessment</x:v>
      </x:c>
    </x:row>
    <x:row r="393" ht="15" hidden="0" customHeight="1">
      <x:c r="A393" s="12" t="str">
        <x:v>S061</x:v>
      </x:c>
      <x:c r="B393" s="12" t="str">
        <x:v>L8</x:v>
      </x:c>
      <x:c r="C393" s="12" t="n">
        <x:v>0</x:v>
      </x:c>
      <x:c r="D393" s="12" t="str">
        <x:v>No ≥3 separately fabricated complete antennas were quantitatively compared.</x:v>
      </x:c>
      <x:c r="E393" s="12" t="str">
        <x:v>PDF pp. 2–11; Figs. 1–13; Table 1</x:v>
      </x:c>
      <x:c r="F393" s="12" t="str">
        <x:v>Clear</x:v>
      </x:c>
      <x:c r="G393" s="12" t="str">
        <x:v>Batch 06</x:v>
      </x:c>
    </x:row>
    <x:row r="394" ht="15" hidden="0" customHeight="1">
      <x:c r="A394" s="12" t="str">
        <x:v>S063</x:v>
      </x:c>
      <x:c r="B394" s="12" t="str">
        <x:v>L1</x:v>
      </x:c>
      <x:c r="C394" s="12" t="n">
        <x:v>1</x:v>
      </x:c>
      <x:c r="D394" s="12" t="str">
        <x:v>Printer, TPU/CNT system, nozzle, temperatures, speed, layer height, infill and geometry are reported.</x:v>
      </x:c>
      <x:c r="E394" s="12" t="str">
        <x:v>PDF pp. 2–12; Figs. 1–9; Tables 1–2</x:v>
      </x:c>
      <x:c r="F394" s="12" t="str">
        <x:v>Clear</x:v>
      </x:c>
      <x:c r="G394" s="12" t="str">
        <x:v>Batch 06</x:v>
      </x:c>
    </x:row>
    <x:row r="395" ht="15" hidden="0" customHeight="1">
      <x:c r="A395" s="12" t="str">
        <x:v>S063</x:v>
      </x:c>
      <x:c r="B395" s="12" t="str">
        <x:v>L2</x:v>
      </x:c>
      <x:c r="C395" s="12" t="n">
        <x:v>1</x:v>
      </x:c>
      <x:c r="D395" s="12" t="str">
        <x:v>TPU grades, CNT treatment and electrical role are described.</x:v>
      </x:c>
      <x:c r="E395" s="12" t="str">
        <x:v>PDF pp. 2–12; Figs. 1–9; Tables 1–2</x:v>
      </x:c>
      <x:c r="F395" s="12" t="str">
        <x:v>Clear</x:v>
      </x:c>
      <x:c r="G395" s="12" t="str">
        <x:v>Batch 06</x:v>
      </x:c>
    </x:row>
    <x:row r="396" ht="15" hidden="0" customHeight="1">
      <x:c r="A396" s="12" t="str">
        <x:v>S063</x:v>
      </x:c>
      <x:c r="B396" s="12" t="str">
        <x:v>L3</x:v>
      </x:c>
      <x:c r="C396" s="12" t="n">
        <x:v>1</x:v>
      </x:c>
      <x:c r="D396" s="12" t="str">
        <x:v>Controlled compression and body-action protocols are reported.</x:v>
      </x:c>
      <x:c r="E396" s="12" t="str">
        <x:v>PDF pp. 2–12; Figs. 1–9; Tables 1–2</x:v>
      </x:c>
      <x:c r="F396" s="12" t="str">
        <x:v>Clear</x:v>
      </x:c>
      <x:c r="G396" s="12" t="str">
        <x:v>Batch 06</x:v>
      </x:c>
    </x:row>
    <x:row r="397" ht="15" hidden="0" customHeight="1">
      <x:c r="A397" s="12" t="str">
        <x:v>S063</x:v>
      </x:c>
      <x:c r="B397" s="12" t="str">
        <x:v>L4</x:v>
      </x:c>
      <x:c r="C397" s="12" t="n">
        <x:v>1</x:v>
      </x:c>
      <x:c r="D397" s="12" t="str">
        <x:v>Sensitivity, range and cycle behavior are quantitative.</x:v>
      </x:c>
      <x:c r="E397" s="12" t="str">
        <x:v>PDF pp. 2–12; Figs. 1–9; Tables 1–2</x:v>
      </x:c>
      <x:c r="F397" s="12" t="str">
        <x:v>Clear</x:v>
      </x:c>
      <x:c r="G397" s="12" t="str">
        <x:v>Batch 06</x:v>
      </x:c>
    </x:row>
    <x:row r="398" ht="15" hidden="0" customHeight="1">
      <x:c r="A398" s="12" t="str">
        <x:v>S063</x:v>
      </x:c>
      <x:c r="B398" s="12" t="str">
        <x:v>L5</x:v>
      </x:c>
      <x:c r="C398" s="12" t="n">
        <x:v>1</x:v>
      </x:c>
      <x:c r="D398" s="12" t="str">
        <x:v>Ten-cycle tests and a 1000-cycle endurance test report repeated response.</x:v>
      </x:c>
      <x:c r="E398" s="12" t="str">
        <x:v>PDF pp. 2–12; Figs. 1–9; Tables 1–2</x:v>
      </x:c>
      <x:c r="F398" s="12" t="str">
        <x:v>Clear</x:v>
      </x:c>
      <x:c r="G398" s="12" t="str">
        <x:v>Batch 06</x:v>
      </x:c>
    </x:row>
    <x:row r="399" ht="15" hidden="0" customHeight="1">
      <x:c r="A399" s="12" t="str">
        <x:v>S063</x:v>
      </x:c>
      <x:c r="B399" s="12" t="str">
        <x:v>L6</x:v>
      </x:c>
      <x:c r="C399" s="12" t="n">
        <x:v>0</x:v>
      </x:c>
      <x:c r="D399" s="12" t="str">
        <x:v>Humidity, sweat, washing and temperature were explicitly not investigated.</x:v>
      </x:c>
      <x:c r="E399" s="12" t="str">
        <x:v>PDF pp. 2–12; Figs. 1–9; Tables 1–2</x:v>
      </x:c>
      <x:c r="F399" s="12" t="str">
        <x:v>Clear</x:v>
      </x:c>
      <x:c r="G399" s="12" t="str">
        <x:v>Batch 06</x:v>
      </x:c>
    </x:row>
    <x:row r="400" ht="15" hidden="0" customHeight="1">
      <x:c r="A400" s="12" t="str">
        <x:v>S063</x:v>
      </x:c>
      <x:c r="B400" s="12" t="str">
        <x:v>L7</x:v>
      </x:c>
      <x:c r="C400" s="12" t="n">
        <x:v>0</x:v>
      </x:c>
      <x:c r="D400" s="12" t="str">
        <x:v>No qualifying interface-integrity test or repeated final monolithic wearable-assembly test with a retention/failure endpoint was located.</x:v>
      </x:c>
      <x:c r="E400" s="12" t="str">
        <x:v>PDF pp. 2–12; Figs. 1–9; Tables 1–2</x:v>
      </x:c>
      <x:c r="F400" s="12" t="str">
        <x:v>Clear</x:v>
      </x:c>
      <x:c r="G400" s="12" t="str">
        <x:v>Rule-clarification recode</x:v>
      </x:c>
    </x:row>
    <x:row r="401" ht="15" hidden="0" customHeight="1">
      <x:c r="A401" s="12" t="str">
        <x:v>S063</x:v>
      </x:c>
      <x:c r="B401" s="12" t="str">
        <x:v>L8</x:v>
      </x:c>
      <x:c r="C401" s="12" t="n">
        <x:v>0</x:v>
      </x:c>
      <x:c r="D401" s="12" t="str">
        <x:v>No ≥3 separately fabricated complete sensors were quantitatively compared.</x:v>
      </x:c>
      <x:c r="E401" s="12" t="str">
        <x:v>PDF pp. 2–12; Figs. 1–9; Tables 1–2</x:v>
      </x:c>
      <x:c r="F401" s="12" t="str">
        <x:v>Clear</x:v>
      </x:c>
      <x:c r="G401" s="12" t="str">
        <x:v>Batch 06</x:v>
      </x:c>
    </x:row>
    <x:row r="402" ht="15" hidden="0" customHeight="1">
      <x:c r="A402" s="12" t="str">
        <x:v>S064</x:v>
      </x:c>
      <x:c r="B402" s="12" t="str">
        <x:v>L1</x:v>
      </x:c>
      <x:c r="C402" s="12" t="n">
        <x:v>1</x:v>
      </x:c>
      <x:c r="D402" s="12" t="str">
        <x:v>Printer, TPE, temperatures, speed, layer height, infill, raster and hybrid sequence are reported.</x:v>
      </x:c>
      <x:c r="E402" s="12" t="str">
        <x:v>PDF pp. 2–12; Figs. 1–10; Table 1</x:v>
      </x:c>
      <x:c r="F402" s="12" t="str">
        <x:v>Clear</x:v>
      </x:c>
      <x:c r="G402" s="12" t="str">
        <x:v>Batch 06</x:v>
      </x:c>
    </x:row>
    <x:row r="403" ht="15" hidden="0" customHeight="1">
      <x:c r="A403" s="12" t="str">
        <x:v>S064</x:v>
      </x:c>
      <x:c r="B403" s="12" t="str">
        <x:v>L2</x:v>
      </x:c>
      <x:c r="C403" s="12" t="n">
        <x:v>1</x:v>
      </x:c>
      <x:c r="D403" s="12" t="str">
        <x:v>Host, conductive filament, conductors, insulation and embedded geometry are described.</x:v>
      </x:c>
      <x:c r="E403" s="12" t="str">
        <x:v>PDF pp. 2–12; Figs. 1–10; Table 1</x:v>
      </x:c>
      <x:c r="F403" s="12" t="str">
        <x:v>Clear</x:v>
      </x:c>
      <x:c r="G403" s="12" t="str">
        <x:v>Batch 06</x:v>
      </x:c>
    </x:row>
    <x:row r="404" ht="15" hidden="0" customHeight="1">
      <x:c r="A404" s="12" t="str">
        <x:v>S064</x:v>
      </x:c>
      <x:c r="B404" s="12" t="str">
        <x:v>L3</x:v>
      </x:c>
      <x:c r="C404" s="12" t="n">
        <x:v>1</x:v>
      </x:c>
      <x:c r="D404" s="12" t="str">
        <x:v>Controlled impact and application protocols are reported.</x:v>
      </x:c>
      <x:c r="E404" s="12" t="str">
        <x:v>PDF pp. 2–12; Figs. 1–10; Table 1</x:v>
      </x:c>
      <x:c r="F404" s="12" t="str">
        <x:v>Clear</x:v>
      </x:c>
      <x:c r="G404" s="12" t="str">
        <x:v>Batch 06</x:v>
      </x:c>
    </x:row>
    <x:row r="405" ht="15" hidden="0" customHeight="1">
      <x:c r="A405" s="12" t="str">
        <x:v>S064</x:v>
      </x:c>
      <x:c r="B405" s="12" t="str">
        <x:v>L4</x:v>
      </x:c>
      <x:c r="C405" s="12" t="n">
        <x:v>1</x:v>
      </x:c>
      <x:c r="D405" s="12" t="str">
        <x:v>Impact strain/resistance outputs and comparison with simulation are quantitative.</x:v>
      </x:c>
      <x:c r="E405" s="12" t="str">
        <x:v>PDF pp. 2–12; Figs. 1–10; Table 1</x:v>
      </x:c>
      <x:c r="F405" s="12" t="str">
        <x:v>Clear</x:v>
      </x:c>
      <x:c r="G405" s="12" t="str">
        <x:v>Batch 06</x:v>
      </x:c>
    </x:row>
    <x:row r="406" ht="15" hidden="0" customHeight="1">
      <x:c r="A406" s="12" t="str">
        <x:v>S064</x:v>
      </x:c>
      <x:c r="B406" s="12" t="str">
        <x:v>L5</x:v>
      </x:c>
      <x:c r="C406" s="12" t="n">
        <x:v>1</x:v>
      </x:c>
      <x:c r="D406" s="12" t="str">
        <x:v>Repeated impacts provide ≥3 observations and expose irreversible baseline change.</x:v>
      </x:c>
      <x:c r="E406" s="12" t="str">
        <x:v>PDF pp. 2–12; Figs. 1–10; Table 1</x:v>
      </x:c>
      <x:c r="F406" s="12" t="str">
        <x:v>Clear</x:v>
      </x:c>
      <x:c r="G406" s="12" t="str">
        <x:v>Batch 06</x:v>
      </x:c>
    </x:row>
    <x:row r="407" ht="15" hidden="0" customHeight="1">
      <x:c r="A407" s="12" t="str">
        <x:v>S064</x:v>
      </x:c>
      <x:c r="B407" s="12" t="str">
        <x:v>L6</x:v>
      </x:c>
      <x:c r="C407" s="12" t="n">
        <x:v>0</x:v>
      </x:c>
      <x:c r="D407" s="12" t="str">
        <x:v>Impact is the intended measurand; no separate environmental/use exposure was tested.</x:v>
      </x:c>
      <x:c r="E407" s="12" t="str">
        <x:v>PDF pp. 2–12; Figs. 1–10; Table 1</x:v>
      </x:c>
      <x:c r="F407" s="12" t="str">
        <x:v>Clear</x:v>
      </x:c>
      <x:c r="G407" s="12" t="str">
        <x:v>Batch 06</x:v>
      </x:c>
    </x:row>
    <x:row r="408" ht="15" hidden="0" customHeight="1">
      <x:c r="A408" s="12" t="str">
        <x:v>S064</x:v>
      </x:c>
      <x:c r="B408" s="12" t="str">
        <x:v>L7</x:v>
      </x:c>
      <x:c r="C408" s="12" t="n">
        <x:v>0</x:v>
      </x:c>
      <x:c r="D408" s="12" t="str">
        <x:v>No qualifying interface-integrity test or repeated final monolithic wearable-assembly test with a retention/failure endpoint was located.</x:v>
      </x:c>
      <x:c r="E408" s="12" t="str">
        <x:v>PDF pp. 2–12; Figs. 1–10; Table 1</x:v>
      </x:c>
      <x:c r="F408" s="12" t="str">
        <x:v>Clear</x:v>
      </x:c>
      <x:c r="G408" s="12" t="str">
        <x:v>Adjudicated to Reviewer 2</x:v>
      </x:c>
    </x:row>
    <x:row r="409" ht="15" hidden="0" customHeight="1">
      <x:c r="A409" s="12" t="str">
        <x:v>S064</x:v>
      </x:c>
      <x:c r="B409" s="12" t="str">
        <x:v>L8</x:v>
      </x:c>
      <x:c r="C409" s="12" t="n">
        <x:v>0</x:v>
      </x:c>
      <x:c r="D409" s="12" t="str">
        <x:v>Five specimens were assigned different velocities; same-condition between-device variation was not reported.</x:v>
      </x:c>
      <x:c r="E409" s="12" t="str">
        <x:v>PDF pp. 2–12; Figs. 1–10; Table 1</x:v>
      </x:c>
      <x:c r="F409" s="12" t="str">
        <x:v>Clear</x:v>
      </x:c>
      <x:c r="G409" s="12" t="str">
        <x:v>Batch 06</x:v>
      </x:c>
    </x:row>
    <x:row r="410" ht="15" hidden="0" customHeight="1">
      <x:c r="A410" s="12" t="str">
        <x:v>S065</x:v>
      </x:c>
      <x:c r="B410" s="12" t="str">
        <x:v>L1</x:v>
      </x:c>
      <x:c r="C410" s="12" t="n">
        <x:v>0</x:v>
      </x:c>
      <x:c r="D410" s="12" t="str">
        <x:v>Direct FDM, material and nozzle are reported, but printer model, temperature, speed and layer height are absent.</x:v>
      </x:c>
      <x:c r="E410" s="12" t="str">
        <x:v>PDF pp. 2–9; Figs. 1–7</x:v>
      </x:c>
      <x:c r="F410" s="12" t="str">
        <x:v>Clear</x:v>
      </x:c>
      <x:c r="G410" s="12" t="str">
        <x:v>Batch 06</x:v>
      </x:c>
    </x:row>
    <x:row r="411" ht="15" hidden="0" customHeight="1">
      <x:c r="A411" s="12" t="str">
        <x:v>S065</x:v>
      </x:c>
      <x:c r="B411" s="12" t="str">
        <x:v>L2</x:v>
      </x:c>
      <x:c r="C411" s="12" t="n">
        <x:v>1</x:v>
      </x:c>
      <x:c r="D411" s="12" t="str">
        <x:v>TPE substrate, surface microstructure, PEDOT:PSS treatment and contacts are described.</x:v>
      </x:c>
      <x:c r="E411" s="12" t="str">
        <x:v>PDF pp. 2–9; Figs. 1–7</x:v>
      </x:c>
      <x:c r="F411" s="12" t="str">
        <x:v>Clear</x:v>
      </x:c>
      <x:c r="G411" s="12" t="str">
        <x:v>Batch 06</x:v>
      </x:c>
    </x:row>
    <x:row r="412" ht="15" hidden="0" customHeight="1">
      <x:c r="A412" s="12" t="str">
        <x:v>S065</x:v>
      </x:c>
      <x:c r="B412" s="12" t="str">
        <x:v>L3</x:v>
      </x:c>
      <x:c r="C412" s="12" t="n">
        <x:v>1</x:v>
      </x:c>
      <x:c r="D412" s="12" t="str">
        <x:v>Controlled pressure and application protocols are reported.</x:v>
      </x:c>
      <x:c r="E412" s="12" t="str">
        <x:v>PDF pp. 2–9; Figs. 1–7</x:v>
      </x:c>
      <x:c r="F412" s="12" t="str">
        <x:v>Clear</x:v>
      </x:c>
      <x:c r="G412" s="12" t="str">
        <x:v>Batch 06</x:v>
      </x:c>
    </x:row>
    <x:row r="413" ht="15" hidden="0" customHeight="1">
      <x:c r="A413" s="12" t="str">
        <x:v>S065</x:v>
      </x:c>
      <x:c r="B413" s="12" t="str">
        <x:v>L4</x:v>
      </x:c>
      <x:c r="C413" s="12" t="n">
        <x:v>1</x:v>
      </x:c>
      <x:c r="D413" s="12" t="str">
        <x:v>Sensitivity, range, response time and SNR are quantitative.</x:v>
      </x:c>
      <x:c r="E413" s="12" t="str">
        <x:v>PDF pp. 2–9; Figs. 1–7</x:v>
      </x:c>
      <x:c r="F413" s="12" t="str">
        <x:v>Clear</x:v>
      </x:c>
      <x:c r="G413" s="12" t="str">
        <x:v>Batch 06</x:v>
      </x:c>
    </x:row>
    <x:row r="414" ht="15" hidden="0" customHeight="1">
      <x:c r="A414" s="12" t="str">
        <x:v>S065</x:v>
      </x:c>
      <x:c r="B414" s="12" t="str">
        <x:v>L5</x:v>
      </x:c>
      <x:c r="C414" s="12" t="n">
        <x:v>1</x:v>
      </x:c>
      <x:c r="D414" s="12" t="str">
        <x:v>Ten loading cycles report repeated response.</x:v>
      </x:c>
      <x:c r="E414" s="12" t="str">
        <x:v>PDF pp. 2–9; Figs. 1–7</x:v>
      </x:c>
      <x:c r="F414" s="12" t="str">
        <x:v>Clear</x:v>
      </x:c>
      <x:c r="G414" s="12" t="str">
        <x:v>Batch 06</x:v>
      </x:c>
    </x:row>
    <x:row r="415" ht="15" hidden="0" customHeight="1">
      <x:c r="A415" s="12" t="str">
        <x:v>S065</x:v>
      </x:c>
      <x:c r="B415" s="12" t="str">
        <x:v>L6</x:v>
      </x:c>
      <x:c r="C415" s="12" t="n">
        <x:v>0</x:v>
      </x:c>
      <x:c r="D415" s="12" t="str">
        <x:v>No qualifying environmental or separate use-related exposure was reported.</x:v>
      </x:c>
      <x:c r="E415" s="12" t="str">
        <x:v>PDF pp. 2–9; Figs. 1–7</x:v>
      </x:c>
      <x:c r="F415" s="12" t="str">
        <x:v>Clear</x:v>
      </x:c>
      <x:c r="G415" s="12" t="str">
        <x:v>Batch 06</x:v>
      </x:c>
    </x:row>
    <x:row r="416" ht="15" hidden="0" customHeight="1">
      <x:c r="A416" s="12" t="str">
        <x:v>S065</x:v>
      </x:c>
      <x:c r="B416" s="12" t="str">
        <x:v>L7</x:v>
      </x:c>
      <x:c r="C416" s="12" t="n">
        <x:v>1</x:v>
      </x:c>
      <x:c r="D416" s="12" t="str">
        <x:v>The authors explicitly evaluate durability during repeated bending and report no delamination or loss of sensitivity, with consistent cycle responses and SNR 34.12 ± 0.72.</x:v>
      </x:c>
      <x:c r="E416" s="12" t="str">
        <x:v>S065_Main.pdf, physical pp. 8-9, section 3.4/Fig. 7c-d.</x:v>
      </x:c>
      <x:c r="F416" s="12" t="str">
        <x:v>High</x:v>
      </x:c>
      <x:c r="G416" s="12" t="str">
        <x:v>Final L7 reassessment</x:v>
      </x:c>
    </x:row>
    <x:row r="417" ht="15" hidden="0" customHeight="1">
      <x:c r="A417" s="12" t="str">
        <x:v>S065</x:v>
      </x:c>
      <x:c r="B417" s="12" t="str">
        <x:v>L8</x:v>
      </x:c>
      <x:c r="C417" s="12" t="n">
        <x:v>1</x:v>
      </x:c>
      <x:c r="D417" s="12" t="str">
        <x:v>Four separately fabricated devices were quantitatively compared with cycle statistics.</x:v>
      </x:c>
      <x:c r="E417" s="12" t="str">
        <x:v>PDF pp. 2–9; Figs. 1–7</x:v>
      </x:c>
      <x:c r="F417" s="12" t="str">
        <x:v>Clear</x:v>
      </x:c>
      <x:c r="G417" s="12" t="str">
        <x:v>Batch 06</x:v>
      </x:c>
    </x:row>
    <x:row r="418" ht="15" hidden="0" customHeight="1">
      <x:c r="A418" s="12" t="str">
        <x:v>S066</x:v>
      </x:c>
      <x:c r="B418" s="12" t="str">
        <x:v>L1</x:v>
      </x:c>
      <x:c r="C418" s="12" t="n">
        <x:v>0</x:v>
      </x:c>
      <x:c r="D418" s="12" t="str">
        <x:v>Printer, active filament and geometry are stated, but essential settings are referred to prior work rather than reported here.</x:v>
      </x:c>
      <x:c r="E418" s="12" t="str">
        <x:v>PDF pp. 2–8; Figs. 1–8; Table I</x:v>
      </x:c>
      <x:c r="F418" s="12" t="str">
        <x:v>Clear</x:v>
      </x:c>
      <x:c r="G418" s="12" t="str">
        <x:v>Batch 06</x:v>
      </x:c>
    </x:row>
    <x:row r="419" ht="15" hidden="0" customHeight="1">
      <x:c r="A419" s="12" t="str">
        <x:v>S066</x:v>
      </x:c>
      <x:c r="B419" s="12" t="str">
        <x:v>L2</x:v>
      </x:c>
      <x:c r="C419" s="12" t="n">
        <x:v>1</x:v>
      </x:c>
      <x:c r="D419" s="12" t="str">
        <x:v>CB-TPU sensor, conditioning circuits, PCB and wearable assembly are described.</x:v>
      </x:c>
      <x:c r="E419" s="12" t="str">
        <x:v>PDF pp. 2–8; Figs. 1–8; Table I</x:v>
      </x:c>
      <x:c r="F419" s="12" t="str">
        <x:v>Clear</x:v>
      </x:c>
      <x:c r="G419" s="12" t="str">
        <x:v>Batch 06</x:v>
      </x:c>
    </x:row>
    <x:row r="420" ht="15" hidden="0" customHeight="1">
      <x:c r="A420" s="12" t="str">
        <x:v>S066</x:v>
      </x:c>
      <x:c r="B420" s="12" t="str">
        <x:v>L3</x:v>
      </x:c>
      <x:c r="C420" s="12" t="n">
        <x:v>1</x:v>
      </x:c>
      <x:c r="D420" s="12" t="str">
        <x:v>Defined breathing/activity protocols and a commercial reference are reported.</x:v>
      </x:c>
      <x:c r="E420" s="12" t="str">
        <x:v>PDF pp. 2–8; Figs. 1–8; Table I</x:v>
      </x:c>
      <x:c r="F420" s="12" t="str">
        <x:v>Clear</x:v>
      </x:c>
      <x:c r="G420" s="12" t="str">
        <x:v>Batch 06</x:v>
      </x:c>
    </x:row>
    <x:row r="421" ht="15" hidden="0" customHeight="1">
      <x:c r="A421" s="12" t="str">
        <x:v>S066</x:v>
      </x:c>
      <x:c r="B421" s="12" t="str">
        <x:v>L4</x:v>
      </x:c>
      <x:c r="C421" s="12" t="n">
        <x:v>1</x:v>
      </x:c>
      <x:c r="D421" s="12" t="str">
        <x:v>MAE, mean differences and condition-specific values are quantitative.</x:v>
      </x:c>
      <x:c r="E421" s="12" t="str">
        <x:v>PDF pp. 2–8; Figs. 1–8; Table I</x:v>
      </x:c>
      <x:c r="F421" s="12" t="str">
        <x:v>Clear</x:v>
      </x:c>
      <x:c r="G421" s="12" t="str">
        <x:v>Batch 06</x:v>
      </x:c>
    </x:row>
    <x:row r="422" ht="15" hidden="0" customHeight="1">
      <x:c r="A422" s="12" t="str">
        <x:v>S066</x:v>
      </x:c>
      <x:c r="B422" s="12" t="str">
        <x:v>L5</x:v>
      </x:c>
      <x:c r="C422" s="12" t="n">
        <x:v>1</x:v>
      </x:c>
      <x:c r="D422" s="12" t="str">
        <x:v>Repeated breathing/activity traces and a 42-min use trace report stability.</x:v>
      </x:c>
      <x:c r="E422" s="12" t="str">
        <x:v>PDF pp. 2–8; Figs. 1–8; Table I</x:v>
      </x:c>
      <x:c r="F422" s="12" t="str">
        <x:v>Clear</x:v>
      </x:c>
      <x:c r="G422" s="12" t="str">
        <x:v>Batch 06</x:v>
      </x:c>
    </x:row>
    <x:row r="423" ht="15" hidden="0" customHeight="1">
      <x:c r="A423" s="12" t="str">
        <x:v>S066</x:v>
      </x:c>
      <x:c r="B423" s="12" t="str">
        <x:v>L6</x:v>
      </x:c>
      <x:c r="C423" s="12" t="n">
        <x:v>1</x:v>
      </x:c>
      <x:c r="D423" s="12" t="str">
        <x:v>Walking, jogging and stair use provide declared use-related activity exposure with quantified response.</x:v>
      </x:c>
      <x:c r="E423" s="12" t="str">
        <x:v>PDF pp. 2–8; Figs. 1–8; Table I</x:v>
      </x:c>
      <x:c r="F423" s="12" t="str">
        <x:v>Clear</x:v>
      </x:c>
      <x:c r="G423" s="12" t="str">
        <x:v>Batch 06</x:v>
      </x:c>
    </x:row>
    <x:row r="424" ht="15" hidden="0" customHeight="1">
      <x:c r="A424" s="12" t="str">
        <x:v>S066</x:v>
      </x:c>
      <x:c r="B424" s="12" t="str">
        <x:v>L7</x:v>
      </x:c>
      <x:c r="C424" s="12" t="n">
        <x:v>1</x:v>
      </x:c>
      <x:c r="D424" s="12" t="str">
        <x:v>The long-term monitoring section explicitly reports stable amplitude, no drift and no lost periodicity across the recording.</x:v>
      </x:c>
      <x:c r="E424" s="12" t="str">
        <x:v>S066_Main.pdf, physical p. 5, assembly; pp. 7-8, section V.C, Long-Term Monitoring/Fig. 6.</x:v>
      </x:c>
      <x:c r="F424" s="12" t="str">
        <x:v>High</x:v>
      </x:c>
      <x:c r="G424" s="12" t="str">
        <x:v>Final L7 reassessment</x:v>
      </x:c>
    </x:row>
    <x:row r="425" ht="15" hidden="0" customHeight="1">
      <x:c r="A425" s="12" t="str">
        <x:v>S066</x:v>
      </x:c>
      <x:c r="B425" s="12" t="str">
        <x:v>L8</x:v>
      </x:c>
      <x:c r="C425" s="12" t="n">
        <x:v>0</x:v>
      </x:c>
      <x:c r="D425" s="12" t="str">
        <x:v>Participants are not independent devices; ≥3 separately fabricated systems were not compared.</x:v>
      </x:c>
      <x:c r="E425" s="12" t="str">
        <x:v>PDF pp. 2–8; Figs. 1–8; Table I</x:v>
      </x:c>
      <x:c r="F425" s="12" t="str">
        <x:v>Clear</x:v>
      </x:c>
      <x:c r="G425" s="12" t="str">
        <x:v>Batch 06</x:v>
      </x:c>
    </x:row>
    <x:row r="426" ht="15" hidden="0" customHeight="1">
      <x:c r="A426" s="12" t="str">
        <x:v>S067</x:v>
      </x:c>
      <x:c r="B426" s="12" t="str">
        <x:v>L1</x:v>
      </x:c>
      <x:c r="C426" s="12" t="n">
        <x:v>0</x:v>
      </x:c>
      <x:c r="D426" s="12" t="str">
        <x:v>FDM, printer, material and geometry are stated, but nozzle temperature, speed and layer height were not identified.</x:v>
      </x:c>
      <x:c r="E426" s="12" t="str">
        <x:v>PDF pp. 2–9; Figs. 1–8</x:v>
      </x:c>
      <x:c r="F426" s="12" t="str">
        <x:v>Clear</x:v>
      </x:c>
      <x:c r="G426" s="12" t="str">
        <x:v>Batch 06</x:v>
      </x:c>
    </x:row>
    <x:row r="427" ht="15" hidden="0" customHeight="1">
      <x:c r="A427" s="12" t="str">
        <x:v>S067</x:v>
      </x:c>
      <x:c r="B427" s="12" t="str">
        <x:v>L2</x:v>
      </x:c>
      <x:c r="C427" s="12" t="n">
        <x:v>1</x:v>
      </x:c>
      <x:c r="D427" s="12" t="str">
        <x:v>TPE structures, Ecoflex, conductive fabric and device architecture are described.</x:v>
      </x:c>
      <x:c r="E427" s="12" t="str">
        <x:v>PDF pp. 2–9; Figs. 1–8</x:v>
      </x:c>
      <x:c r="F427" s="12" t="str">
        <x:v>Clear</x:v>
      </x:c>
      <x:c r="G427" s="12" t="str">
        <x:v>Batch 06</x:v>
      </x:c>
    </x:row>
    <x:row r="428" ht="15" hidden="0" customHeight="1">
      <x:c r="A428" s="12" t="str">
        <x:v>S067</x:v>
      </x:c>
      <x:c r="B428" s="12" t="str">
        <x:v>L3</x:v>
      </x:c>
      <x:c r="C428" s="12" t="n">
        <x:v>1</x:v>
      </x:c>
      <x:c r="D428" s="12" t="str">
        <x:v>Controlled force/frequency/exposure and activity protocols are reported.</x:v>
      </x:c>
      <x:c r="E428" s="12" t="str">
        <x:v>PDF pp. 2–9; Figs. 1–8</x:v>
      </x:c>
      <x:c r="F428" s="12" t="str">
        <x:v>Clear</x:v>
      </x:c>
      <x:c r="G428" s="12" t="str">
        <x:v>Batch 06</x:v>
      </x:c>
    </x:row>
    <x:row r="429" ht="15" hidden="0" customHeight="1">
      <x:c r="A429" s="12" t="str">
        <x:v>S067</x:v>
      </x:c>
      <x:c r="B429" s="12" t="str">
        <x:v>L4</x:v>
      </x:c>
      <x:c r="C429" s="12" t="n">
        <x:v>1</x:v>
      </x:c>
      <x:c r="D429" s="12" t="str">
        <x:v>Voltage, current, cycle response and classification accuracy are quantitative.</x:v>
      </x:c>
      <x:c r="E429" s="12" t="str">
        <x:v>PDF pp. 2–9; Figs. 1–8</x:v>
      </x:c>
      <x:c r="F429" s="12" t="str">
        <x:v>Clear</x:v>
      </x:c>
      <x:c r="G429" s="12" t="str">
        <x:v>Batch 06</x:v>
      </x:c>
    </x:row>
    <x:row r="430" ht="15" hidden="0" customHeight="1">
      <x:c r="A430" s="12" t="str">
        <x:v>S067</x:v>
      </x:c>
      <x:c r="B430" s="12" t="str">
        <x:v>L5</x:v>
      </x:c>
      <x:c r="C430" s="12" t="n">
        <x:v>1</x:v>
      </x:c>
      <x:c r="D430" s="12" t="str">
        <x:v>Nearly 10,000 impacts report long-duration response.</x:v>
      </x:c>
      <x:c r="E430" s="12" t="str">
        <x:v>PDF pp. 2–9; Figs. 1–8</x:v>
      </x:c>
      <x:c r="F430" s="12" t="str">
        <x:v>Clear</x:v>
      </x:c>
      <x:c r="G430" s="12" t="str">
        <x:v>Batch 06</x:v>
      </x:c>
    </x:row>
    <x:row r="431" ht="15" hidden="0" customHeight="1">
      <x:c r="A431" s="12" t="str">
        <x:v>S067</x:v>
      </x:c>
      <x:c r="B431" s="12" t="str">
        <x:v>L6</x:v>
      </x:c>
      <x:c r="C431" s="12" t="n">
        <x:v>1</x:v>
      </x:c>
      <x:c r="D431" s="12" t="str">
        <x:v>Temperature and humidity were deliberately varied and the output was reported.</x:v>
      </x:c>
      <x:c r="E431" s="12" t="str">
        <x:v>PDF pp. 2–9; Figs. 1–8</x:v>
      </x:c>
      <x:c r="F431" s="12" t="str">
        <x:v>Clear</x:v>
      </x:c>
      <x:c r="G431" s="12" t="str">
        <x:v>Batch 06</x:v>
      </x:c>
    </x:row>
    <x:row r="432" ht="15" hidden="0" customHeight="1">
      <x:c r="A432" s="12" t="str">
        <x:v>S067</x:v>
      </x:c>
      <x:c r="B432" s="12" t="str">
        <x:v>L7</x:v>
      </x:c>
      <x:c r="C432" s="12" t="n">
        <x:v>1</x:v>
      </x:c>
      <x:c r="D432" s="12" t="str">
        <x:v>Absolute amplitudes fluctuate, but the text explicitly reports preserved periodicity, inter-peak timing and relative peak relationships across environmental conditions.</x:v>
      </x:c>
      <x:c r="E432" s="12" t="str">
        <x:v>S067_Main.pdf, physical pp. 7-9, Fig. 4e-f and environmental robustness discussion referring to Fig. S6.</x:v>
      </x:c>
      <x:c r="F432" s="12" t="str">
        <x:v>Moderate</x:v>
      </x:c>
      <x:c r="G432" s="12" t="str">
        <x:v>Final L7 reassessment</x:v>
      </x:c>
    </x:row>
    <x:row r="433" ht="15" hidden="0" customHeight="1">
      <x:c r="A433" s="12" t="str">
        <x:v>S067</x:v>
      </x:c>
      <x:c r="B433" s="12" t="str">
        <x:v>L8</x:v>
      </x:c>
      <x:c r="C433" s="12" t="n">
        <x:v>0</x:v>
      </x:c>
      <x:c r="D433" s="12" t="str">
        <x:v>No ≥3 separately fabricated complete insoles were quantitatively compared.</x:v>
      </x:c>
      <x:c r="E433" s="12" t="str">
        <x:v>PDF pp. 2–9; Figs. 1–8</x:v>
      </x:c>
      <x:c r="F433" s="12" t="str">
        <x:v>Clear</x:v>
      </x:c>
      <x:c r="G433" s="12" t="str">
        <x:v>Batch 06</x:v>
      </x:c>
    </x:row>
    <x:row r="434" ht="15" hidden="0" customHeight="1">
      <x:c r="A434" s="12" t="str">
        <x:v>S068</x:v>
      </x:c>
      <x:c r="B434" s="12" t="str">
        <x:v>L1</x:v>
      </x:c>
      <x:c r="C434" s="12" t="n">
        <x:v>1</x:v>
      </x:c>
      <x:c r="D434" s="12" t="str">
        <x:v>Printer, functional filament, nozzle, temperatures, speed, layer height, infill, orientation and DIW settings are reported.</x:v>
      </x:c>
      <x:c r="E434" s="12" t="str">
        <x:v>PDF pp. 2–10; Figs. 1–7; Table 1</x:v>
      </x:c>
      <x:c r="F434" s="12" t="str">
        <x:v>Clear</x:v>
      </x:c>
      <x:c r="G434" s="12" t="str">
        <x:v>Batch 06</x:v>
      </x:c>
    </x:row>
    <x:row r="435" ht="15" hidden="0" customHeight="1">
      <x:c r="A435" s="12" t="str">
        <x:v>S068</x:v>
      </x:c>
      <x:c r="B435" s="12" t="str">
        <x:v>L2</x:v>
      </x:c>
      <x:c r="C435" s="12" t="n">
        <x:v>1</x:v>
      </x:c>
      <x:c r="D435" s="12" t="str">
        <x:v>TPU/CB, silver IDE, curing and contact arrangement are described.</x:v>
      </x:c>
      <x:c r="E435" s="12" t="str">
        <x:v>PDF pp. 2–10; Figs. 1–7; Table 1</x:v>
      </x:c>
      <x:c r="F435" s="12" t="str">
        <x:v>Clear</x:v>
      </x:c>
      <x:c r="G435" s="12" t="str">
        <x:v>Batch 06</x:v>
      </x:c>
    </x:row>
    <x:row r="436" ht="15" hidden="0" customHeight="1">
      <x:c r="A436" s="12" t="str">
        <x:v>S068</x:v>
      </x:c>
      <x:c r="B436" s="12" t="str">
        <x:v>L3</x:v>
      </x:c>
      <x:c r="C436" s="12" t="n">
        <x:v>1</x:v>
      </x:c>
      <x:c r="D436" s="12" t="str">
        <x:v>Controlled tensile, cyclic and application protocols are reported.</x:v>
      </x:c>
      <x:c r="E436" s="12" t="str">
        <x:v>PDF pp. 2–10; Figs. 1–7; Table 1</x:v>
      </x:c>
      <x:c r="F436" s="12" t="str">
        <x:v>Clear</x:v>
      </x:c>
      <x:c r="G436" s="12" t="str">
        <x:v>Batch 06</x:v>
      </x:c>
    </x:row>
    <x:row r="437" ht="15" hidden="0" customHeight="1">
      <x:c r="A437" s="12" t="str">
        <x:v>S068</x:v>
      </x:c>
      <x:c r="B437" s="12" t="str">
        <x:v>L4</x:v>
      </x:c>
      <x:c r="C437" s="12" t="n">
        <x:v>1</x:v>
      </x:c>
      <x:c r="D437" s="12" t="str">
        <x:v>GF, drift, fitting and endurance outcomes are quantitative.</x:v>
      </x:c>
      <x:c r="E437" s="12" t="str">
        <x:v>PDF pp. 2–10; Figs. 1–7; Table 1</x:v>
      </x:c>
      <x:c r="F437" s="12" t="str">
        <x:v>Clear</x:v>
      </x:c>
      <x:c r="G437" s="12" t="str">
        <x:v>Batch 06</x:v>
      </x:c>
    </x:row>
    <x:row r="438" ht="15" hidden="0" customHeight="1">
      <x:c r="A438" s="12" t="str">
        <x:v>S068</x:v>
      </x:c>
      <x:c r="B438" s="12" t="str">
        <x:v>L5</x:v>
      </x:c>
      <x:c r="C438" s="12" t="n">
        <x:v>1</x:v>
      </x:c>
      <x:c r="D438" s="12" t="str">
        <x:v>Twenty cycles and 500-cycle endurance tests report repeated response.</x:v>
      </x:c>
      <x:c r="E438" s="12" t="str">
        <x:v>PDF pp. 2–10; Figs. 1–7; Table 1</x:v>
      </x:c>
      <x:c r="F438" s="12" t="str">
        <x:v>Clear</x:v>
      </x:c>
      <x:c r="G438" s="12" t="str">
        <x:v>Batch 06</x:v>
      </x:c>
    </x:row>
    <x:row r="439" ht="15" hidden="0" customHeight="1">
      <x:c r="A439" s="12" t="str">
        <x:v>S068</x:v>
      </x:c>
      <x:c r="B439" s="12" t="str">
        <x:v>L6</x:v>
      </x:c>
      <x:c r="C439" s="12" t="n">
        <x:v>0</x:v>
      </x:c>
      <x:c r="D439" s="12" t="str">
        <x:v>No distinct qualifying environmental/use exposure was tested.</x:v>
      </x:c>
      <x:c r="E439" s="12" t="str">
        <x:v>PDF pp. 2–10; Figs. 1–7; Table 1</x:v>
      </x:c>
      <x:c r="F439" s="12" t="str">
        <x:v>Clear</x:v>
      </x:c>
      <x:c r="G439" s="12" t="str">
        <x:v>Batch 06</x:v>
      </x:c>
    </x:row>
    <x:row r="440" ht="15" hidden="0" customHeight="1">
      <x:c r="A440" s="12" t="str">
        <x:v>S068</x:v>
      </x:c>
      <x:c r="B440" s="12" t="str">
        <x:v>L7</x:v>
      </x:c>
      <x:c r="C440" s="12" t="n">
        <x:v>1</x:v>
      </x:c>
      <x:c r="D440" s="12" t="str">
        <x:v>The wrist-mounted sensor is assessed during repeated moderate-force closures; authors describe the waveform as repeatable, with consistent swallowing response in the separate throat configuration.</x:v>
      </x:c>
      <x:c r="E440" s="12" t="str">
        <x:v>S068_Main.pdf, physical pp. 8-9, section 3.8/Fig. 7c,e.</x:v>
      </x:c>
      <x:c r="F440" s="12" t="str">
        <x:v>Moderate</x:v>
      </x:c>
      <x:c r="G440" s="12" t="str">
        <x:v>Final L7 reassessment</x:v>
      </x:c>
    </x:row>
    <x:row r="441" ht="15" hidden="0" customHeight="1">
      <x:c r="A441" s="12" t="str">
        <x:v>S068</x:v>
      </x:c>
      <x:c r="B441" s="12" t="str">
        <x:v>L8</x:v>
      </x:c>
      <x:c r="C441" s="12" t="n">
        <x:v>0</x:v>
      </x:c>
      <x:c r="D441" s="12" t="str">
        <x:v>The three GF tests were repeated on the same sample; no ≥3-device comparison was reported.</x:v>
      </x:c>
      <x:c r="E441" s="12" t="str">
        <x:v>PDF pp. 2–10; Figs. 1–7; Table 1</x:v>
      </x:c>
      <x:c r="F441" s="12" t="str">
        <x:v>Clear</x:v>
      </x:c>
      <x:c r="G441" s="12" t="str">
        <x:v>Batch 06</x:v>
      </x:c>
    </x:row>
    <x:row r="442" ht="24" hidden="0" customHeight="1">
      <x:c r="A442" s="12" t="str">
        <x:v>S069</x:v>
      </x:c>
      <x:c r="B442" s="12" t="str">
        <x:v>L1</x:v>
      </x:c>
      <x:c r="C442" s="12" t="n">
        <x:v>1</x:v>
      </x:c>
      <x:c r="D442" s="12" t="str">
        <x:v>FFF printers, PP, nozzle, temperature, layer height, geometry and Z offset are reported; speed is in cited SI but sufficient core/application settings are present.</x:v>
      </x:c>
      <x:c r="E442" s="12" t="str">
        <x:v>PDF pp. 2–12; Figs. 1–11; Table 1; cited SI</x:v>
      </x:c>
      <x:c r="F442" s="12" t="str">
        <x:v>Clear</x:v>
      </x:c>
      <x:c r="G442" s="12" t="str">
        <x:v>Batch 06</x:v>
      </x:c>
    </x:row>
    <x:row r="443" ht="15" hidden="0" customHeight="1">
      <x:c r="A443" s="12" t="str">
        <x:v>S069</x:v>
      </x:c>
      <x:c r="B443" s="12" t="str">
        <x:v>L2</x:v>
      </x:c>
      <x:c r="C443" s="12" t="n">
        <x:v>1</x:v>
      </x:c>
      <x:c r="D443" s="12" t="str">
        <x:v>Printed PP, conductive fabric, Ecoflex counterlayer and electrical roles are described.</x:v>
      </x:c>
      <x:c r="E443" s="12" t="str">
        <x:v>PDF pp. 2–12; Figs. 1–11; Table 1; cited SI</x:v>
      </x:c>
      <x:c r="F443" s="12" t="str">
        <x:v>Clear</x:v>
      </x:c>
      <x:c r="G443" s="12" t="str">
        <x:v>Batch 06</x:v>
      </x:c>
    </x:row>
    <x:row r="444" ht="15" hidden="0" customHeight="1">
      <x:c r="A444" s="12" t="str">
        <x:v>S069</x:v>
      </x:c>
      <x:c r="B444" s="12" t="str">
        <x:v>L3</x:v>
      </x:c>
      <x:c r="C444" s="12" t="n">
        <x:v>1</x:v>
      </x:c>
      <x:c r="D444" s="12" t="str">
        <x:v>Controlled force/frequency/load and touch protocols are reported.</x:v>
      </x:c>
      <x:c r="E444" s="12" t="str">
        <x:v>PDF pp. 2–12; Figs. 1–11; Table 1; cited SI</x:v>
      </x:c>
      <x:c r="F444" s="12" t="str">
        <x:v>Clear</x:v>
      </x:c>
      <x:c r="G444" s="12" t="str">
        <x:v>Batch 06</x:v>
      </x:c>
    </x:row>
    <x:row r="445" ht="15" hidden="0" customHeight="1">
      <x:c r="A445" s="12" t="str">
        <x:v>S069</x:v>
      </x:c>
      <x:c r="B445" s="12" t="str">
        <x:v>L4</x:v>
      </x:c>
      <x:c r="C445" s="12" t="n">
        <x:v>1</x:v>
      </x:c>
      <x:c r="D445" s="12" t="str">
        <x:v>Voltage, current, charge density, power density and tested conditions are quantitative.</x:v>
      </x:c>
      <x:c r="E445" s="12" t="str">
        <x:v>PDF pp. 2–12; Figs. 1–11; Table 1; cited SI</x:v>
      </x:c>
      <x:c r="F445" s="12" t="str">
        <x:v>Clear</x:v>
      </x:c>
      <x:c r="G445" s="12" t="str">
        <x:v>Batch 06</x:v>
      </x:c>
    </x:row>
    <x:row r="446" ht="15" hidden="0" customHeight="1">
      <x:c r="A446" s="12" t="str">
        <x:v>S069</x:v>
      </x:c>
      <x:c r="B446" s="12" t="str">
        <x:v>L5</x:v>
      </x:c>
      <x:c r="C446" s="12" t="n">
        <x:v>1</x:v>
      </x:c>
      <x:c r="D446" s="12" t="str">
        <x:v>A 20,000-cycle test reports retained output.</x:v>
      </x:c>
      <x:c r="E446" s="12" t="str">
        <x:v>PDF pp. 2–12; Figs. 1–11; Table 1; cited SI</x:v>
      </x:c>
      <x:c r="F446" s="12" t="str">
        <x:v>Clear</x:v>
      </x:c>
      <x:c r="G446" s="12" t="str">
        <x:v>Batch 06</x:v>
      </x:c>
    </x:row>
    <x:row r="447" ht="15" hidden="0" customHeight="1">
      <x:c r="A447" s="12" t="str">
        <x:v>S069</x:v>
      </x:c>
      <x:c r="B447" s="12" t="str">
        <x:v>L6</x:v>
      </x:c>
      <x:c r="C447" s="12" t="n">
        <x:v>1</x:v>
      </x:c>
      <x:c r="D447" s="12" t="str">
        <x:v>Water/detergent washing for 30 min was followed by output measurement.</x:v>
      </x:c>
      <x:c r="E447" s="12" t="str">
        <x:v>PDF pp. 2–12; Figs. 1–11; Table 1; cited SI</x:v>
      </x:c>
      <x:c r="F447" s="12" t="str">
        <x:v>Clear</x:v>
      </x:c>
      <x:c r="G447" s="12" t="str">
        <x:v>Batch 06</x:v>
      </x:c>
    </x:row>
    <x:row r="448" ht="15" hidden="0" customHeight="1">
      <x:c r="A448" s="12" t="str">
        <x:v>S069</x:v>
      </x:c>
      <x:c r="B448" s="12" t="str">
        <x:v>L7</x:v>
      </x:c>
      <x:c r="C448" s="12" t="n">
        <x:v>0</x:v>
      </x:c>
      <x:c r="D448" s="12" t="str">
        <x:v>20000 cycles, detergent washing and peel testing assess material/device durability off-body. Supplied video samples show chamber tests, LEDs and table-top finger contact.</x:v>
      </x:c>
      <x:c r="E448" s="12" t="str">
        <x:v>S069_Main.pdf, physical pp. 11-13, Figs. 10f-g/11; S069_Supplement_01.docx and Supplements 02-04 videos.</x:v>
      </x:c>
      <x:c r="F448" s="12" t="str">
        <x:v>High</x:v>
      </x:c>
      <x:c r="G448" s="12" t="str">
        <x:v>Final L7 reassessment</x:v>
      </x:c>
    </x:row>
    <x:row r="449" ht="15" hidden="0" customHeight="1">
      <x:c r="A449" s="12" t="str">
        <x:v>S069</x:v>
      </x:c>
      <x:c r="B449" s="12" t="str">
        <x:v>L8</x:v>
      </x:c>
      <x:c r="C449" s="12" t="n">
        <x:v>0</x:v>
      </x:c>
      <x:c r="D449" s="12" t="str">
        <x:v>Material/geometry variants were compared, but ≥3 separately fabricated optimized devices were not identified.</x:v>
      </x:c>
      <x:c r="E449" s="12" t="str">
        <x:v>PDF pp. 2–12; Figs. 1–11; Table 1; cited SI</x:v>
      </x:c>
      <x:c r="F449" s="12" t="str">
        <x:v>Clear</x:v>
      </x:c>
      <x:c r="G449" s="12" t="str">
        <x:v>Batch 06</x:v>
      </x:c>
    </x:row>
    <x:row r="450" ht="15" hidden="0" customHeight="1">
      <x:c r="A450" s="12" t="str">
        <x:v>S070</x:v>
      </x:c>
      <x:c r="B450" s="12" t="str">
        <x:v>L1</x:v>
      </x:c>
      <x:c r="C450" s="12" t="n">
        <x:v>1</x:v>
      </x:c>
      <x:c r="D450" s="12" t="str">
        <x:v>Printer, TPU grade, nozzle, temperatures, speed, layer height, infill, geometry and optical-fiber integration are reported.</x:v>
      </x:c>
      <x:c r="E450" s="12" t="str">
        <x:v>PDF pp. 3–9; Figs. 1–12; Tables I–III</x:v>
      </x:c>
      <x:c r="F450" s="12" t="str">
        <x:v>Clear</x:v>
      </x:c>
      <x:c r="G450" s="12" t="str">
        <x:v>Batch 07</x:v>
      </x:c>
    </x:row>
    <x:row r="451" ht="15" hidden="0" customHeight="1">
      <x:c r="A451" s="12" t="str">
        <x:v>S070</x:v>
      </x:c>
      <x:c r="B451" s="12" t="str">
        <x:v>L2</x:v>
      </x:c>
      <x:c r="C451" s="12" t="n">
        <x:v>1</x:v>
      </x:c>
      <x:c r="D451" s="12" t="str">
        <x:v>TPU grade, embedded FBG, coating and sensor geometry are described.</x:v>
      </x:c>
      <x:c r="E451" s="12" t="str">
        <x:v>PDF pp. 3–9; Figs. 1–12; Tables I–III</x:v>
      </x:c>
      <x:c r="F451" s="12" t="str">
        <x:v>Clear</x:v>
      </x:c>
      <x:c r="G451" s="12" t="str">
        <x:v>Batch 07</x:v>
      </x:c>
    </x:row>
    <x:row r="452" ht="15" hidden="0" customHeight="1">
      <x:c r="A452" s="12" t="str">
        <x:v>S070</x:v>
      </x:c>
      <x:c r="B452" s="12" t="str">
        <x:v>L3</x:v>
      </x:c>
      <x:c r="C452" s="12" t="n">
        <x:v>1</x:v>
      </x:c>
      <x:c r="D452" s="12" t="str">
        <x:v>Controlled strain, temperature, RH and body-motion inputs are linked to wavelength response.</x:v>
      </x:c>
      <x:c r="E452" s="12" t="str">
        <x:v>PDF pp. 3–9; Figs. 1–12; Tables I–III</x:v>
      </x:c>
      <x:c r="F452" s="12" t="str">
        <x:v>Clear</x:v>
      </x:c>
      <x:c r="G452" s="12" t="str">
        <x:v>Batch 07</x:v>
      </x:c>
    </x:row>
    <x:row r="453" ht="15" hidden="0" customHeight="1">
      <x:c r="A453" s="12" t="str">
        <x:v>S070</x:v>
      </x:c>
      <x:c r="B453" s="12" t="str">
        <x:v>L4</x:v>
      </x:c>
      <x:c r="C453" s="12" t="n">
        <x:v>1</x:v>
      </x:c>
      <x:c r="D453" s="12" t="str">
        <x:v>Sensitivities, hysteresis and tested ranges are quantitative.</x:v>
      </x:c>
      <x:c r="E453" s="12" t="str">
        <x:v>PDF pp. 3–9; Figs. 1–12; Tables I–III</x:v>
      </x:c>
      <x:c r="F453" s="12" t="str">
        <x:v>Clear</x:v>
      </x:c>
      <x:c r="G453" s="12" t="str">
        <x:v>Batch 07</x:v>
      </x:c>
    </x:row>
    <x:row r="454" ht="15" hidden="0" customHeight="1">
      <x:c r="A454" s="12" t="str">
        <x:v>S070</x:v>
      </x:c>
      <x:c r="B454" s="12" t="str">
        <x:v>L5</x:v>
      </x:c>
      <x:c r="C454" s="12" t="n">
        <x:v>1</x:v>
      </x:c>
      <x:c r="D454" s="12" t="str">
        <x:v>Ten strain repetitions and 100 loading cycles report repeated response.</x:v>
      </x:c>
      <x:c r="E454" s="12" t="str">
        <x:v>PDF pp. 3–9; Figs. 1–12; Tables I–III</x:v>
      </x:c>
      <x:c r="F454" s="12" t="str">
        <x:v>Clear</x:v>
      </x:c>
      <x:c r="G454" s="12" t="str">
        <x:v>Batch 07</x:v>
      </x:c>
    </x:row>
    <x:row r="455" ht="15" hidden="0" customHeight="1">
      <x:c r="A455" s="12" t="str">
        <x:v>S070</x:v>
      </x:c>
      <x:c r="B455" s="12" t="str">
        <x:v>L6</x:v>
      </x:c>
      <x:c r="C455" s="12" t="n">
        <x:v>1</x:v>
      </x:c>
      <x:c r="D455" s="12" t="str">
        <x:v>Temperature and RH were deliberately varied with sensor response reported.</x:v>
      </x:c>
      <x:c r="E455" s="12" t="str">
        <x:v>PDF pp. 3–9; Figs. 1–12; Tables I–III</x:v>
      </x:c>
      <x:c r="F455" s="12" t="str">
        <x:v>Clear</x:v>
      </x:c>
      <x:c r="G455" s="12" t="str">
        <x:v>Batch 07</x:v>
      </x:c>
    </x:row>
    <x:row r="456" ht="15" hidden="0" customHeight="1">
      <x:c r="A456" s="12" t="str">
        <x:v>S070</x:v>
      </x:c>
      <x:c r="B456" s="12" t="str">
        <x:v>L7</x:v>
      </x:c>
      <x:c r="C456" s="12" t="n">
        <x:v>1</x:v>
      </x:c>
      <x:c r="D456" s="12" t="str">
        <x:v>The conclusion explicitly reports stable and repeatable response during controlled wearable movement cycles; section V defines the worn protocol.</x:v>
      </x:c>
      <x:c r="E456" s="12" t="str">
        <x:v>S070_Main.pdf, physical p. 8, section V; p. 9, Fig. 9; p. 10, wearable-validation conclusion.</x:v>
      </x:c>
      <x:c r="F456" s="12" t="str">
        <x:v>Moderate</x:v>
      </x:c>
      <x:c r="G456" s="12" t="str">
        <x:v>Final L7 reassessment</x:v>
      </x:c>
    </x:row>
    <x:row r="457" ht="15" hidden="0" customHeight="1">
      <x:c r="A457" s="12" t="str">
        <x:v>S070</x:v>
      </x:c>
      <x:c r="B457" s="12" t="str">
        <x:v>L8</x:v>
      </x:c>
      <x:c r="C457" s="12" t="n">
        <x:v>0</x:v>
      </x:c>
      <x:c r="D457" s="12" t="str">
        <x:v>Each material/speed configuration used one sensor; no ≥3-device same-condition comparison was reported.</x:v>
      </x:c>
      <x:c r="E457" s="12" t="str">
        <x:v>PDF pp. 3–9; Figs. 1–12; Tables I–III</x:v>
      </x:c>
      <x:c r="F457" s="12" t="str">
        <x:v>Clear</x:v>
      </x:c>
      <x:c r="G457" s="12" t="str">
        <x:v>Batch 07</x:v>
      </x:c>
    </x:row>
    <x:row r="458" ht="15" hidden="0" customHeight="1">
      <x:c r="A458" s="12" t="str">
        <x:v>S071</x:v>
      </x:c>
      <x:c r="B458" s="12" t="str">
        <x:v>L1</x:v>
      </x:c>
      <x:c r="C458" s="12" t="n">
        <x:v>0</x:v>
      </x:c>
      <x:c r="D458" s="12" t="str">
        <x:v>FDM and thermal conditions are stated, but printer model, nozzle diameter, speed and layer height were not identified.</x:v>
      </x:c>
      <x:c r="E458" s="12" t="str">
        <x:v>PDF pp. 2–10; Figs. 1–12; Tables 1–2</x:v>
      </x:c>
      <x:c r="F458" s="12" t="str">
        <x:v>Clear</x:v>
      </x:c>
      <x:c r="G458" s="12" t="str">
        <x:v>Batch 07</x:v>
      </x:c>
    </x:row>
    <x:row r="459" ht="15" hidden="0" customHeight="1">
      <x:c r="A459" s="12" t="str">
        <x:v>S071</x:v>
      </x:c>
      <x:c r="B459" s="12" t="str">
        <x:v>L2</x:v>
      </x:c>
      <x:c r="C459" s="12" t="n">
        <x:v>1</x:v>
      </x:c>
      <x:c r="D459" s="12" t="str">
        <x:v>TPU, graphene/PVP coating, TPMS geometry and electrical role are described.</x:v>
      </x:c>
      <x:c r="E459" s="12" t="str">
        <x:v>PDF pp. 2–10; Figs. 1–12; Tables 1–2</x:v>
      </x:c>
      <x:c r="F459" s="12" t="str">
        <x:v>Clear</x:v>
      </x:c>
      <x:c r="G459" s="12" t="str">
        <x:v>Batch 07</x:v>
      </x:c>
    </x:row>
    <x:row r="460" ht="15" hidden="0" customHeight="1">
      <x:c r="A460" s="12" t="str">
        <x:v>S071</x:v>
      </x:c>
      <x:c r="B460" s="12" t="str">
        <x:v>L3</x:v>
      </x:c>
      <x:c r="C460" s="12" t="n">
        <x:v>1</x:v>
      </x:c>
      <x:c r="D460" s="12" t="str">
        <x:v>Controlled compression and speed-defined gait protocols are reported.</x:v>
      </x:c>
      <x:c r="E460" s="12" t="str">
        <x:v>PDF pp. 2–10; Figs. 1–12; Tables 1–2</x:v>
      </x:c>
      <x:c r="F460" s="12" t="str">
        <x:v>Clear</x:v>
      </x:c>
      <x:c r="G460" s="12" t="str">
        <x:v>Batch 07</x:v>
      </x:c>
    </x:row>
    <x:row r="461" ht="15" hidden="0" customHeight="1">
      <x:c r="A461" s="12" t="str">
        <x:v>S071</x:v>
      </x:c>
      <x:c r="B461" s="12" t="str">
        <x:v>L4</x:v>
      </x:c>
      <x:c r="C461" s="12" t="n">
        <x:v>1</x:v>
      </x:c>
      <x:c r="D461" s="12" t="str">
        <x:v>Sensitivity, range and endurance loss are quantitative.</x:v>
      </x:c>
      <x:c r="E461" s="12" t="str">
        <x:v>PDF pp. 2–10; Figs. 1–12; Tables 1–2</x:v>
      </x:c>
      <x:c r="F461" s="12" t="str">
        <x:v>Clear</x:v>
      </x:c>
      <x:c r="G461" s="12" t="str">
        <x:v>Batch 07</x:v>
      </x:c>
    </x:row>
    <x:row r="462" ht="15" hidden="0" customHeight="1">
      <x:c r="A462" s="12" t="str">
        <x:v>S071</x:v>
      </x:c>
      <x:c r="B462" s="12" t="str">
        <x:v>L5</x:v>
      </x:c>
      <x:c r="C462" s="12" t="n">
        <x:v>1</x:v>
      </x:c>
      <x:c r="D462" s="12" t="str">
        <x:v>A 1000-cycle compression test reports retained response.</x:v>
      </x:c>
      <x:c r="E462" s="12" t="str">
        <x:v>PDF pp. 2–10; Figs. 1–12; Tables 1–2</x:v>
      </x:c>
      <x:c r="F462" s="12" t="str">
        <x:v>Clear</x:v>
      </x:c>
      <x:c r="G462" s="12" t="str">
        <x:v>Batch 07</x:v>
      </x:c>
    </x:row>
    <x:row r="463" ht="15" hidden="0" customHeight="1">
      <x:c r="A463" s="12" t="str">
        <x:v>S071</x:v>
      </x:c>
      <x:c r="B463" s="12" t="str">
        <x:v>L6</x:v>
      </x:c>
      <x:c r="C463" s="12" t="n">
        <x:v>0</x:v>
      </x:c>
      <x:c r="D463" s="12" t="str">
        <x:v>The intended pressure/gait measurands were tested, but no distinct environmental/use exposure was reported.</x:v>
      </x:c>
      <x:c r="E463" s="12" t="str">
        <x:v>PDF pp. 2–10; Figs. 1–12; Tables 1–2</x:v>
      </x:c>
      <x:c r="F463" s="12" t="str">
        <x:v>Clear</x:v>
      </x:c>
      <x:c r="G463" s="12" t="str">
        <x:v>Batch 07</x:v>
      </x:c>
    </x:row>
    <x:row r="464" ht="15" hidden="0" customHeight="1">
      <x:c r="A464" s="12" t="str">
        <x:v>S071</x:v>
      </x:c>
      <x:c r="B464" s="12" t="str">
        <x:v>L7</x:v>
      </x:c>
      <x:c r="C464" s="12" t="n">
        <x:v>1</x:v>
      </x:c>
      <x:c r="D464" s="12" t="str">
        <x:v>Ten gait cycles per test are analyzed at slow/fast speeds; the authors expressly evaluate stability and reproducibility of the worn sensor across these motion trials.</x:v>
      </x:c>
      <x:c r="E464" s="12" t="str">
        <x:v>S071_Main.pdf, physical pp. 9-10, section 3.3/Figs. 11-12.</x:v>
      </x:c>
      <x:c r="F464" s="12" t="str">
        <x:v>Moderate</x:v>
      </x:c>
      <x:c r="G464" s="12" t="str">
        <x:v>Final L7 reassessment</x:v>
      </x:c>
    </x:row>
    <x:row r="465" ht="15" hidden="0" customHeight="1">
      <x:c r="A465" s="12" t="str">
        <x:v>S071</x:v>
      </x:c>
      <x:c r="B465" s="12" t="str">
        <x:v>L8</x:v>
      </x:c>
      <x:c r="C465" s="12" t="n">
        <x:v>0</x:v>
      </x:c>
      <x:c r="D465" s="12" t="str">
        <x:v>Configuration variants and volunteers are not replicate devices; no qualifying ≥3-device comparison was reported.</x:v>
      </x:c>
      <x:c r="E465" s="12" t="str">
        <x:v>PDF pp. 2–10; Figs. 1–12; Tables 1–2</x:v>
      </x:c>
      <x:c r="F465" s="12" t="str">
        <x:v>Clear</x:v>
      </x:c>
      <x:c r="G465" s="12" t="str">
        <x:v>Batch 07</x:v>
      </x:c>
    </x:row>
    <x:row r="466" ht="15" hidden="0" customHeight="1">
      <x:c r="A466" s="12" t="str">
        <x:v>S073</x:v>
      </x:c>
      <x:c r="B466" s="12" t="str">
        <x:v>L1</x:v>
      </x:c>
      <x:c r="C466" s="12" t="n">
        <x:v>0</x:v>
      </x:c>
      <x:c r="D466" s="12" t="str">
        <x:v>FDM, temperatures, speed and layer height are stated, but the printer/model and nozzle diameter were not identified.</x:v>
      </x:c>
      <x:c r="E466" s="12" t="str">
        <x:v>PDF pp. 2–13; Figs. 1–10; Tables 1–2</x:v>
      </x:c>
      <x:c r="F466" s="12" t="str">
        <x:v>Clear</x:v>
      </x:c>
      <x:c r="G466" s="12" t="str">
        <x:v>Batch 07</x:v>
      </x:c>
    </x:row>
    <x:row r="467" ht="15" hidden="0" customHeight="1">
      <x:c r="A467" s="12" t="str">
        <x:v>S073</x:v>
      </x:c>
      <x:c r="B467" s="12" t="str">
        <x:v>L2</x:v>
      </x:c>
      <x:c r="C467" s="12" t="n">
        <x:v>1</x:v>
      </x:c>
      <x:c r="D467" s="12" t="str">
        <x:v>CCF, TPU matrix, star architecture and sensing role are described.</x:v>
      </x:c>
      <x:c r="E467" s="12" t="str">
        <x:v>PDF pp. 2–13; Figs. 1–10; Tables 1–2</x:v>
      </x:c>
      <x:c r="F467" s="12" t="str">
        <x:v>Clear</x:v>
      </x:c>
      <x:c r="G467" s="12" t="str">
        <x:v>Batch 07</x:v>
      </x:c>
    </x:row>
    <x:row r="468" ht="15" hidden="0" customHeight="1">
      <x:c r="A468" s="12" t="str">
        <x:v>S073</x:v>
      </x:c>
      <x:c r="B468" s="12" t="str">
        <x:v>L3</x:v>
      </x:c>
      <x:c r="C468" s="12" t="n">
        <x:v>1</x:v>
      </x:c>
      <x:c r="D468" s="12" t="str">
        <x:v>Strain, stress, temperature and joint-angle inputs are linked to resistance response.</x:v>
      </x:c>
      <x:c r="E468" s="12" t="str">
        <x:v>PDF pp. 2–13; Figs. 1–10; Tables 1–2</x:v>
      </x:c>
      <x:c r="F468" s="12" t="str">
        <x:v>Clear</x:v>
      </x:c>
      <x:c r="G468" s="12" t="str">
        <x:v>Batch 07</x:v>
      </x:c>
    </x:row>
    <x:row r="469" ht="15" hidden="0" customHeight="1">
      <x:c r="A469" s="12" t="str">
        <x:v>S073</x:v>
      </x:c>
      <x:c r="B469" s="12" t="str">
        <x:v>L4</x:v>
      </x:c>
      <x:c r="C469" s="12" t="n">
        <x:v>1</x:v>
      </x:c>
      <x:c r="D469" s="12" t="str">
        <x:v>Test ranges and response values/curves are quantitative.</x:v>
      </x:c>
      <x:c r="E469" s="12" t="str">
        <x:v>PDF pp. 2–13; Figs. 1–10; Tables 1–2</x:v>
      </x:c>
      <x:c r="F469" s="12" t="str">
        <x:v>Clear</x:v>
      </x:c>
      <x:c r="G469" s="12" t="str">
        <x:v>Batch 07</x:v>
      </x:c>
    </x:row>
    <x:row r="470" ht="15" hidden="0" customHeight="1">
      <x:c r="A470" s="12" t="str">
        <x:v>S073</x:v>
      </x:c>
      <x:c r="B470" s="12" t="str">
        <x:v>L5</x:v>
      </x:c>
      <x:c r="C470" s="12" t="n">
        <x:v>1</x:v>
      </x:c>
      <x:c r="D470" s="12" t="str">
        <x:v>Repeated loading traces and stabilization over multiple cycles are reported.</x:v>
      </x:c>
      <x:c r="E470" s="12" t="str">
        <x:v>PDF pp. 2–13; Figs. 1–10; Tables 1–2</x:v>
      </x:c>
      <x:c r="F470" s="12" t="str">
        <x:v>Clear</x:v>
      </x:c>
      <x:c r="G470" s="12" t="str">
        <x:v>Batch 07</x:v>
      </x:c>
    </x:row>
    <x:row r="471" ht="15" hidden="0" customHeight="1">
      <x:c r="A471" s="12" t="str">
        <x:v>S073</x:v>
      </x:c>
      <x:c r="B471" s="12" t="str">
        <x:v>L6</x:v>
      </x:c>
      <x:c r="C471" s="12" t="n">
        <x:v>0</x:v>
      </x:c>
      <x:c r="D471" s="12" t="str">
        <x:v>Temperature is an intended sensing modality here; no separate environmental/use exposure was reported.</x:v>
      </x:c>
      <x:c r="E471" s="12" t="str">
        <x:v>PDF pp. 2–13; Figs. 1–10; Tables 1–2</x:v>
      </x:c>
      <x:c r="F471" s="12" t="str">
        <x:v>Clear</x:v>
      </x:c>
      <x:c r="G471" s="12" t="str">
        <x:v>Batch 07</x:v>
      </x:c>
    </x:row>
    <x:row r="472" ht="15" hidden="0" customHeight="1">
      <x:c r="A472" s="12" t="str">
        <x:v>S073</x:v>
      </x:c>
      <x:c r="B472" s="12" t="str">
        <x:v>L7</x:v>
      </x:c>
      <x:c r="C472" s="12" t="n">
        <x:v>1</x:v>
      </x:c>
      <x:c r="D472" s="12" t="str">
        <x:v>During worn nominal-angle flexion cycles, peak/interval variability is acknowledged and its effect on the repeated signal trend is evaluated. The response is not claimed to be perfectly repeatable.</x:v>
      </x:c>
      <x:c r="E472" s="12" t="str">
        <x:v>S073_Main.pdf, physical pp. 7-8, section 3.2/Fig. 7, especially p. 8 first two paragraphs.</x:v>
      </x:c>
      <x:c r="F472" s="12" t="str">
        <x:v>Moderate</x:v>
      </x:c>
      <x:c r="G472" s="12" t="str">
        <x:v>Final L7 reassessment</x:v>
      </x:c>
    </x:row>
    <x:row r="473" ht="15" hidden="0" customHeight="1">
      <x:c r="A473" s="12" t="str">
        <x:v>S073</x:v>
      </x:c>
      <x:c r="B473" s="12" t="str">
        <x:v>L8</x:v>
      </x:c>
      <x:c r="C473" s="12" t="n">
        <x:v>0</x:v>
      </x:c>
      <x:c r="D473" s="12" t="str">
        <x:v>Structure/loading variants were compared, but ≥3 separately fabricated same-condition devices were not.</x:v>
      </x:c>
      <x:c r="E473" s="12" t="str">
        <x:v>PDF pp. 2–13; Figs. 1–10; Tables 1–2</x:v>
      </x:c>
      <x:c r="F473" s="12" t="str">
        <x:v>Clear</x:v>
      </x:c>
      <x:c r="G473" s="12" t="str">
        <x:v>Batch 07</x:v>
      </x:c>
    </x:row>
    <x:row r="474" ht="24" hidden="0" customHeight="1">
      <x:c r="A474" s="12" t="str">
        <x:v>S074</x:v>
      </x:c>
      <x:c r="B474" s="12" t="str">
        <x:v>L1</x:v>
      </x:c>
      <x:c r="C474" s="12" t="n">
        <x:v>0</x:v>
      </x:c>
      <x:c r="D474" s="12" t="str">
        <x:v>Printer, materials, temperatures, speed, infill and integration sequence are stated, but nozzle diameter and layer height were not identified.</x:v>
      </x:c>
      <x:c r="E474" s="12" t="str">
        <x:v>PDF pp. 3–9; Figs. 1–13</x:v>
      </x:c>
      <x:c r="F474" s="12" t="str">
        <x:v>Clear</x:v>
      </x:c>
      <x:c r="G474" s="12" t="str">
        <x:v>Batch 07</x:v>
      </x:c>
    </x:row>
    <x:row r="475" ht="15" hidden="0" customHeight="1">
      <x:c r="A475" s="12" t="str">
        <x:v>S074</x:v>
      </x:c>
      <x:c r="B475" s="12" t="str">
        <x:v>L2</x:v>
      </x:c>
      <x:c r="C475" s="12" t="n">
        <x:v>1</x:v>
      </x:c>
      <x:c r="D475" s="12" t="str">
        <x:v>TPU/PLA body, embedded FBG, geometry and optical/readout roles are described.</x:v>
      </x:c>
      <x:c r="E475" s="12" t="str">
        <x:v>PDF pp. 3–9; Figs. 1–13</x:v>
      </x:c>
      <x:c r="F475" s="12" t="str">
        <x:v>Clear</x:v>
      </x:c>
      <x:c r="G475" s="12" t="str">
        <x:v>Batch 07</x:v>
      </x:c>
    </x:row>
    <x:row r="476" ht="15" hidden="0" customHeight="1">
      <x:c r="A476" s="12" t="str">
        <x:v>S074</x:v>
      </x:c>
      <x:c r="B476" s="12" t="str">
        <x:v>L3</x:v>
      </x:c>
      <x:c r="C476" s="12" t="n">
        <x:v>1</x:v>
      </x:c>
      <x:c r="D476" s="12" t="str">
        <x:v>Controlled temperature/strain protocols and reference-based volunteer tests are reported.</x:v>
      </x:c>
      <x:c r="E476" s="12" t="str">
        <x:v>PDF pp. 3–9; Figs. 1–13</x:v>
      </x:c>
      <x:c r="F476" s="12" t="str">
        <x:v>Clear</x:v>
      </x:c>
      <x:c r="G476" s="12" t="str">
        <x:v>Batch 07</x:v>
      </x:c>
    </x:row>
    <x:row r="477" ht="15" hidden="0" customHeight="1">
      <x:c r="A477" s="12" t="str">
        <x:v>S074</x:v>
      </x:c>
      <x:c r="B477" s="12" t="str">
        <x:v>L4</x:v>
      </x:c>
      <x:c r="C477" s="12" t="n">
        <x:v>1</x:v>
      </x:c>
      <x:c r="D477" s="12" t="str">
        <x:v>Sensitivity, hysteresis, MAE/MAPE and test ranges are quantitative.</x:v>
      </x:c>
      <x:c r="E477" s="12" t="str">
        <x:v>PDF pp. 3–9; Figs. 1–13</x:v>
      </x:c>
      <x:c r="F477" s="12" t="str">
        <x:v>Clear</x:v>
      </x:c>
      <x:c r="G477" s="12" t="str">
        <x:v>Batch 07</x:v>
      </x:c>
    </x:row>
    <x:row r="478" ht="15" hidden="0" customHeight="1">
      <x:c r="A478" s="12" t="str">
        <x:v>S074</x:v>
      </x:c>
      <x:c r="B478" s="12" t="str">
        <x:v>L5</x:v>
      </x:c>
      <x:c r="C478" s="12" t="n">
        <x:v>1</x:v>
      </x:c>
      <x:c r="D478" s="12" t="str">
        <x:v>Nine strain repetitions, repeated dynamic cycles and 110-cycle tests are reported.</x:v>
      </x:c>
      <x:c r="E478" s="12" t="str">
        <x:v>PDF pp. 3–9; Figs. 1–13</x:v>
      </x:c>
      <x:c r="F478" s="12" t="str">
        <x:v>Clear</x:v>
      </x:c>
      <x:c r="G478" s="12" t="str">
        <x:v>Batch 07</x:v>
      </x:c>
    </x:row>
    <x:row r="479" ht="15" hidden="0" customHeight="1">
      <x:c r="A479" s="12" t="str">
        <x:v>S074</x:v>
      </x:c>
      <x:c r="B479" s="12" t="str">
        <x:v>L6</x:v>
      </x:c>
      <x:c r="C479" s="12" t="n">
        <x:v>1</x:v>
      </x:c>
      <x:c r="D479" s="12" t="str">
        <x:v>Temperature was deliberately varied as a cross-sensitivity condition for the strain/wearable sensor.</x:v>
      </x:c>
      <x:c r="E479" s="12" t="str">
        <x:v>PDF pp. 3–9; Figs. 1–13</x:v>
      </x:c>
      <x:c r="F479" s="12" t="str">
        <x:v>Clear</x:v>
      </x:c>
      <x:c r="G479" s="12" t="str">
        <x:v>Batch 07</x:v>
      </x:c>
    </x:row>
    <x:row r="480" ht="15" hidden="0" customHeight="1">
      <x:c r="A480" s="12" t="str">
        <x:v>S074</x:v>
      </x:c>
      <x:c r="B480" s="12" t="str">
        <x:v>L7</x:v>
      </x:c>
      <x:c r="C480" s="12" t="n">
        <x:v>0</x:v>
      </x:c>
      <x:c r="D480" s="12" t="str">
        <x:v>No qualifying interface-integrity test or repeated final monolithic wearable-assembly test with a retention/failure endpoint was located.</x:v>
      </x:c>
      <x:c r="E480" s="12" t="str">
        <x:v>PDF pp. 3–9; Figs. 1–13</x:v>
      </x:c>
      <x:c r="F480" s="12" t="str">
        <x:v>Clear</x:v>
      </x:c>
      <x:c r="G480" s="12" t="str">
        <x:v>Adjudicated to Reviewer 2</x:v>
      </x:c>
    </x:row>
    <x:row r="481" ht="15" hidden="0" customHeight="1">
      <x:c r="A481" s="12" t="str">
        <x:v>S074</x:v>
      </x:c>
      <x:c r="B481" s="12" t="str">
        <x:v>L8</x:v>
      </x:c>
      <x:c r="C481" s="12" t="n">
        <x:v>0</x:v>
      </x:c>
      <x:c r="D481" s="12" t="str">
        <x:v>Only two devices were fabricated and one was characterized; the ≥3-device criterion was not met.</x:v>
      </x:c>
      <x:c r="E481" s="12" t="str">
        <x:v>PDF pp. 3–9; Figs. 1–13</x:v>
      </x:c>
      <x:c r="F481" s="12" t="str">
        <x:v>Clear</x:v>
      </x:c>
      <x:c r="G481" s="12" t="str">
        <x:v>Batch 07</x:v>
      </x:c>
    </x:row>
    <x:row r="482" ht="15" hidden="0" customHeight="1">
      <x:c r="A482" s="12" t="str">
        <x:v>S075</x:v>
      </x:c>
      <x:c r="B482" s="12" t="str">
        <x:v>L1</x:v>
      </x:c>
      <x:c r="C482" s="12" t="n">
        <x:v>1</x:v>
      </x:c>
      <x:c r="D482" s="12" t="str">
        <x:v>Printer, functional filament, nozzle/line width, temperatures, speed, layer height, raster, infill and geometry are reported.</x:v>
      </x:c>
      <x:c r="E482" s="12" t="str">
        <x:v>PDF pp. 2–8; Figs. 1–7</x:v>
      </x:c>
      <x:c r="F482" s="12" t="str">
        <x:v>Clear</x:v>
      </x:c>
      <x:c r="G482" s="12" t="str">
        <x:v>Batch 07</x:v>
      </x:c>
    </x:row>
    <x:row r="483" ht="15" hidden="0" customHeight="1">
      <x:c r="A483" s="12" t="str">
        <x:v>S075</x:v>
      </x:c>
      <x:c r="B483" s="12" t="str">
        <x:v>L2</x:v>
      </x:c>
      <x:c r="C483" s="12" t="n">
        <x:v>1</x:v>
      </x:c>
      <x:c r="D483" s="12" t="str">
        <x:v>CB-TPU, contacts, tape/silicone integration and dimensions are described.</x:v>
      </x:c>
      <x:c r="E483" s="12" t="str">
        <x:v>PDF pp. 2–8; Figs. 1–7</x:v>
      </x:c>
      <x:c r="F483" s="12" t="str">
        <x:v>Clear</x:v>
      </x:c>
      <x:c r="G483" s="12" t="str">
        <x:v>Batch 07</x:v>
      </x:c>
    </x:row>
    <x:row r="484" ht="15" hidden="0" customHeight="1">
      <x:c r="A484" s="12" t="str">
        <x:v>S075</x:v>
      </x:c>
      <x:c r="B484" s="12" t="str">
        <x:v>L3</x:v>
      </x:c>
      <x:c r="C484" s="12" t="n">
        <x:v>1</x:v>
      </x:c>
      <x:c r="D484" s="12" t="str">
        <x:v>Controlled strain, climate-chamber and body-motion protocols are reported.</x:v>
      </x:c>
      <x:c r="E484" s="12" t="str">
        <x:v>PDF pp. 2–8; Figs. 1–7</x:v>
      </x:c>
      <x:c r="F484" s="12" t="str">
        <x:v>Clear</x:v>
      </x:c>
      <x:c r="G484" s="12" t="str">
        <x:v>Batch 07</x:v>
      </x:c>
    </x:row>
    <x:row r="485" ht="15" hidden="0" customHeight="1">
      <x:c r="A485" s="12" t="str">
        <x:v>S075</x:v>
      </x:c>
      <x:c r="B485" s="12" t="str">
        <x:v>L4</x:v>
      </x:c>
      <x:c r="C485" s="12" t="n">
        <x:v>1</x:v>
      </x:c>
      <x:c r="D485" s="12" t="str">
        <x:v>GF, hysteresis, response time and environmental response are quantitative.</x:v>
      </x:c>
      <x:c r="E485" s="12" t="str">
        <x:v>PDF pp. 2–8; Figs. 1–7</x:v>
      </x:c>
      <x:c r="F485" s="12" t="str">
        <x:v>Clear</x:v>
      </x:c>
      <x:c r="G485" s="12" t="str">
        <x:v>Batch 07</x:v>
      </x:c>
    </x:row>
    <x:row r="486" ht="15" hidden="0" customHeight="1">
      <x:c r="A486" s="12" t="str">
        <x:v>S075</x:v>
      </x:c>
      <x:c r="B486" s="12" t="str">
        <x:v>L5</x:v>
      </x:c>
      <x:c r="C486" s="12" t="n">
        <x:v>1</x:v>
      </x:c>
      <x:c r="D486" s="12" t="str">
        <x:v>Five-cycle, 20-cycle/rate and 1000-cycle tests report repeated response.</x:v>
      </x:c>
      <x:c r="E486" s="12" t="str">
        <x:v>PDF pp. 2–8; Figs. 1–7</x:v>
      </x:c>
      <x:c r="F486" s="12" t="str">
        <x:v>Clear</x:v>
      </x:c>
      <x:c r="G486" s="12" t="str">
        <x:v>Batch 07</x:v>
      </x:c>
    </x:row>
    <x:row r="487" ht="15" hidden="0" customHeight="1">
      <x:c r="A487" s="12" t="str">
        <x:v>S075</x:v>
      </x:c>
      <x:c r="B487" s="12" t="str">
        <x:v>L6</x:v>
      </x:c>
      <x:c r="C487" s="12" t="n">
        <x:v>1</x:v>
      </x:c>
      <x:c r="D487" s="12" t="str">
        <x:v>Controlled temperature and RH cycles report response for all three configurations.</x:v>
      </x:c>
      <x:c r="E487" s="12" t="str">
        <x:v>PDF pp. 2–8; Figs. 1–7</x:v>
      </x:c>
      <x:c r="F487" s="12" t="str">
        <x:v>Clear</x:v>
      </x:c>
      <x:c r="G487" s="12" t="str">
        <x:v>Batch 07</x:v>
      </x:c>
    </x:row>
    <x:row r="488" ht="15" hidden="0" customHeight="1">
      <x:c r="A488" s="12" t="str">
        <x:v>S075</x:v>
      </x:c>
      <x:c r="B488" s="12" t="str">
        <x:v>L7</x:v>
      </x:c>
      <x:c r="C488" s="12" t="n">
        <x:v>1</x:v>
      </x:c>
      <x:c r="D488" s="12" t="str">
        <x:v>The text explicitly reports the same output for a given angle across all three controlled repetitions, contrasting this with variable returns during unguided movement.</x:v>
      </x:c>
      <x:c r="E488" s="12" t="str">
        <x:v>S075_Main.pdf, physical pp. 7-8, section V; p. 8, Fig. 7c and final controlled-movement paragraph.</x:v>
      </x:c>
      <x:c r="F488" s="12" t="str">
        <x:v>High</x:v>
      </x:c>
      <x:c r="G488" s="12" t="str">
        <x:v>Final L7 reassessment</x:v>
      </x:c>
    </x:row>
    <x:row r="489" ht="24" hidden="0" customHeight="1">
      <x:c r="A489" s="12" t="str">
        <x:v>S075</x:v>
      </x:c>
      <x:c r="B489" s="12" t="str">
        <x:v>L8</x:v>
      </x:c>
      <x:c r="C489" s="12" t="n">
        <x:v>0</x:v>
      </x:c>
      <x:c r="D489" s="12" t="str">
        <x:v>Three printed sensors were assigned to different integration conditions; same-condition between-device variation was not reported.</x:v>
      </x:c>
      <x:c r="E489" s="12" t="str">
        <x:v>PDF pp. 2–8; Figs. 1–7</x:v>
      </x:c>
      <x:c r="F489" s="12" t="str">
        <x:v>Clear</x:v>
      </x:c>
      <x:c r="G489" s="12" t="str">
        <x:v>Batch 07</x:v>
      </x:c>
    </x:row>
    <x:row r="490" ht="24" hidden="0" customHeight="1">
      <x:c r="A490" s="12" t="str">
        <x:v>S076</x:v>
      </x:c>
      <x:c r="B490" s="12" t="str">
        <x:v>L1</x:v>
      </x:c>
      <x:c r="C490" s="12" t="n">
        <x:v>1</x:v>
      </x:c>
      <x:c r="D490" s="12" t="str">
        <x:v>Printer platforms, PVDF, nozzle, temperatures, speed, layer height and film geometry are reported, although printer naming is internally inconsistent.</x:v>
      </x:c>
      <x:c r="E490" s="12" t="str">
        <x:v>PDF pp. 3–8; Figs. 1–6; cited Supplementary Figs. S1–S10</x:v>
      </x:c>
      <x:c r="F490" s="12" t="str">
        <x:v>Clear</x:v>
      </x:c>
      <x:c r="G490" s="12" t="str">
        <x:v>Batch 07</x:v>
      </x:c>
    </x:row>
    <x:row r="491" ht="24" hidden="0" customHeight="1">
      <x:c r="A491" s="12" t="str">
        <x:v>S076</x:v>
      </x:c>
      <x:c r="B491" s="12" t="str">
        <x:v>L2</x:v>
      </x:c>
      <x:c r="C491" s="12" t="n">
        <x:v>1</x:v>
      </x:c>
      <x:c r="D491" s="12" t="str">
        <x:v>PVDF preparation, film thickness, electrode assembly and electrical role are described.</x:v>
      </x:c>
      <x:c r="E491" s="12" t="str">
        <x:v>PDF pp. 3–8; Figs. 1–6; cited Supplementary Figs. S1–S10</x:v>
      </x:c>
      <x:c r="F491" s="12" t="str">
        <x:v>Clear</x:v>
      </x:c>
      <x:c r="G491" s="12" t="str">
        <x:v>Batch 07</x:v>
      </x:c>
    </x:row>
    <x:row r="492" ht="24" hidden="0" customHeight="1">
      <x:c r="A492" s="12" t="str">
        <x:v>S076</x:v>
      </x:c>
      <x:c r="B492" s="12" t="str">
        <x:v>L3</x:v>
      </x:c>
      <x:c r="C492" s="12" t="n">
        <x:v>1</x:v>
      </x:c>
      <x:c r="D492" s="12" t="str">
        <x:v>Applied force/frequency and tactile/body-motion inputs are linked to voltage/current output.</x:v>
      </x:c>
      <x:c r="E492" s="12" t="str">
        <x:v>PDF pp. 3–8; Figs. 1–6; cited Supplementary Figs. S1–S10</x:v>
      </x:c>
      <x:c r="F492" s="12" t="str">
        <x:v>Clear</x:v>
      </x:c>
      <x:c r="G492" s="12" t="str">
        <x:v>Batch 07</x:v>
      </x:c>
    </x:row>
    <x:row r="493" ht="24" hidden="0" customHeight="1">
      <x:c r="A493" s="12" t="str">
        <x:v>S076</x:v>
      </x:c>
      <x:c r="B493" s="12" t="str">
        <x:v>L4</x:v>
      </x:c>
      <x:c r="C493" s="12" t="n">
        <x:v>1</x:v>
      </x:c>
      <x:c r="D493" s="12" t="str">
        <x:v>Voltage, current, power, force/frequency and cycle-retention values are quantitative.</x:v>
      </x:c>
      <x:c r="E493" s="12" t="str">
        <x:v>PDF pp. 3–8; Figs. 1–6; cited Supplementary Figs. S1–S10</x:v>
      </x:c>
      <x:c r="F493" s="12" t="str">
        <x:v>Clear</x:v>
      </x:c>
      <x:c r="G493" s="12" t="str">
        <x:v>Batch 07</x:v>
      </x:c>
    </x:row>
    <x:row r="494" ht="24" hidden="0" customHeight="1">
      <x:c r="A494" s="12" t="str">
        <x:v>S076</x:v>
      </x:c>
      <x:c r="B494" s="12" t="str">
        <x:v>L5</x:v>
      </x:c>
      <x:c r="C494" s="12" t="n">
        <x:v>1</x:v>
      </x:c>
      <x:c r="D494" s="12" t="str">
        <x:v>A 1000-cycle test and a cited approximately 5000-cycle test report retained output.</x:v>
      </x:c>
      <x:c r="E494" s="12" t="str">
        <x:v>PDF pp. 3–8; Figs. 1–6; cited Supplementary Figs. S1–S10</x:v>
      </x:c>
      <x:c r="F494" s="12" t="str">
        <x:v>Clear</x:v>
      </x:c>
      <x:c r="G494" s="12" t="str">
        <x:v>Batch 07</x:v>
      </x:c>
    </x:row>
    <x:row r="495" ht="24" hidden="0" customHeight="1">
      <x:c r="A495" s="12" t="str">
        <x:v>S076</x:v>
      </x:c>
      <x:c r="B495" s="12" t="str">
        <x:v>L6</x:v>
      </x:c>
      <x:c r="C495" s="12" t="n">
        <x:v>0</x:v>
      </x:c>
      <x:c r="D495" s="12" t="str">
        <x:v>No distinct temperature, humidity, wash, abrasion or other declared use exposure was tested.</x:v>
      </x:c>
      <x:c r="E495" s="12" t="str">
        <x:v>PDF pp. 3–8; Figs. 1–6; cited Supplementary Figs. S1–S10</x:v>
      </x:c>
      <x:c r="F495" s="12" t="str">
        <x:v>Clear</x:v>
      </x:c>
      <x:c r="G495" s="12" t="str">
        <x:v>Batch 07</x:v>
      </x:c>
    </x:row>
    <x:row r="496" ht="24" hidden="0" customHeight="1">
      <x:c r="A496" s="12" t="str">
        <x:v>S076</x:v>
      </x:c>
      <x:c r="B496" s="12" t="str">
        <x:v>L7</x:v>
      </x:c>
      <x:c r="C496" s="12" t="n">
        <x:v>0</x:v>
      </x:c>
      <x:c r="D496" s="12" t="str">
        <x:v>No qualifying interface-integrity test or repeated final monolithic wearable-assembly test with a retention/failure endpoint was located.</x:v>
      </x:c>
      <x:c r="E496" s="12" t="str">
        <x:v>PDF pp. 3–8; Figs. 1–6; cited Supplementary Figs. S1–S10</x:v>
      </x:c>
      <x:c r="F496" s="12" t="str">
        <x:v>Clear</x:v>
      </x:c>
      <x:c r="G496" s="12" t="str">
        <x:v>Rule-clarification recode</x:v>
      </x:c>
    </x:row>
    <x:row r="497" ht="24" hidden="0" customHeight="1">
      <x:c r="A497" s="12" t="str">
        <x:v>S076</x:v>
      </x:c>
      <x:c r="B497" s="12" t="str">
        <x:v>L8</x:v>
      </x:c>
      <x:c r="C497" s="12" t="n">
        <x:v>0</x:v>
      </x:c>
      <x:c r="D497" s="12" t="str">
        <x:v>Three poled films were averaged only for d33 characterization; ≥3 complete nanogenerators were not quantitatively compared.</x:v>
      </x:c>
      <x:c r="E497" s="12" t="str">
        <x:v>PDF pp. 3–8; Figs. 1–6; cited Supplementary Figs. S1–S10</x:v>
      </x:c>
      <x:c r="F497" s="12" t="str">
        <x:v>Clear</x:v>
      </x:c>
      <x:c r="G497" s="12" t="str">
        <x:v>Batch 07</x:v>
      </x:c>
    </x:row>
    <x:row r="498" ht="24" hidden="0" customHeight="1">
      <x:c r="A498" s="12" t="str">
        <x:v>S077</x:v>
      </x:c>
      <x:c r="B498" s="12" t="str">
        <x:v>L1</x:v>
      </x:c>
      <x:c r="C498" s="12" t="n">
        <x:v>0</x:v>
      </x:c>
      <x:c r="D498" s="12" t="str">
        <x:v>FDM, functional material, nozzle, temperature, speed, layer height, infill, geometry and coating sequence are reported, but the printer model or an equivalent platform identifier is absent.</x:v>
      </x:c>
      <x:c r="E498" s="12" t="str">
        <x:v>PDF pp. 3–15; Figs. 1–7; Table 1</x:v>
      </x:c>
      <x:c r="F498" s="12" t="str">
        <x:v>Clear</x:v>
      </x:c>
      <x:c r="G498" s="12" t="str">
        <x:v>Batch 07</x:v>
      </x:c>
    </x:row>
    <x:row r="499" ht="15" hidden="0" customHeight="1">
      <x:c r="A499" s="12" t="str">
        <x:v>S077</x:v>
      </x:c>
      <x:c r="B499" s="12" t="str">
        <x:v>L2</x:v>
      </x:c>
      <x:c r="C499" s="12" t="n">
        <x:v>1</x:v>
      </x:c>
      <x:c r="D499" s="12" t="str">
        <x:v>TPU, graphene, PEDOT:PSS, electrodes and multilayer roles are described.</x:v>
      </x:c>
      <x:c r="E499" s="12" t="str">
        <x:v>PDF pp. 3–15; Figs. 1–7; Table 1</x:v>
      </x:c>
      <x:c r="F499" s="12" t="str">
        <x:v>Clear</x:v>
      </x:c>
      <x:c r="G499" s="12" t="str">
        <x:v>Batch 07</x:v>
      </x:c>
    </x:row>
    <x:row r="500" ht="15" hidden="0" customHeight="1">
      <x:c r="A500" s="12" t="str">
        <x:v>S077</x:v>
      </x:c>
      <x:c r="B500" s="12" t="str">
        <x:v>L3</x:v>
      </x:c>
      <x:c r="C500" s="12" t="n">
        <x:v>1</x:v>
      </x:c>
      <x:c r="D500" s="12" t="str">
        <x:v>Controlled tensile, pressure and temperature protocols and body-motion demonstrations are reported.</x:v>
      </x:c>
      <x:c r="E500" s="12" t="str">
        <x:v>PDF pp. 3–15; Figs. 1–7; Table 1</x:v>
      </x:c>
      <x:c r="F500" s="12" t="str">
        <x:v>Clear</x:v>
      </x:c>
      <x:c r="G500" s="12" t="str">
        <x:v>Batch 07</x:v>
      </x:c>
    </x:row>
    <x:row r="501" ht="15" hidden="0" customHeight="1">
      <x:c r="A501" s="12" t="str">
        <x:v>S077</x:v>
      </x:c>
      <x:c r="B501" s="12" t="str">
        <x:v>L4</x:v>
      </x:c>
      <x:c r="C501" s="12" t="n">
        <x:v>1</x:v>
      </x:c>
      <x:c r="D501" s="12" t="str">
        <x:v>GF, pressure range, response time and durability are quantitative.</x:v>
      </x:c>
      <x:c r="E501" s="12" t="str">
        <x:v>PDF pp. 3–15; Figs. 1–7; Table 1</x:v>
      </x:c>
      <x:c r="F501" s="12" t="str">
        <x:v>Clear</x:v>
      </x:c>
      <x:c r="G501" s="12" t="str">
        <x:v>Batch 07</x:v>
      </x:c>
    </x:row>
    <x:row r="502" ht="15" hidden="0" customHeight="1">
      <x:c r="A502" s="12" t="str">
        <x:v>S077</x:v>
      </x:c>
      <x:c r="B502" s="12" t="str">
        <x:v>L5</x:v>
      </x:c>
      <x:c r="C502" s="12" t="n">
        <x:v>1</x:v>
      </x:c>
      <x:c r="D502" s="12" t="str">
        <x:v>Dynamic loading and a 6000-cycle endurance result are reported.</x:v>
      </x:c>
      <x:c r="E502" s="12" t="str">
        <x:v>PDF pp. 3–15; Figs. 1–7; Table 1</x:v>
      </x:c>
      <x:c r="F502" s="12" t="str">
        <x:v>Clear</x:v>
      </x:c>
      <x:c r="G502" s="12" t="str">
        <x:v>Batch 07</x:v>
      </x:c>
    </x:row>
    <x:row r="503" ht="24" hidden="0" customHeight="1">
      <x:c r="A503" s="12" t="str">
        <x:v>S077</x:v>
      </x:c>
      <x:c r="B503" s="12" t="str">
        <x:v>L6</x:v>
      </x:c>
      <x:c r="C503" s="12" t="n">
        <x:v>0</x:v>
      </x:c>
      <x:c r="D503" s="12" t="str">
        <x:v>Temperature is an intended sensing modality, not a separate environmental challenge; no other qualifying exposure was identified.</x:v>
      </x:c>
      <x:c r="E503" s="12" t="str">
        <x:v>PDF pp. 3–15; Figs. 1–7; Table 1</x:v>
      </x:c>
      <x:c r="F503" s="12" t="str">
        <x:v>Clear</x:v>
      </x:c>
      <x:c r="G503" s="12" t="str">
        <x:v>Batch 07</x:v>
      </x:c>
    </x:row>
    <x:row r="504" ht="15" hidden="0" customHeight="1">
      <x:c r="A504" s="12" t="str">
        <x:v>S077</x:v>
      </x:c>
      <x:c r="B504" s="12" t="str">
        <x:v>L7</x:v>
      </x:c>
      <x:c r="C504" s="12" t="n">
        <x:v>1</x:v>
      </x:c>
      <x:c r="D504" s="12" t="str">
        <x:v>Section 3.4 explicitly describes consistent response during cyclic pronunciation and subsequent tests, and constant patterns across two extensive chewing cycles.</x:v>
      </x:c>
      <x:c r="E504" s="12" t="str">
        <x:v>S077_Main.pdf, physical p. 4, section 2.4 attachment; pp. 11-12, section 3.4/Fig. 6, especially chewing comparison.</x:v>
      </x:c>
      <x:c r="F504" s="12" t="str">
        <x:v>Moderate</x:v>
      </x:c>
      <x:c r="G504" s="12" t="str">
        <x:v>Final L7 reassessment</x:v>
      </x:c>
    </x:row>
    <x:row r="505" ht="15" hidden="0" customHeight="1">
      <x:c r="A505" s="12" t="str">
        <x:v>S077</x:v>
      </x:c>
      <x:c r="B505" s="12" t="str">
        <x:v>L8</x:v>
      </x:c>
      <x:c r="C505" s="12" t="n">
        <x:v>0</x:v>
      </x:c>
      <x:c r="D505" s="12" t="str">
        <x:v>Measurements were repeated three times, but separate fabrication and device-level results/dispersion are not stated.</x:v>
      </x:c>
      <x:c r="E505" s="12" t="str">
        <x:v>PDF pp. 3–15; Figs. 1–7; Table 1</x:v>
      </x:c>
      <x:c r="F505" s="12" t="str">
        <x:v>Clear</x:v>
      </x:c>
      <x:c r="G505" s="12" t="str">
        <x:v>Batch 07</x:v>
      </x:c>
    </x:row>
    <x:row r="506" ht="24" hidden="0" customHeight="1">
      <x:c r="A506" s="12" t="str">
        <x:v>S078</x:v>
      </x:c>
      <x:c r="B506" s="12" t="str">
        <x:v>L1</x:v>
      </x:c>
      <x:c r="C506" s="12" t="n">
        <x:v>1</x:v>
      </x:c>
      <x:c r="D506" s="12" t="str">
        <x:v>The Mori M3145K process, geometry, raster/infill and post-treatment are reported with a 0.6 mm nozzle, 200 °C nozzle, 50 °C bed, 0.4 mm layer height, 50% infill and 10 mm s^-1 speed.</x:v>
      </x:c>
      <x:c r="E506" s="12" t="str">
        <x:v>Main article Experimental section; Supplementary Table S1</x:v>
      </x:c>
      <x:c r="F506" s="12" t="str">
        <x:v>Clear</x:v>
      </x:c>
      <x:c r="G506" s="12" t="str">
        <x:v>Supplement verified 2026-09-03</x:v>
      </x:c>
    </x:row>
    <x:row r="507" ht="24" hidden="0" customHeight="1">
      <x:c r="A507" s="12" t="str">
        <x:v>S078</x:v>
      </x:c>
      <x:c r="B507" s="12" t="str">
        <x:v>L2</x:v>
      </x:c>
      <x:c r="C507" s="12" t="n">
        <x:v>1</x:v>
      </x:c>
      <x:c r="D507" s="12" t="str">
        <x:v>TPU, CNT/PVP coating, microwave embedding, geometry and contacts are described.</x:v>
      </x:c>
      <x:c r="E507" s="12" t="str">
        <x:v>PDF pp. 3–8; Figs. 1–6; Supporting Table S1 cited</x:v>
      </x:c>
      <x:c r="F507" s="12" t="str">
        <x:v>Clear</x:v>
      </x:c>
      <x:c r="G507" s="12" t="str">
        <x:v>Batch 07</x:v>
      </x:c>
    </x:row>
    <x:row r="508" ht="24" hidden="0" customHeight="1">
      <x:c r="A508" s="12" t="str">
        <x:v>S078</x:v>
      </x:c>
      <x:c r="B508" s="12" t="str">
        <x:v>L3</x:v>
      </x:c>
      <x:c r="C508" s="12" t="n">
        <x:v>1</x:v>
      </x:c>
      <x:c r="D508" s="12" t="str">
        <x:v>Controlled pressure, tensile/compression strain and wearable motions are linked to resistance response.</x:v>
      </x:c>
      <x:c r="E508" s="12" t="str">
        <x:v>PDF pp. 3–8; Figs. 1–6; Supporting Table S1 cited</x:v>
      </x:c>
      <x:c r="F508" s="12" t="str">
        <x:v>Clear</x:v>
      </x:c>
      <x:c r="G508" s="12" t="str">
        <x:v>Batch 07</x:v>
      </x:c>
    </x:row>
    <x:row r="509" ht="24" hidden="0" customHeight="1">
      <x:c r="A509" s="12" t="str">
        <x:v>S078</x:v>
      </x:c>
      <x:c r="B509" s="12" t="str">
        <x:v>L4</x:v>
      </x:c>
      <x:c r="C509" s="12" t="n">
        <x:v>1</x:v>
      </x:c>
      <x:c r="D509" s="12" t="str">
        <x:v>Sensitivity, GF, strain/rate and wearable-response values are quantitative.</x:v>
      </x:c>
      <x:c r="E509" s="12" t="str">
        <x:v>PDF pp. 3–8; Figs. 1–6; Supporting Table S1 cited</x:v>
      </x:c>
      <x:c r="F509" s="12" t="str">
        <x:v>Clear</x:v>
      </x:c>
      <x:c r="G509" s="12" t="str">
        <x:v>Batch 07</x:v>
      </x:c>
    </x:row>
    <x:row r="510" ht="24" hidden="0" customHeight="1">
      <x:c r="A510" s="12" t="str">
        <x:v>S078</x:v>
      </x:c>
      <x:c r="B510" s="12" t="str">
        <x:v>L5</x:v>
      </x:c>
      <x:c r="C510" s="12" t="n">
        <x:v>1</x:v>
      </x:c>
      <x:c r="D510" s="12" t="str">
        <x:v>Five-cycle protocols and a 200-cycle tensile test report repeated response.</x:v>
      </x:c>
      <x:c r="E510" s="12" t="str">
        <x:v>PDF pp. 3–8; Figs. 1–6; Supporting Table S1 cited</x:v>
      </x:c>
      <x:c r="F510" s="12" t="str">
        <x:v>Clear</x:v>
      </x:c>
      <x:c r="G510" s="12" t="str">
        <x:v>Batch 07</x:v>
      </x:c>
    </x:row>
    <x:row r="511" ht="24" hidden="0" customHeight="1">
      <x:c r="A511" s="12" t="str">
        <x:v>S078</x:v>
      </x:c>
      <x:c r="B511" s="12" t="str">
        <x:v>L6</x:v>
      </x:c>
      <x:c r="C511" s="12" t="n">
        <x:v>0</x:v>
      </x:c>
      <x:c r="D511" s="12" t="str">
        <x:v>No distinct qualifying environmental or use-related exposure was reported.</x:v>
      </x:c>
      <x:c r="E511" s="12" t="str">
        <x:v>PDF pp. 3–8; Figs. 1–6; Supporting Table S1 cited</x:v>
      </x:c>
      <x:c r="F511" s="12" t="str">
        <x:v>Clear</x:v>
      </x:c>
      <x:c r="G511" s="12" t="str">
        <x:v>Batch 07</x:v>
      </x:c>
    </x:row>
    <x:row r="512" ht="24" hidden="0" customHeight="1">
      <x:c r="A512" s="12" t="str">
        <x:v>S078</x:v>
      </x:c>
      <x:c r="B512" s="12" t="str">
        <x:v>L7</x:v>
      </x:c>
      <x:c r="C512" s="12" t="n">
        <x:v>1</x:v>
      </x:c>
      <x:c r="D512" s="12" t="str">
        <x:v>Section 2.3 explicitly compares peak values and sizes and describes them as relatively uniform across the finger repetitions.</x:v>
      </x:c>
      <x:c r="E512" s="12" t="str">
        <x:v>S078_Main.pdf, physical p. 7, section 2.3/Fig. 6a-b; S078_Supplement_01.docx.</x:v>
      </x:c>
      <x:c r="F512" s="12" t="str">
        <x:v>Moderate</x:v>
      </x:c>
      <x:c r="G512" s="12" t="str">
        <x:v>Final L7 reassessment</x:v>
      </x:c>
    </x:row>
    <x:row r="513" ht="24" hidden="0" customHeight="1">
      <x:c r="A513" s="12" t="str">
        <x:v>S078</x:v>
      </x:c>
      <x:c r="B513" s="12" t="str">
        <x:v>L8</x:v>
      </x:c>
      <x:c r="C513" s="12" t="n">
        <x:v>0</x:v>
      </x:c>
      <x:c r="D513" s="12" t="str">
        <x:v>Material/process variants were tested, but ≥3 separately fabricated complete sensors were not quantitatively compared.</x:v>
      </x:c>
      <x:c r="E513" s="12" t="str">
        <x:v>PDF pp. 3–8; Figs. 1–6; Supporting Table S1 cited</x:v>
      </x:c>
      <x:c r="F513" s="12" t="str">
        <x:v>Clear</x:v>
      </x:c>
      <x:c r="G513" s="12" t="str">
        <x:v>Batch 07</x:v>
      </x:c>
    </x:row>
    <x:row r="514" ht="24" hidden="0" customHeight="1">
      <x:c r="A514" s="12" t="str">
        <x:v>S079</x:v>
      </x:c>
      <x:c r="B514" s="12" t="str">
        <x:v>L1</x:v>
      </x:c>
      <x:c r="C514" s="12" t="n">
        <x:v>0</x:v>
      </x:c>
      <x:c r="D514" s="12" t="str">
        <x:v>FDM, active composite, nozzle temperature, layer height, infill and geometry are reported, but printer model, nozzle diameter and print speed were not identified.</x:v>
      </x:c>
      <x:c r="E514" s="12" t="str">
        <x:v>PDF pp. 2–12; Figs. 1–8; Supplementary Figs. S1–S15 cited</x:v>
      </x:c>
      <x:c r="F514" s="12" t="str">
        <x:v>Clear</x:v>
      </x:c>
      <x:c r="G514" s="12" t="str">
        <x:v>Batch 07</x:v>
      </x:c>
    </x:row>
    <x:row r="515" ht="24" hidden="0" customHeight="1">
      <x:c r="A515" s="12" t="str">
        <x:v>S079</x:v>
      </x:c>
      <x:c r="B515" s="12" t="str">
        <x:v>L2</x:v>
      </x:c>
      <x:c r="C515" s="12" t="n">
        <x:v>1</x:v>
      </x:c>
      <x:c r="D515" s="12" t="str">
        <x:v>TPU/MXene-SA/MWCNT composition, TPMS geometry, electrodes and array integration are described.</x:v>
      </x:c>
      <x:c r="E515" s="12" t="str">
        <x:v>PDF pp. 2–12; Figs. 1–8; Supplementary Figs. S1–S15 cited</x:v>
      </x:c>
      <x:c r="F515" s="12" t="str">
        <x:v>Clear</x:v>
      </x:c>
      <x:c r="G515" s="12" t="str">
        <x:v>Batch 07</x:v>
      </x:c>
    </x:row>
    <x:row r="516" ht="24" hidden="0" customHeight="1">
      <x:c r="A516" s="12" t="str">
        <x:v>S079</x:v>
      </x:c>
      <x:c r="B516" s="12" t="str">
        <x:v>L3</x:v>
      </x:c>
      <x:c r="C516" s="12" t="n">
        <x:v>1</x:v>
      </x:c>
      <x:c r="D516" s="12" t="str">
        <x:v>Controlled compression, environmental and wearable protocols are reported.</x:v>
      </x:c>
      <x:c r="E516" s="12" t="str">
        <x:v>PDF pp. 2–12; Figs. 1–8; Supplementary Figs. S1–S15 cited</x:v>
      </x:c>
      <x:c r="F516" s="12" t="str">
        <x:v>Clear</x:v>
      </x:c>
      <x:c r="G516" s="12" t="str">
        <x:v>Batch 07</x:v>
      </x:c>
    </x:row>
    <x:row r="517" ht="24" hidden="0" customHeight="1">
      <x:c r="A517" s="12" t="str">
        <x:v>S079</x:v>
      </x:c>
      <x:c r="B517" s="12" t="str">
        <x:v>L4</x:v>
      </x:c>
      <x:c r="C517" s="12" t="n">
        <x:v>1</x:v>
      </x:c>
      <x:c r="D517" s="12" t="str">
        <x:v>Sensitivity, range, response/recovery, endurance and exposure-retention values are quantitative.</x:v>
      </x:c>
      <x:c r="E517" s="12" t="str">
        <x:v>PDF pp. 2–12; Figs. 1–8; Supplementary Figs. S1–S15 cited</x:v>
      </x:c>
      <x:c r="F517" s="12" t="str">
        <x:v>Clear</x:v>
      </x:c>
      <x:c r="G517" s="12" t="str">
        <x:v>Batch 07</x:v>
      </x:c>
    </x:row>
    <x:row r="518" ht="24" hidden="0" customHeight="1">
      <x:c r="A518" s="12" t="str">
        <x:v>S079</x:v>
      </x:c>
      <x:c r="B518" s="12" t="str">
        <x:v>L5</x:v>
      </x:c>
      <x:c r="C518" s="12" t="n">
        <x:v>1</x:v>
      </x:c>
      <x:c r="D518" s="12" t="str">
        <x:v>Five rapid cycles and repeated loading for 10,000 s report response and baseline change.</x:v>
      </x:c>
      <x:c r="E518" s="12" t="str">
        <x:v>PDF pp. 2–12; Figs. 1–8; Supplementary Figs. S1–S15 cited</x:v>
      </x:c>
      <x:c r="F518" s="12" t="str">
        <x:v>Clear</x:v>
      </x:c>
      <x:c r="G518" s="12" t="str">
        <x:v>Batch 07</x:v>
      </x:c>
    </x:row>
    <x:row r="519" ht="24" hidden="0" customHeight="1">
      <x:c r="A519" s="12" t="str">
        <x:v>S079</x:v>
      </x:c>
      <x:c r="B519" s="12" t="str">
        <x:v>L6</x:v>
      </x:c>
      <x:c r="C519" s="12" t="n">
        <x:v>1</x:v>
      </x:c>
      <x:c r="D519" s="12" t="str">
        <x:v>Performance was measured after 40 °C, −35 °C and 24-h water immersion/rubbing exposures.</x:v>
      </x:c>
      <x:c r="E519" s="12" t="str">
        <x:v>PDF pp. 2–12; Figs. 1–8; Supplementary Figs. S1–S15 cited</x:v>
      </x:c>
      <x:c r="F519" s="12" t="str">
        <x:v>Clear</x:v>
      </x:c>
      <x:c r="G519" s="12" t="str">
        <x:v>Batch 07</x:v>
      </x:c>
    </x:row>
    <x:row r="520" ht="24" hidden="0" customHeight="1">
      <x:c r="A520" s="12" t="str">
        <x:v>S079</x:v>
      </x:c>
      <x:c r="B520" s="12" t="str">
        <x:v>L7</x:v>
      </x:c>
      <x:c r="C520" s="12" t="n">
        <x:v>1</x:v>
      </x:c>
      <x:c r="D520" s="12" t="str">
        <x:v>The main text reports about 70% ± 5% resistance change at baseline and minimal change in response to the same bending motions after conditioning.</x:v>
      </x:c>
      <x:c r="E520" s="12" t="str">
        <x:v>S079_Main.pdf, physical p. 10, Fig. 7b; p. 11, section 3.4, paragraph referring to Fig. S15.</x:v>
      </x:c>
      <x:c r="F520" s="12" t="str">
        <x:v>Moderate</x:v>
      </x:c>
      <x:c r="G520" s="12" t="str">
        <x:v>Final L7 reassessment</x:v>
      </x:c>
    </x:row>
    <x:row r="521" ht="24" hidden="0" customHeight="1">
      <x:c r="A521" s="12" t="str">
        <x:v>S079</x:v>
      </x:c>
      <x:c r="B521" s="12" t="str">
        <x:v>L8</x:v>
      </x:c>
      <x:c r="C521" s="12" t="n">
        <x:v>0</x:v>
      </x:c>
      <x:c r="D521" s="12" t="str">
        <x:v>Repeated samples are mentioned, but individual results or between-device dispersion for ≥3 complete sensors are not shown.</x:v>
      </x:c>
      <x:c r="E521" s="12" t="str">
        <x:v>PDF pp. 2–12; Figs. 1–8; Supplementary Figs. S1–S15 cited</x:v>
      </x:c>
      <x:c r="F521" s="12" t="str">
        <x:v>Clear</x:v>
      </x:c>
      <x:c r="G521" s="12" t="str">
        <x:v>Batch 07</x:v>
      </x:c>
    </x:row>
    <x:row r="522" ht="24" hidden="0" customHeight="1">
      <x:c r="A522" s="12" t="str">
        <x:v>S080</x:v>
      </x:c>
      <x:c r="B522" s="12" t="str">
        <x:v>L1</x:v>
      </x:c>
      <x:c r="C522" s="12" t="n">
        <x:v>0</x:v>
      </x:c>
      <x:c r="D522" s="12" t="str">
        <x:v>Functional filament, nozzle, temperature, speed, infill and geometry are stated, but printer/model and layer height are not reported.</x:v>
      </x:c>
      <x:c r="E522" s="12" t="str">
        <x:v>PDF pp. 2, 4–12; Figs. 1–8</x:v>
      </x:c>
      <x:c r="F522" s="12" t="str">
        <x:v>Clear</x:v>
      </x:c>
      <x:c r="G522" s="12" t="str">
        <x:v>Batch 08</x:v>
      </x:c>
    </x:row>
    <x:row r="523" ht="15" hidden="0" customHeight="1">
      <x:c r="A523" s="12" t="str">
        <x:v>S080</x:v>
      </x:c>
      <x:c r="B523" s="12" t="str">
        <x:v>L2</x:v>
      </x:c>
      <x:c r="C523" s="12" t="n">
        <x:v>1</x:v>
      </x:c>
      <x:c r="D523" s="12" t="str">
        <x:v>TPU, graphene coating/binder, TPMS geometry and electrical readout are described.</x:v>
      </x:c>
      <x:c r="E523" s="12" t="str">
        <x:v>PDF pp. 2, 4–12; Figs. 1–8</x:v>
      </x:c>
      <x:c r="F523" s="12" t="str">
        <x:v>Clear</x:v>
      </x:c>
      <x:c r="G523" s="12" t="str">
        <x:v>Batch 08</x:v>
      </x:c>
    </x:row>
    <x:row r="524" ht="15" hidden="0" customHeight="1">
      <x:c r="A524" s="12" t="str">
        <x:v>S080</x:v>
      </x:c>
      <x:c r="B524" s="12" t="str">
        <x:v>L3</x:v>
      </x:c>
      <x:c r="C524" s="12" t="n">
        <x:v>1</x:v>
      </x:c>
      <x:c r="D524" s="12" t="str">
        <x:v>Controlled compressive strains and direct body-motion inputs are linked to resistance response.</x:v>
      </x:c>
      <x:c r="E524" s="12" t="str">
        <x:v>PDF pp. 2, 4–12; Figs. 1–8</x:v>
      </x:c>
      <x:c r="F524" s="12" t="str">
        <x:v>Clear</x:v>
      </x:c>
      <x:c r="G524" s="12" t="str">
        <x:v>Batch 08</x:v>
      </x:c>
    </x:row>
    <x:row r="525" ht="15" hidden="0" customHeight="1">
      <x:c r="A525" s="12" t="str">
        <x:v>S080</x:v>
      </x:c>
      <x:c r="B525" s="12" t="str">
        <x:v>L4</x:v>
      </x:c>
      <x:c r="C525" s="12" t="n">
        <x:v>1</x:v>
      </x:c>
      <x:c r="D525" s="12" t="str">
        <x:v>GF/detection-limit and application traces are reported with stated conditions.</x:v>
      </x:c>
      <x:c r="E525" s="12" t="str">
        <x:v>PDF pp. 2, 4–12; Figs. 1–8</x:v>
      </x:c>
      <x:c r="F525" s="12" t="str">
        <x:v>Clear</x:v>
      </x:c>
      <x:c r="G525" s="12" t="str">
        <x:v>Batch 08</x:v>
      </x:c>
    </x:row>
    <x:row r="526" ht="15" hidden="0" customHeight="1">
      <x:c r="A526" s="12" t="str">
        <x:v>S080</x:v>
      </x:c>
      <x:c r="B526" s="12" t="str">
        <x:v>L5</x:v>
      </x:c>
      <x:c r="C526" s="12" t="n">
        <x:v>1</x:v>
      </x:c>
      <x:c r="D526" s="12" t="str">
        <x:v>Response is shown across 300 controlled compression cycles.</x:v>
      </x:c>
      <x:c r="E526" s="12" t="str">
        <x:v>PDF pp. 2, 4–12; Figs. 1–8</x:v>
      </x:c>
      <x:c r="F526" s="12" t="str">
        <x:v>Clear</x:v>
      </x:c>
      <x:c r="G526" s="12" t="str">
        <x:v>Batch 08</x:v>
      </x:c>
    </x:row>
    <x:row r="527" ht="24" hidden="0" customHeight="1">
      <x:c r="A527" s="12" t="str">
        <x:v>S080</x:v>
      </x:c>
      <x:c r="B527" s="12" t="str">
        <x:v>L6</x:v>
      </x:c>
      <x:c r="C527" s="12" t="n">
        <x:v>0</x:v>
      </x:c>
      <x:c r="D527" s="12" t="str">
        <x:v>No distinct declared temperature, humidity, perspiration, water, washing, abrasion, mounting-pressure or comparable use exposure was tested.</x:v>
      </x:c>
      <x:c r="E527" s="12" t="str">
        <x:v>PDF pp. 2, 4–12; Figs. 1–8</x:v>
      </x:c>
      <x:c r="F527" s="12" t="str">
        <x:v>Clear</x:v>
      </x:c>
      <x:c r="G527" s="12" t="str">
        <x:v>Batch 08</x:v>
      </x:c>
    </x:row>
    <x:row r="528" ht="15" hidden="0" customHeight="1">
      <x:c r="A528" s="12" t="str">
        <x:v>S080</x:v>
      </x:c>
      <x:c r="B528" s="12" t="str">
        <x:v>L7</x:v>
      </x:c>
      <x:c r="C528" s="12" t="n">
        <x:v>0</x:v>
      </x:c>
      <x:c r="D528" s="12" t="str">
        <x:v>No qualifying interface-integrity test or repeated final monolithic wearable-assembly test with a retention/failure endpoint was located.</x:v>
      </x:c>
      <x:c r="E528" s="12" t="str">
        <x:v>PDF pp. 2, 4–12; Figs. 1–8</x:v>
      </x:c>
      <x:c r="F528" s="12" t="str">
        <x:v>Clear</x:v>
      </x:c>
      <x:c r="G528" s="12" t="str">
        <x:v>Adjudicated to Reviewer 2</x:v>
      </x:c>
    </x:row>
    <x:row r="529" ht="24" hidden="0" customHeight="1">
      <x:c r="A529" s="12" t="str">
        <x:v>S080</x:v>
      </x:c>
      <x:c r="B529" s="12" t="str">
        <x:v>L8</x:v>
      </x:c>
      <x:c r="C529" s="12" t="n">
        <x:v>0</x:v>
      </x:c>
      <x:c r="D529" s="12" t="str">
        <x:v>Topology variants and repeated cycles were reported, but no ≥3 separately fabricated same-condition complete-device comparison was identified.</x:v>
      </x:c>
      <x:c r="E529" s="12" t="str">
        <x:v>PDF pp. 2, 4–12; Figs. 1–8</x:v>
      </x:c>
      <x:c r="F529" s="12" t="str">
        <x:v>Clear</x:v>
      </x:c>
      <x:c r="G529" s="12" t="str">
        <x:v>Batch 08</x:v>
      </x:c>
    </x:row>
    <x:row r="530" ht="24" hidden="0" customHeight="1">
      <x:c r="A530" s="12" t="str">
        <x:v>S081</x:v>
      </x:c>
      <x:c r="B530" s="12" t="str">
        <x:v>L1</x:v>
      </x:c>
      <x:c r="C530" s="12" t="n">
        <x:v>0</x:v>
      </x:c>
      <x:c r="D530" s="12" t="str">
        <x:v>Printer, FDM term, TPU identity, temperature, infill, pattern and geometry are reported, but nozzle diameter and layer height are absent; speed is given only as a 15% printer setting.</x:v>
      </x:c>
      <x:c r="E530" s="12" t="str">
        <x:v>PDF pp. 3–7; Figs. 1–8; Table I</x:v>
      </x:c>
      <x:c r="F530" s="12" t="str">
        <x:v>Clear</x:v>
      </x:c>
      <x:c r="G530" s="12" t="str">
        <x:v>Batch 08</x:v>
      </x:c>
    </x:row>
    <x:row r="531" ht="15" hidden="0" customHeight="1">
      <x:c r="A531" s="12" t="str">
        <x:v>S081</x:v>
      </x:c>
      <x:c r="B531" s="12" t="str">
        <x:v>L2</x:v>
      </x:c>
      <x:c r="C531" s="12" t="n">
        <x:v>1</x:v>
      </x:c>
      <x:c r="D531" s="12" t="str">
        <x:v>TPU body, FBG, channels, protective tube, band and optical readout are described.</x:v>
      </x:c>
      <x:c r="E531" s="12" t="str">
        <x:v>PDF pp. 3–7; Figs. 1–8; Table I</x:v>
      </x:c>
      <x:c r="F531" s="12" t="str">
        <x:v>Clear</x:v>
      </x:c>
      <x:c r="G531" s="12" t="str">
        <x:v>Batch 08</x:v>
      </x:c>
    </x:row>
    <x:row r="532" ht="15" hidden="0" customHeight="1">
      <x:c r="A532" s="12" t="str">
        <x:v>S081</x:v>
      </x:c>
      <x:c r="B532" s="12" t="str">
        <x:v>L3</x:v>
      </x:c>
      <x:c r="C532" s="12" t="n">
        <x:v>1</x:v>
      </x:c>
      <x:c r="D532" s="12" t="str">
        <x:v>Applied force and clinical loss-of-resistance events are linked to FBG wavelength response and reference signals.</x:v>
      </x:c>
      <x:c r="E532" s="12" t="str">
        <x:v>PDF pp. 3–7; Figs. 1–8; Table I</x:v>
      </x:c>
      <x:c r="F532" s="12" t="str">
        <x:v>Clear</x:v>
      </x:c>
      <x:c r="G532" s="12" t="str">
        <x:v>Batch 08</x:v>
      </x:c>
    </x:row>
    <x:row r="533" ht="15" hidden="0" customHeight="1">
      <x:c r="A533" s="12" t="str">
        <x:v>S081</x:v>
      </x:c>
      <x:c r="B533" s="12" t="str">
        <x:v>L4</x:v>
      </x:c>
      <x:c r="C533" s="12" t="n">
        <x:v>1</x:v>
      </x:c>
      <x:c r="D533" s="12" t="str">
        <x:v>Sensitivity, uncertainty method, force range and clinical timing are quantitative.</x:v>
      </x:c>
      <x:c r="E533" s="12" t="str">
        <x:v>PDF pp. 3–7; Figs. 1–8; Table I</x:v>
      </x:c>
      <x:c r="F533" s="12" t="str">
        <x:v>Clear</x:v>
      </x:c>
      <x:c r="G533" s="12" t="str">
        <x:v>Batch 08</x:v>
      </x:c>
    </x:row>
    <x:row r="534" ht="15" hidden="0" customHeight="1">
      <x:c r="A534" s="12" t="str">
        <x:v>S081</x:v>
      </x:c>
      <x:c r="B534" s="12" t="str">
        <x:v>L5</x:v>
      </x:c>
      <x:c r="C534" s="12" t="n">
        <x:v>1</x:v>
      </x:c>
      <x:c r="D534" s="12" t="str">
        <x:v>Seven compression tests provide repeated same-device evidence.</x:v>
      </x:c>
      <x:c r="E534" s="12" t="str">
        <x:v>PDF pp. 3–7; Figs. 1–8; Table I</x:v>
      </x:c>
      <x:c r="F534" s="12" t="str">
        <x:v>Clear</x:v>
      </x:c>
      <x:c r="G534" s="12" t="str">
        <x:v>Batch 08</x:v>
      </x:c>
    </x:row>
    <x:row r="535" ht="15" hidden="0" customHeight="1">
      <x:c r="A535" s="12" t="str">
        <x:v>S081</x:v>
      </x:c>
      <x:c r="B535" s="12" t="str">
        <x:v>L6</x:v>
      </x:c>
      <x:c r="C535" s="12" t="n">
        <x:v>0</x:v>
      </x:c>
      <x:c r="D535" s="12" t="str">
        <x:v>Use under a glove is demonstrated, but no declared environmental/use exposure distinct from the intended procedure is tested.</x:v>
      </x:c>
      <x:c r="E535" s="12" t="str">
        <x:v>PDF pp. 3–7; Figs. 1–8; Table I</x:v>
      </x:c>
      <x:c r="F535" s="12" t="str">
        <x:v>Clear</x:v>
      </x:c>
      <x:c r="G535" s="12" t="str">
        <x:v>Batch 08</x:v>
      </x:c>
    </x:row>
    <x:row r="536" ht="15" hidden="0" customHeight="1">
      <x:c r="A536" s="12" t="str">
        <x:v>S081</x:v>
      </x:c>
      <x:c r="B536" s="12" t="str">
        <x:v>L7</x:v>
      </x:c>
      <x:c r="C536" s="12" t="n">
        <x:v>0</x:v>
      </x:c>
      <x:c r="D536" s="12" t="str">
        <x:v>The measured endpoint is timing between sensor response and the clinician's perception in each procedure. Seven compression tests separately characterize sensitivity.</x:v>
      </x:c>
      <x:c r="E536" s="12" t="str">
        <x:v>S081_Main.pdf, physical pp. 4-5, calibration; pp. 5-7, section IV/Figs. 7-8 and Conclusions.</x:v>
      </x:c>
      <x:c r="F536" s="12" t="str">
        <x:v>High</x:v>
      </x:c>
      <x:c r="G536" s="12" t="str">
        <x:v>Final L7 reassessment</x:v>
      </x:c>
    </x:row>
    <x:row r="537" ht="15" hidden="0" customHeight="1">
      <x:c r="A537" s="12" t="str">
        <x:v>S081</x:v>
      </x:c>
      <x:c r="B537" s="12" t="str">
        <x:v>L8</x:v>
      </x:c>
      <x:c r="C537" s="12" t="n">
        <x:v>0</x:v>
      </x:c>
      <x:c r="D537" s="12" t="str">
        <x:v>Seven tests and two patients are not separately fabricated devices; a ≥3-device comparison was not reported.</x:v>
      </x:c>
      <x:c r="E537" s="12" t="str">
        <x:v>PDF pp. 3–7; Figs. 1–8; Table I</x:v>
      </x:c>
      <x:c r="F537" s="12" t="str">
        <x:v>Clear</x:v>
      </x:c>
      <x:c r="G537" s="12" t="str">
        <x:v>Batch 08</x:v>
      </x:c>
    </x:row>
    <x:row r="538" ht="24" hidden="0" customHeight="1">
      <x:c r="A538" s="12" t="str">
        <x:v>S082</x:v>
      </x:c>
      <x:c r="B538" s="12" t="str">
        <x:v>L1</x:v>
      </x:c>
      <x:c r="C538" s="12" t="n">
        <x:v>0</x:v>
      </x:c>
      <x:c r="D538" s="12" t="str">
        <x:v>FFF, printer, functional filament, processing temperature and fibre/sensor geometry are stated, but nozzle diameter and layer height are not reported.</x:v>
      </x:c>
      <x:c r="E538" s="12" t="str">
        <x:v>PDF pp. 4–12; Figs. 1–7; Supplementary Figs. S1–S5 cited</x:v>
      </x:c>
      <x:c r="F538" s="12" t="str">
        <x:v>Clear</x:v>
      </x:c>
      <x:c r="G538" s="12" t="str">
        <x:v>Batch 08</x:v>
      </x:c>
    </x:row>
    <x:row r="539" ht="24" hidden="0" customHeight="1">
      <x:c r="A539" s="12" t="str">
        <x:v>S082</x:v>
      </x:c>
      <x:c r="B539" s="12" t="str">
        <x:v>L2</x:v>
      </x:c>
      <x:c r="C539" s="12" t="n">
        <x:v>1</x:v>
      </x:c>
      <x:c r="D539" s="12" t="str">
        <x:v>CNT/SBS/TPU composition, conductive/insulating roles, electrodes and fibre dimensions are described.</x:v>
      </x:c>
      <x:c r="E539" s="12" t="str">
        <x:v>PDF pp. 4–12; Figs. 1–7; Supplementary Figs. S1–S5 cited</x:v>
      </x:c>
      <x:c r="F539" s="12" t="str">
        <x:v>Clear</x:v>
      </x:c>
      <x:c r="G539" s="12" t="str">
        <x:v>Batch 08</x:v>
      </x:c>
    </x:row>
    <x:row r="540" ht="24" hidden="0" customHeight="1">
      <x:c r="A540" s="12" t="str">
        <x:v>S082</x:v>
      </x:c>
      <x:c r="B540" s="12" t="str">
        <x:v>L3</x:v>
      </x:c>
      <x:c r="C540" s="12" t="n">
        <x:v>1</x:v>
      </x:c>
      <x:c r="D540" s="12" t="str">
        <x:v>Controlled strain/frequency and body/tactile inputs are linked to relative resistance.</x:v>
      </x:c>
      <x:c r="E540" s="12" t="str">
        <x:v>PDF pp. 4–12; Figs. 1–7; Supplementary Figs. S1–S5 cited</x:v>
      </x:c>
      <x:c r="F540" s="12" t="str">
        <x:v>Clear</x:v>
      </x:c>
      <x:c r="G540" s="12" t="str">
        <x:v>Batch 08</x:v>
      </x:c>
    </x:row>
    <x:row r="541" ht="24" hidden="0" customHeight="1">
      <x:c r="A541" s="12" t="str">
        <x:v>S082</x:v>
      </x:c>
      <x:c r="B541" s="12" t="str">
        <x:v>L4</x:v>
      </x:c>
      <x:c r="C541" s="12" t="n">
        <x:v>1</x:v>
      </x:c>
      <x:c r="D541" s="12" t="str">
        <x:v>GF, linearity, range, response time, detection limit and cycling conditions are quantitative.</x:v>
      </x:c>
      <x:c r="E541" s="12" t="str">
        <x:v>PDF pp. 4–12; Figs. 1–7; Supplementary Figs. S1–S5 cited</x:v>
      </x:c>
      <x:c r="F541" s="12" t="str">
        <x:v>Clear</x:v>
      </x:c>
      <x:c r="G541" s="12" t="str">
        <x:v>Batch 08</x:v>
      </x:c>
    </x:row>
    <x:row r="542" ht="24" hidden="0" customHeight="1">
      <x:c r="A542" s="12" t="str">
        <x:v>S082</x:v>
      </x:c>
      <x:c r="B542" s="12" t="str">
        <x:v>L5</x:v>
      </x:c>
      <x:c r="C542" s="12" t="n">
        <x:v>1</x:v>
      </x:c>
      <x:c r="D542" s="12" t="str">
        <x:v>A 2000-cycle test and repeated frequency/strain protocols are reported.</x:v>
      </x:c>
      <x:c r="E542" s="12" t="str">
        <x:v>PDF pp. 4–12; Figs. 1–7; Supplementary Figs. S1–S5 cited</x:v>
      </x:c>
      <x:c r="F542" s="12" t="str">
        <x:v>Clear</x:v>
      </x:c>
      <x:c r="G542" s="12" t="str">
        <x:v>Batch 08</x:v>
      </x:c>
    </x:row>
    <x:row r="543" ht="24" hidden="0" customHeight="1">
      <x:c r="A543" s="12" t="str">
        <x:v>S082</x:v>
      </x:c>
      <x:c r="B543" s="12" t="str">
        <x:v>L6</x:v>
      </x:c>
      <x:c r="C543" s="12" t="n">
        <x:v>0</x:v>
      </x:c>
      <x:c r="D543" s="12" t="str">
        <x:v>No distinct qualifying environmental or use-related exposure was identified.</x:v>
      </x:c>
      <x:c r="E543" s="12" t="str">
        <x:v>PDF pp. 4–12; Figs. 1–7; Supplementary Figs. S1–S5 cited</x:v>
      </x:c>
      <x:c r="F543" s="12" t="str">
        <x:v>Clear</x:v>
      </x:c>
      <x:c r="G543" s="12" t="str">
        <x:v>Batch 08</x:v>
      </x:c>
    </x:row>
    <x:row r="544" ht="24" hidden="0" customHeight="1">
      <x:c r="A544" s="12" t="str">
        <x:v>S082</x:v>
      </x:c>
      <x:c r="B544" s="12" t="str">
        <x:v>L7</x:v>
      </x:c>
      <x:c r="C544" s="12" t="n">
        <x:v>0</x:v>
      </x:c>
      <x:c r="D544" s="12" t="str">
        <x:v>No qualifying interface-integrity test or repeated final monolithic wearable-assembly test with a retention/failure endpoint was located.</x:v>
      </x:c>
      <x:c r="E544" s="12" t="str">
        <x:v>PDF pp. 4–12; Figs. 1–7; Supplementary Figs. S1–S5 cited</x:v>
      </x:c>
      <x:c r="F544" s="12" t="str">
        <x:v>Clear</x:v>
      </x:c>
      <x:c r="G544" s="12" t="str">
        <x:v>Adjudicated to Reviewer 2</x:v>
      </x:c>
    </x:row>
    <x:row r="545" ht="24" hidden="0" customHeight="1">
      <x:c r="A545" s="12" t="str">
        <x:v>S082</x:v>
      </x:c>
      <x:c r="B545" s="12" t="str">
        <x:v>L8</x:v>
      </x:c>
      <x:c r="C545" s="12" t="n">
        <x:v>0</x:v>
      </x:c>
      <x:c r="D545" s="12" t="str">
        <x:v>Composition variants and repeated cycles were reported, but no ≥3 separately fabricated same-condition complete-device comparison was identified.</x:v>
      </x:c>
      <x:c r="E545" s="12" t="str">
        <x:v>PDF pp. 4–12; Figs. 1–7; Supplementary Figs. S1–S5 cited</x:v>
      </x:c>
      <x:c r="F545" s="12" t="str">
        <x:v>Clear</x:v>
      </x:c>
      <x:c r="G545" s="12" t="str">
        <x:v>Batch 08</x:v>
      </x:c>
    </x:row>
    <x:row r="546" ht="24" hidden="0" customHeight="1">
      <x:c r="A546" s="12" t="str">
        <x:v>S084</x:v>
      </x:c>
      <x:c r="B546" s="12" t="str">
        <x:v>L1</x:v>
      </x:c>
      <x:c r="C546" s="12" t="n">
        <x:v>0</x:v>
      </x:c>
      <x:c r="D546" s="12" t="str">
        <x:v>FFF, printer, functional filament, temperature, feed speed and fibre geometry are reported, but nozzle diameter and layer height are absent.</x:v>
      </x:c>
      <x:c r="E546" s="12" t="str">
        <x:v>PDF pp. 4–11; Figs. 1–8; Supplementary Figs. S1–S5 cited</x:v>
      </x:c>
      <x:c r="F546" s="12" t="str">
        <x:v>Clear</x:v>
      </x:c>
      <x:c r="G546" s="12" t="str">
        <x:v>Batch 08</x:v>
      </x:c>
    </x:row>
    <x:row r="547" ht="24" hidden="0" customHeight="1">
      <x:c r="A547" s="12" t="str">
        <x:v>S084</x:v>
      </x:c>
      <x:c r="B547" s="12" t="str">
        <x:v>L2</x:v>
      </x:c>
      <x:c r="C547" s="12" t="n">
        <x:v>1</x:v>
      </x:c>
      <x:c r="D547" s="12" t="str">
        <x:v>CNT/SBS/TPU composition, controls, electrodes and fibre geometry are described.</x:v>
      </x:c>
      <x:c r="E547" s="12" t="str">
        <x:v>PDF pp. 4–11; Figs. 1–8; Supplementary Figs. S1–S5 cited</x:v>
      </x:c>
      <x:c r="F547" s="12" t="str">
        <x:v>Clear</x:v>
      </x:c>
      <x:c r="G547" s="12" t="str">
        <x:v>Batch 08</x:v>
      </x:c>
    </x:row>
    <x:row r="548" ht="24" hidden="0" customHeight="1">
      <x:c r="A548" s="12" t="str">
        <x:v>S084</x:v>
      </x:c>
      <x:c r="B548" s="12" t="str">
        <x:v>L3</x:v>
      </x:c>
      <x:c r="C548" s="12" t="n">
        <x:v>1</x:v>
      </x:c>
      <x:c r="D548" s="12" t="str">
        <x:v>Controlled strain/frequency and human/tactile inputs are linked to relative resistance.</x:v>
      </x:c>
      <x:c r="E548" s="12" t="str">
        <x:v>PDF pp. 4–11; Figs. 1–8; Supplementary Figs. S1–S5 cited</x:v>
      </x:c>
      <x:c r="F548" s="12" t="str">
        <x:v>Clear</x:v>
      </x:c>
      <x:c r="G548" s="12" t="str">
        <x:v>Batch 08</x:v>
      </x:c>
    </x:row>
    <x:row r="549" ht="24" hidden="0" customHeight="1">
      <x:c r="A549" s="12" t="str">
        <x:v>S084</x:v>
      </x:c>
      <x:c r="B549" s="12" t="str">
        <x:v>L4</x:v>
      </x:c>
      <x:c r="C549" s="12" t="n">
        <x:v>1</x:v>
      </x:c>
      <x:c r="D549" s="12" t="str">
        <x:v>GF, linearity, range, response time, detection limit and cycle conditions are quantitative.</x:v>
      </x:c>
      <x:c r="E549" s="12" t="str">
        <x:v>PDF pp. 4–11; Figs. 1–8; Supplementary Figs. S1–S5 cited</x:v>
      </x:c>
      <x:c r="F549" s="12" t="str">
        <x:v>Clear</x:v>
      </x:c>
      <x:c r="G549" s="12" t="str">
        <x:v>Batch 08</x:v>
      </x:c>
    </x:row>
    <x:row r="550" ht="24" hidden="0" customHeight="1">
      <x:c r="A550" s="12" t="str">
        <x:v>S084</x:v>
      </x:c>
      <x:c r="B550" s="12" t="str">
        <x:v>L5</x:v>
      </x:c>
      <x:c r="C550" s="12" t="n">
        <x:v>1</x:v>
      </x:c>
      <x:c r="D550" s="12" t="str">
        <x:v>A 2000-cycle endurance test and repeated frequency/strain protocols are reported.</x:v>
      </x:c>
      <x:c r="E550" s="12" t="str">
        <x:v>PDF pp. 4–11; Figs. 1–8; Supplementary Figs. S1–S5 cited</x:v>
      </x:c>
      <x:c r="F550" s="12" t="str">
        <x:v>Clear</x:v>
      </x:c>
      <x:c r="G550" s="12" t="str">
        <x:v>Batch 08</x:v>
      </x:c>
    </x:row>
    <x:row r="551" ht="24" hidden="0" customHeight="1">
      <x:c r="A551" s="12" t="str">
        <x:v>S084</x:v>
      </x:c>
      <x:c r="B551" s="12" t="str">
        <x:v>L6</x:v>
      </x:c>
      <x:c r="C551" s="12" t="n">
        <x:v>0</x:v>
      </x:c>
      <x:c r="D551" s="12" t="str">
        <x:v>No distinct qualifying environmental or use-related exposure was identified.</x:v>
      </x:c>
      <x:c r="E551" s="12" t="str">
        <x:v>PDF pp. 4–11; Figs. 1–8; Supplementary Figs. S1–S5 cited</x:v>
      </x:c>
      <x:c r="F551" s="12" t="str">
        <x:v>Clear</x:v>
      </x:c>
      <x:c r="G551" s="12" t="str">
        <x:v>Batch 08</x:v>
      </x:c>
    </x:row>
    <x:row r="552" ht="24" hidden="0" customHeight="1">
      <x:c r="A552" s="12" t="str">
        <x:v>S084</x:v>
      </x:c>
      <x:c r="B552" s="12" t="str">
        <x:v>L7</x:v>
      </x:c>
      <x:c r="C552" s="12" t="n">
        <x:v>0</x:v>
      </x:c>
      <x:c r="D552" s="12" t="str">
        <x:v>No qualifying interface-integrity test or repeated final monolithic wearable-assembly test with a retention/failure endpoint was located.</x:v>
      </x:c>
      <x:c r="E552" s="12" t="str">
        <x:v>PDF pp. 4–11; Figs. 1–8; Supplementary Figs. S1–S5 cited</x:v>
      </x:c>
      <x:c r="F552" s="12" t="str">
        <x:v>Clear</x:v>
      </x:c>
      <x:c r="G552" s="12" t="str">
        <x:v>Adjudicated to Reviewer 2</x:v>
      </x:c>
    </x:row>
    <x:row r="553" ht="24" hidden="0" customHeight="1">
      <x:c r="A553" s="12" t="str">
        <x:v>S084</x:v>
      </x:c>
      <x:c r="B553" s="12" t="str">
        <x:v>L8</x:v>
      </x:c>
      <x:c r="C553" s="12" t="n">
        <x:v>0</x:v>
      </x:c>
      <x:c r="D553" s="12" t="str">
        <x:v>Material variants and repeated cycles were reported, but no ≥3 separately fabricated same-condition complete-device comparison was identified.</x:v>
      </x:c>
      <x:c r="E553" s="12" t="str">
        <x:v>PDF pp. 4–11; Figs. 1–8; Supplementary Figs. S1–S5 cited</x:v>
      </x:c>
      <x:c r="F553" s="12" t="str">
        <x:v>Clear</x:v>
      </x:c>
      <x:c r="G553" s="12" t="str">
        <x:v>Batch 08</x:v>
      </x:c>
    </x:row>
    <x:row r="554" ht="24" hidden="0" customHeight="1">
      <x:c r="A554" s="12" t="str">
        <x:v>S085</x:v>
      </x:c>
      <x:c r="B554" s="12" t="str">
        <x:v>L1</x:v>
      </x:c>
      <x:c r="C554" s="12" t="n">
        <x:v>1</x:v>
      </x:c>
      <x:c r="D554" s="12" t="str">
        <x:v>A customized FDM platform, functional filament, nozzle, extrusion temperature, speed, layer height, line interval, deposited layers, geometry and substrate procedure are stated.</x:v>
      </x:c>
      <x:c r="E554" s="12" t="str">
        <x:v>PDF pp. 2–4, 8–12; Figs. 1–18; Tables 1–2</x:v>
      </x:c>
      <x:c r="F554" s="12" t="str">
        <x:v>Clear</x:v>
      </x:c>
      <x:c r="G554" s="12" t="str">
        <x:v>Batch 08</x:v>
      </x:c>
    </x:row>
    <x:row r="555" ht="15" hidden="0" customHeight="1">
      <x:c r="A555" s="12" t="str">
        <x:v>S085</x:v>
      </x:c>
      <x:c r="B555" s="12" t="str">
        <x:v>L2</x:v>
      </x:c>
      <x:c r="C555" s="12" t="n">
        <x:v>1</x:v>
      </x:c>
      <x:c r="D555" s="12" t="str">
        <x:v>CB/TPU composition, TPU substrate, conductive path geometry and test contacts are described.</x:v>
      </x:c>
      <x:c r="E555" s="12" t="str">
        <x:v>PDF pp. 2–4, 8–12; Figs. 1–18; Tables 1–2</x:v>
      </x:c>
      <x:c r="F555" s="12" t="str">
        <x:v>Clear</x:v>
      </x:c>
      <x:c r="G555" s="12" t="str">
        <x:v>Batch 08</x:v>
      </x:c>
    </x:row>
    <x:row r="556" ht="15" hidden="0" customHeight="1">
      <x:c r="A556" s="12" t="str">
        <x:v>S085</x:v>
      </x:c>
      <x:c r="B556" s="12" t="str">
        <x:v>L3</x:v>
      </x:c>
      <x:c r="C556" s="12" t="n">
        <x:v>1</x:v>
      </x:c>
      <x:c r="D556" s="12" t="str">
        <x:v>Controlled strain/hold/rate protocols and lumbar motion are linked to resistance response.</x:v>
      </x:c>
      <x:c r="E556" s="12" t="str">
        <x:v>PDF pp. 2–4, 8–12; Figs. 1–18; Tables 1–2</x:v>
      </x:c>
      <x:c r="F556" s="12" t="str">
        <x:v>Clear</x:v>
      </x:c>
      <x:c r="G556" s="12" t="str">
        <x:v>Batch 08</x:v>
      </x:c>
    </x:row>
    <x:row r="557" ht="15" hidden="0" customHeight="1">
      <x:c r="A557" s="12" t="str">
        <x:v>S085</x:v>
      </x:c>
      <x:c r="B557" s="12" t="str">
        <x:v>L4</x:v>
      </x:c>
      <x:c r="C557" s="12" t="n">
        <x:v>1</x:v>
      </x:c>
      <x:c r="D557" s="12" t="str">
        <x:v>Configuration-specific GF, hysteresis, response/recovery, detection and endurance values are quantitative.</x:v>
      </x:c>
      <x:c r="E557" s="12" t="str">
        <x:v>PDF pp. 2–4, 8–12; Figs. 1–18; Tables 1–2</x:v>
      </x:c>
      <x:c r="F557" s="12" t="str">
        <x:v>Clear</x:v>
      </x:c>
      <x:c r="G557" s="12" t="str">
        <x:v>Batch 08</x:v>
      </x:c>
    </x:row>
    <x:row r="558" ht="15" hidden="0" customHeight="1">
      <x:c r="A558" s="12" t="str">
        <x:v>S085</x:v>
      </x:c>
      <x:c r="B558" s="12" t="str">
        <x:v>L5</x:v>
      </x:c>
      <x:c r="C558" s="12" t="n">
        <x:v>1</x:v>
      </x:c>
      <x:c r="D558" s="12" t="str">
        <x:v>Repeated dynamic tests and a 3000-cycle endurance test are reported.</x:v>
      </x:c>
      <x:c r="E558" s="12" t="str">
        <x:v>PDF pp. 2–4, 8–12; Figs. 1–18; Tables 1–2</x:v>
      </x:c>
      <x:c r="F558" s="12" t="str">
        <x:v>Clear</x:v>
      </x:c>
      <x:c r="G558" s="12" t="str">
        <x:v>Batch 08</x:v>
      </x:c>
    </x:row>
    <x:row r="559" ht="24" hidden="0" customHeight="1">
      <x:c r="A559" s="12" t="str">
        <x:v>S085</x:v>
      </x:c>
      <x:c r="B559" s="12" t="str">
        <x:v>L6</x:v>
      </x:c>
      <x:c r="C559" s="12" t="n">
        <x:v>0</x:v>
      </x:c>
      <x:c r="D559" s="12" t="str">
        <x:v>Rate and static-hold tests characterize the intended mechanical input; no distinct qualifying environmental/use exposure was reported.</x:v>
      </x:c>
      <x:c r="E559" s="12" t="str">
        <x:v>PDF pp. 2–4, 8–12; Figs. 1–18; Tables 1–2</x:v>
      </x:c>
      <x:c r="F559" s="12" t="str">
        <x:v>Clear</x:v>
      </x:c>
      <x:c r="G559" s="12" t="str">
        <x:v>Batch 08</x:v>
      </x:c>
    </x:row>
    <x:row r="560" ht="15" hidden="0" customHeight="1">
      <x:c r="A560" s="12" t="str">
        <x:v>S085</x:v>
      </x:c>
      <x:c r="B560" s="12" t="str">
        <x:v>L7</x:v>
      </x:c>
      <x:c r="C560" s="12" t="n">
        <x:v>0</x:v>
      </x:c>
      <x:c r="D560" s="12" t="str">
        <x:v>The sensor remains intact against its film substrate after laboratory cycling. Fig. 18 sketches a lumbar use case without a corresponding repeated-wear retention dataset.</x:v>
      </x:c>
      <x:c r="E560" s="12" t="str">
        <x:v>S085_Main.pdf, physical pp. 3-4, setup/Fig. 4; pp. 9-10, Fig. 15; p. 12, Fig. 18/application discussion.</x:v>
      </x:c>
      <x:c r="F560" s="12" t="str">
        <x:v>High</x:v>
      </x:c>
      <x:c r="G560" s="12" t="str">
        <x:v>Final L7 reassessment</x:v>
      </x:c>
    </x:row>
    <x:row r="561" ht="24" hidden="0" customHeight="1">
      <x:c r="A561" s="12" t="str">
        <x:v>S085</x:v>
      </x:c>
      <x:c r="B561" s="12" t="str">
        <x:v>L8</x:v>
      </x:c>
      <x:c r="C561" s="12" t="n">
        <x:v>0</x:v>
      </x:c>
      <x:c r="D561" s="12" t="str">
        <x:v>Geometry variants and same-device cycling were reported, but no ≥3 separately fabricated same-condition complete-device comparison was identified.</x:v>
      </x:c>
      <x:c r="E561" s="12" t="str">
        <x:v>PDF pp. 2–4, 8–12; Figs. 1–18; Tables 1–2</x:v>
      </x:c>
      <x:c r="F561" s="12" t="str">
        <x:v>Clear</x:v>
      </x:c>
      <x:c r="G561" s="12" t="str">
        <x:v>Batch 08</x:v>
      </x:c>
    </x:row>
    <x:row r="562" ht="24" hidden="0" customHeight="1">
      <x:c r="A562" s="12" t="str">
        <x:v>S086</x:v>
      </x:c>
      <x:c r="B562" s="12" t="str">
        <x:v>L1</x:v>
      </x:c>
      <x:c r="C562" s="12" t="n">
        <x:v>0</x:v>
      </x:c>
      <x:c r="D562" s="12" t="str">
        <x:v>Printer, process, TPU filament, nozzle temperature, speed and nominal printed thickness are stated, but nozzle diameter and infill/toolpath are not reported.</x:v>
      </x:c>
      <x:c r="E562" s="12" t="str">
        <x:v>PDF pp. 2–9; Figs. 1–6; Supporting Figs. S1–S3 and Table S1 cited</x:v>
      </x:c>
      <x:c r="F562" s="12" t="str">
        <x:v>Clear</x:v>
      </x:c>
      <x:c r="G562" s="12" t="str">
        <x:v>Batch 08</x:v>
      </x:c>
    </x:row>
    <x:row r="563" ht="24" hidden="0" customHeight="1">
      <x:c r="A563" s="12" t="str">
        <x:v>S086</x:v>
      </x:c>
      <x:c r="B563" s="12" t="str">
        <x:v>L2</x:v>
      </x:c>
      <x:c r="C563" s="12" t="n">
        <x:v>1</x:v>
      </x:c>
      <x:c r="D563" s="12" t="str">
        <x:v>TPU, silver paste, interlaminar deposition, microwave treatment and electrical role are described.</x:v>
      </x:c>
      <x:c r="E563" s="12" t="str">
        <x:v>PDF pp. 2–9; Figs. 1–6; Supporting Figs. S1–S3 and Table S1 cited</x:v>
      </x:c>
      <x:c r="F563" s="12" t="str">
        <x:v>Clear</x:v>
      </x:c>
      <x:c r="G563" s="12" t="str">
        <x:v>Batch 08</x:v>
      </x:c>
    </x:row>
    <x:row r="564" ht="24" hidden="0" customHeight="1">
      <x:c r="A564" s="12" t="str">
        <x:v>S086</x:v>
      </x:c>
      <x:c r="B564" s="12" t="str">
        <x:v>L3</x:v>
      </x:c>
      <x:c r="C564" s="12" t="n">
        <x:v>1</x:v>
      </x:c>
      <x:c r="D564" s="12" t="str">
        <x:v>Controlled strain/rate and human motions are linked to resistance response.</x:v>
      </x:c>
      <x:c r="E564" s="12" t="str">
        <x:v>PDF pp. 2–9; Figs. 1–6; Supporting Figs. S1–S3 and Table S1 cited</x:v>
      </x:c>
      <x:c r="F564" s="12" t="str">
        <x:v>Clear</x:v>
      </x:c>
      <x:c r="G564" s="12" t="str">
        <x:v>Batch 08</x:v>
      </x:c>
    </x:row>
    <x:row r="565" ht="24" hidden="0" customHeight="1">
      <x:c r="A565" s="12" t="str">
        <x:v>S086</x:v>
      </x:c>
      <x:c r="B565" s="12" t="str">
        <x:v>L4</x:v>
      </x:c>
      <x:c r="C565" s="12" t="n">
        <x:v>1</x:v>
      </x:c>
      <x:c r="D565" s="12" t="str">
        <x:v>GF, strain ranges, response/recovery and cycling duration are quantitative.</x:v>
      </x:c>
      <x:c r="E565" s="12" t="str">
        <x:v>PDF pp. 2–9; Figs. 1–6; Supporting Figs. S1–S3 and Table S1 cited</x:v>
      </x:c>
      <x:c r="F565" s="12" t="str">
        <x:v>Clear</x:v>
      </x:c>
      <x:c r="G565" s="12" t="str">
        <x:v>Batch 08</x:v>
      </x:c>
    </x:row>
    <x:row r="566" ht="24" hidden="0" customHeight="1">
      <x:c r="A566" s="12" t="str">
        <x:v>S086</x:v>
      </x:c>
      <x:c r="B566" s="12" t="str">
        <x:v>L5</x:v>
      </x:c>
      <x:c r="C566" s="12" t="n">
        <x:v>1</x:v>
      </x:c>
      <x:c r="D566" s="12" t="str">
        <x:v>Repeated cyclic traces at three strain amplitudes extend for 2000 s each.</x:v>
      </x:c>
      <x:c r="E566" s="12" t="str">
        <x:v>PDF pp. 2–9; Figs. 1–6; Supporting Figs. S1–S3 and Table S1 cited</x:v>
      </x:c>
      <x:c r="F566" s="12" t="str">
        <x:v>Clear</x:v>
      </x:c>
      <x:c r="G566" s="12" t="str">
        <x:v>Batch 08</x:v>
      </x:c>
    </x:row>
    <x:row r="567" ht="24" hidden="0" customHeight="1">
      <x:c r="A567" s="12" t="str">
        <x:v>S086</x:v>
      </x:c>
      <x:c r="B567" s="12" t="str">
        <x:v>L6</x:v>
      </x:c>
      <x:c r="C567" s="12" t="n">
        <x:v>0</x:v>
      </x:c>
      <x:c r="D567" s="12" t="str">
        <x:v>Microwave sintering is a fabrication treatment and rate is an intended loading variable; no distinct qualifying use exposure was tested.</x:v>
      </x:c>
      <x:c r="E567" s="12" t="str">
        <x:v>PDF pp. 2–9; Figs. 1–6; Supporting Figs. S1–S3 and Table S1 cited</x:v>
      </x:c>
      <x:c r="F567" s="12" t="str">
        <x:v>Clear</x:v>
      </x:c>
      <x:c r="G567" s="12" t="str">
        <x:v>Batch 08</x:v>
      </x:c>
    </x:row>
    <x:row r="568" ht="24" hidden="0" customHeight="1">
      <x:c r="A568" s="12" t="str">
        <x:v>S086</x:v>
      </x:c>
      <x:c r="B568" s="12" t="str">
        <x:v>L7</x:v>
      </x:c>
      <x:c r="C568" s="12" t="n">
        <x:v>0</x:v>
      </x:c>
      <x:c r="D568" s="12" t="str">
        <x:v>No qualifying interface-integrity test or repeated final monolithic wearable-assembly test with a retention/failure endpoint was located.</x:v>
      </x:c>
      <x:c r="E568" s="12" t="str">
        <x:v>PDF pp. 2–9; Figs. 1–6; Supporting Figs. S1–S3 and Table S1 cited</x:v>
      </x:c>
      <x:c r="F568" s="12" t="str">
        <x:v>Clear</x:v>
      </x:c>
      <x:c r="G568" s="12" t="str">
        <x:v>Rule-clarification recode</x:v>
      </x:c>
    </x:row>
    <x:row r="569" ht="24" hidden="0" customHeight="1">
      <x:c r="A569" s="12" t="str">
        <x:v>S086</x:v>
      </x:c>
      <x:c r="B569" s="12" t="str">
        <x:v>L8</x:v>
      </x:c>
      <x:c r="C569" s="12" t="n">
        <x:v>0</x:v>
      </x:c>
      <x:c r="D569" s="12" t="str">
        <x:v>Five trials quantify silver content, not complete-device response; ≥3 separately fabricated sensing units were not compared.</x:v>
      </x:c>
      <x:c r="E569" s="12" t="str">
        <x:v>PDF pp. 2–9; Figs. 1–6; Supporting Figs. S1–S3 and Table S1 cited</x:v>
      </x:c>
      <x:c r="F569" s="12" t="str">
        <x:v>Clear</x:v>
      </x:c>
      <x:c r="G569" s="12" t="str">
        <x:v>Batch 08</x:v>
      </x:c>
    </x:row>
    <x:row r="570" ht="24" hidden="0" customHeight="1">
      <x:c r="A570" s="12" t="str">
        <x:v>S087</x:v>
      </x:c>
      <x:c r="B570" s="12" t="str">
        <x:v>L1</x:v>
      </x:c>
      <x:c r="C570" s="12" t="n">
        <x:v>0</x:v>
      </x:c>
      <x:c r="D570" s="12" t="str">
        <x:v>FDM platform supplier, material, nozzle diameters, axis speeds, layers and geometry are reported, but extrusion temperature and layer height are absent.</x:v>
      </x:c>
      <x:c r="E570" s="12" t="str">
        <x:v>PDF pp. 2–7; Figs. 1–5; Supplementary Figs. S1–S7 cited</x:v>
      </x:c>
      <x:c r="F570" s="12" t="str">
        <x:v>Clear</x:v>
      </x:c>
      <x:c r="G570" s="12" t="str">
        <x:v>Batch 08</x:v>
      </x:c>
    </x:row>
    <x:row r="571" ht="24" hidden="0" customHeight="1">
      <x:c r="A571" s="12" t="str">
        <x:v>S087</x:v>
      </x:c>
      <x:c r="B571" s="12" t="str">
        <x:v>L2</x:v>
      </x:c>
      <x:c r="C571" s="12" t="n">
        <x:v>1</x:v>
      </x:c>
      <x:c r="D571" s="12" t="str">
        <x:v>SEBS, graphene suspension/concentration, surface-filling treatment, geometry and copper electrodes are described.</x:v>
      </x:c>
      <x:c r="E571" s="12" t="str">
        <x:v>PDF pp. 2–7; Figs. 1–5; Supplementary Figs. S1–S7 cited</x:v>
      </x:c>
      <x:c r="F571" s="12" t="str">
        <x:v>Clear</x:v>
      </x:c>
      <x:c r="G571" s="12" t="str">
        <x:v>Batch 08</x:v>
      </x:c>
    </x:row>
    <x:row r="572" ht="24" hidden="0" customHeight="1">
      <x:c r="A572" s="12" t="str">
        <x:v>S087</x:v>
      </x:c>
      <x:c r="B572" s="12" t="str">
        <x:v>L3</x:v>
      </x:c>
      <x:c r="C572" s="12" t="n">
        <x:v>1</x:v>
      </x:c>
      <x:c r="D572" s="12" t="str">
        <x:v>Controlled tensile/pressure inputs and body motions are linked to resistance response.</x:v>
      </x:c>
      <x:c r="E572" s="12" t="str">
        <x:v>PDF pp. 2–7; Figs. 1–5; Supplementary Figs. S1–S7 cited</x:v>
      </x:c>
      <x:c r="F572" s="12" t="str">
        <x:v>Clear</x:v>
      </x:c>
      <x:c r="G572" s="12" t="str">
        <x:v>Batch 08</x:v>
      </x:c>
    </x:row>
    <x:row r="573" ht="24" hidden="0" customHeight="1">
      <x:c r="A573" s="12" t="str">
        <x:v>S087</x:v>
      </x:c>
      <x:c r="B573" s="12" t="str">
        <x:v>L4</x:v>
      </x:c>
      <x:c r="C573" s="12" t="n">
        <x:v>1</x:v>
      </x:c>
      <x:c r="D573" s="12" t="str">
        <x:v>GF, pressure sensitivity, response/recovery and endurance values are quantitative.</x:v>
      </x:c>
      <x:c r="E573" s="12" t="str">
        <x:v>PDF pp. 2–7; Figs. 1–5; Supplementary Figs. S1–S7 cited</x:v>
      </x:c>
      <x:c r="F573" s="12" t="str">
        <x:v>Clear</x:v>
      </x:c>
      <x:c r="G573" s="12" t="str">
        <x:v>Batch 08</x:v>
      </x:c>
    </x:row>
    <x:row r="574" ht="24" hidden="0" customHeight="1">
      <x:c r="A574" s="12" t="str">
        <x:v>S087</x:v>
      </x:c>
      <x:c r="B574" s="12" t="str">
        <x:v>L5</x:v>
      </x:c>
      <x:c r="C574" s="12" t="n">
        <x:v>1</x:v>
      </x:c>
      <x:c r="D574" s="12" t="str">
        <x:v>Ten compression cycles and a 2000-cycle endurance test are reported.</x:v>
      </x:c>
      <x:c r="E574" s="12" t="str">
        <x:v>PDF pp. 2–7; Figs. 1–5; Supplementary Figs. S1–S7 cited</x:v>
      </x:c>
      <x:c r="F574" s="12" t="str">
        <x:v>Clear</x:v>
      </x:c>
      <x:c r="G574" s="12" t="str">
        <x:v>Batch 08</x:v>
      </x:c>
    </x:row>
    <x:row r="575" ht="24" hidden="0" customHeight="1">
      <x:c r="A575" s="12" t="str">
        <x:v>S087</x:v>
      </x:c>
      <x:c r="B575" s="12" t="str">
        <x:v>L6</x:v>
      </x:c>
      <x:c r="C575" s="12" t="n">
        <x:v>0</x:v>
      </x:c>
      <x:c r="D575" s="12" t="str">
        <x:v>Peel testing assesses graphene adhesion, but sensor response after a declared abrasion/wash/environmental exposure was not reported.</x:v>
      </x:c>
      <x:c r="E575" s="12" t="str">
        <x:v>PDF pp. 2–7; Figs. 1–5; Supplementary Figs. S1–S7 cited</x:v>
      </x:c>
      <x:c r="F575" s="12" t="str">
        <x:v>Clear</x:v>
      </x:c>
      <x:c r="G575" s="12" t="str">
        <x:v>Batch 08</x:v>
      </x:c>
    </x:row>
    <x:row r="576" ht="24" hidden="0" customHeight="1">
      <x:c r="A576" s="12" t="str">
        <x:v>S087</x:v>
      </x:c>
      <x:c r="B576" s="12" t="str">
        <x:v>L7</x:v>
      </x:c>
      <x:c r="C576" s="12" t="n">
        <x:v>0</x:v>
      </x:c>
      <x:c r="D576" s="12" t="str">
        <x:v>No qualifying interface-integrity test or repeated final monolithic wearable-assembly test with a retention/failure endpoint was located.</x:v>
      </x:c>
      <x:c r="E576" s="12" t="str">
        <x:v>PDF pp. 2–7; Figs. 1–5; Supplementary Figs. S1–S7 cited</x:v>
      </x:c>
      <x:c r="F576" s="12" t="str">
        <x:v>Clear</x:v>
      </x:c>
      <x:c r="G576" s="12" t="str">
        <x:v>Rule-clarification recode</x:v>
      </x:c>
    </x:row>
    <x:row r="577" ht="24" hidden="0" customHeight="1">
      <x:c r="A577" s="12" t="str">
        <x:v>S087</x:v>
      </x:c>
      <x:c r="B577" s="12" t="str">
        <x:v>L8</x:v>
      </x:c>
      <x:c r="C577" s="12" t="n">
        <x:v>0</x:v>
      </x:c>
      <x:c r="D577" s="12" t="str">
        <x:v>Process/geometry/material variants and repeated cycles were reported, but no ≥3 separately fabricated same-condition complete-device comparison was identified.</x:v>
      </x:c>
      <x:c r="E577" s="12" t="str">
        <x:v>PDF pp. 2–7; Figs. 1–5; Supplementary Figs. S1–S7 cited</x:v>
      </x:c>
      <x:c r="F577" s="12" t="str">
        <x:v>Clear</x:v>
      </x:c>
      <x:c r="G577" s="12" t="str">
        <x:v>Batch 08</x:v>
      </x:c>
    </x:row>
    <x:row r="578" ht="24" hidden="0" customHeight="1">
      <x:c r="A578" s="12" t="str">
        <x:v>S088</x:v>
      </x:c>
      <x:c r="B578" s="12" t="str">
        <x:v>L1</x:v>
      </x:c>
      <x:c r="C578" s="12" t="n">
        <x:v>0</x:v>
      </x:c>
      <x:c r="D578" s="12" t="str">
        <x:v>FDM, flexible PLA, temperature, speed, infill, pattern, geometry and embedding sequence are reported, but printer/model, nozzle diameter and layer height are absent.</x:v>
      </x:c>
      <x:c r="E578" s="12" t="str">
        <x:v>PDF pp. 4–12; Figs. 1–10; Table 1</x:v>
      </x:c>
      <x:c r="F578" s="12" t="str">
        <x:v>Clear</x:v>
      </x:c>
      <x:c r="G578" s="12" t="str">
        <x:v>Batch 08</x:v>
      </x:c>
    </x:row>
    <x:row r="579" ht="15" hidden="0" customHeight="1">
      <x:c r="A579" s="12" t="str">
        <x:v>S088</x:v>
      </x:c>
      <x:c r="B579" s="12" t="str">
        <x:v>L2</x:v>
      </x:c>
      <x:c r="C579" s="12" t="n">
        <x:v>1</x:v>
      </x:c>
      <x:c r="D579" s="12" t="str">
        <x:v>PLA ring, FBG, embedding geometry, attachment and optical readout are described.</x:v>
      </x:c>
      <x:c r="E579" s="12" t="str">
        <x:v>PDF pp. 4–12; Figs. 1–10; Table 1</x:v>
      </x:c>
      <x:c r="F579" s="12" t="str">
        <x:v>Clear</x:v>
      </x:c>
      <x:c r="G579" s="12" t="str">
        <x:v>Batch 08</x:v>
      </x:c>
    </x:row>
    <x:row r="580" ht="15" hidden="0" customHeight="1">
      <x:c r="A580" s="12" t="str">
        <x:v>S088</x:v>
      </x:c>
      <x:c r="B580" s="12" t="str">
        <x:v>L3</x:v>
      </x:c>
      <x:c r="C580" s="12" t="n">
        <x:v>1</x:v>
      </x:c>
      <x:c r="D580" s="12" t="str">
        <x:v>Defined elbow/knee angles and walking speeds are linked to FBG wavelength response.</x:v>
      </x:c>
      <x:c r="E580" s="12" t="str">
        <x:v>PDF pp. 4–12; Figs. 1–10; Table 1</x:v>
      </x:c>
      <x:c r="F580" s="12" t="str">
        <x:v>Clear</x:v>
      </x:c>
      <x:c r="G580" s="12" t="str">
        <x:v>Batch 08</x:v>
      </x:c>
    </x:row>
    <x:row r="581" ht="15" hidden="0" customHeight="1">
      <x:c r="A581" s="12" t="str">
        <x:v>S088</x:v>
      </x:c>
      <x:c r="B581" s="12" t="str">
        <x:v>L4</x:v>
      </x:c>
      <x:c r="C581" s="12" t="n">
        <x:v>1</x:v>
      </x:c>
      <x:c r="D581" s="12" t="str">
        <x:v>Sensitivities, resolutions, angle ranges and maximum error are quantitative.</x:v>
      </x:c>
      <x:c r="E581" s="12" t="str">
        <x:v>PDF pp. 4–12; Figs. 1–10; Table 1</x:v>
      </x:c>
      <x:c r="F581" s="12" t="str">
        <x:v>Clear</x:v>
      </x:c>
      <x:c r="G581" s="12" t="str">
        <x:v>Batch 08</x:v>
      </x:c>
    </x:row>
    <x:row r="582" ht="15" hidden="0" customHeight="1">
      <x:c r="A582" s="12" t="str">
        <x:v>S088</x:v>
      </x:c>
      <x:c r="B582" s="12" t="str">
        <x:v>L5</x:v>
      </x:c>
      <x:c r="C582" s="12" t="n">
        <x:v>1</x:v>
      </x:c>
      <x:c r="D582" s="12" t="str">
        <x:v>Three repeat calibration tests and cyclic joint measurements are reported.</x:v>
      </x:c>
      <x:c r="E582" s="12" t="str">
        <x:v>PDF pp. 4–12; Figs. 1–10; Table 1</x:v>
      </x:c>
      <x:c r="F582" s="12" t="str">
        <x:v>Clear</x:v>
      </x:c>
      <x:c r="G582" s="12" t="str">
        <x:v>Batch 08</x:v>
      </x:c>
    </x:row>
    <x:row r="583" ht="24" hidden="0" customHeight="1">
      <x:c r="A583" s="12" t="str">
        <x:v>S088</x:v>
      </x:c>
      <x:c r="B583" s="12" t="str">
        <x:v>L6</x:v>
      </x:c>
      <x:c r="C583" s="12" t="n">
        <x:v>0</x:v>
      </x:c>
      <x:c r="D583" s="12" t="str">
        <x:v>A 10-min equilibration was used to reduce body-temperature influence, but sensor response under a declared environmental/use exposure was not reported.</x:v>
      </x:c>
      <x:c r="E583" s="12" t="str">
        <x:v>PDF pp. 4–12; Figs. 1–10; Table 1</x:v>
      </x:c>
      <x:c r="F583" s="12" t="str">
        <x:v>Clear</x:v>
      </x:c>
      <x:c r="G583" s="12" t="str">
        <x:v>Batch 08</x:v>
      </x:c>
    </x:row>
    <x:row r="584" ht="15" hidden="0" customHeight="1">
      <x:c r="A584" s="12" t="str">
        <x:v>S088</x:v>
      </x:c>
      <x:c r="B584" s="12" t="str">
        <x:v>L7</x:v>
      </x:c>
      <x:c r="C584" s="12" t="n">
        <x:v>1</x:v>
      </x:c>
      <x:c r="D584" s="12" t="str">
        <x:v>An additional cyclic test explicitly examines measurement performance; six bends show relatively stable wavelength changes. Repeated calibration tests are also reported.</x:v>
      </x:c>
      <x:c r="E584" s="12" t="str">
        <x:v>S088_Main.pdf, physical p. 7, cyclic-elbow paragraph; p. 10, Fig. 8 (the paragraph mislabels its figure reference as Fig. 7).</x:v>
      </x:c>
      <x:c r="F584" s="12" t="str">
        <x:v>High</x:v>
      </x:c>
      <x:c r="G584" s="12" t="str">
        <x:v>Final L7 reassessment</x:v>
      </x:c>
    </x:row>
    <x:row r="585" ht="15" hidden="0" customHeight="1">
      <x:c r="A585" s="12" t="str">
        <x:v>S088</x:v>
      </x:c>
      <x:c r="B585" s="12" t="str">
        <x:v>L8</x:v>
      </x:c>
      <x:c r="C585" s="12" t="n">
        <x:v>0</x:v>
      </x:c>
      <x:c r="D585" s="12" t="str">
        <x:v>Two rings were fabricated for different joint applications; the ≥3 same-condition device criterion was not met.</x:v>
      </x:c>
      <x:c r="E585" s="12" t="str">
        <x:v>PDF pp. 4–12; Figs. 1–10; Table 1</x:v>
      </x:c>
      <x:c r="F585" s="12" t="str">
        <x:v>Clear</x:v>
      </x:c>
      <x:c r="G585" s="12" t="str">
        <x:v>Batch 08</x:v>
      </x:c>
    </x:row>
    <x:row r="586" ht="36" hidden="0" customHeight="1">
      <x:c r="A586" s="12" t="str">
        <x:v>S089</x:v>
      </x:c>
      <x:c r="B586" s="12" t="str">
        <x:v>L1</x:v>
      </x:c>
      <x:c r="C586" s="12" t="n">
        <x:v>1</x:v>
      </x:c>
      <x:c r="D586" s="12" t="str">
        <x:v>Printer, process, functional composite, nozzle, temperatures, speed, layer height, orientation, infill and specimen geometry are reported.</x:v>
      </x:c>
      <x:c r="E586" s="12" t="str">
        <x:v>PDF pp. 10–35 of available accepted manuscript; Figs. 1–10; Tables 1–2; Supplementary Tables S1–S2 cited</x:v>
      </x:c>
      <x:c r="F586" s="12" t="str">
        <x:v>Clear</x:v>
      </x:c>
      <x:c r="G586" s="12" t="str">
        <x:v>Batch 08</x:v>
      </x:c>
    </x:row>
    <x:row r="587" ht="36" hidden="0" customHeight="1">
      <x:c r="A587" s="12" t="str">
        <x:v>S089</x:v>
      </x:c>
      <x:c r="B587" s="12" t="str">
        <x:v>L2</x:v>
      </x:c>
      <x:c r="C587" s="12" t="n">
        <x:v>1</x:v>
      </x:c>
      <x:c r="D587" s="12" t="str">
        <x:v>TPU, CNT/GNP compositions, printed geometry, electrodes and electrical roles are described.</x:v>
      </x:c>
      <x:c r="E587" s="12" t="str">
        <x:v>PDF pp. 10–35 of available accepted manuscript; Figs. 1–10; Tables 1–2; Supplementary Tables S1–S2 cited</x:v>
      </x:c>
      <x:c r="F587" s="12" t="str">
        <x:v>Clear</x:v>
      </x:c>
      <x:c r="G587" s="12" t="str">
        <x:v>Batch 08</x:v>
      </x:c>
    </x:row>
    <x:row r="588" ht="36" hidden="0" customHeight="1">
      <x:c r="A588" s="12" t="str">
        <x:v>S089</x:v>
      </x:c>
      <x:c r="B588" s="12" t="str">
        <x:v>L3</x:v>
      </x:c>
      <x:c r="C588" s="12" t="n">
        <x:v>1</x:v>
      </x:c>
      <x:c r="D588" s="12" t="str">
        <x:v>Controlled strain/frequency/temperature and body-motion inputs are linked to electrical response.</x:v>
      </x:c>
      <x:c r="E588" s="12" t="str">
        <x:v>PDF pp. 10–35 of available accepted manuscript; Figs. 1–10; Tables 1–2; Supplementary Tables S1–S2 cited</x:v>
      </x:c>
      <x:c r="F588" s="12" t="str">
        <x:v>Clear</x:v>
      </x:c>
      <x:c r="G588" s="12" t="str">
        <x:v>Batch 08</x:v>
      </x:c>
    </x:row>
    <x:row r="589" ht="36" hidden="0" customHeight="1">
      <x:c r="A589" s="12" t="str">
        <x:v>S089</x:v>
      </x:c>
      <x:c r="B589" s="12" t="str">
        <x:v>L4</x:v>
      </x:c>
      <x:c r="C589" s="12" t="n">
        <x:v>1</x:v>
      </x:c>
      <x:c r="D589" s="12" t="str">
        <x:v>GF, linearity, strain range, conductivity and endurance conditions are quantitative.</x:v>
      </x:c>
      <x:c r="E589" s="12" t="str">
        <x:v>PDF pp. 10–35 of available accepted manuscript; Figs. 1–10; Tables 1–2; Supplementary Tables S1–S2 cited</x:v>
      </x:c>
      <x:c r="F589" s="12" t="str">
        <x:v>Clear</x:v>
      </x:c>
      <x:c r="G589" s="12" t="str">
        <x:v>Batch 08</x:v>
      </x:c>
    </x:row>
    <x:row r="590" ht="36" hidden="0" customHeight="1">
      <x:c r="A590" s="12" t="str">
        <x:v>S089</x:v>
      </x:c>
      <x:c r="B590" s="12" t="str">
        <x:v>L5</x:v>
      </x:c>
      <x:c r="C590" s="12" t="n">
        <x:v>1</x:v>
      </x:c>
      <x:c r="D590" s="12" t="str">
        <x:v>Cyclic protocols include 3000 cycles at 5% and 100% strain.</x:v>
      </x:c>
      <x:c r="E590" s="12" t="str">
        <x:v>PDF pp. 10–35 of available accepted manuscript; Figs. 1–10; Tables 1–2; Supplementary Tables S1–S2 cited</x:v>
      </x:c>
      <x:c r="F590" s="12" t="str">
        <x:v>Clear</x:v>
      </x:c>
      <x:c r="G590" s="12" t="str">
        <x:v>Batch 08</x:v>
      </x:c>
    </x:row>
    <x:row r="591" ht="36" hidden="0" customHeight="1">
      <x:c r="A591" s="12" t="str">
        <x:v>S089</x:v>
      </x:c>
      <x:c r="B591" s="12" t="str">
        <x:v>L6</x:v>
      </x:c>
      <x:c r="C591" s="12" t="n">
        <x:v>1</x:v>
      </x:c>
      <x:c r="D591" s="12" t="str">
        <x:v>Conductivity was measured and reported across a stated 20–80 °C exposure.</x:v>
      </x:c>
      <x:c r="E591" s="12" t="str">
        <x:v>PDF pp. 10–35 of available accepted manuscript; Figs. 1–10; Tables 1–2; Supplementary Tables S1–S2 cited</x:v>
      </x:c>
      <x:c r="F591" s="12" t="str">
        <x:v>Clear</x:v>
      </x:c>
      <x:c r="G591" s="12" t="str">
        <x:v>Batch 08</x:v>
      </x:c>
    </x:row>
    <x:row r="592" ht="36" hidden="0" customHeight="1">
      <x:c r="A592" s="12" t="str">
        <x:v>S089</x:v>
      </x:c>
      <x:c r="B592" s="12" t="str">
        <x:v>L7</x:v>
      </x:c>
      <x:c r="C592" s="12" t="n">
        <x:v>0</x:v>
      </x:c>
      <x:c r="D592" s="12" t="str">
        <x:v>No qualifying interface-integrity test or repeated final monolithic wearable-assembly test with a retention/failure endpoint was located.</x:v>
      </x:c>
      <x:c r="E592" s="12" t="str">
        <x:v>PDF pp. 10–35 of available accepted manuscript; Figs. 1–10; Tables 1–2; Supplementary Tables S1–S2 cited</x:v>
      </x:c>
      <x:c r="F592" s="12" t="str">
        <x:v>Clear</x:v>
      </x:c>
      <x:c r="G592" s="12" t="str">
        <x:v>Adjudicated to Reviewer 2</x:v>
      </x:c>
    </x:row>
    <x:row r="593" ht="36" hidden="0" customHeight="1">
      <x:c r="A593" s="12" t="str">
        <x:v>S089</x:v>
      </x:c>
      <x:c r="B593" s="12" t="str">
        <x:v>L8</x:v>
      </x:c>
      <x:c r="C593" s="12" t="n">
        <x:v>0</x:v>
      </x:c>
      <x:c r="D593" s="12" t="str">
        <x:v>Material variants and repeated cycles were reported, but no ≥3 separately fabricated same-condition complete-device comparison was identified.</x:v>
      </x:c>
      <x:c r="E593" s="12" t="str">
        <x:v>PDF pp. 10–35 of available accepted manuscript; Figs. 1–10; Tables 1–2; Supplementary Tables S1–S2 cited</x:v>
      </x:c>
      <x:c r="F593" s="12" t="str">
        <x:v>Clear</x:v>
      </x:c>
      <x:c r="G593" s="12" t="str">
        <x:v>Batch 08</x:v>
      </x:c>
    </x:row>
    <x:row r="594" ht="24" hidden="0" customHeight="1">
      <x:c r="A594" s="12" t="str">
        <x:v>S090</x:v>
      </x:c>
      <x:c r="B594" s="12" t="str">
        <x:v>L1</x:v>
      </x:c>
      <x:c r="C594" s="12" t="n">
        <x:v>0</x:v>
      </x:c>
      <x:c r="D594" s="12" t="str">
        <x:v>The FDM system, soft-PLA filament and role of the mask are stated, but FDM nozzle diameter, extrusion temperature, layer height, speed and infill are not reported.</x:v>
      </x:c>
      <x:c r="E594" s="12" t="str">
        <x:v>PDF pp. 2–7; Figs. 1, 3–4; Tables 1–2</x:v>
      </x:c>
      <x:c r="F594" s="12" t="str">
        <x:v>Clear</x:v>
      </x:c>
      <x:c r="G594" s="12" t="str">
        <x:v>Batch 09</x:v>
      </x:c>
    </x:row>
    <x:row r="595" ht="15" hidden="0" customHeight="1">
      <x:c r="A595" s="12" t="str">
        <x:v>S090</x:v>
      </x:c>
      <x:c r="B595" s="12" t="str">
        <x:v>L2</x:v>
      </x:c>
      <x:c r="C595" s="12" t="n">
        <x:v>1</x:v>
      </x:c>
      <x:c r="D595" s="12" t="str">
        <x:v>Soft PLA, PEDOT:PSS, silver contacts, substrates, electrolyte and the structural role of the insulating mask are described.</x:v>
      </x:c>
      <x:c r="E595" s="12" t="str">
        <x:v>PDF pp. 2–7; Figs. 1, 3–4; Tables 1–2</x:v>
      </x:c>
      <x:c r="F595" s="12" t="str">
        <x:v>Clear</x:v>
      </x:c>
      <x:c r="G595" s="12" t="str">
        <x:v>Batch 09</x:v>
      </x:c>
    </x:row>
    <x:row r="596" ht="15" hidden="0" customHeight="1">
      <x:c r="A596" s="12" t="str">
        <x:v>S090</x:v>
      </x:c>
      <x:c r="B596" s="12" t="str">
        <x:v>L3</x:v>
      </x:c>
      <x:c r="C596" s="12" t="n">
        <x:v>1</x:v>
      </x:c>
      <x:c r="D596" s="12" t="str">
        <x:v>Electrical gate/drain inputs and ion/pH inputs are linked to OECT current, voltage shift and transconductance outputs.</x:v>
      </x:c>
      <x:c r="E596" s="12" t="str">
        <x:v>PDF pp. 2–7; Figs. 1, 3–4; Tables 1–2</x:v>
      </x:c>
      <x:c r="F596" s="12" t="str">
        <x:v>Clear</x:v>
      </x:c>
      <x:c r="G596" s="12" t="str">
        <x:v>Batch 09</x:v>
      </x:c>
    </x:row>
    <x:row r="597" ht="15" hidden="0" customHeight="1">
      <x:c r="A597" s="12" t="str">
        <x:v>S090</x:v>
      </x:c>
      <x:c r="B597" s="12" t="str">
        <x:v>L4</x:v>
      </x:c>
      <x:c r="C597" s="12" t="n">
        <x:v>1</x:v>
      </x:c>
      <x:c r="D597" s="12" t="str">
        <x:v>Transconductance, threshold voltage, ON/OFF ratio and ion/pH sensitivities are quantitative with stated ranges or conditions.</x:v>
      </x:c>
      <x:c r="E597" s="12" t="str">
        <x:v>PDF pp. 2–7; Figs. 1, 3–4; Tables 1–2</x:v>
      </x:c>
      <x:c r="F597" s="12" t="str">
        <x:v>Clear</x:v>
      </x:c>
      <x:c r="G597" s="12" t="str">
        <x:v>Batch 09</x:v>
      </x:c>
    </x:row>
    <x:row r="598" ht="24" hidden="0" customHeight="1">
      <x:c r="A598" s="12" t="str">
        <x:v>S090</x:v>
      </x:c>
      <x:c r="B598" s="12" t="str">
        <x:v>L5</x:v>
      </x:c>
      <x:c r="C598" s="12" t="n">
        <x:v>0</x:v>
      </x:c>
      <x:c r="D598" s="12" t="str">
        <x:v>The paper mentions measurement cycles and repeatability but does not report at least three complete same-device repetitions of a defined intended stimulus.</x:v>
      </x:c>
      <x:c r="E598" s="12" t="str">
        <x:v>PDF pp. 2–7; Figs. 1, 3–4; Tables 1–2</x:v>
      </x:c>
      <x:c r="F598" s="12" t="str">
        <x:v>Clear</x:v>
      </x:c>
      <x:c r="G598" s="12" t="str">
        <x:v>Batch 09</x:v>
      </x:c>
    </x:row>
    <x:row r="599" ht="24" hidden="0" customHeight="1">
      <x:c r="A599" s="12" t="str">
        <x:v>S090</x:v>
      </x:c>
      <x:c r="B599" s="12" t="str">
        <x:v>L6</x:v>
      </x:c>
      <x:c r="C599" s="12" t="n">
        <x:v>0</x:v>
      </x:c>
      <x:c r="D599" s="12" t="str">
        <x:v>The aqueous electrolyte is the operating medium and ion/pH solutions are intended measurands; no distinct qualifying environmental or use-related exposure was tested.</x:v>
      </x:c>
      <x:c r="E599" s="12" t="str">
        <x:v>PDF pp. 2–7; Figs. 1, 3–4; Tables 1–2</x:v>
      </x:c>
      <x:c r="F599" s="12" t="str">
        <x:v>Clear</x:v>
      </x:c>
      <x:c r="G599" s="12" t="str">
        <x:v>Batch 09</x:v>
      </x:c>
    </x:row>
    <x:row r="600" ht="24" hidden="0" customHeight="1">
      <x:c r="A600" s="12" t="str">
        <x:v>S090</x:v>
      </x:c>
      <x:c r="B600" s="12" t="str">
        <x:v>L7</x:v>
      </x:c>
      <x:c r="C600" s="12" t="n">
        <x:v>0</x:v>
      </x:c>
      <x:c r="D600" s="12" t="str">
        <x:v>The FDM mask is integrated into the completed device, but no quantitative interface metric, pre/post-integration comparison or repeated application-loading retention test is reported.</x:v>
      </x:c>
      <x:c r="E600" s="12" t="str">
        <x:v>PDF pp. 2–7; Figs. 1, 3–4; Tables 1–2</x:v>
      </x:c>
      <x:c r="F600" s="12" t="str">
        <x:v>Clear</x:v>
      </x:c>
      <x:c r="G600" s="12" t="str">
        <x:v>Batch 09</x:v>
      </x:c>
    </x:row>
    <x:row r="601" ht="24" hidden="0" customHeight="1">
      <x:c r="A601" s="12" t="str">
        <x:v>S090</x:v>
      </x:c>
      <x:c r="B601" s="12" t="str">
        <x:v>L8</x:v>
      </x:c>
      <x:c r="C601" s="12" t="n">
        <x:v>1</x:v>
      </x:c>
      <x:c r="D601" s="12" t="str">
        <x:v>Soft-PLA and PET device parameters are reported across n=4 or n=8 devices with dispersion, satisfying the locked between-device rule.</x:v>
      </x:c>
      <x:c r="E601" s="12" t="str">
        <x:v>PDF pp. 2–7; Figs. 1, 3–4; Tables 1–2</x:v>
      </x:c>
      <x:c r="F601" s="12" t="str">
        <x:v>Clear</x:v>
      </x:c>
      <x:c r="G601" s="12" t="str">
        <x:v>Batch 09</x:v>
      </x:c>
    </x:row>
    <x:row r="602" ht="24" hidden="0" customHeight="1">
      <x:c r="A602" s="12" t="str">
        <x:v>S091</x:v>
      </x:c>
      <x:c r="B602" s="12" t="str">
        <x:v>L1</x:v>
      </x:c>
      <x:c r="C602" s="12" t="n">
        <x:v>1</x:v>
      </x:c>
      <x:c r="D602" s="12" t="str">
        <x:v>FDM, printer/model, functional filament, nozzle, print and bed temperatures, speed, layer height, raster direction and specimen geometry are reported.</x:v>
      </x:c>
      <x:c r="E602" s="12" t="str">
        <x:v>PDF pp. 1–8; Figs. 2, 6–11; Table 1; ESI Table S1 and Fig. S5 cited</x:v>
      </x:c>
      <x:c r="F602" s="12" t="str">
        <x:v>Clear</x:v>
      </x:c>
      <x:c r="G602" s="12" t="str">
        <x:v>Batch 09</x:v>
      </x:c>
    </x:row>
    <x:row r="603" ht="24" hidden="0" customHeight="1">
      <x:c r="A603" s="12" t="str">
        <x:v>S091</x:v>
      </x:c>
      <x:c r="B603" s="12" t="str">
        <x:v>L2</x:v>
      </x:c>
      <x:c r="C603" s="12" t="n">
        <x:v>1</x:v>
      </x:c>
      <x:c r="D603" s="12" t="str">
        <x:v>PVDF grade, MWCNT dimensions/loading, composite preparation, printed geometry, contacts and electrical readout are described.</x:v>
      </x:c>
      <x:c r="E603" s="12" t="str">
        <x:v>PDF pp. 1–8; Figs. 2, 6–11; Table 1; ESI Table S1 and Fig. S5 cited</x:v>
      </x:c>
      <x:c r="F603" s="12" t="str">
        <x:v>Clear</x:v>
      </x:c>
      <x:c r="G603" s="12" t="str">
        <x:v>Batch 09</x:v>
      </x:c>
    </x:row>
    <x:row r="604" ht="24" hidden="0" customHeight="1">
      <x:c r="A604" s="12" t="str">
        <x:v>S091</x:v>
      </x:c>
      <x:c r="B604" s="12" t="str">
        <x:v>L3</x:v>
      </x:c>
      <x:c r="C604" s="12" t="n">
        <x:v>1</x:v>
      </x:c>
      <x:c r="D604" s="12" t="str">
        <x:v>Controlled VOC exposure and vacuum recovery are linked to real-time relative resistance.</x:v>
      </x:c>
      <x:c r="E604" s="12" t="str">
        <x:v>PDF pp. 1–8; Figs. 2, 6–11; Table 1; ESI Table S1 and Fig. S5 cited</x:v>
      </x:c>
      <x:c r="F604" s="12" t="str">
        <x:v>Clear</x:v>
      </x:c>
      <x:c r="G604" s="12" t="str">
        <x:v>Batch 09</x:v>
      </x:c>
    </x:row>
    <x:row r="605" ht="24" hidden="0" customHeight="1">
      <x:c r="A605" s="12" t="str">
        <x:v>S091</x:v>
      </x:c>
      <x:c r="B605" s="12" t="str">
        <x:v>L4</x:v>
      </x:c>
      <x:c r="C605" s="12" t="n">
        <x:v>1</x:v>
      </x:c>
      <x:c r="D605" s="12" t="str">
        <x:v>Resistance change, response time, baseline resistance, loading, geometry and cycle conditions are quantitatively reported.</x:v>
      </x:c>
      <x:c r="E605" s="12" t="str">
        <x:v>PDF pp. 1–8; Figs. 2, 6–11; Table 1; ESI Table S1 and Fig. S5 cited</x:v>
      </x:c>
      <x:c r="F605" s="12" t="str">
        <x:v>Clear</x:v>
      </x:c>
      <x:c r="G605" s="12" t="str">
        <x:v>Batch 09</x:v>
      </x:c>
    </x:row>
    <x:row r="606" ht="24" hidden="0" customHeight="1">
      <x:c r="A606" s="12" t="str">
        <x:v>S091</x:v>
      </x:c>
      <x:c r="B606" s="12" t="str">
        <x:v>L5</x:v>
      </x:c>
      <x:c r="C606" s="12" t="n">
        <x:v>1</x:v>
      </x:c>
      <x:c r="D606" s="12" t="str">
        <x:v>Four-cycle VOC tests and a 25-cycle acetone–vacuum endurance test provide defined same-device repetition evidence.</x:v>
      </x:c>
      <x:c r="E606" s="12" t="str">
        <x:v>PDF pp. 1–8; Figs. 2, 6–11; Table 1; ESI Table S1 and Fig. S5 cited</x:v>
      </x:c>
      <x:c r="F606" s="12" t="str">
        <x:v>Clear</x:v>
      </x:c>
      <x:c r="G606" s="12" t="str">
        <x:v>Batch 09</x:v>
      </x:c>
    </x:row>
    <x:row r="607" ht="24" hidden="0" customHeight="1">
      <x:c r="A607" s="12" t="str">
        <x:v>S091</x:v>
      </x:c>
      <x:c r="B607" s="12" t="str">
        <x:v>L6</x:v>
      </x:c>
      <x:c r="C607" s="12" t="n">
        <x:v>0</x:v>
      </x:c>
      <x:c r="D607" s="12" t="str">
        <x:v>VOC exposure is the intended measurand rather than a distinct environmental or use-related stress; no separate qualifying exposure was tested.</x:v>
      </x:c>
      <x:c r="E607" s="12" t="str">
        <x:v>PDF pp. 1–8; Figs. 2, 6–11; Table 1; ESI Table S1 and Fig. S5 cited</x:v>
      </x:c>
      <x:c r="F607" s="12" t="str">
        <x:v>Clear</x:v>
      </x:c>
      <x:c r="G607" s="12" t="str">
        <x:v>Batch 09</x:v>
      </x:c>
    </x:row>
    <x:row r="608" ht="24" hidden="0" customHeight="1">
      <x:c r="A608" s="12" t="str">
        <x:v>S091</x:v>
      </x:c>
      <x:c r="B608" s="12" t="str">
        <x:v>L7</x:v>
      </x:c>
      <x:c r="C608" s="12" t="n">
        <x:v>0</x:v>
      </x:c>
      <x:c r="D608" s="12" t="str">
        <x:v>No qualifying interface-integrity test or repeated final monolithic wearable-assembly test with a retention/failure endpoint was located.</x:v>
      </x:c>
      <x:c r="E608" s="12" t="str">
        <x:v>PDF pp. 1–8; Figs. 2, 6–11; Table 1; ESI Table S1 and Fig. S5 cited</x:v>
      </x:c>
      <x:c r="F608" s="12" t="str">
        <x:v>Clear</x:v>
      </x:c>
      <x:c r="G608" s="12" t="str">
        <x:v>Adjudicated to Reviewer 2</x:v>
      </x:c>
    </x:row>
    <x:row r="609" ht="24" hidden="0" customHeight="1">
      <x:c r="A609" s="12" t="str">
        <x:v>S091</x:v>
      </x:c>
      <x:c r="B609" s="12" t="str">
        <x:v>L8</x:v>
      </x:c>
      <x:c r="C609" s="12" t="n">
        <x:v>1</x:v>
      </x:c>
      <x:c r="D609" s="12" t="str">
        <x:v>Baseline resistance was measured on three separately printed one-layer sensors per MWCNT ratio and reported with dispersion.</x:v>
      </x:c>
      <x:c r="E609" s="12" t="str">
        <x:v>PDF pp. 1–8; Figs. 2, 6–11; Table 1; ESI Table S1 and Fig. S5 cited</x:v>
      </x:c>
      <x:c r="F609" s="12" t="str">
        <x:v>Clear</x:v>
      </x:c>
      <x:c r="G609" s="12" t="str">
        <x:v>Batch 09</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32.220001220703125" hidden="0" customWidth="1"/>
    <x:col min="3" max="3" width="14.4399995803833" hidden="0" customWidth="1"/>
    <x:col min="4" max="4" width="76.66999816894531" hidden="0" customWidth="1"/>
    <x:col min="5" max="5" width="31.110000610351562" hidden="0" customWidth="1"/>
    <x:col min="6" max="6" width="13.329999923706055" hidden="0" customWidth="1"/>
  </x:cols>
  <x:sheetData>
    <x:row r="1" ht="24" hidden="0" customHeight="1">
      <x:c r="A1" s="11" t="str">
        <x:v>Stable Study ID</x:v>
      </x:c>
      <x:c r="B1" s="11" t="str">
        <x:v>Domain</x:v>
      </x:c>
      <x:c r="C1" s="11" t="str">
        <x:v>Concern judgment</x:v>
      </x:c>
      <x:c r="D1" s="11" t="str">
        <x:v>Rationale</x:v>
      </x:c>
      <x:c r="E1" s="11" t="str">
        <x:v>Evidence locator</x:v>
      </x:c>
      <x:c r="F1" s="11" t="str">
        <x:v>Authoritative source</x:v>
      </x:c>
    </x:row>
    <x:row r="2" ht="15" hidden="0" customHeight="1">
      <x:c r="A2" s="12" t="str">
        <x:v>S001</x:v>
      </x:c>
      <x:c r="B2" s="12" t="str">
        <x:v>D1 Sampling/specimen selection</x:v>
      </x:c>
      <x:c r="C2" s="12" t="str">
        <x:v>Some concern</x:v>
      </x:c>
      <x:c r="D2" s="12" t="str">
        <x:v>Five volunteers are described, but fabricated-device count is NR</x:v>
      </x:c>
      <x:c r="E2" s="12" t="str">
        <x:v>PDF pp. 6-7</x:v>
      </x:c>
      <x:c r="F2" s="12" t="str">
        <x:v>Pilot</x:v>
      </x:c>
    </x:row>
    <x:row r="3" ht="15" hidden="0" customHeight="1">
      <x:c r="A3" s="12" t="str">
        <x:v>S001</x:v>
      </x:c>
      <x:c r="B3" s="12" t="str">
        <x:v>D2 Fabrication-variable control</x:v>
      </x:c>
      <x:c r="C3" s="12" t="str">
        <x:v>High concern</x:v>
      </x:c>
      <x:c r="D3" s="12" t="str">
        <x:v>Core print settings are incomplete</x:v>
      </x:c>
      <x:c r="E3" s="12" t="str">
        <x:v>PDF pp. 4-5</x:v>
      </x:c>
      <x:c r="F3" s="12" t="str">
        <x:v>Pilot</x:v>
      </x:c>
    </x:row>
    <x:row r="4" ht="15" hidden="0" customHeight="1">
      <x:c r="A4" s="12" t="str">
        <x:v>S001</x:v>
      </x:c>
      <x:c r="B4" s="12" t="str">
        <x:v>D3 Reference/calibration validity</x:v>
      </x:c>
      <x:c r="C4" s="12" t="str">
        <x:v>Low concern</x:v>
      </x:c>
      <x:c r="D4" s="12" t="str">
        <x:v>Calibrated loads and force-platform comparison are described</x:v>
      </x:c>
      <x:c r="E4" s="12" t="str">
        <x:v>PDF pp. 6-8, 14</x:v>
      </x:c>
      <x:c r="F4" s="12" t="str">
        <x:v>Pilot</x:v>
      </x:c>
    </x:row>
    <x:row r="5" ht="15" hidden="0" customHeight="1">
      <x:c r="A5" s="12" t="str">
        <x:v>S001</x:v>
      </x:c>
      <x:c r="B5" s="12" t="str">
        <x:v>D4 Loading/exposure conditions</x:v>
      </x:c>
      <x:c r="C5" s="12" t="str">
        <x:v>Some concern</x:v>
      </x:c>
      <x:c r="D5" s="12" t="str">
        <x:v>Bench ranges are stated; gait conditions are limited</x:v>
      </x:c>
      <x:c r="E5" s="12" t="str">
        <x:v>PDF pp. 6-7</x:v>
      </x:c>
      <x:c r="F5" s="12" t="str">
        <x:v>Pilot</x:v>
      </x:c>
    </x:row>
    <x:row r="6" ht="15" hidden="0" customHeight="1">
      <x:c r="A6" s="12" t="str">
        <x:v>S001</x:v>
      </x:c>
      <x:c r="B6" s="12" t="str">
        <x:v>D5 Repeated-measurement design</x:v>
      </x:c>
      <x:c r="C6" s="12" t="str">
        <x:v>Low concern</x:v>
      </x:c>
      <x:c r="D6" s="12" t="str">
        <x:v>Three cycles and hysteresis are reported</x:v>
      </x:c>
      <x:c r="E6" s="12" t="str">
        <x:v>PDF pp. 6, 8</x:v>
      </x:c>
      <x:c r="F6" s="12" t="str">
        <x:v>Pilot</x:v>
      </x:c>
    </x:row>
    <x:row r="7" ht="15" hidden="0" customHeight="1">
      <x:c r="A7" s="12" t="str">
        <x:v>S001</x:v>
      </x:c>
      <x:c r="B7" s="12" t="str">
        <x:v>D6 Independent-device replication</x:v>
      </x:c>
      <x:c r="C7" s="12" t="str">
        <x:v>High concern</x:v>
      </x:c>
      <x:c r="D7" s="12" t="str">
        <x:v>No independent-device replication</x:v>
      </x:c>
      <x:c r="E7" s="12" t="str">
        <x:v>PDF pp. 4-15</x:v>
      </x:c>
      <x:c r="F7" s="12" t="str">
        <x:v>Pilot</x:v>
      </x:c>
    </x:row>
    <x:row r="8" ht="15" hidden="0" customHeight="1">
      <x:c r="A8" s="12" t="str">
        <x:v>S001</x:v>
      </x:c>
      <x:c r="B8" s="12" t="str">
        <x:v>D7 Outcome completeness</x:v>
      </x:c>
      <x:c r="C8" s="12" t="str">
        <x:v>Some concern</x:v>
      </x:c>
      <x:c r="D8" s="12" t="str">
        <x:v>Key calibration outcomes are reported; some study-level uncertainty remains</x:v>
      </x:c>
      <x:c r="E8" s="12" t="str">
        <x:v>PDF pp. 8-15</x:v>
      </x:c>
      <x:c r="F8" s="12" t="str">
        <x:v>Pilot</x:v>
      </x:c>
    </x:row>
    <x:row r="9" ht="15" hidden="0" customHeight="1">
      <x:c r="A9" s="12" t="str">
        <x:v>S001</x:v>
      </x:c>
      <x:c r="B9" s="12" t="str">
        <x:v>D8 Wearable applicability</x:v>
      </x:c>
      <x:c r="C9" s="12" t="str">
        <x:v>Low concern</x:v>
      </x:c>
      <x:c r="D9" s="12" t="str">
        <x:v>Final insole evaluated during gait</x:v>
      </x:c>
      <x:c r="E9" s="12" t="str">
        <x:v>PDF pp. 6-7, 14</x:v>
      </x:c>
      <x:c r="F9" s="12" t="str">
        <x:v>Pilot</x:v>
      </x:c>
    </x:row>
    <x:row r="10" ht="15" hidden="0" customHeight="1">
      <x:c r="A10" s="12" t="str">
        <x:v>S002</x:v>
      </x:c>
      <x:c r="B10" s="12" t="str">
        <x:v>D1 Sampling/specimen selection</x:v>
      </x:c>
      <x:c r="C10" s="12" t="str">
        <x:v>Some concern</x:v>
      </x:c>
      <x:c r="D10" s="12" t="str">
        <x:v>Device allocation is unclear for several n=3 tests</x:v>
      </x:c>
      <x:c r="E10" s="12" t="str">
        <x:v>PDF pp. 6-10</x:v>
      </x:c>
      <x:c r="F10" s="12" t="str">
        <x:v>Pilot</x:v>
      </x:c>
    </x:row>
    <x:row r="11" ht="15" hidden="0" customHeight="1">
      <x:c r="A11" s="12" t="str">
        <x:v>S002</x:v>
      </x:c>
      <x:c r="B11" s="12" t="str">
        <x:v>D2 Fabrication-variable control</x:v>
      </x:c>
      <x:c r="C11" s="12" t="str">
        <x:v>Some concern</x:v>
      </x:c>
      <x:c r="D11" s="12" t="str">
        <x:v>Several settings are reported, but printer/model and layer height are NR</x:v>
      </x:c>
      <x:c r="E11" s="12" t="str">
        <x:v>PDF p. 4</x:v>
      </x:c>
      <x:c r="F11" s="12" t="str">
        <x:v>Pilot</x:v>
      </x:c>
    </x:row>
    <x:row r="12" ht="15" hidden="0" customHeight="1">
      <x:c r="A12" s="12" t="str">
        <x:v>S002</x:v>
      </x:c>
      <x:c r="B12" s="12" t="str">
        <x:v>D3 Reference/calibration validity</x:v>
      </x:c>
      <x:c r="C12" s="12" t="str">
        <x:v>Low concern</x:v>
      </x:c>
      <x:c r="D12" s="12" t="str">
        <x:v>Concentration standards and DPV settings are described</x:v>
      </x:c>
      <x:c r="E12" s="12" t="str">
        <x:v>PDF pp. 5-7</x:v>
      </x:c>
      <x:c r="F12" s="12" t="str">
        <x:v>Pilot</x:v>
      </x:c>
    </x:row>
    <x:row r="13" ht="15" hidden="0" customHeight="1">
      <x:c r="A13" s="12" t="str">
        <x:v>S002</x:v>
      </x:c>
      <x:c r="B13" s="12" t="str">
        <x:v>D4 Loading/exposure conditions</x:v>
      </x:c>
      <x:c r="C13" s="12" t="str">
        <x:v>Low concern</x:v>
      </x:c>
      <x:c r="D13" s="12" t="str">
        <x:v>Artificial-sweat pH and interferents are stated</x:v>
      </x:c>
      <x:c r="E13" s="12" t="str">
        <x:v>PDF pp. 8-10</x:v>
      </x:c>
      <x:c r="F13" s="12" t="str">
        <x:v>Pilot</x:v>
      </x:c>
    </x:row>
    <x:row r="14" ht="15" hidden="0" customHeight="1">
      <x:c r="A14" s="12" t="str">
        <x:v>S002</x:v>
      </x:c>
      <x:c r="B14" s="12" t="str">
        <x:v>D5 Repeated-measurement design</x:v>
      </x:c>
      <x:c r="C14" s="12" t="str">
        <x:v>Low concern</x:v>
      </x:c>
      <x:c r="D14" s="12" t="str">
        <x:v>Ten repeated measurements reported with RSD</x:v>
      </x:c>
      <x:c r="E14" s="12" t="str">
        <x:v>PDF pp. 7-8</x:v>
      </x:c>
      <x:c r="F14" s="12" t="str">
        <x:v>Pilot</x:v>
      </x:c>
    </x:row>
    <x:row r="15" ht="15" hidden="0" customHeight="1">
      <x:c r="A15" s="12" t="str">
        <x:v>S002</x:v>
      </x:c>
      <x:c r="B15" s="12" t="str">
        <x:v>D6 Independent-device replication</x:v>
      </x:c>
      <x:c r="C15" s="12" t="str">
        <x:v>Low concern</x:v>
      </x:c>
      <x:c r="D15" s="12" t="str">
        <x:v>Six separate 3DPEs compared with RSD</x:v>
      </x:c>
      <x:c r="E15" s="12" t="str">
        <x:v>PDF pp. 7-8</x:v>
      </x:c>
      <x:c r="F15" s="12" t="str">
        <x:v>Pilot</x:v>
      </x:c>
    </x:row>
    <x:row r="16" ht="15" hidden="0" customHeight="1">
      <x:c r="A16" s="12" t="str">
        <x:v>S002</x:v>
      </x:c>
      <x:c r="B16" s="12" t="str">
        <x:v>D7 Outcome completeness</x:v>
      </x:c>
      <x:c r="C16" s="12" t="str">
        <x:v>Low concern</x:v>
      </x:c>
      <x:c r="D16" s="12" t="str">
        <x:v>Calibration, repeatability, reproducibility and recovery are reported</x:v>
      </x:c>
      <x:c r="E16" s="12" t="str">
        <x:v>PDF pp. 6-10</x:v>
      </x:c>
      <x:c r="F16" s="12" t="str">
        <x:v>Pilot</x:v>
      </x:c>
    </x:row>
    <x:row r="17" ht="15" hidden="0" customHeight="1">
      <x:c r="A17" s="12" t="str">
        <x:v>S002</x:v>
      </x:c>
      <x:c r="B17" s="12" t="str">
        <x:v>D8 Wearable applicability</x:v>
      </x:c>
      <x:c r="C17" s="12" t="str">
        <x:v>Some concern</x:v>
      </x:c>
      <x:c r="D17" s="12" t="str">
        <x:v>Sweat matrix is relevant, but no final wearable assembly is tested</x:v>
      </x:c>
      <x:c r="E17" s="12" t="str">
        <x:v>PDF pp. 8-10</x:v>
      </x:c>
      <x:c r="F17" s="12" t="str">
        <x:v>Pilot</x:v>
      </x:c>
    </x:row>
    <x:row r="18" ht="15" hidden="0" customHeight="1">
      <x:c r="A18" s="12" t="str">
        <x:v>S004</x:v>
      </x:c>
      <x:c r="B18" s="12" t="str">
        <x:v>D1 Sampling/specimen selection</x:v>
      </x:c>
      <x:c r="C18" s="12" t="str">
        <x:v>High concern</x:v>
      </x:c>
      <x:c r="D18" s="12" t="str">
        <x:v>Device and participant counts are not reported</x:v>
      </x:c>
      <x:c r="E18" s="12" t="str">
        <x:v>PDF pp. 2–13; Figs. 1–8</x:v>
      </x:c>
      <x:c r="F18" s="12" t="str">
        <x:v>Batch 01</x:v>
      </x:c>
    </x:row>
    <x:row r="19" ht="15" hidden="0" customHeight="1">
      <x:c r="A19" s="12" t="str">
        <x:v>S004</x:v>
      </x:c>
      <x:c r="B19" s="12" t="str">
        <x:v>D2 Fabrication-variable control</x:v>
      </x:c>
      <x:c r="C19" s="12" t="str">
        <x:v>Low concern</x:v>
      </x:c>
      <x:c r="D19" s="12" t="str">
        <x:v>Principal print settings are detailed</x:v>
      </x:c>
      <x:c r="E19" s="12" t="str">
        <x:v>PDF pp. 2–13; Figs. 1–8</x:v>
      </x:c>
      <x:c r="F19" s="12" t="str">
        <x:v>Batch 01</x:v>
      </x:c>
    </x:row>
    <x:row r="20" ht="15" hidden="0" customHeight="1">
      <x:c r="A20" s="12" t="str">
        <x:v>S004</x:v>
      </x:c>
      <x:c r="B20" s="12" t="str">
        <x:v>D3 Reference/calibration validity</x:v>
      </x:c>
      <x:c r="C20" s="12" t="str">
        <x:v>Low concern</x:v>
      </x:c>
      <x:c r="D20" s="12" t="str">
        <x:v>UTM and electrical instruments described</x:v>
      </x:c>
      <x:c r="E20" s="12" t="str">
        <x:v>PDF pp. 2–13; Figs. 1–8</x:v>
      </x:c>
      <x:c r="F20" s="12" t="str">
        <x:v>Batch 01</x:v>
      </x:c>
    </x:row>
    <x:row r="21" ht="15" hidden="0" customHeight="1">
      <x:c r="A21" s="12" t="str">
        <x:v>S004</x:v>
      </x:c>
      <x:c r="B21" s="12" t="str">
        <x:v>D4 Loading/exposure conditions</x:v>
      </x:c>
      <x:c r="C21" s="12" t="str">
        <x:v>Some concern</x:v>
      </x:c>
      <x:c r="D21" s="12" t="str">
        <x:v>Many conditions are shown but repetition basis is incomplete</x:v>
      </x:c>
      <x:c r="E21" s="12" t="str">
        <x:v>PDF pp. 2–13; Figs. 1–8</x:v>
      </x:c>
      <x:c r="F21" s="12" t="str">
        <x:v>Batch 01</x:v>
      </x:c>
    </x:row>
    <x:row r="22" ht="15" hidden="0" customHeight="1">
      <x:c r="A22" s="12" t="str">
        <x:v>S004</x:v>
      </x:c>
      <x:c r="B22" s="12" t="str">
        <x:v>D5 Repeated-measurement design</x:v>
      </x:c>
      <x:c r="C22" s="12" t="str">
        <x:v>Some concern</x:v>
      </x:c>
      <x:c r="D22" s="12" t="str">
        <x:v>Cyclic traces lack a clear same-condition count</x:v>
      </x:c>
      <x:c r="E22" s="12" t="str">
        <x:v>PDF pp. 2–13; Figs. 1–8</x:v>
      </x:c>
      <x:c r="F22" s="12" t="str">
        <x:v>Batch 01</x:v>
      </x:c>
    </x:row>
    <x:row r="23" ht="15" hidden="0" customHeight="1">
      <x:c r="A23" s="12" t="str">
        <x:v>S004</x:v>
      </x:c>
      <x:c r="B23" s="12" t="str">
        <x:v>D6 Independent-device replication</x:v>
      </x:c>
      <x:c r="C23" s="12" t="str">
        <x:v>High concern</x:v>
      </x:c>
      <x:c r="D23" s="12" t="str">
        <x:v>No separate-device comparison</x:v>
      </x:c>
      <x:c r="E23" s="12" t="str">
        <x:v>PDF pp. 2–13; Figs. 1–8</x:v>
      </x:c>
      <x:c r="F23" s="12" t="str">
        <x:v>Batch 01</x:v>
      </x:c>
    </x:row>
    <x:row r="24" ht="15" hidden="0" customHeight="1">
      <x:c r="A24" s="12" t="str">
        <x:v>S004</x:v>
      </x:c>
      <x:c r="B24" s="12" t="str">
        <x:v>D7 Outcome completeness</x:v>
      </x:c>
      <x:c r="C24" s="12" t="str">
        <x:v>Some concern</x:v>
      </x:c>
      <x:c r="D24" s="12" t="str">
        <x:v>Major outputs reported; uncertainty is limited</x:v>
      </x:c>
      <x:c r="E24" s="12" t="str">
        <x:v>PDF pp. 2–13; Figs. 1–8</x:v>
      </x:c>
      <x:c r="F24" s="12" t="str">
        <x:v>Batch 01</x:v>
      </x:c>
    </x:row>
    <x:row r="25" ht="15" hidden="0" customHeight="1">
      <x:c r="A25" s="12" t="str">
        <x:v>S004</x:v>
      </x:c>
      <x:c r="B25" s="12" t="str">
        <x:v>D8 Wearable applicability</x:v>
      </x:c>
      <x:c r="C25" s="12" t="str">
        <x:v>Some concern</x:v>
      </x:c>
      <x:c r="D25" s="12" t="str">
        <x:v>Several on-body demonstrations but protocol/participants are sparse</x:v>
      </x:c>
      <x:c r="E25" s="12" t="str">
        <x:v>PDF pp. 2–13; Figs. 1–8</x:v>
      </x:c>
      <x:c r="F25" s="12" t="str">
        <x:v>Batch 01</x:v>
      </x:c>
    </x:row>
    <x:row r="26" ht="15" hidden="0" customHeight="1">
      <x:c r="A26" s="12" t="str">
        <x:v>S005</x:v>
      </x:c>
      <x:c r="B26" s="12" t="str">
        <x:v>D1 Sampling/specimen selection</x:v>
      </x:c>
      <x:c r="C26" s="12" t="str">
        <x:v>Some concern</x:v>
      </x:c>
      <x:c r="D26" s="12" t="str">
        <x:v>Three users but one selected sensor design</x:v>
      </x:c>
      <x:c r="E26" s="12" t="str">
        <x:v>PDF pp. 3–11; Figs. 1–9; Tables 1–3</x:v>
      </x:c>
      <x:c r="F26" s="12" t="str">
        <x:v>Batch 01</x:v>
      </x:c>
    </x:row>
    <x:row r="27" ht="15" hidden="0" customHeight="1">
      <x:c r="A27" s="12" t="str">
        <x:v>S005</x:v>
      </x:c>
      <x:c r="B27" s="12" t="str">
        <x:v>D2 Fabrication-variable control</x:v>
      </x:c>
      <x:c r="C27" s="12" t="str">
        <x:v>High concern</x:v>
      </x:c>
      <x:c r="D27" s="12" t="str">
        <x:v>Core print settings are incomplete</x:v>
      </x:c>
      <x:c r="E27" s="12" t="str">
        <x:v>PDF pp. 3–11; Figs. 1–9; Tables 1–3</x:v>
      </x:c>
      <x:c r="F27" s="12" t="str">
        <x:v>Batch 01</x:v>
      </x:c>
    </x:row>
    <x:row r="28" ht="15" hidden="0" customHeight="1">
      <x:c r="A28" s="12" t="str">
        <x:v>S005</x:v>
      </x:c>
      <x:c r="B28" s="12" t="str">
        <x:v>D3 Reference/calibration validity</x:v>
      </x:c>
      <x:c r="C28" s="12" t="str">
        <x:v>Low concern</x:v>
      </x:c>
      <x:c r="D28" s="12" t="str">
        <x:v>Piezo stage and BioHarness references are described</x:v>
      </x:c>
      <x:c r="E28" s="12" t="str">
        <x:v>PDF pp. 3–11; Figs. 1–9; Tables 1–3</x:v>
      </x:c>
      <x:c r="F28" s="12" t="str">
        <x:v>Batch 01</x:v>
      </x:c>
    </x:row>
    <x:row r="29" ht="15" hidden="0" customHeight="1">
      <x:c r="A29" s="12" t="str">
        <x:v>S005</x:v>
      </x:c>
      <x:c r="B29" s="12" t="str">
        <x:v>D4 Loading/exposure conditions</x:v>
      </x:c>
      <x:c r="C29" s="12" t="str">
        <x:v>Low concern</x:v>
      </x:c>
      <x:c r="D29" s="12" t="str">
        <x:v>Dynamic ranges and user protocol are stated</x:v>
      </x:c>
      <x:c r="E29" s="12" t="str">
        <x:v>PDF pp. 3–11; Figs. 1–9; Tables 1–3</x:v>
      </x:c>
      <x:c r="F29" s="12" t="str">
        <x:v>Batch 01</x:v>
      </x:c>
    </x:row>
    <x:row r="30" ht="15" hidden="0" customHeight="1">
      <x:c r="A30" s="12" t="str">
        <x:v>S005</x:v>
      </x:c>
      <x:c r="B30" s="12" t="str">
        <x:v>D5 Repeated-measurement design</x:v>
      </x:c>
      <x:c r="C30" s="12" t="str">
        <x:v>Some concern</x:v>
      </x:c>
      <x:c r="D30" s="12" t="str">
        <x:v>Repeated user tests do not isolate device stability</x:v>
      </x:c>
      <x:c r="E30" s="12" t="str">
        <x:v>PDF pp. 3–11; Figs. 1–9; Tables 1–3</x:v>
      </x:c>
      <x:c r="F30" s="12" t="str">
        <x:v>Batch 01</x:v>
      </x:c>
    </x:row>
    <x:row r="31" ht="15" hidden="0" customHeight="1">
      <x:c r="A31" s="12" t="str">
        <x:v>S005</x:v>
      </x:c>
      <x:c r="B31" s="12" t="str">
        <x:v>D6 Independent-device replication</x:v>
      </x:c>
      <x:c r="C31" s="12" t="str">
        <x:v>High concern</x:v>
      </x:c>
      <x:c r="D31" s="12" t="str">
        <x:v>No replicate devices of selected design</x:v>
      </x:c>
      <x:c r="E31" s="12" t="str">
        <x:v>PDF pp. 3–11; Figs. 1–9; Tables 1–3</x:v>
      </x:c>
      <x:c r="F31" s="12" t="str">
        <x:v>Batch 01</x:v>
      </x:c>
    </x:row>
    <x:row r="32" ht="15" hidden="0" customHeight="1">
      <x:c r="A32" s="12" t="str">
        <x:v>S005</x:v>
      </x:c>
      <x:c r="B32" s="12" t="str">
        <x:v>D7 Outcome completeness</x:v>
      </x:c>
      <x:c r="C32" s="12" t="str">
        <x:v>Low concern</x:v>
      </x:c>
      <x:c r="D32" s="12" t="str">
        <x:v>Key sensitivity and agreement outcomes reported</x:v>
      </x:c>
      <x:c r="E32" s="12" t="str">
        <x:v>PDF pp. 3–11; Figs. 1–9; Tables 1–3</x:v>
      </x:c>
      <x:c r="F32" s="12" t="str">
        <x:v>Batch 01</x:v>
      </x:c>
    </x:row>
    <x:row r="33" ht="15" hidden="0" customHeight="1">
      <x:c r="A33" s="12" t="str">
        <x:v>S005</x:v>
      </x:c>
      <x:c r="B33" s="12" t="str">
        <x:v>D8 Wearable applicability</x:v>
      </x:c>
      <x:c r="C33" s="12" t="str">
        <x:v>Some concern</x:v>
      </x:c>
      <x:c r="D33" s="12" t="str">
        <x:v>Preliminary study with three users</x:v>
      </x:c>
      <x:c r="E33" s="12" t="str">
        <x:v>PDF pp. 3–11; Figs. 1–9; Tables 1–3</x:v>
      </x:c>
      <x:c r="F33" s="12" t="str">
        <x:v>Batch 01</x:v>
      </x:c>
    </x:row>
    <x:row r="34" ht="15" hidden="0" customHeight="1">
      <x:c r="A34" s="12" t="str">
        <x:v>S007</x:v>
      </x:c>
      <x:c r="B34" s="12" t="str">
        <x:v>D1 Sampling/specimen selection</x:v>
      </x:c>
      <x:c r="C34" s="12" t="str">
        <x:v>Some concern</x:v>
      </x:c>
      <x:c r="D34" s="12" t="str">
        <x:v>Nine designs tested; participant and replicate counts are unclear</x:v>
      </x:c>
      <x:c r="E34" s="12" t="str">
        <x:v>PDF pp. 3-7</x:v>
      </x:c>
      <x:c r="F34" s="12" t="str">
        <x:v>Pilot</x:v>
      </x:c>
    </x:row>
    <x:row r="35" ht="15" hidden="0" customHeight="1">
      <x:c r="A35" s="12" t="str">
        <x:v>S007</x:v>
      </x:c>
      <x:c r="B35" s="12" t="str">
        <x:v>D2 Fabrication-variable control</x:v>
      </x:c>
      <x:c r="C35" s="12" t="str">
        <x:v>Low concern</x:v>
      </x:c>
      <x:c r="D35" s="12" t="str">
        <x:v>Printer, material and core settings are described</x:v>
      </x:c>
      <x:c r="E35" s="12" t="str">
        <x:v>PDF pp. 3-5</x:v>
      </x:c>
      <x:c r="F35" s="12" t="str">
        <x:v>Pilot</x:v>
      </x:c>
    </x:row>
    <x:row r="36" ht="15" hidden="0" customHeight="1">
      <x:c r="A36" s="12" t="str">
        <x:v>S007</x:v>
      </x:c>
      <x:c r="B36" s="12" t="str">
        <x:v>D3 Reference/calibration validity</x:v>
      </x:c>
      <x:c r="C36" s="12" t="str">
        <x:v>Low concern</x:v>
      </x:c>
      <x:c r="D36" s="12" t="str">
        <x:v>Controlled loads/frequencies and comparator electrodes are described</x:v>
      </x:c>
      <x:c r="E36" s="12" t="str">
        <x:v>PDF pp. 5-7</x:v>
      </x:c>
      <x:c r="F36" s="12" t="str">
        <x:v>Pilot</x:v>
      </x:c>
    </x:row>
    <x:row r="37" ht="15" hidden="0" customHeight="1">
      <x:c r="A37" s="12" t="str">
        <x:v>S007</x:v>
      </x:c>
      <x:c r="B37" s="12" t="str">
        <x:v>D4 Loading/exposure conditions</x:v>
      </x:c>
      <x:c r="C37" s="12" t="str">
        <x:v>Low concern</x:v>
      </x:c>
      <x:c r="D37" s="12" t="str">
        <x:v>Contact pressure, frequency and filtering are stated</x:v>
      </x:c>
      <x:c r="E37" s="12" t="str">
        <x:v>PDF pp. 5-7</x:v>
      </x:c>
      <x:c r="F37" s="12" t="str">
        <x:v>Pilot</x:v>
      </x:c>
    </x:row>
    <x:row r="38" ht="15" hidden="0" customHeight="1">
      <x:c r="A38" s="12" t="str">
        <x:v>S007</x:v>
      </x:c>
      <x:c r="B38" s="12" t="str">
        <x:v>D5 Repeated-measurement design</x:v>
      </x:c>
      <x:c r="C38" s="12" t="str">
        <x:v>Some concern</x:v>
      </x:c>
      <x:c r="D38" s="12" t="str">
        <x:v>One loading-unloading loop and one EEG demonstration; no repeated-use series</x:v>
      </x:c>
      <x:c r="E38" s="12" t="str">
        <x:v>PDF pp. 5-12</x:v>
      </x:c>
      <x:c r="F38" s="12" t="str">
        <x:v>Pilot</x:v>
      </x:c>
    </x:row>
    <x:row r="39" ht="15" hidden="0" customHeight="1">
      <x:c r="A39" s="12" t="str">
        <x:v>S007</x:v>
      </x:c>
      <x:c r="B39" s="12" t="str">
        <x:v>D6 Independent-device replication</x:v>
      </x:c>
      <x:c r="C39" s="12" t="str">
        <x:v>High concern</x:v>
      </x:c>
      <x:c r="D39" s="12" t="str">
        <x:v>Design variants are not independent replicates</x:v>
      </x:c>
      <x:c r="E39" s="12" t="str">
        <x:v>PDF pp. 3-12</x:v>
      </x:c>
      <x:c r="F39" s="12" t="str">
        <x:v>Pilot</x:v>
      </x:c>
    </x:row>
    <x:row r="40" ht="15" hidden="0" customHeight="1">
      <x:c r="A40" s="12" t="str">
        <x:v>S007</x:v>
      </x:c>
      <x:c r="B40" s="12" t="str">
        <x:v>D7 Outcome completeness</x:v>
      </x:c>
      <x:c r="C40" s="12" t="str">
        <x:v>Some concern</x:v>
      </x:c>
      <x:c r="D40" s="12" t="str">
        <x:v>Quantitative impedance/noise data reported; longer-term coating failure is qualitative</x:v>
      </x:c>
      <x:c r="E40" s="12" t="str">
        <x:v>PDF pp. 8-12</x:v>
      </x:c>
      <x:c r="F40" s="12" t="str">
        <x:v>Pilot</x:v>
      </x:c>
    </x:row>
    <x:row r="41" ht="15" hidden="0" customHeight="1">
      <x:c r="A41" s="12" t="str">
        <x:v>S007</x:v>
      </x:c>
      <x:c r="B41" s="12" t="str">
        <x:v>D8 Wearable applicability</x:v>
      </x:c>
      <x:c r="C41" s="12" t="str">
        <x:v>Low concern</x:v>
      </x:c>
      <x:c r="D41" s="12" t="str">
        <x:v>Final scalp electrode is evaluated for EEG</x:v>
      </x:c>
      <x:c r="E41" s="12" t="str">
        <x:v>PDF pp. 6-12</x:v>
      </x:c>
      <x:c r="F41" s="12" t="str">
        <x:v>Pilot</x:v>
      </x:c>
    </x:row>
    <x:row r="42" ht="15" hidden="0" customHeight="1">
      <x:c r="A42" s="12" t="str">
        <x:v>S008</x:v>
      </x:c>
      <x:c r="B42" s="12" t="str">
        <x:v>D1 Sampling/specimen selection</x:v>
      </x:c>
      <x:c r="C42" s="12" t="str">
        <x:v>High concern</x:v>
      </x:c>
      <x:c r="D42" s="12" t="str">
        <x:v>One insole and one volunteer</x:v>
      </x:c>
      <x:c r="E42" s="12" t="str">
        <x:v>PDF pp. 5–10; Figs. 3–5</x:v>
      </x:c>
      <x:c r="F42" s="12" t="str">
        <x:v>Batch 01</x:v>
      </x:c>
    </x:row>
    <x:row r="43" ht="15" hidden="0" customHeight="1">
      <x:c r="A43" s="12" t="str">
        <x:v>S008</x:v>
      </x:c>
      <x:c r="B43" s="12" t="str">
        <x:v>D2 Fabrication-variable control</x:v>
      </x:c>
      <x:c r="C43" s="12" t="str">
        <x:v>Low concern</x:v>
      </x:c>
      <x:c r="D43" s="12" t="str">
        <x:v>FFF parameters and essential materials detailed</x:v>
      </x:c>
      <x:c r="E43" s="12" t="str">
        <x:v>PDF pp. 5–10; Figs. 3–5</x:v>
      </x:c>
      <x:c r="F43" s="12" t="str">
        <x:v>Batch 01</x:v>
      </x:c>
    </x:row>
    <x:row r="44" ht="15" hidden="0" customHeight="1">
      <x:c r="A44" s="12" t="str">
        <x:v>S008</x:v>
      </x:c>
      <x:c r="B44" s="12" t="str">
        <x:v>D3 Reference/calibration validity</x:v>
      </x:c>
      <x:c r="C44" s="12" t="str">
        <x:v>Low concern</x:v>
      </x:c>
      <x:c r="D44" s="12" t="str">
        <x:v>Compression and VNA methods described</x:v>
      </x:c>
      <x:c r="E44" s="12" t="str">
        <x:v>PDF pp. 5–10; Figs. 3–5</x:v>
      </x:c>
      <x:c r="F44" s="12" t="str">
        <x:v>Batch 01</x:v>
      </x:c>
    </x:row>
    <x:row r="45" ht="15" hidden="0" customHeight="1">
      <x:c r="A45" s="12" t="str">
        <x:v>S008</x:v>
      </x:c>
      <x:c r="B45" s="12" t="str">
        <x:v>D4 Loading/exposure conditions</x:v>
      </x:c>
      <x:c r="C45" s="12" t="str">
        <x:v>Some concern</x:v>
      </x:c>
      <x:c r="D45" s="12" t="str">
        <x:v>Repetition count for SD is not stated</x:v>
      </x:c>
      <x:c r="E45" s="12" t="str">
        <x:v>PDF pp. 5–10; Figs. 3–5</x:v>
      </x:c>
      <x:c r="F45" s="12" t="str">
        <x:v>Batch 01</x:v>
      </x:c>
    </x:row>
    <x:row r="46" ht="15" hidden="0" customHeight="1">
      <x:c r="A46" s="12" t="str">
        <x:v>S008</x:v>
      </x:c>
      <x:c r="B46" s="12" t="str">
        <x:v>D5 Repeated-measurement design</x:v>
      </x:c>
      <x:c r="C46" s="12" t="str">
        <x:v>Some concern</x:v>
      </x:c>
      <x:c r="D46" s="12" t="str">
        <x:v>Repeated-results claim lacks full design detail</x:v>
      </x:c>
      <x:c r="E46" s="12" t="str">
        <x:v>PDF pp. 5–10; Figs. 3–5</x:v>
      </x:c>
      <x:c r="F46" s="12" t="str">
        <x:v>Batch 01</x:v>
      </x:c>
    </x:row>
    <x:row r="47" ht="15" hidden="0" customHeight="1">
      <x:c r="A47" s="12" t="str">
        <x:v>S008</x:v>
      </x:c>
      <x:c r="B47" s="12" t="str">
        <x:v>D6 Independent-device replication</x:v>
      </x:c>
      <x:c r="C47" s="12" t="str">
        <x:v>High concern</x:v>
      </x:c>
      <x:c r="D47" s="12" t="str">
        <x:v>No separate-insole comparison</x:v>
      </x:c>
      <x:c r="E47" s="12" t="str">
        <x:v>PDF pp. 5–10; Figs. 3–5</x:v>
      </x:c>
      <x:c r="F47" s="12" t="str">
        <x:v>Batch 01</x:v>
      </x:c>
    </x:row>
    <x:row r="48" ht="15" hidden="0" customHeight="1">
      <x:c r="A48" s="12" t="str">
        <x:v>S008</x:v>
      </x:c>
      <x:c r="B48" s="12" t="str">
        <x:v>D7 Outcome completeness</x:v>
      </x:c>
      <x:c r="C48" s="12" t="str">
        <x:v>Some concern</x:v>
      </x:c>
      <x:c r="D48" s="12" t="str">
        <x:v>Sensitivity and SD reported; uncertainty basis incomplete</x:v>
      </x:c>
      <x:c r="E48" s="12" t="str">
        <x:v>PDF pp. 5–10; Figs. 3–5</x:v>
      </x:c>
      <x:c r="F48" s="12" t="str">
        <x:v>Batch 01</x:v>
      </x:c>
    </x:row>
    <x:row r="49" ht="15" hidden="0" customHeight="1">
      <x:c r="A49" s="12" t="str">
        <x:v>S008</x:v>
      </x:c>
      <x:c r="B49" s="12" t="str">
        <x:v>D8 Wearable applicability</x:v>
      </x:c>
      <x:c r="C49" s="12" t="str">
        <x:v>Some concern</x:v>
      </x:c>
      <x:c r="D49" s="12" t="str">
        <x:v>Complete insole demonstrated on one volunteer</x:v>
      </x:c>
      <x:c r="E49" s="12" t="str">
        <x:v>PDF pp. 5–10; Figs. 3–5</x:v>
      </x:c>
      <x:c r="F49" s="12" t="str">
        <x:v>Batch 01</x:v>
      </x:c>
    </x:row>
    <x:row r="50" ht="15" hidden="0" customHeight="1">
      <x:c r="A50" s="12" t="str">
        <x:v>S010</x:v>
      </x:c>
      <x:c r="B50" s="12" t="str">
        <x:v>D1 Sampling/specimen selection</x:v>
      </x:c>
      <x:c r="C50" s="12" t="str">
        <x:v>High concern</x:v>
      </x:c>
      <x:c r="D50" s="12" t="str">
        <x:v>One device and two-subject demonstration</x:v>
      </x:c>
      <x:c r="E50" s="12" t="str">
        <x:v>PDF pp. 3–16; Figs. 1–13; Appendix A</x:v>
      </x:c>
      <x:c r="F50" s="12" t="str">
        <x:v>Batch 01</x:v>
      </x:c>
    </x:row>
    <x:row r="51" ht="15" hidden="0" customHeight="1">
      <x:c r="A51" s="12" t="str">
        <x:v>S010</x:v>
      </x:c>
      <x:c r="B51" s="12" t="str">
        <x:v>D2 Fabrication-variable control</x:v>
      </x:c>
      <x:c r="C51" s="12" t="str">
        <x:v>Low concern</x:v>
      </x:c>
      <x:c r="D51" s="12" t="str">
        <x:v>Materials and print parameters reported</x:v>
      </x:c>
      <x:c r="E51" s="12" t="str">
        <x:v>PDF pp. 3–16; Figs. 1–13; Appendix A</x:v>
      </x:c>
      <x:c r="F51" s="12" t="str">
        <x:v>Batch 01</x:v>
      </x:c>
    </x:row>
    <x:row r="52" ht="15" hidden="0" customHeight="1">
      <x:c r="A52" s="12" t="str">
        <x:v>S010</x:v>
      </x:c>
      <x:c r="B52" s="12" t="str">
        <x:v>D3 Reference/calibration validity</x:v>
      </x:c>
      <x:c r="C52" s="12" t="str">
        <x:v>Low concern</x:v>
      </x:c>
      <x:c r="D52" s="12" t="str">
        <x:v>Pressure and force references described</x:v>
      </x:c>
      <x:c r="E52" s="12" t="str">
        <x:v>PDF pp. 3–16; Figs. 1–13; Appendix A</x:v>
      </x:c>
      <x:c r="F52" s="12" t="str">
        <x:v>Batch 01</x:v>
      </x:c>
    </x:row>
    <x:row r="53" ht="15" hidden="0" customHeight="1">
      <x:c r="A53" s="12" t="str">
        <x:v>S010</x:v>
      </x:c>
      <x:c r="B53" s="12" t="str">
        <x:v>D4 Loading/exposure conditions</x:v>
      </x:c>
      <x:c r="C53" s="12" t="str">
        <x:v>Low concern</x:v>
      </x:c>
      <x:c r="D53" s="12" t="str">
        <x:v>Static/dynamic conditions are stated</x:v>
      </x:c>
      <x:c r="E53" s="12" t="str">
        <x:v>PDF pp. 3–16; Figs. 1–13; Appendix A</x:v>
      </x:c>
      <x:c r="F53" s="12" t="str">
        <x:v>Batch 01</x:v>
      </x:c>
    </x:row>
    <x:row r="54" ht="15" hidden="0" customHeight="1">
      <x:c r="A54" s="12" t="str">
        <x:v>S010</x:v>
      </x:c>
      <x:c r="B54" s="12" t="str">
        <x:v>D5 Repeated-measurement design</x:v>
      </x:c>
      <x:c r="C54" s="12" t="str">
        <x:v>Some concern</x:v>
      </x:c>
      <x:c r="D54" s="12" t="str">
        <x:v>Cyclic loading count is unclear</x:v>
      </x:c>
      <x:c r="E54" s="12" t="str">
        <x:v>PDF pp. 3–16; Figs. 1–13; Appendix A</x:v>
      </x:c>
      <x:c r="F54" s="12" t="str">
        <x:v>Batch 01</x:v>
      </x:c>
    </x:row>
    <x:row r="55" ht="15" hidden="0" customHeight="1">
      <x:c r="A55" s="12" t="str">
        <x:v>S010</x:v>
      </x:c>
      <x:c r="B55" s="12" t="str">
        <x:v>D6 Independent-device replication</x:v>
      </x:c>
      <x:c r="C55" s="12" t="str">
        <x:v>High concern</x:v>
      </x:c>
      <x:c r="D55" s="12" t="str">
        <x:v>No independent-device replication</x:v>
      </x:c>
      <x:c r="E55" s="12" t="str">
        <x:v>PDF pp. 3–16; Figs. 1–13; Appendix A</x:v>
      </x:c>
      <x:c r="F55" s="12" t="str">
        <x:v>Batch 01</x:v>
      </x:c>
    </x:row>
    <x:row r="56" ht="15" hidden="0" customHeight="1">
      <x:c r="A56" s="12" t="str">
        <x:v>S010</x:v>
      </x:c>
      <x:c r="B56" s="12" t="str">
        <x:v>D7 Outcome completeness</x:v>
      </x:c>
      <x:c r="C56" s="12" t="str">
        <x:v>Low concern</x:v>
      </x:c>
      <x:c r="D56" s="12" t="str">
        <x:v>Static, dynamic and task outcomes reported</x:v>
      </x:c>
      <x:c r="E56" s="12" t="str">
        <x:v>PDF pp. 3–16; Figs. 1–13; Appendix A</x:v>
      </x:c>
      <x:c r="F56" s="12" t="str">
        <x:v>Batch 01</x:v>
      </x:c>
    </x:row>
    <x:row r="57" ht="15" hidden="0" customHeight="1">
      <x:c r="A57" s="12" t="str">
        <x:v>S010</x:v>
      </x:c>
      <x:c r="B57" s="12" t="str">
        <x:v>D8 Wearable applicability</x:v>
      </x:c>
      <x:c r="C57" s="12" t="str">
        <x:v>Some concern</x:v>
      </x:c>
      <x:c r="D57" s="12" t="str">
        <x:v>Worn application is demonstrated but small and exploratory</x:v>
      </x:c>
      <x:c r="E57" s="12" t="str">
        <x:v>PDF pp. 3–16; Figs. 1–13; Appendix A</x:v>
      </x:c>
      <x:c r="F57" s="12" t="str">
        <x:v>Batch 01</x:v>
      </x:c>
    </x:row>
    <x:row r="58" ht="15" hidden="0" customHeight="1">
      <x:c r="A58" s="12" t="str">
        <x:v>S011</x:v>
      </x:c>
      <x:c r="B58" s="12" t="str">
        <x:v>D1 Sampling/specimen selection</x:v>
      </x:c>
      <x:c r="C58" s="12" t="str">
        <x:v>Some concern</x:v>
      </x:c>
      <x:c r="D58" s="12" t="str">
        <x:v>Sixteen sensors support bench results; on-body evaluation uses one participant</x:v>
      </x:c>
      <x:c r="E58" s="12" t="str">
        <x:v>PDF pp. 8-14</x:v>
      </x:c>
      <x:c r="F58" s="12" t="str">
        <x:v>Pilot</x:v>
      </x:c>
    </x:row>
    <x:row r="59" ht="15" hidden="0" customHeight="1">
      <x:c r="A59" s="12" t="str">
        <x:v>S011</x:v>
      </x:c>
      <x:c r="B59" s="12" t="str">
        <x:v>D2 Fabrication-variable control</x:v>
      </x:c>
      <x:c r="C59" s="12" t="str">
        <x:v>Low concern</x:v>
      </x:c>
      <x:c r="D59" s="12" t="str">
        <x:v>Materials and detailed print parameters are reported</x:v>
      </x:c>
      <x:c r="E59" s="12" t="str">
        <x:v>PDF pp. 3-5, Table 1</x:v>
      </x:c>
      <x:c r="F59" s="12" t="str">
        <x:v>Pilot</x:v>
      </x:c>
    </x:row>
    <x:row r="60" ht="15" hidden="0" customHeight="1">
      <x:c r="A60" s="12" t="str">
        <x:v>S011</x:v>
      </x:c>
      <x:c r="B60" s="12" t="str">
        <x:v>D3 Reference/calibration validity</x:v>
      </x:c>
      <x:c r="C60" s="12" t="str">
        <x:v>Low concern</x:v>
      </x:c>
      <x:c r="D60" s="12" t="str">
        <x:v>Pressure calibration range and analysis are described</x:v>
      </x:c>
      <x:c r="E60" s="12" t="str">
        <x:v>PDF pp. 5-9</x:v>
      </x:c>
      <x:c r="F60" s="12" t="str">
        <x:v>Pilot</x:v>
      </x:c>
    </x:row>
    <x:row r="61" ht="15" hidden="0" customHeight="1">
      <x:c r="A61" s="12" t="str">
        <x:v>S011</x:v>
      </x:c>
      <x:c r="B61" s="12" t="str">
        <x:v>D4 Loading/exposure conditions</x:v>
      </x:c>
      <x:c r="C61" s="12" t="str">
        <x:v>Low concern</x:v>
      </x:c>
      <x:c r="D61" s="12" t="str">
        <x:v>Loading range/rate and fixed laboratory conditions are stated</x:v>
      </x:c>
      <x:c r="E61" s="12" t="str">
        <x:v>PDF pp. 5-10</x:v>
      </x:c>
      <x:c r="F61" s="12" t="str">
        <x:v>Pilot</x:v>
      </x:c>
    </x:row>
    <x:row r="62" ht="15" hidden="0" customHeight="1">
      <x:c r="A62" s="12" t="str">
        <x:v>S011</x:v>
      </x:c>
      <x:c r="B62" s="12" t="str">
        <x:v>D5 Repeated-measurement design</x:v>
      </x:c>
      <x:c r="C62" s="12" t="str">
        <x:v>Low concern</x:v>
      </x:c>
      <x:c r="D62" s="12" t="str">
        <x:v>Three cycles and 2280-cycle test reported</x:v>
      </x:c>
      <x:c r="E62" s="12" t="str">
        <x:v>PDF pp. 8-11</x:v>
      </x:c>
      <x:c r="F62" s="12" t="str">
        <x:v>Pilot</x:v>
      </x:c>
    </x:row>
    <x:row r="63" ht="15" hidden="0" customHeight="1">
      <x:c r="A63" s="12" t="str">
        <x:v>S011</x:v>
      </x:c>
      <x:c r="B63" s="12" t="str">
        <x:v>D6 Independent-device replication</x:v>
      </x:c>
      <x:c r="C63" s="12" t="str">
        <x:v>Low concern</x:v>
      </x:c>
      <x:c r="D63" s="12" t="str">
        <x:v>Sixteen separate sensors summarized with mean and SD</x:v>
      </x:c>
      <x:c r="E63" s="12" t="str">
        <x:v>PDF pp. 8-9</x:v>
      </x:c>
      <x:c r="F63" s="12" t="str">
        <x:v>Pilot</x:v>
      </x:c>
    </x:row>
    <x:row r="64" ht="15" hidden="0" customHeight="1">
      <x:c r="A64" s="12" t="str">
        <x:v>S011</x:v>
      </x:c>
      <x:c r="B64" s="12" t="str">
        <x:v>D7 Outcome completeness</x:v>
      </x:c>
      <x:c r="C64" s="12" t="str">
        <x:v>Low concern</x:v>
      </x:c>
      <x:c r="D64" s="12" t="str">
        <x:v>Major response, durability and integration outcomes are reported</x:v>
      </x:c>
      <x:c r="E64" s="12" t="str">
        <x:v>PDF pp. 8-14</x:v>
      </x:c>
      <x:c r="F64" s="12" t="str">
        <x:v>Pilot</x:v>
      </x:c>
    </x:row>
    <x:row r="65" ht="15" hidden="0" customHeight="1">
      <x:c r="A65" s="12" t="str">
        <x:v>S011</x:v>
      </x:c>
      <x:c r="B65" s="12" t="str">
        <x:v>D8 Wearable applicability</x:v>
      </x:c>
      <x:c r="C65" s="12" t="str">
        <x:v>Low concern</x:v>
      </x:c>
      <x:c r="D65" s="12" t="str">
        <x:v>Final insole tested on a participant</x:v>
      </x:c>
      <x:c r="E65" s="12" t="str">
        <x:v>PDF pp. 12-14</x:v>
      </x:c>
      <x:c r="F65" s="12" t="str">
        <x:v>Pilot</x:v>
      </x:c>
    </x:row>
    <x:row r="66" ht="15" hidden="0" customHeight="1">
      <x:c r="A66" s="12" t="str">
        <x:v>S012</x:v>
      </x:c>
      <x:c r="B66" s="12" t="str">
        <x:v>D1 Sampling/specimen selection</x:v>
      </x:c>
      <x:c r="C66" s="12" t="str">
        <x:v>Some concern</x:v>
      </x:c>
      <x:c r="D66" s="12" t="str">
        <x:v>Six plus three volunteers; electrode-unit sampling not reported</x:v>
      </x:c>
      <x:c r="E66" s="12" t="str">
        <x:v>PDF pp. 4–14; Figs. 1–17; Tables 2–3</x:v>
      </x:c>
      <x:c r="F66" s="12" t="str">
        <x:v>Batch 01</x:v>
      </x:c>
    </x:row>
    <x:row r="67" ht="15" hidden="0" customHeight="1">
      <x:c r="A67" s="12" t="str">
        <x:v>S012</x:v>
      </x:c>
      <x:c r="B67" s="12" t="str">
        <x:v>D2 Fabrication-variable control</x:v>
      </x:c>
      <x:c r="C67" s="12" t="str">
        <x:v>Some concern</x:v>
      </x:c>
      <x:c r="D67" s="12" t="str">
        <x:v>Several settings and materials reported, but temperatures/speeds omitted</x:v>
      </x:c>
      <x:c r="E67" s="12" t="str">
        <x:v>PDF pp. 4–14; Figs. 1–17; Tables 2–3</x:v>
      </x:c>
      <x:c r="F67" s="12" t="str">
        <x:v>Batch 01</x:v>
      </x:c>
    </x:row>
    <x:row r="68" ht="15" hidden="0" customHeight="1">
      <x:c r="A68" s="12" t="str">
        <x:v>S012</x:v>
      </x:c>
      <x:c r="B68" s="12" t="str">
        <x:v>D3 Reference/calibration validity</x:v>
      </x:c>
      <x:c r="C68" s="12" t="str">
        <x:v>Low concern</x:v>
      </x:c>
      <x:c r="D68" s="12" t="str">
        <x:v>Ag/AgCl comparison and load protocol described</x:v>
      </x:c>
      <x:c r="E68" s="12" t="str">
        <x:v>PDF pp. 4–14; Figs. 1–17; Tables 2–3</x:v>
      </x:c>
      <x:c r="F68" s="12" t="str">
        <x:v>Batch 01</x:v>
      </x:c>
    </x:row>
    <x:row r="69" ht="15" hidden="0" customHeight="1">
      <x:c r="A69" s="12" t="str">
        <x:v>S012</x:v>
      </x:c>
      <x:c r="B69" s="12" t="str">
        <x:v>D4 Loading/exposure conditions</x:v>
      </x:c>
      <x:c r="C69" s="12" t="str">
        <x:v>Low concern</x:v>
      </x:c>
      <x:c r="D69" s="12" t="str">
        <x:v>Contact and task conditions are stated</x:v>
      </x:c>
      <x:c r="E69" s="12" t="str">
        <x:v>PDF pp. 4–14; Figs. 1–17; Tables 2–3</x:v>
      </x:c>
      <x:c r="F69" s="12" t="str">
        <x:v>Batch 01</x:v>
      </x:c>
    </x:row>
    <x:row r="70" ht="15" hidden="0" customHeight="1">
      <x:c r="A70" s="12" t="str">
        <x:v>S012</x:v>
      </x:c>
      <x:c r="B70" s="12" t="str">
        <x:v>D5 Repeated-measurement design</x:v>
      </x:c>
      <x:c r="C70" s="12" t="str">
        <x:v>Low concern</x:v>
      </x:c>
      <x:c r="D70" s="12" t="str">
        <x:v>Repeated contractions and variability outputs reported</x:v>
      </x:c>
      <x:c r="E70" s="12" t="str">
        <x:v>PDF pp. 4–14; Figs. 1–17; Tables 2–3</x:v>
      </x:c>
      <x:c r="F70" s="12" t="str">
        <x:v>Batch 01</x:v>
      </x:c>
    </x:row>
    <x:row r="71" ht="15" hidden="0" customHeight="1">
      <x:c r="A71" s="12" t="str">
        <x:v>S012</x:v>
      </x:c>
      <x:c r="B71" s="12" t="str">
        <x:v>D6 Independent-device replication</x:v>
      </x:c>
      <x:c r="C71" s="12" t="str">
        <x:v>High concern</x:v>
      </x:c>
      <x:c r="D71" s="12" t="str">
        <x:v>No separate-device replication</x:v>
      </x:c>
      <x:c r="E71" s="12" t="str">
        <x:v>PDF pp. 4–14; Figs. 1–17; Tables 2–3</x:v>
      </x:c>
      <x:c r="F71" s="12" t="str">
        <x:v>Batch 01</x:v>
      </x:c>
    </x:row>
    <x:row r="72" ht="15" hidden="0" customHeight="1">
      <x:c r="A72" s="12" t="str">
        <x:v>S012</x:v>
      </x:c>
      <x:c r="B72" s="12" t="str">
        <x:v>D7 Outcome completeness</x:v>
      </x:c>
      <x:c r="C72" s="12" t="str">
        <x:v>Low concern</x:v>
      </x:c>
      <x:c r="D72" s="12" t="str">
        <x:v>Impedance, statistics and accuracy reported</x:v>
      </x:c>
      <x:c r="E72" s="12" t="str">
        <x:v>PDF pp. 4–14; Figs. 1–17; Tables 2–3</x:v>
      </x:c>
      <x:c r="F72" s="12" t="str">
        <x:v>Batch 01</x:v>
      </x:c>
    </x:row>
    <x:row r="73" ht="15" hidden="0" customHeight="1">
      <x:c r="A73" s="12" t="str">
        <x:v>S012</x:v>
      </x:c>
      <x:c r="B73" s="12" t="str">
        <x:v>D8 Wearable applicability</x:v>
      </x:c>
      <x:c r="C73" s="12" t="str">
        <x:v>Low concern</x:v>
      </x:c>
      <x:c r="D73" s="12" t="str">
        <x:v>Direct on-body electrode and band testing</x:v>
      </x:c>
      <x:c r="E73" s="12" t="str">
        <x:v>PDF pp. 4–14; Figs. 1–17; Tables 2–3</x:v>
      </x:c>
      <x:c r="F73" s="12" t="str">
        <x:v>Batch 01</x:v>
      </x:c>
    </x:row>
    <x:row r="74" ht="15" hidden="0" customHeight="1">
      <x:c r="A74" s="12" t="str">
        <x:v>S013</x:v>
      </x:c>
      <x:c r="B74" s="12" t="str">
        <x:v>D1 Sampling/specimen selection</x:v>
      </x:c>
      <x:c r="C74" s="12" t="str">
        <x:v>Some concern</x:v>
      </x:c>
      <x:c r="D74" s="12" t="str">
        <x:v>Five devices support between-device precision; allocation details limited</x:v>
      </x:c>
      <x:c r="E74" s="12" t="str">
        <x:v>PDF pp. 3–7; Figs. 1–6; Table 1; cited SI</x:v>
      </x:c>
      <x:c r="F74" s="12" t="str">
        <x:v>Batch 01</x:v>
      </x:c>
    </x:row>
    <x:row r="75" ht="15" hidden="0" customHeight="1">
      <x:c r="A75" s="12" t="str">
        <x:v>S013</x:v>
      </x:c>
      <x:c r="B75" s="12" t="str">
        <x:v>D2 Fabrication-variable control</x:v>
      </x:c>
      <x:c r="C75" s="12" t="str">
        <x:v>Some concern</x:v>
      </x:c>
      <x:c r="D75" s="12" t="str">
        <x:v>Materials/temperatures reported; several print settings absent</x:v>
      </x:c>
      <x:c r="E75" s="12" t="str">
        <x:v>PDF pp. 3–7; Figs. 1–6; Table 1; cited SI</x:v>
      </x:c>
      <x:c r="F75" s="12" t="str">
        <x:v>Batch 01</x:v>
      </x:c>
    </x:row>
    <x:row r="76" ht="15" hidden="0" customHeight="1">
      <x:c r="A76" s="12" t="str">
        <x:v>S013</x:v>
      </x:c>
      <x:c r="B76" s="12" t="str">
        <x:v>D3 Reference/calibration validity</x:v>
      </x:c>
      <x:c r="C76" s="12" t="str">
        <x:v>Low concern</x:v>
      </x:c>
      <x:c r="D76" s="12" t="str">
        <x:v>Matrix-specific DPV calibration described</x:v>
      </x:c>
      <x:c r="E76" s="12" t="str">
        <x:v>PDF pp. 3–7; Figs. 1–6; Table 1; cited SI</x:v>
      </x:c>
      <x:c r="F76" s="12" t="str">
        <x:v>Batch 01</x:v>
      </x:c>
    </x:row>
    <x:row r="77" ht="15" hidden="0" customHeight="1">
      <x:c r="A77" s="12" t="str">
        <x:v>S013</x:v>
      </x:c>
      <x:c r="B77" s="12" t="str">
        <x:v>D4 Loading/exposure conditions</x:v>
      </x:c>
      <x:c r="C77" s="12" t="str">
        <x:v>Low concern</x:v>
      </x:c>
      <x:c r="D77" s="12" t="str">
        <x:v>Ranges, matrices and repeated wash/storage schedule stated</x:v>
      </x:c>
      <x:c r="E77" s="12" t="str">
        <x:v>PDF pp. 3–7; Figs. 1–6; Table 1; cited SI</x:v>
      </x:c>
      <x:c r="F77" s="12" t="str">
        <x:v>Batch 01</x:v>
      </x:c>
    </x:row>
    <x:row r="78" ht="15" hidden="0" customHeight="1">
      <x:c r="A78" s="12" t="str">
        <x:v>S013</x:v>
      </x:c>
      <x:c r="B78" s="12" t="str">
        <x:v>D5 Repeated-measurement design</x:v>
      </x:c>
      <x:c r="C78" s="12" t="str">
        <x:v>Low concern</x:v>
      </x:c>
      <x:c r="D78" s="12" t="str">
        <x:v>Within-device and 12-day repeated measurements</x:v>
      </x:c>
      <x:c r="E78" s="12" t="str">
        <x:v>PDF pp. 3–7; Figs. 1–6; Table 1; cited SI</x:v>
      </x:c>
      <x:c r="F78" s="12" t="str">
        <x:v>Batch 01</x:v>
      </x:c>
    </x:row>
    <x:row r="79" ht="15" hidden="0" customHeight="1">
      <x:c r="A79" s="12" t="str">
        <x:v>S013</x:v>
      </x:c>
      <x:c r="B79" s="12" t="str">
        <x:v>D6 Independent-device replication</x:v>
      </x:c>
      <x:c r="C79" s="12" t="str">
        <x:v>Low concern</x:v>
      </x:c>
      <x:c r="D79" s="12" t="str">
        <x:v>Five-device RSD reported</x:v>
      </x:c>
      <x:c r="E79" s="12" t="str">
        <x:v>PDF pp. 3–7; Figs. 1–6; Table 1; cited SI</x:v>
      </x:c>
      <x:c r="F79" s="12" t="str">
        <x:v>Batch 01</x:v>
      </x:c>
    </x:row>
    <x:row r="80" ht="15" hidden="0" customHeight="1">
      <x:c r="A80" s="12" t="str">
        <x:v>S013</x:v>
      </x:c>
      <x:c r="B80" s="12" t="str">
        <x:v>D7 Outcome completeness</x:v>
      </x:c>
      <x:c r="C80" s="12" t="str">
        <x:v>Low concern</x:v>
      </x:c>
      <x:c r="D80" s="12" t="str">
        <x:v>Range, LOD, precision and stability outcomes reported</x:v>
      </x:c>
      <x:c r="E80" s="12" t="str">
        <x:v>PDF pp. 3–7; Figs. 1–6; Table 1; cited SI</x:v>
      </x:c>
      <x:c r="F80" s="12" t="str">
        <x:v>Batch 01</x:v>
      </x:c>
    </x:row>
    <x:row r="81" ht="15" hidden="0" customHeight="1">
      <x:c r="A81" s="12" t="str">
        <x:v>S013</x:v>
      </x:c>
      <x:c r="B81" s="12" t="str">
        <x:v>D8 Wearable applicability</x:v>
      </x:c>
      <x:c r="C81" s="12" t="str">
        <x:v>Low concern</x:v>
      </x:c>
      <x:c r="D81" s="12" t="str">
        <x:v>Device is worn during realistic beverage testing</x:v>
      </x:c>
      <x:c r="E81" s="12" t="str">
        <x:v>PDF pp. 3–7; Figs. 1–6; Table 1; cited SI</x:v>
      </x:c>
      <x:c r="F81" s="12" t="str">
        <x:v>Batch 01</x:v>
      </x:c>
    </x:row>
    <x:row r="82" ht="15" hidden="0" customHeight="1">
      <x:c r="A82" s="12" t="str">
        <x:v>S014</x:v>
      </x:c>
      <x:c r="B82" s="12" t="str">
        <x:v>D1 Sampling/specimen selection</x:v>
      </x:c>
      <x:c r="C82" s="12" t="str">
        <x:v>Some concern</x:v>
      </x:c>
      <x:c r="D82" s="12" t="str">
        <x:v>Eight volunteers but only two functional material variants</x:v>
      </x:c>
      <x:c r="E82" s="12" t="str">
        <x:v>PDF pp. 4–15; Figs. 1–10; Tables 1–2</x:v>
      </x:c>
      <x:c r="F82" s="12" t="str">
        <x:v>Batch 01</x:v>
      </x:c>
    </x:row>
    <x:row r="83" ht="15" hidden="0" customHeight="1">
      <x:c r="A83" s="12" t="str">
        <x:v>S014</x:v>
      </x:c>
      <x:c r="B83" s="12" t="str">
        <x:v>D2 Fabrication-variable control</x:v>
      </x:c>
      <x:c r="C83" s="12" t="str">
        <x:v>High concern</x:v>
      </x:c>
      <x:c r="D83" s="12" t="str">
        <x:v>Many print settings are omitted</x:v>
      </x:c>
      <x:c r="E83" s="12" t="str">
        <x:v>PDF pp. 4–15; Figs. 1–10; Tables 1–2</x:v>
      </x:c>
      <x:c r="F83" s="12" t="str">
        <x:v>Batch 01</x:v>
      </x:c>
    </x:row>
    <x:row r="84" ht="15" hidden="0" customHeight="1">
      <x:c r="A84" s="12" t="str">
        <x:v>S014</x:v>
      </x:c>
      <x:c r="B84" s="12" t="str">
        <x:v>D3 Reference/calibration validity</x:v>
      </x:c>
      <x:c r="C84" s="12" t="str">
        <x:v>Low concern</x:v>
      </x:c>
      <x:c r="D84" s="12" t="str">
        <x:v>Instron and temperature references specified</x:v>
      </x:c>
      <x:c r="E84" s="12" t="str">
        <x:v>PDF pp. 4–15; Figs. 1–10; Tables 1–2</x:v>
      </x:c>
      <x:c r="F84" s="12" t="str">
        <x:v>Batch 01</x:v>
      </x:c>
    </x:row>
    <x:row r="85" ht="15" hidden="0" customHeight="1">
      <x:c r="A85" s="12" t="str">
        <x:v>S014</x:v>
      </x:c>
      <x:c r="B85" s="12" t="str">
        <x:v>D4 Loading/exposure conditions</x:v>
      </x:c>
      <x:c r="C85" s="12" t="str">
        <x:v>Low concern</x:v>
      </x:c>
      <x:c r="D85" s="12" t="str">
        <x:v>Strain, thermal, cycle, pull-out and on-body protocols stated</x:v>
      </x:c>
      <x:c r="E85" s="12" t="str">
        <x:v>PDF pp. 4–15; Figs. 1–10; Tables 1–2</x:v>
      </x:c>
      <x:c r="F85" s="12" t="str">
        <x:v>Batch 01</x:v>
      </x:c>
    </x:row>
    <x:row r="86" ht="15" hidden="0" customHeight="1">
      <x:c r="A86" s="12" t="str">
        <x:v>S014</x:v>
      </x:c>
      <x:c r="B86" s="12" t="str">
        <x:v>D5 Repeated-measurement design</x:v>
      </x:c>
      <x:c r="C86" s="12" t="str">
        <x:v>Low concern</x:v>
      </x:c>
      <x:c r="D86" s="12" t="str">
        <x:v>Ten-cycle tests and repeated reapplication</x:v>
      </x:c>
      <x:c r="E86" s="12" t="str">
        <x:v>PDF pp. 4–15; Figs. 1–10; Tables 1–2</x:v>
      </x:c>
      <x:c r="F86" s="12" t="str">
        <x:v>Batch 01</x:v>
      </x:c>
    </x:row>
    <x:row r="87" ht="15" hidden="0" customHeight="1">
      <x:c r="A87" s="12" t="str">
        <x:v>S014</x:v>
      </x:c>
      <x:c r="B87" s="12" t="str">
        <x:v>D6 Independent-device replication</x:v>
      </x:c>
      <x:c r="C87" s="12" t="str">
        <x:v>High concern</x:v>
      </x:c>
      <x:c r="D87" s="12" t="str">
        <x:v>No ≥3 functional-device comparison</x:v>
      </x:c>
      <x:c r="E87" s="12" t="str">
        <x:v>PDF pp. 4–15; Figs. 1–10; Tables 1–2</x:v>
      </x:c>
      <x:c r="F87" s="12" t="str">
        <x:v>Batch 01</x:v>
      </x:c>
    </x:row>
    <x:row r="88" ht="15" hidden="0" customHeight="1">
      <x:c r="A88" s="12" t="str">
        <x:v>S014</x:v>
      </x:c>
      <x:c r="B88" s="12" t="str">
        <x:v>D7 Outcome completeness</x:v>
      </x:c>
      <x:c r="C88" s="12" t="str">
        <x:v>Low concern</x:v>
      </x:c>
      <x:c r="D88" s="12" t="str">
        <x:v>Sensitivity, uncertainty, hysteresis and interface results reported</x:v>
      </x:c>
      <x:c r="E88" s="12" t="str">
        <x:v>PDF pp. 4–15; Figs. 1–10; Tables 1–2</x:v>
      </x:c>
      <x:c r="F88" s="12" t="str">
        <x:v>Batch 01</x:v>
      </x:c>
    </x:row>
    <x:row r="89" ht="15" hidden="0" customHeight="1">
      <x:c r="A89" s="12" t="str">
        <x:v>S014</x:v>
      </x:c>
      <x:c r="B89" s="12" t="str">
        <x:v>D8 Wearable applicability</x:v>
      </x:c>
      <x:c r="C89" s="12" t="str">
        <x:v>Some concern</x:v>
      </x:c>
      <x:c r="D89" s="12" t="str">
        <x:v>Eight-person exploratory test without external motion reference</x:v>
      </x:c>
      <x:c r="E89" s="12" t="str">
        <x:v>PDF pp. 4–15; Figs. 1–10; Tables 1–2</x:v>
      </x:c>
      <x:c r="F89" s="12" t="str">
        <x:v>Batch 01</x:v>
      </x:c>
    </x:row>
    <x:row r="90" ht="15" hidden="0" customHeight="1">
      <x:c r="A90" s="12" t="str">
        <x:v>S015</x:v>
      </x:c>
      <x:c r="B90" s="12" t="str">
        <x:v>D1 Sampling/specimen selection</x:v>
      </x:c>
      <x:c r="C90" s="12" t="str">
        <x:v>High concern</x:v>
      </x:c>
      <x:c r="D90" s="12" t="str">
        <x:v>One prototype and two convenience participants</x:v>
      </x:c>
      <x:c r="E90" s="12" t="str">
        <x:v>PDF pp. 3–11; Figs. 1–6; Table 1</x:v>
      </x:c>
      <x:c r="F90" s="12" t="str">
        <x:v>Batch 01</x:v>
      </x:c>
    </x:row>
    <x:row r="91" ht="15" hidden="0" customHeight="1">
      <x:c r="A91" s="12" t="str">
        <x:v>S015</x:v>
      </x:c>
      <x:c r="B91" s="12" t="str">
        <x:v>D2 Fabrication-variable control</x:v>
      </x:c>
      <x:c r="C91" s="12" t="str">
        <x:v>High concern</x:v>
      </x:c>
      <x:c r="D91" s="12" t="str">
        <x:v>Core print settings are incomplete</x:v>
      </x:c>
      <x:c r="E91" s="12" t="str">
        <x:v>PDF pp. 3–11; Figs. 1–6; Table 1</x:v>
      </x:c>
      <x:c r="F91" s="12" t="str">
        <x:v>Batch 01</x:v>
      </x:c>
    </x:row>
    <x:row r="92" ht="15" hidden="0" customHeight="1">
      <x:c r="A92" s="12" t="str">
        <x:v>S015</x:v>
      </x:c>
      <x:c r="B92" s="12" t="str">
        <x:v>D3 Reference/calibration validity</x:v>
      </x:c>
      <x:c r="C92" s="12" t="str">
        <x:v>Low concern</x:v>
      </x:c>
      <x:c r="D92" s="12" t="str">
        <x:v>Caliper comparison and analysis equations reported</x:v>
      </x:c>
      <x:c r="E92" s="12" t="str">
        <x:v>PDF pp. 3–11; Figs. 1–6; Table 1</x:v>
      </x:c>
      <x:c r="F92" s="12" t="str">
        <x:v>Batch 01</x:v>
      </x:c>
    </x:row>
    <x:row r="93" ht="15" hidden="0" customHeight="1">
      <x:c r="A93" s="12" t="str">
        <x:v>S015</x:v>
      </x:c>
      <x:c r="B93" s="12" t="str">
        <x:v>D4 Loading/exposure conditions</x:v>
      </x:c>
      <x:c r="C93" s="12" t="str">
        <x:v>Some concern</x:v>
      </x:c>
      <x:c r="D93" s="12" t="str">
        <x:v>On-body procedure is described but calibration is limited</x:v>
      </x:c>
      <x:c r="E93" s="12" t="str">
        <x:v>PDF pp. 3–11; Figs. 1–6; Table 1</x:v>
      </x:c>
      <x:c r="F93" s="12" t="str">
        <x:v>Batch 01</x:v>
      </x:c>
    </x:row>
    <x:row r="94" ht="15" hidden="0" customHeight="1">
      <x:c r="A94" s="12" t="str">
        <x:v>S015</x:v>
      </x:c>
      <x:c r="B94" s="12" t="str">
        <x:v>D5 Repeated-measurement design</x:v>
      </x:c>
      <x:c r="C94" s="12" t="str">
        <x:v>High concern</x:v>
      </x:c>
      <x:c r="D94" s="12" t="str">
        <x:v>Practice repeats were unrecorded</x:v>
      </x:c>
      <x:c r="E94" s="12" t="str">
        <x:v>PDF pp. 3–11; Figs. 1–6; Table 1</x:v>
      </x:c>
      <x:c r="F94" s="12" t="str">
        <x:v>Batch 01</x:v>
      </x:c>
    </x:row>
    <x:row r="95" ht="15" hidden="0" customHeight="1">
      <x:c r="A95" s="12" t="str">
        <x:v>S015</x:v>
      </x:c>
      <x:c r="B95" s="12" t="str">
        <x:v>D6 Independent-device replication</x:v>
      </x:c>
      <x:c r="C95" s="12" t="str">
        <x:v>High concern</x:v>
      </x:c>
      <x:c r="D95" s="12" t="str">
        <x:v>No independent-device replication</x:v>
      </x:c>
      <x:c r="E95" s="12" t="str">
        <x:v>PDF pp. 3–11; Figs. 1–6; Table 1</x:v>
      </x:c>
      <x:c r="F95" s="12" t="str">
        <x:v>Batch 01</x:v>
      </x:c>
    </x:row>
    <x:row r="96" ht="15" hidden="0" customHeight="1">
      <x:c r="A96" s="12" t="str">
        <x:v>S015</x:v>
      </x:c>
      <x:c r="B96" s="12" t="str">
        <x:v>D7 Outcome completeness</x:v>
      </x:c>
      <x:c r="C96" s="12" t="str">
        <x:v>Some concern</x:v>
      </x:c>
      <x:c r="D96" s="12" t="str">
        <x:v>Errors reported; device-level uncertainty limited</x:v>
      </x:c>
      <x:c r="E96" s="12" t="str">
        <x:v>PDF pp. 3–11; Figs. 1–6; Table 1</x:v>
      </x:c>
      <x:c r="F96" s="12" t="str">
        <x:v>Batch 01</x:v>
      </x:c>
    </x:row>
    <x:row r="97" ht="15" hidden="0" customHeight="1">
      <x:c r="A97" s="12" t="str">
        <x:v>S015</x:v>
      </x:c>
      <x:c r="B97" s="12" t="str">
        <x:v>D8 Wearable applicability</x:v>
      </x:c>
      <x:c r="C97" s="12" t="str">
        <x:v>Some concern</x:v>
      </x:c>
      <x:c r="D97" s="12" t="str">
        <x:v>Direct on-body feasibility only</x:v>
      </x:c>
      <x:c r="E97" s="12" t="str">
        <x:v>PDF pp. 3–11; Figs. 1–6; Table 1</x:v>
      </x:c>
      <x:c r="F97" s="12" t="str">
        <x:v>Batch 01</x:v>
      </x:c>
    </x:row>
    <x:row r="98" ht="15" hidden="0" customHeight="1">
      <x:c r="A98" s="12" t="str">
        <x:v>S017</x:v>
      </x:c>
      <x:c r="B98" s="12" t="str">
        <x:v>D1 Sampling/specimen selection</x:v>
      </x:c>
      <x:c r="C98" s="12" t="str">
        <x:v>High concern</x:v>
      </x:c>
      <x:c r="D98" s="12" t="str">
        <x:v>Device and participant counts are NR</x:v>
      </x:c>
      <x:c r="E98" s="12" t="str">
        <x:v>PDF pp. 2-5</x:v>
      </x:c>
      <x:c r="F98" s="12" t="str">
        <x:v>Pilot</x:v>
      </x:c>
    </x:row>
    <x:row r="99" ht="15" hidden="0" customHeight="1">
      <x:c r="A99" s="12" t="str">
        <x:v>S017</x:v>
      </x:c>
      <x:c r="B99" s="12" t="str">
        <x:v>D2 Fabrication-variable control</x:v>
      </x:c>
      <x:c r="C99" s="12" t="str">
        <x:v>High concern</x:v>
      </x:c>
      <x:c r="D99" s="12" t="str">
        <x:v>Printer/settings and carbon-fiber loading are missing</x:v>
      </x:c>
      <x:c r="E99" s="12" t="str">
        <x:v>PDF p. 2</x:v>
      </x:c>
      <x:c r="F99" s="12" t="str">
        <x:v>Pilot</x:v>
      </x:c>
    </x:row>
    <x:row r="100" ht="15" hidden="0" customHeight="1">
      <x:c r="A100" s="12" t="str">
        <x:v>S017</x:v>
      </x:c>
      <x:c r="B100" s="12" t="str">
        <x:v>D3 Reference/calibration validity</x:v>
      </x:c>
      <x:c r="C100" s="12" t="str">
        <x:v>Some concern</x:v>
      </x:c>
      <x:c r="D100" s="12" t="str">
        <x:v>Force/frequency/displacement are controlled, but calibration traceability is limited</x:v>
      </x:c>
      <x:c r="E100" s="12" t="str">
        <x:v>PDF pp. 2-4</x:v>
      </x:c>
      <x:c r="F100" s="12" t="str">
        <x:v>Pilot</x:v>
      </x:c>
    </x:row>
    <x:row r="101" ht="15" hidden="0" customHeight="1">
      <x:c r="A101" s="12" t="str">
        <x:v>S017</x:v>
      </x:c>
      <x:c r="B101" s="12" t="str">
        <x:v>D4 Loading/exposure conditions</x:v>
      </x:c>
      <x:c r="C101" s="12" t="str">
        <x:v>Some concern</x:v>
      </x:c>
      <x:c r="D101" s="12" t="str">
        <x:v>Core test settings stated; humidity levels are mainly figure-based</x:v>
      </x:c>
      <x:c r="E101" s="12" t="str">
        <x:v>PDF pp. 3-5</x:v>
      </x:c>
      <x:c r="F101" s="12" t="str">
        <x:v>Pilot</x:v>
      </x:c>
    </x:row>
    <x:row r="102" ht="15" hidden="0" customHeight="1">
      <x:c r="A102" s="12" t="str">
        <x:v>S017</x:v>
      </x:c>
      <x:c r="B102" s="12" t="str">
        <x:v>D5 Repeated-measurement design</x:v>
      </x:c>
      <x:c r="C102" s="12" t="str">
        <x:v>Some concern</x:v>
      </x:c>
      <x:c r="D102" s="12" t="str">
        <x:v>1600-cycle trace reported without full specimen/repeat structure</x:v>
      </x:c>
      <x:c r="E102" s="12" t="str">
        <x:v>PDF pp. 4-5</x:v>
      </x:c>
      <x:c r="F102" s="12" t="str">
        <x:v>Pilot</x:v>
      </x:c>
    </x:row>
    <x:row r="103" ht="15" hidden="0" customHeight="1">
      <x:c r="A103" s="12" t="str">
        <x:v>S017</x:v>
      </x:c>
      <x:c r="B103" s="12" t="str">
        <x:v>D6 Independent-device replication</x:v>
      </x:c>
      <x:c r="C103" s="12" t="str">
        <x:v>High concern</x:v>
      </x:c>
      <x:c r="D103" s="12" t="str">
        <x:v>No independent-device comparison</x:v>
      </x:c>
      <x:c r="E103" s="12" t="str">
        <x:v>PDF pp. 1-6</x:v>
      </x:c>
      <x:c r="F103" s="12" t="str">
        <x:v>Pilot</x:v>
      </x:c>
    </x:row>
    <x:row r="104" ht="15" hidden="0" customHeight="1">
      <x:c r="A104" s="12" t="str">
        <x:v>S017</x:v>
      </x:c>
      <x:c r="B104" s="12" t="str">
        <x:v>D7 Outcome completeness</x:v>
      </x:c>
      <x:c r="C104" s="12" t="str">
        <x:v>Some concern</x:v>
      </x:c>
      <x:c r="D104" s="12" t="str">
        <x:v>Multiple outputs reported; uncertainty/device-level dispersion limited</x:v>
      </x:c>
      <x:c r="E104" s="12" t="str">
        <x:v>PDF pp. 3-5</x:v>
      </x:c>
      <x:c r="F104" s="12" t="str">
        <x:v>Pilot</x:v>
      </x:c>
    </x:row>
    <x:row r="105" ht="15" hidden="0" customHeight="1">
      <x:c r="A105" s="12" t="str">
        <x:v>S017</x:v>
      </x:c>
      <x:c r="B105" s="12" t="str">
        <x:v>D8 Wearable applicability</x:v>
      </x:c>
      <x:c r="C105" s="12" t="str">
        <x:v>Some concern</x:v>
      </x:c>
      <x:c r="D105" s="12" t="str">
        <x:v>Body-motion demonstrations reported, but attachment and participant details are NR</x:v>
      </x:c>
      <x:c r="E105" s="12" t="str">
        <x:v>PDF pp. 3, 5</x:v>
      </x:c>
      <x:c r="F105" s="12" t="str">
        <x:v>Pilot</x:v>
      </x:c>
    </x:row>
    <x:row r="106" ht="15" hidden="0" customHeight="1">
      <x:c r="A106" s="12" t="str">
        <x:v>S018</x:v>
      </x:c>
      <x:c r="B106" s="12" t="str">
        <x:v>D1 Sampling/specimen selection</x:v>
      </x:c>
      <x:c r="C106" s="12" t="str">
        <x:v>High concern</x:v>
      </x:c>
      <x:c r="D106" s="12" t="str">
        <x:v>Human evaluation used one participant.</x:v>
      </x:c>
      <x:c r="E106" s="12" t="str">
        <x:v>PDF pp. 3–11; Figs. 1–6; Table 1</x:v>
      </x:c>
      <x:c r="F106" s="12" t="str">
        <x:v>Batch 02</x:v>
      </x:c>
    </x:row>
    <x:row r="107" ht="15" hidden="0" customHeight="1">
      <x:c r="A107" s="12" t="str">
        <x:v>S018</x:v>
      </x:c>
      <x:c r="B107" s="12" t="str">
        <x:v>D2 Fabrication-variable control</x:v>
      </x:c>
      <x:c r="C107" s="12" t="str">
        <x:v>Some concern</x:v>
      </x:c>
      <x:c r="D107" s="12" t="str">
        <x:v>Study-specific limitations are recorded in the extraction and REB sheets.</x:v>
      </x:c>
      <x:c r="E107" s="12" t="str">
        <x:v>PDF pp. 3–11; Figs. 1–6; Table 1</x:v>
      </x:c>
      <x:c r="F107" s="12" t="str">
        <x:v>Batch 02</x:v>
      </x:c>
    </x:row>
    <x:row r="108" ht="15" hidden="0" customHeight="1">
      <x:c r="A108" s="12" t="str">
        <x:v>S018</x:v>
      </x:c>
      <x:c r="B108" s="12" t="str">
        <x:v>D3 Reference/calibration validity</x:v>
      </x:c>
      <x:c r="C108" s="12" t="str">
        <x:v>Low concern</x:v>
      </x:c>
      <x:c r="D108" s="12" t="str">
        <x:v>Reference/protocol and principal quantitative outcomes are reported.</x:v>
      </x:c>
      <x:c r="E108" s="12" t="str">
        <x:v>PDF pp. 3–11; Figs. 1–6; Table 1</x:v>
      </x:c>
      <x:c r="F108" s="12" t="str">
        <x:v>Batch 02</x:v>
      </x:c>
    </x:row>
    <x:row r="109" ht="15" hidden="0" customHeight="1">
      <x:c r="A109" s="12" t="str">
        <x:v>S018</x:v>
      </x:c>
      <x:c r="B109" s="12" t="str">
        <x:v>D4 Loading/exposure conditions</x:v>
      </x:c>
      <x:c r="C109" s="12" t="str">
        <x:v>Low concern</x:v>
      </x:c>
      <x:c r="D109" s="12" t="str">
        <x:v>Reference/protocol and principal quantitative outcomes are reported.</x:v>
      </x:c>
      <x:c r="E109" s="12" t="str">
        <x:v>PDF pp. 3–11; Figs. 1–6; Table 1</x:v>
      </x:c>
      <x:c r="F109" s="12" t="str">
        <x:v>Batch 02</x:v>
      </x:c>
    </x:row>
    <x:row r="110" ht="15" hidden="0" customHeight="1">
      <x:c r="A110" s="12" t="str">
        <x:v>S018</x:v>
      </x:c>
      <x:c r="B110" s="12" t="str">
        <x:v>D5 Repeated-measurement design</x:v>
      </x:c>
      <x:c r="C110" s="12" t="str">
        <x:v>Some concern</x:v>
      </x:c>
      <x:c r="D110" s="12" t="str">
        <x:v>Study-specific limitations are recorded in the extraction and REB sheets.</x:v>
      </x:c>
      <x:c r="E110" s="12" t="str">
        <x:v>PDF pp. 3–11; Figs. 1–6; Table 1</x:v>
      </x:c>
      <x:c r="F110" s="12" t="str">
        <x:v>Batch 02</x:v>
      </x:c>
    </x:row>
    <x:row r="111" ht="15" hidden="0" customHeight="1">
      <x:c r="A111" s="12" t="str">
        <x:v>S018</x:v>
      </x:c>
      <x:c r="B111" s="12" t="str">
        <x:v>D6 Independent-device replication</x:v>
      </x:c>
      <x:c r="C111" s="12" t="str">
        <x:v>High concern</x:v>
      </x:c>
      <x:c r="D111" s="12" t="str">
        <x:v>No clear quantitative comparison of at least three separate functional devices.</x:v>
      </x:c>
      <x:c r="E111" s="12" t="str">
        <x:v>PDF pp. 3–11; Figs. 1–6; Table 1</x:v>
      </x:c>
      <x:c r="F111" s="12" t="str">
        <x:v>Batch 02</x:v>
      </x:c>
    </x:row>
    <x:row r="112" ht="15" hidden="0" customHeight="1">
      <x:c r="A112" s="12" t="str">
        <x:v>S018</x:v>
      </x:c>
      <x:c r="B112" s="12" t="str">
        <x:v>D7 Outcome completeness</x:v>
      </x:c>
      <x:c r="C112" s="12" t="str">
        <x:v>Low concern</x:v>
      </x:c>
      <x:c r="D112" s="12" t="str">
        <x:v>Reference/protocol and principal quantitative outcomes are reported.</x:v>
      </x:c>
      <x:c r="E112" s="12" t="str">
        <x:v>PDF pp. 3–11; Figs. 1–6; Table 1</x:v>
      </x:c>
      <x:c r="F112" s="12" t="str">
        <x:v>Batch 02</x:v>
      </x:c>
    </x:row>
    <x:row r="113" ht="15" hidden="0" customHeight="1">
      <x:c r="A113" s="12" t="str">
        <x:v>S018</x:v>
      </x:c>
      <x:c r="B113" s="12" t="str">
        <x:v>D8 Wearable applicability</x:v>
      </x:c>
      <x:c r="C113" s="12" t="str">
        <x:v>Some concern</x:v>
      </x:c>
      <x:c r="D113" s="12" t="str">
        <x:v>Study-specific limitations are recorded in the extraction and REB sheets.</x:v>
      </x:c>
      <x:c r="E113" s="12" t="str">
        <x:v>PDF pp. 3–11; Figs. 1–6; Table 1</x:v>
      </x:c>
      <x:c r="F113" s="12" t="str">
        <x:v>Batch 02</x:v>
      </x:c>
    </x:row>
    <x:row r="114" ht="15" hidden="0" customHeight="1">
      <x:c r="A114" s="12" t="str">
        <x:v>S019</x:v>
      </x:c>
      <x:c r="B114" s="12" t="str">
        <x:v>D1 Sampling/specimen selection</x:v>
      </x:c>
      <x:c r="C114" s="12" t="str">
        <x:v>Some concern</x:v>
      </x:c>
      <x:c r="D114" s="12" t="str">
        <x:v>Study-specific limitations are recorded in the extraction and REB sheets.</x:v>
      </x:c>
      <x:c r="E114" s="12" t="str">
        <x:v>PDF pp. 2–8; Figs. 1–7</x:v>
      </x:c>
      <x:c r="F114" s="12" t="str">
        <x:v>Batch 02</x:v>
      </x:c>
    </x:row>
    <x:row r="115" ht="15" hidden="0" customHeight="1">
      <x:c r="A115" s="12" t="str">
        <x:v>S019</x:v>
      </x:c>
      <x:c r="B115" s="12" t="str">
        <x:v>D2 Fabrication-variable control</x:v>
      </x:c>
      <x:c r="C115" s="12" t="str">
        <x:v>Some concern</x:v>
      </x:c>
      <x:c r="D115" s="12" t="str">
        <x:v>Study-specific limitations are recorded in the extraction and REB sheets.</x:v>
      </x:c>
      <x:c r="E115" s="12" t="str">
        <x:v>PDF pp. 2–8; Figs. 1–7</x:v>
      </x:c>
      <x:c r="F115" s="12" t="str">
        <x:v>Batch 02</x:v>
      </x:c>
    </x:row>
    <x:row r="116" ht="15" hidden="0" customHeight="1">
      <x:c r="A116" s="12" t="str">
        <x:v>S019</x:v>
      </x:c>
      <x:c r="B116" s="12" t="str">
        <x:v>D3 Reference/calibration validity</x:v>
      </x:c>
      <x:c r="C116" s="12" t="str">
        <x:v>Low concern</x:v>
      </x:c>
      <x:c r="D116" s="12" t="str">
        <x:v>Reference/protocol and principal quantitative outcomes are reported.</x:v>
      </x:c>
      <x:c r="E116" s="12" t="str">
        <x:v>PDF pp. 2–8; Figs. 1–7</x:v>
      </x:c>
      <x:c r="F116" s="12" t="str">
        <x:v>Batch 02</x:v>
      </x:c>
    </x:row>
    <x:row r="117" ht="15" hidden="0" customHeight="1">
      <x:c r="A117" s="12" t="str">
        <x:v>S019</x:v>
      </x:c>
      <x:c r="B117" s="12" t="str">
        <x:v>D4 Loading/exposure conditions</x:v>
      </x:c>
      <x:c r="C117" s="12" t="str">
        <x:v>Low concern</x:v>
      </x:c>
      <x:c r="D117" s="12" t="str">
        <x:v>Reference/protocol and principal quantitative outcomes are reported.</x:v>
      </x:c>
      <x:c r="E117" s="12" t="str">
        <x:v>PDF pp. 2–8; Figs. 1–7</x:v>
      </x:c>
      <x:c r="F117" s="12" t="str">
        <x:v>Batch 02</x:v>
      </x:c>
    </x:row>
    <x:row r="118" ht="15" hidden="0" customHeight="1">
      <x:c r="A118" s="12" t="str">
        <x:v>S019</x:v>
      </x:c>
      <x:c r="B118" s="12" t="str">
        <x:v>D5 Repeated-measurement design</x:v>
      </x:c>
      <x:c r="C118" s="12" t="str">
        <x:v>Some concern</x:v>
      </x:c>
      <x:c r="D118" s="12" t="str">
        <x:v>Study-specific limitations are recorded in the extraction and REB sheets.</x:v>
      </x:c>
      <x:c r="E118" s="12" t="str">
        <x:v>PDF pp. 2–8; Figs. 1–7</x:v>
      </x:c>
      <x:c r="F118" s="12" t="str">
        <x:v>Batch 02</x:v>
      </x:c>
    </x:row>
    <x:row r="119" ht="15" hidden="0" customHeight="1">
      <x:c r="A119" s="12" t="str">
        <x:v>S019</x:v>
      </x:c>
      <x:c r="B119" s="12" t="str">
        <x:v>D6 Independent-device replication</x:v>
      </x:c>
      <x:c r="C119" s="12" t="str">
        <x:v>Low concern</x:v>
      </x:c>
      <x:c r="D119" s="12" t="str">
        <x:v>At least three separately fabricated sensing units are compared quantitatively.</x:v>
      </x:c>
      <x:c r="E119" s="12" t="str">
        <x:v>PDF pp. 2–8; Figs. 1–7</x:v>
      </x:c>
      <x:c r="F119" s="12" t="str">
        <x:v>Batch 02</x:v>
      </x:c>
    </x:row>
    <x:row r="120" ht="15" hidden="0" customHeight="1">
      <x:c r="A120" s="12" t="str">
        <x:v>S019</x:v>
      </x:c>
      <x:c r="B120" s="12" t="str">
        <x:v>D7 Outcome completeness</x:v>
      </x:c>
      <x:c r="C120" s="12" t="str">
        <x:v>Low concern</x:v>
      </x:c>
      <x:c r="D120" s="12" t="str">
        <x:v>Reference/protocol and principal quantitative outcomes are reported.</x:v>
      </x:c>
      <x:c r="E120" s="12" t="str">
        <x:v>PDF pp. 2–8; Figs. 1–7</x:v>
      </x:c>
      <x:c r="F120" s="12" t="str">
        <x:v>Batch 02</x:v>
      </x:c>
    </x:row>
    <x:row r="121" ht="15" hidden="0" customHeight="1">
      <x:c r="A121" s="12" t="str">
        <x:v>S019</x:v>
      </x:c>
      <x:c r="B121" s="12" t="str">
        <x:v>D8 Wearable applicability</x:v>
      </x:c>
      <x:c r="C121" s="12" t="str">
        <x:v>Some concern</x:v>
      </x:c>
      <x:c r="D121" s="12" t="str">
        <x:v>Study-specific limitations are recorded in the extraction and REB sheets.</x:v>
      </x:c>
      <x:c r="E121" s="12" t="str">
        <x:v>PDF pp. 2–8; Figs. 1–7</x:v>
      </x:c>
      <x:c r="F121" s="12" t="str">
        <x:v>Batch 02</x:v>
      </x:c>
    </x:row>
    <x:row r="122" ht="15" hidden="0" customHeight="1">
      <x:c r="A122" s="12" t="str">
        <x:v>S020</x:v>
      </x:c>
      <x:c r="B122" s="12" t="str">
        <x:v>D1 Sampling/specimen selection</x:v>
      </x:c>
      <x:c r="C122" s="12" t="str">
        <x:v>Some concern</x:v>
      </x:c>
      <x:c r="D122" s="12" t="str">
        <x:v>Study-specific limitations are recorded in the extraction and REB sheets.</x:v>
      </x:c>
      <x:c r="E122" s="12" t="str">
        <x:v>PDF pp. 5–14; Figs. 5–12</x:v>
      </x:c>
      <x:c r="F122" s="12" t="str">
        <x:v>Batch 02</x:v>
      </x:c>
    </x:row>
    <x:row r="123" ht="15" hidden="0" customHeight="1">
      <x:c r="A123" s="12" t="str">
        <x:v>S020</x:v>
      </x:c>
      <x:c r="B123" s="12" t="str">
        <x:v>D2 Fabrication-variable control</x:v>
      </x:c>
      <x:c r="C123" s="12" t="str">
        <x:v>Some concern</x:v>
      </x:c>
      <x:c r="D123" s="12" t="str">
        <x:v>Study-specific limitations are recorded in the extraction and REB sheets.</x:v>
      </x:c>
      <x:c r="E123" s="12" t="str">
        <x:v>PDF pp. 5–14; Figs. 5–12</x:v>
      </x:c>
      <x:c r="F123" s="12" t="str">
        <x:v>Batch 02</x:v>
      </x:c>
    </x:row>
    <x:row r="124" ht="15" hidden="0" customHeight="1">
      <x:c r="A124" s="12" t="str">
        <x:v>S020</x:v>
      </x:c>
      <x:c r="B124" s="12" t="str">
        <x:v>D3 Reference/calibration validity</x:v>
      </x:c>
      <x:c r="C124" s="12" t="str">
        <x:v>Low concern</x:v>
      </x:c>
      <x:c r="D124" s="12" t="str">
        <x:v>Reference/protocol and principal quantitative outcomes are reported.</x:v>
      </x:c>
      <x:c r="E124" s="12" t="str">
        <x:v>PDF pp. 5–14; Figs. 5–12</x:v>
      </x:c>
      <x:c r="F124" s="12" t="str">
        <x:v>Batch 02</x:v>
      </x:c>
    </x:row>
    <x:row r="125" ht="15" hidden="0" customHeight="1">
      <x:c r="A125" s="12" t="str">
        <x:v>S020</x:v>
      </x:c>
      <x:c r="B125" s="12" t="str">
        <x:v>D4 Loading/exposure conditions</x:v>
      </x:c>
      <x:c r="C125" s="12" t="str">
        <x:v>Low concern</x:v>
      </x:c>
      <x:c r="D125" s="12" t="str">
        <x:v>Reference/protocol and principal quantitative outcomes are reported.</x:v>
      </x:c>
      <x:c r="E125" s="12" t="str">
        <x:v>PDF pp. 5–14; Figs. 5–12</x:v>
      </x:c>
      <x:c r="F125" s="12" t="str">
        <x:v>Batch 02</x:v>
      </x:c>
    </x:row>
    <x:row r="126" ht="15" hidden="0" customHeight="1">
      <x:c r="A126" s="12" t="str">
        <x:v>S020</x:v>
      </x:c>
      <x:c r="B126" s="12" t="str">
        <x:v>D5 Repeated-measurement design</x:v>
      </x:c>
      <x:c r="C126" s="12" t="str">
        <x:v>Some concern</x:v>
      </x:c>
      <x:c r="D126" s="12" t="str">
        <x:v>Study-specific limitations are recorded in the extraction and REB sheets.</x:v>
      </x:c>
      <x:c r="E126" s="12" t="str">
        <x:v>PDF pp. 5–14; Figs. 5–12</x:v>
      </x:c>
      <x:c r="F126" s="12" t="str">
        <x:v>Batch 02</x:v>
      </x:c>
    </x:row>
    <x:row r="127" ht="15" hidden="0" customHeight="1">
      <x:c r="A127" s="12" t="str">
        <x:v>S020</x:v>
      </x:c>
      <x:c r="B127" s="12" t="str">
        <x:v>D6 Independent-device replication</x:v>
      </x:c>
      <x:c r="C127" s="12" t="str">
        <x:v>Low concern</x:v>
      </x:c>
      <x:c r="D127" s="12" t="str">
        <x:v>At least three separately fabricated sensing units are compared quantitatively.</x:v>
      </x:c>
      <x:c r="E127" s="12" t="str">
        <x:v>PDF pp. 5–14; Figs. 5–12</x:v>
      </x:c>
      <x:c r="F127" s="12" t="str">
        <x:v>Batch 02</x:v>
      </x:c>
    </x:row>
    <x:row r="128" ht="15" hidden="0" customHeight="1">
      <x:c r="A128" s="12" t="str">
        <x:v>S020</x:v>
      </x:c>
      <x:c r="B128" s="12" t="str">
        <x:v>D7 Outcome completeness</x:v>
      </x:c>
      <x:c r="C128" s="12" t="str">
        <x:v>Low concern</x:v>
      </x:c>
      <x:c r="D128" s="12" t="str">
        <x:v>Reference/protocol and principal quantitative outcomes are reported.</x:v>
      </x:c>
      <x:c r="E128" s="12" t="str">
        <x:v>PDF pp. 5–14; Figs. 5–12</x:v>
      </x:c>
      <x:c r="F128" s="12" t="str">
        <x:v>Batch 02</x:v>
      </x:c>
    </x:row>
    <x:row r="129" ht="15" hidden="0" customHeight="1">
      <x:c r="A129" s="12" t="str">
        <x:v>S020</x:v>
      </x:c>
      <x:c r="B129" s="12" t="str">
        <x:v>D8 Wearable applicability</x:v>
      </x:c>
      <x:c r="C129" s="12" t="str">
        <x:v>Some concern</x:v>
      </x:c>
      <x:c r="D129" s="12" t="str">
        <x:v>Study-specific limitations are recorded in the extraction and REB sheets.</x:v>
      </x:c>
      <x:c r="E129" s="12" t="str">
        <x:v>PDF pp. 5–14; Figs. 5–12</x:v>
      </x:c>
      <x:c r="F129" s="12" t="str">
        <x:v>Batch 02</x:v>
      </x:c>
    </x:row>
    <x:row r="130" ht="15" hidden="0" customHeight="1">
      <x:c r="A130" s="12" t="str">
        <x:v>S021</x:v>
      </x:c>
      <x:c r="B130" s="12" t="str">
        <x:v>D1 Sampling/specimen selection</x:v>
      </x:c>
      <x:c r="C130" s="12" t="str">
        <x:v>High concern</x:v>
      </x:c>
      <x:c r="D130" s="12" t="str">
        <x:v>Human evaluation used one participant.</x:v>
      </x:c>
      <x:c r="E130" s="12" t="str">
        <x:v>PDF pp. 3–12; Figs. 1–8; Table 1</x:v>
      </x:c>
      <x:c r="F130" s="12" t="str">
        <x:v>Batch 02</x:v>
      </x:c>
    </x:row>
    <x:row r="131" ht="15" hidden="0" customHeight="1">
      <x:c r="A131" s="12" t="str">
        <x:v>S021</x:v>
      </x:c>
      <x:c r="B131" s="12" t="str">
        <x:v>D2 Fabrication-variable control</x:v>
      </x:c>
      <x:c r="C131" s="12" t="str">
        <x:v>Some concern</x:v>
      </x:c>
      <x:c r="D131" s="12" t="str">
        <x:v>Study-specific limitations are recorded in the extraction and REB sheets.</x:v>
      </x:c>
      <x:c r="E131" s="12" t="str">
        <x:v>PDF pp. 3–12; Figs. 1–8; Table 1</x:v>
      </x:c>
      <x:c r="F131" s="12" t="str">
        <x:v>Batch 02</x:v>
      </x:c>
    </x:row>
    <x:row r="132" ht="15" hidden="0" customHeight="1">
      <x:c r="A132" s="12" t="str">
        <x:v>S021</x:v>
      </x:c>
      <x:c r="B132" s="12" t="str">
        <x:v>D3 Reference/calibration validity</x:v>
      </x:c>
      <x:c r="C132" s="12" t="str">
        <x:v>Low concern</x:v>
      </x:c>
      <x:c r="D132" s="12" t="str">
        <x:v>Reference/protocol and principal quantitative outcomes are reported.</x:v>
      </x:c>
      <x:c r="E132" s="12" t="str">
        <x:v>PDF pp. 3–12; Figs. 1–8; Table 1</x:v>
      </x:c>
      <x:c r="F132" s="12" t="str">
        <x:v>Batch 02</x:v>
      </x:c>
    </x:row>
    <x:row r="133" ht="15" hidden="0" customHeight="1">
      <x:c r="A133" s="12" t="str">
        <x:v>S021</x:v>
      </x:c>
      <x:c r="B133" s="12" t="str">
        <x:v>D4 Loading/exposure conditions</x:v>
      </x:c>
      <x:c r="C133" s="12" t="str">
        <x:v>Low concern</x:v>
      </x:c>
      <x:c r="D133" s="12" t="str">
        <x:v>Reference/protocol and principal quantitative outcomes are reported.</x:v>
      </x:c>
      <x:c r="E133" s="12" t="str">
        <x:v>PDF pp. 3–12; Figs. 1–8; Table 1</x:v>
      </x:c>
      <x:c r="F133" s="12" t="str">
        <x:v>Batch 02</x:v>
      </x:c>
    </x:row>
    <x:row r="134" ht="15" hidden="0" customHeight="1">
      <x:c r="A134" s="12" t="str">
        <x:v>S021</x:v>
      </x:c>
      <x:c r="B134" s="12" t="str">
        <x:v>D5 Repeated-measurement design</x:v>
      </x:c>
      <x:c r="C134" s="12" t="str">
        <x:v>Some concern</x:v>
      </x:c>
      <x:c r="D134" s="12" t="str">
        <x:v>Study-specific limitations are recorded in the extraction and REB sheets.</x:v>
      </x:c>
      <x:c r="E134" s="12" t="str">
        <x:v>PDF pp. 3–12; Figs. 1–8; Table 1</x:v>
      </x:c>
      <x:c r="F134" s="12" t="str">
        <x:v>Batch 02</x:v>
      </x:c>
    </x:row>
    <x:row r="135" ht="15" hidden="0" customHeight="1">
      <x:c r="A135" s="12" t="str">
        <x:v>S021</x:v>
      </x:c>
      <x:c r="B135" s="12" t="str">
        <x:v>D6 Independent-device replication</x:v>
      </x:c>
      <x:c r="C135" s="12" t="str">
        <x:v>High concern</x:v>
      </x:c>
      <x:c r="D135" s="12" t="str">
        <x:v>No clear quantitative comparison of at least three separate functional devices.</x:v>
      </x:c>
      <x:c r="E135" s="12" t="str">
        <x:v>PDF pp. 3–12; Figs. 1–8; Table 1</x:v>
      </x:c>
      <x:c r="F135" s="12" t="str">
        <x:v>Batch 02</x:v>
      </x:c>
    </x:row>
    <x:row r="136" ht="15" hidden="0" customHeight="1">
      <x:c r="A136" s="12" t="str">
        <x:v>S021</x:v>
      </x:c>
      <x:c r="B136" s="12" t="str">
        <x:v>D7 Outcome completeness</x:v>
      </x:c>
      <x:c r="C136" s="12" t="str">
        <x:v>Low concern</x:v>
      </x:c>
      <x:c r="D136" s="12" t="str">
        <x:v>Reference/protocol and principal quantitative outcomes are reported.</x:v>
      </x:c>
      <x:c r="E136" s="12" t="str">
        <x:v>PDF pp. 3–12; Figs. 1–8; Table 1</x:v>
      </x:c>
      <x:c r="F136" s="12" t="str">
        <x:v>Batch 02</x:v>
      </x:c>
    </x:row>
    <x:row r="137" ht="15" hidden="0" customHeight="1">
      <x:c r="A137" s="12" t="str">
        <x:v>S021</x:v>
      </x:c>
      <x:c r="B137" s="12" t="str">
        <x:v>D8 Wearable applicability</x:v>
      </x:c>
      <x:c r="C137" s="12" t="str">
        <x:v>Some concern</x:v>
      </x:c>
      <x:c r="D137" s="12" t="str">
        <x:v>Study-specific limitations are recorded in the extraction and REB sheets.</x:v>
      </x:c>
      <x:c r="E137" s="12" t="str">
        <x:v>PDF pp. 3–12; Figs. 1–8; Table 1</x:v>
      </x:c>
      <x:c r="F137" s="12" t="str">
        <x:v>Batch 02</x:v>
      </x:c>
    </x:row>
    <x:row r="138" ht="15" hidden="0" customHeight="1">
      <x:c r="A138" s="12" t="str">
        <x:v>S022</x:v>
      </x:c>
      <x:c r="B138" s="12" t="str">
        <x:v>D1 Sampling/specimen selection</x:v>
      </x:c>
      <x:c r="C138" s="12" t="str">
        <x:v>Some concern</x:v>
      </x:c>
      <x:c r="D138" s="12" t="str">
        <x:v>Study-specific limitations are recorded in the extraction and REB sheets.</x:v>
      </x:c>
      <x:c r="E138" s="12" t="str">
        <x:v>PDF pp. 1–9; Figs. 1–6; cited SI</x:v>
      </x:c>
      <x:c r="F138" s="12" t="str">
        <x:v>Batch 02</x:v>
      </x:c>
    </x:row>
    <x:row r="139" ht="15" hidden="0" customHeight="1">
      <x:c r="A139" s="12" t="str">
        <x:v>S022</x:v>
      </x:c>
      <x:c r="B139" s="12" t="str">
        <x:v>D2 Fabrication-variable control</x:v>
      </x:c>
      <x:c r="C139" s="12" t="str">
        <x:v>Some concern</x:v>
      </x:c>
      <x:c r="D139" s="12" t="str">
        <x:v>Study-specific limitations are recorded in the extraction and REB sheets.</x:v>
      </x:c>
      <x:c r="E139" s="12" t="str">
        <x:v>PDF pp. 1–9; Figs. 1–6; cited SI</x:v>
      </x:c>
      <x:c r="F139" s="12" t="str">
        <x:v>Batch 02</x:v>
      </x:c>
    </x:row>
    <x:row r="140" ht="15" hidden="0" customHeight="1">
      <x:c r="A140" s="12" t="str">
        <x:v>S022</x:v>
      </x:c>
      <x:c r="B140" s="12" t="str">
        <x:v>D3 Reference/calibration validity</x:v>
      </x:c>
      <x:c r="C140" s="12" t="str">
        <x:v>Low concern</x:v>
      </x:c>
      <x:c r="D140" s="12" t="str">
        <x:v>Reference/protocol and principal quantitative outcomes are reported.</x:v>
      </x:c>
      <x:c r="E140" s="12" t="str">
        <x:v>PDF pp. 1–9; Figs. 1–6; cited SI</x:v>
      </x:c>
      <x:c r="F140" s="12" t="str">
        <x:v>Batch 02</x:v>
      </x:c>
    </x:row>
    <x:row r="141" ht="15" hidden="0" customHeight="1">
      <x:c r="A141" s="12" t="str">
        <x:v>S022</x:v>
      </x:c>
      <x:c r="B141" s="12" t="str">
        <x:v>D4 Loading/exposure conditions</x:v>
      </x:c>
      <x:c r="C141" s="12" t="str">
        <x:v>Low concern</x:v>
      </x:c>
      <x:c r="D141" s="12" t="str">
        <x:v>Reference/protocol and principal quantitative outcomes are reported.</x:v>
      </x:c>
      <x:c r="E141" s="12" t="str">
        <x:v>PDF pp. 1–9; Figs. 1–6; cited SI</x:v>
      </x:c>
      <x:c r="F141" s="12" t="str">
        <x:v>Batch 02</x:v>
      </x:c>
    </x:row>
    <x:row r="142" ht="15" hidden="0" customHeight="1">
      <x:c r="A142" s="12" t="str">
        <x:v>S022</x:v>
      </x:c>
      <x:c r="B142" s="12" t="str">
        <x:v>D5 Repeated-measurement design</x:v>
      </x:c>
      <x:c r="C142" s="12" t="str">
        <x:v>Some concern</x:v>
      </x:c>
      <x:c r="D142" s="12" t="str">
        <x:v>Study-specific limitations are recorded in the extraction and REB sheets.</x:v>
      </x:c>
      <x:c r="E142" s="12" t="str">
        <x:v>PDF pp. 1–9; Figs. 1–6; cited SI</x:v>
      </x:c>
      <x:c r="F142" s="12" t="str">
        <x:v>Batch 02</x:v>
      </x:c>
    </x:row>
    <x:row r="143" ht="15" hidden="0" customHeight="1">
      <x:c r="A143" s="12" t="str">
        <x:v>S022</x:v>
      </x:c>
      <x:c r="B143" s="12" t="str">
        <x:v>D6 Independent-device replication</x:v>
      </x:c>
      <x:c r="C143" s="12" t="str">
        <x:v>High concern</x:v>
      </x:c>
      <x:c r="D143" s="12" t="str">
        <x:v>No clear quantitative comparison of at least three separate functional devices.</x:v>
      </x:c>
      <x:c r="E143" s="12" t="str">
        <x:v>PDF pp. 1–9; Figs. 1–6; cited SI</x:v>
      </x:c>
      <x:c r="F143" s="12" t="str">
        <x:v>Batch 02</x:v>
      </x:c>
    </x:row>
    <x:row r="144" ht="15" hidden="0" customHeight="1">
      <x:c r="A144" s="12" t="str">
        <x:v>S022</x:v>
      </x:c>
      <x:c r="B144" s="12" t="str">
        <x:v>D7 Outcome completeness</x:v>
      </x:c>
      <x:c r="C144" s="12" t="str">
        <x:v>Low concern</x:v>
      </x:c>
      <x:c r="D144" s="12" t="str">
        <x:v>Reference/protocol and principal quantitative outcomes are reported.</x:v>
      </x:c>
      <x:c r="E144" s="12" t="str">
        <x:v>PDF pp. 1–9; Figs. 1–6; cited SI</x:v>
      </x:c>
      <x:c r="F144" s="12" t="str">
        <x:v>Batch 02</x:v>
      </x:c>
    </x:row>
    <x:row r="145" ht="15" hidden="0" customHeight="1">
      <x:c r="A145" s="12" t="str">
        <x:v>S022</x:v>
      </x:c>
      <x:c r="B145" s="12" t="str">
        <x:v>D8 Wearable applicability</x:v>
      </x:c>
      <x:c r="C145" s="12" t="str">
        <x:v>Some concern</x:v>
      </x:c>
      <x:c r="D145" s="12" t="str">
        <x:v>Study-specific limitations are recorded in the extraction and REB sheets.</x:v>
      </x:c>
      <x:c r="E145" s="12" t="str">
        <x:v>PDF pp. 1–9; Figs. 1–6; cited SI</x:v>
      </x:c>
      <x:c r="F145" s="12" t="str">
        <x:v>Batch 02</x:v>
      </x:c>
    </x:row>
    <x:row r="146" ht="15" hidden="0" customHeight="1">
      <x:c r="A146" s="12" t="str">
        <x:v>S023</x:v>
      </x:c>
      <x:c r="B146" s="12" t="str">
        <x:v>D1 Sampling/specimen selection</x:v>
      </x:c>
      <x:c r="C146" s="12" t="str">
        <x:v>Some concern</x:v>
      </x:c>
      <x:c r="D146" s="12" t="str">
        <x:v>Study-specific limitations are recorded in the extraction and REB sheets.</x:v>
      </x:c>
      <x:c r="E146" s="12" t="str">
        <x:v>PDF pp. 3–16; Figs. 2–10; Tables 1–2</x:v>
      </x:c>
      <x:c r="F146" s="12" t="str">
        <x:v>Batch 02</x:v>
      </x:c>
    </x:row>
    <x:row r="147" ht="15" hidden="0" customHeight="1">
      <x:c r="A147" s="12" t="str">
        <x:v>S023</x:v>
      </x:c>
      <x:c r="B147" s="12" t="str">
        <x:v>D2 Fabrication-variable control</x:v>
      </x:c>
      <x:c r="C147" s="12" t="str">
        <x:v>Some concern</x:v>
      </x:c>
      <x:c r="D147" s="12" t="str">
        <x:v>Study-specific limitations are recorded in the extraction and REB sheets.</x:v>
      </x:c>
      <x:c r="E147" s="12" t="str">
        <x:v>PDF pp. 3–16; Figs. 2–10; Tables 1–2</x:v>
      </x:c>
      <x:c r="F147" s="12" t="str">
        <x:v>Batch 02</x:v>
      </x:c>
    </x:row>
    <x:row r="148" ht="15" hidden="0" customHeight="1">
      <x:c r="A148" s="12" t="str">
        <x:v>S023</x:v>
      </x:c>
      <x:c r="B148" s="12" t="str">
        <x:v>D3 Reference/calibration validity</x:v>
      </x:c>
      <x:c r="C148" s="12" t="str">
        <x:v>Low concern</x:v>
      </x:c>
      <x:c r="D148" s="12" t="str">
        <x:v>Reference/protocol and principal quantitative outcomes are reported.</x:v>
      </x:c>
      <x:c r="E148" s="12" t="str">
        <x:v>PDF pp. 3–16; Figs. 2–10; Tables 1–2</x:v>
      </x:c>
      <x:c r="F148" s="12" t="str">
        <x:v>Batch 02</x:v>
      </x:c>
    </x:row>
    <x:row r="149" ht="15" hidden="0" customHeight="1">
      <x:c r="A149" s="12" t="str">
        <x:v>S023</x:v>
      </x:c>
      <x:c r="B149" s="12" t="str">
        <x:v>D4 Loading/exposure conditions</x:v>
      </x:c>
      <x:c r="C149" s="12" t="str">
        <x:v>Low concern</x:v>
      </x:c>
      <x:c r="D149" s="12" t="str">
        <x:v>Reference/protocol and principal quantitative outcomes are reported.</x:v>
      </x:c>
      <x:c r="E149" s="12" t="str">
        <x:v>PDF pp. 3–16; Figs. 2–10; Tables 1–2</x:v>
      </x:c>
      <x:c r="F149" s="12" t="str">
        <x:v>Batch 02</x:v>
      </x:c>
    </x:row>
    <x:row r="150" ht="15" hidden="0" customHeight="1">
      <x:c r="A150" s="12" t="str">
        <x:v>S023</x:v>
      </x:c>
      <x:c r="B150" s="12" t="str">
        <x:v>D5 Repeated-measurement design</x:v>
      </x:c>
      <x:c r="C150" s="12" t="str">
        <x:v>Some concern</x:v>
      </x:c>
      <x:c r="D150" s="12" t="str">
        <x:v>Study-specific limitations are recorded in the extraction and REB sheets.</x:v>
      </x:c>
      <x:c r="E150" s="12" t="str">
        <x:v>PDF pp. 3–16; Figs. 2–10; Tables 1–2</x:v>
      </x:c>
      <x:c r="F150" s="12" t="str">
        <x:v>Batch 02</x:v>
      </x:c>
    </x:row>
    <x:row r="151" ht="15" hidden="0" customHeight="1">
      <x:c r="A151" s="12" t="str">
        <x:v>S023</x:v>
      </x:c>
      <x:c r="B151" s="12" t="str">
        <x:v>D6 Independent-device replication</x:v>
      </x:c>
      <x:c r="C151" s="12" t="str">
        <x:v>Low concern</x:v>
      </x:c>
      <x:c r="D151" s="12" t="str">
        <x:v>At least three separately fabricated sensing units are compared quantitatively.</x:v>
      </x:c>
      <x:c r="E151" s="12" t="str">
        <x:v>PDF pp. 3–16; Figs. 2–10; Tables 1–2</x:v>
      </x:c>
      <x:c r="F151" s="12" t="str">
        <x:v>Batch 02</x:v>
      </x:c>
    </x:row>
    <x:row r="152" ht="15" hidden="0" customHeight="1">
      <x:c r="A152" s="12" t="str">
        <x:v>S023</x:v>
      </x:c>
      <x:c r="B152" s="12" t="str">
        <x:v>D7 Outcome completeness</x:v>
      </x:c>
      <x:c r="C152" s="12" t="str">
        <x:v>Low concern</x:v>
      </x:c>
      <x:c r="D152" s="12" t="str">
        <x:v>Reference/protocol and principal quantitative outcomes are reported.</x:v>
      </x:c>
      <x:c r="E152" s="12" t="str">
        <x:v>PDF pp. 3–16; Figs. 2–10; Tables 1–2</x:v>
      </x:c>
      <x:c r="F152" s="12" t="str">
        <x:v>Batch 02</x:v>
      </x:c>
    </x:row>
    <x:row r="153" ht="15" hidden="0" customHeight="1">
      <x:c r="A153" s="12" t="str">
        <x:v>S023</x:v>
      </x:c>
      <x:c r="B153" s="12" t="str">
        <x:v>D8 Wearable applicability</x:v>
      </x:c>
      <x:c r="C153" s="12" t="str">
        <x:v>Some concern</x:v>
      </x:c>
      <x:c r="D153" s="12" t="str">
        <x:v>Wearable relevance is component-level; no body-worn assembly was tested.</x:v>
      </x:c>
      <x:c r="E153" s="12" t="str">
        <x:v>PDF pp. 3–16; Figs. 2–10; Tables 1–2</x:v>
      </x:c>
      <x:c r="F153" s="12" t="str">
        <x:v>Batch 02</x:v>
      </x:c>
    </x:row>
    <x:row r="154" ht="15" hidden="0" customHeight="1">
      <x:c r="A154" s="12" t="str">
        <x:v>S024</x:v>
      </x:c>
      <x:c r="B154" s="12" t="str">
        <x:v>D1 Sampling/specimen selection</x:v>
      </x:c>
      <x:c r="C154" s="12" t="str">
        <x:v>Some concern</x:v>
      </x:c>
      <x:c r="D154" s="12" t="str">
        <x:v>Study-specific limitations are recorded in the extraction and REB sheets.</x:v>
      </x:c>
      <x:c r="E154" s="12" t="str">
        <x:v>PDF pp. 2–11; Figs. 1–6; cited SI</x:v>
      </x:c>
      <x:c r="F154" s="12" t="str">
        <x:v>Batch 02</x:v>
      </x:c>
    </x:row>
    <x:row r="155" ht="15" hidden="0" customHeight="1">
      <x:c r="A155" s="12" t="str">
        <x:v>S024</x:v>
      </x:c>
      <x:c r="B155" s="12" t="str">
        <x:v>D2 Fabrication-variable control</x:v>
      </x:c>
      <x:c r="C155" s="12" t="str">
        <x:v>Some concern</x:v>
      </x:c>
      <x:c r="D155" s="12" t="str">
        <x:v>Study-specific limitations are recorded in the extraction and REB sheets.</x:v>
      </x:c>
      <x:c r="E155" s="12" t="str">
        <x:v>PDF pp. 2–11; Figs. 1–6; cited SI</x:v>
      </x:c>
      <x:c r="F155" s="12" t="str">
        <x:v>Batch 02</x:v>
      </x:c>
    </x:row>
    <x:row r="156" ht="15" hidden="0" customHeight="1">
      <x:c r="A156" s="12" t="str">
        <x:v>S024</x:v>
      </x:c>
      <x:c r="B156" s="12" t="str">
        <x:v>D3 Reference/calibration validity</x:v>
      </x:c>
      <x:c r="C156" s="12" t="str">
        <x:v>Low concern</x:v>
      </x:c>
      <x:c r="D156" s="12" t="str">
        <x:v>Reference/protocol and principal quantitative outcomes are reported.</x:v>
      </x:c>
      <x:c r="E156" s="12" t="str">
        <x:v>PDF pp. 2–11; Figs. 1–6; cited SI</x:v>
      </x:c>
      <x:c r="F156" s="12" t="str">
        <x:v>Batch 02</x:v>
      </x:c>
    </x:row>
    <x:row r="157" ht="15" hidden="0" customHeight="1">
      <x:c r="A157" s="12" t="str">
        <x:v>S024</x:v>
      </x:c>
      <x:c r="B157" s="12" t="str">
        <x:v>D4 Loading/exposure conditions</x:v>
      </x:c>
      <x:c r="C157" s="12" t="str">
        <x:v>Low concern</x:v>
      </x:c>
      <x:c r="D157" s="12" t="str">
        <x:v>Reference/protocol and principal quantitative outcomes are reported.</x:v>
      </x:c>
      <x:c r="E157" s="12" t="str">
        <x:v>PDF pp. 2–11; Figs. 1–6; cited SI</x:v>
      </x:c>
      <x:c r="F157" s="12" t="str">
        <x:v>Batch 02</x:v>
      </x:c>
    </x:row>
    <x:row r="158" ht="15" hidden="0" customHeight="1">
      <x:c r="A158" s="12" t="str">
        <x:v>S024</x:v>
      </x:c>
      <x:c r="B158" s="12" t="str">
        <x:v>D5 Repeated-measurement design</x:v>
      </x:c>
      <x:c r="C158" s="12" t="str">
        <x:v>Some concern</x:v>
      </x:c>
      <x:c r="D158" s="12" t="str">
        <x:v>Study-specific limitations are recorded in the extraction and REB sheets.</x:v>
      </x:c>
      <x:c r="E158" s="12" t="str">
        <x:v>PDF pp. 2–11; Figs. 1–6; cited SI</x:v>
      </x:c>
      <x:c r="F158" s="12" t="str">
        <x:v>Batch 02</x:v>
      </x:c>
    </x:row>
    <x:row r="159" ht="15" hidden="0" customHeight="1">
      <x:c r="A159" s="12" t="str">
        <x:v>S024</x:v>
      </x:c>
      <x:c r="B159" s="12" t="str">
        <x:v>D6 Independent-device replication</x:v>
      </x:c>
      <x:c r="C159" s="12" t="str">
        <x:v>High concern</x:v>
      </x:c>
      <x:c r="D159" s="12" t="str">
        <x:v>No clear quantitative comparison of at least three separate functional devices.</x:v>
      </x:c>
      <x:c r="E159" s="12" t="str">
        <x:v>PDF pp. 2–11; Figs. 1–6; cited SI</x:v>
      </x:c>
      <x:c r="F159" s="12" t="str">
        <x:v>Batch 02</x:v>
      </x:c>
    </x:row>
    <x:row r="160" ht="15" hidden="0" customHeight="1">
      <x:c r="A160" s="12" t="str">
        <x:v>S024</x:v>
      </x:c>
      <x:c r="B160" s="12" t="str">
        <x:v>D7 Outcome completeness</x:v>
      </x:c>
      <x:c r="C160" s="12" t="str">
        <x:v>Low concern</x:v>
      </x:c>
      <x:c r="D160" s="12" t="str">
        <x:v>Reference/protocol and principal quantitative outcomes are reported.</x:v>
      </x:c>
      <x:c r="E160" s="12" t="str">
        <x:v>PDF pp. 2–11; Figs. 1–6; cited SI</x:v>
      </x:c>
      <x:c r="F160" s="12" t="str">
        <x:v>Batch 02</x:v>
      </x:c>
    </x:row>
    <x:row r="161" ht="15" hidden="0" customHeight="1">
      <x:c r="A161" s="12" t="str">
        <x:v>S024</x:v>
      </x:c>
      <x:c r="B161" s="12" t="str">
        <x:v>D8 Wearable applicability</x:v>
      </x:c>
      <x:c r="C161" s="12" t="str">
        <x:v>Some concern</x:v>
      </x:c>
      <x:c r="D161" s="12" t="str">
        <x:v>Study-specific limitations are recorded in the extraction and REB sheets.</x:v>
      </x:c>
      <x:c r="E161" s="12" t="str">
        <x:v>PDF pp. 2–11; Figs. 1–6; cited SI</x:v>
      </x:c>
      <x:c r="F161" s="12" t="str">
        <x:v>Batch 02</x:v>
      </x:c>
    </x:row>
    <x:row r="162" ht="15" hidden="0" customHeight="1">
      <x:c r="A162" s="12" t="str">
        <x:v>S025</x:v>
      </x:c>
      <x:c r="B162" s="12" t="str">
        <x:v>D1 Sampling/specimen selection</x:v>
      </x:c>
      <x:c r="C162" s="12" t="str">
        <x:v>Some concern</x:v>
      </x:c>
      <x:c r="D162" s="12" t="str">
        <x:v>Study-specific limitations are recorded in the extraction and REB sheets.</x:v>
      </x:c>
      <x:c r="E162" s="12" t="str">
        <x:v>PDF pp. 2–10; Figs. 1–6; Table 1; cited SI</x:v>
      </x:c>
      <x:c r="F162" s="12" t="str">
        <x:v>Batch 02</x:v>
      </x:c>
    </x:row>
    <x:row r="163" ht="15" hidden="0" customHeight="1">
      <x:c r="A163" s="12" t="str">
        <x:v>S025</x:v>
      </x:c>
      <x:c r="B163" s="12" t="str">
        <x:v>D2 Fabrication-variable control</x:v>
      </x:c>
      <x:c r="C163" s="12" t="str">
        <x:v>Some concern</x:v>
      </x:c>
      <x:c r="D163" s="12" t="str">
        <x:v>Study-specific limitations are recorded in the extraction and REB sheets.</x:v>
      </x:c>
      <x:c r="E163" s="12" t="str">
        <x:v>PDF pp. 2–10; Figs. 1–6; Table 1; cited SI</x:v>
      </x:c>
      <x:c r="F163" s="12" t="str">
        <x:v>Batch 02</x:v>
      </x:c>
    </x:row>
    <x:row r="164" ht="15" hidden="0" customHeight="1">
      <x:c r="A164" s="12" t="str">
        <x:v>S025</x:v>
      </x:c>
      <x:c r="B164" s="12" t="str">
        <x:v>D3 Reference/calibration validity</x:v>
      </x:c>
      <x:c r="C164" s="12" t="str">
        <x:v>Low concern</x:v>
      </x:c>
      <x:c r="D164" s="12" t="str">
        <x:v>Reference/protocol and principal quantitative outcomes are reported.</x:v>
      </x:c>
      <x:c r="E164" s="12" t="str">
        <x:v>PDF pp. 2–10; Figs. 1–6; Table 1; cited SI</x:v>
      </x:c>
      <x:c r="F164" s="12" t="str">
        <x:v>Batch 02</x:v>
      </x:c>
    </x:row>
    <x:row r="165" ht="15" hidden="0" customHeight="1">
      <x:c r="A165" s="12" t="str">
        <x:v>S025</x:v>
      </x:c>
      <x:c r="B165" s="12" t="str">
        <x:v>D4 Loading/exposure conditions</x:v>
      </x:c>
      <x:c r="C165" s="12" t="str">
        <x:v>Low concern</x:v>
      </x:c>
      <x:c r="D165" s="12" t="str">
        <x:v>Reference/protocol and principal quantitative outcomes are reported.</x:v>
      </x:c>
      <x:c r="E165" s="12" t="str">
        <x:v>PDF pp. 2–10; Figs. 1–6; Table 1; cited SI</x:v>
      </x:c>
      <x:c r="F165" s="12" t="str">
        <x:v>Batch 02</x:v>
      </x:c>
    </x:row>
    <x:row r="166" ht="15" hidden="0" customHeight="1">
      <x:c r="A166" s="12" t="str">
        <x:v>S025</x:v>
      </x:c>
      <x:c r="B166" s="12" t="str">
        <x:v>D5 Repeated-measurement design</x:v>
      </x:c>
      <x:c r="C166" s="12" t="str">
        <x:v>Some concern</x:v>
      </x:c>
      <x:c r="D166" s="12" t="str">
        <x:v>Study-specific limitations are recorded in the extraction and REB sheets.</x:v>
      </x:c>
      <x:c r="E166" s="12" t="str">
        <x:v>PDF pp. 2–10; Figs. 1–6; Table 1; cited SI</x:v>
      </x:c>
      <x:c r="F166" s="12" t="str">
        <x:v>Batch 02</x:v>
      </x:c>
    </x:row>
    <x:row r="167" ht="15" hidden="0" customHeight="1">
      <x:c r="A167" s="12" t="str">
        <x:v>S025</x:v>
      </x:c>
      <x:c r="B167" s="12" t="str">
        <x:v>D6 Independent-device replication</x:v>
      </x:c>
      <x:c r="C167" s="12" t="str">
        <x:v>Low concern</x:v>
      </x:c>
      <x:c r="D167" s="12" t="str">
        <x:v>At least three separately fabricated sensing units are compared quantitatively.</x:v>
      </x:c>
      <x:c r="E167" s="12" t="str">
        <x:v>PDF pp. 2–10; Figs. 1–6; Table 1; cited SI</x:v>
      </x:c>
      <x:c r="F167" s="12" t="str">
        <x:v>Batch 02</x:v>
      </x:c>
    </x:row>
    <x:row r="168" ht="15" hidden="0" customHeight="1">
      <x:c r="A168" s="12" t="str">
        <x:v>S025</x:v>
      </x:c>
      <x:c r="B168" s="12" t="str">
        <x:v>D7 Outcome completeness</x:v>
      </x:c>
      <x:c r="C168" s="12" t="str">
        <x:v>Low concern</x:v>
      </x:c>
      <x:c r="D168" s="12" t="str">
        <x:v>Reference/protocol and principal quantitative outcomes are reported.</x:v>
      </x:c>
      <x:c r="E168" s="12" t="str">
        <x:v>PDF pp. 2–10; Figs. 1–6; Table 1; cited SI</x:v>
      </x:c>
      <x:c r="F168" s="12" t="str">
        <x:v>Batch 02</x:v>
      </x:c>
    </x:row>
    <x:row r="169" ht="15" hidden="0" customHeight="1">
      <x:c r="A169" s="12" t="str">
        <x:v>S025</x:v>
      </x:c>
      <x:c r="B169" s="12" t="str">
        <x:v>D8 Wearable applicability</x:v>
      </x:c>
      <x:c r="C169" s="12" t="str">
        <x:v>Some concern</x:v>
      </x:c>
      <x:c r="D169" s="12" t="str">
        <x:v>Study-specific limitations are recorded in the extraction and REB sheets.</x:v>
      </x:c>
      <x:c r="E169" s="12" t="str">
        <x:v>PDF pp. 2–10; Figs. 1–6; Table 1; cited SI</x:v>
      </x:c>
      <x:c r="F169" s="12" t="str">
        <x:v>Batch 02</x:v>
      </x:c>
    </x:row>
    <x:row r="170" ht="15" hidden="0" customHeight="1">
      <x:c r="A170" s="12" t="str">
        <x:v>S028</x:v>
      </x:c>
      <x:c r="B170" s="12" t="str">
        <x:v>D1 Sampling/specimen selection</x:v>
      </x:c>
      <x:c r="C170" s="12" t="str">
        <x:v>Some concern</x:v>
      </x:c>
      <x:c r="D170" s="12" t="str">
        <x:v>Study-specific limitations are recorded in the extraction and REB sheets.</x:v>
      </x:c>
      <x:c r="E170" s="12" t="str">
        <x:v>PDF pp. 4–17; Figs. 1–10; Tables 1–4</x:v>
      </x:c>
      <x:c r="F170" s="12" t="str">
        <x:v>Batch 03</x:v>
      </x:c>
    </x:row>
    <x:row r="171" ht="15" hidden="0" customHeight="1">
      <x:c r="A171" s="12" t="str">
        <x:v>S028</x:v>
      </x:c>
      <x:c r="B171" s="12" t="str">
        <x:v>D2 Fabrication-variable control</x:v>
      </x:c>
      <x:c r="C171" s="12" t="str">
        <x:v>Some concern</x:v>
      </x:c>
      <x:c r="D171" s="12" t="str">
        <x:v>Study-specific limitations are recorded in the extraction and REB sheets.</x:v>
      </x:c>
      <x:c r="E171" s="12" t="str">
        <x:v>PDF pp. 4–17; Figs. 1–10; Tables 1–4</x:v>
      </x:c>
      <x:c r="F171" s="12" t="str">
        <x:v>Batch 03</x:v>
      </x:c>
    </x:row>
    <x:row r="172" ht="15" hidden="0" customHeight="1">
      <x:c r="A172" s="12" t="str">
        <x:v>S028</x:v>
      </x:c>
      <x:c r="B172" s="12" t="str">
        <x:v>D3 Reference/calibration validity</x:v>
      </x:c>
      <x:c r="C172" s="12" t="str">
        <x:v>Low concern</x:v>
      </x:c>
      <x:c r="D172" s="12" t="str">
        <x:v>Reference/protocol and principal quantitative outcomes are reported.</x:v>
      </x:c>
      <x:c r="E172" s="12" t="str">
        <x:v>PDF pp. 4–17; Figs. 1–10; Tables 1–4</x:v>
      </x:c>
      <x:c r="F172" s="12" t="str">
        <x:v>Batch 03</x:v>
      </x:c>
    </x:row>
    <x:row r="173" ht="15" hidden="0" customHeight="1">
      <x:c r="A173" s="12" t="str">
        <x:v>S028</x:v>
      </x:c>
      <x:c r="B173" s="12" t="str">
        <x:v>D4 Loading/exposure conditions</x:v>
      </x:c>
      <x:c r="C173" s="12" t="str">
        <x:v>Low concern</x:v>
      </x:c>
      <x:c r="D173" s="12" t="str">
        <x:v>Reference/protocol and principal quantitative outcomes are reported.</x:v>
      </x:c>
      <x:c r="E173" s="12" t="str">
        <x:v>PDF pp. 4–17; Figs. 1–10; Tables 1–4</x:v>
      </x:c>
      <x:c r="F173" s="12" t="str">
        <x:v>Batch 03</x:v>
      </x:c>
    </x:row>
    <x:row r="174" ht="15" hidden="0" customHeight="1">
      <x:c r="A174" s="12" t="str">
        <x:v>S028</x:v>
      </x:c>
      <x:c r="B174" s="12" t="str">
        <x:v>D5 Repeated-measurement design</x:v>
      </x:c>
      <x:c r="C174" s="12" t="str">
        <x:v>Some concern</x:v>
      </x:c>
      <x:c r="D174" s="12" t="str">
        <x:v>Study-specific limitations are recorded in the extraction and REB sheets.</x:v>
      </x:c>
      <x:c r="E174" s="12" t="str">
        <x:v>PDF pp. 4–17; Figs. 1–10; Tables 1–4</x:v>
      </x:c>
      <x:c r="F174" s="12" t="str">
        <x:v>Batch 03</x:v>
      </x:c>
    </x:row>
    <x:row r="175" ht="15" hidden="0" customHeight="1">
      <x:c r="A175" s="12" t="str">
        <x:v>S028</x:v>
      </x:c>
      <x:c r="B175" s="12" t="str">
        <x:v>D6 Independent-device replication</x:v>
      </x:c>
      <x:c r="C175" s="12" t="str">
        <x:v>Low concern</x:v>
      </x:c>
      <x:c r="D175" s="12" t="str">
        <x:v>At least three separately fabricated sensing units were compared quantitatively.</x:v>
      </x:c>
      <x:c r="E175" s="12" t="str">
        <x:v>PDF pp. 4–17; Figs. 1–10; Tables 1–4</x:v>
      </x:c>
      <x:c r="F175" s="12" t="str">
        <x:v>Batch 03</x:v>
      </x:c>
    </x:row>
    <x:row r="176" ht="15" hidden="0" customHeight="1">
      <x:c r="A176" s="12" t="str">
        <x:v>S028</x:v>
      </x:c>
      <x:c r="B176" s="12" t="str">
        <x:v>D7 Outcome completeness</x:v>
      </x:c>
      <x:c r="C176" s="12" t="str">
        <x:v>Low concern</x:v>
      </x:c>
      <x:c r="D176" s="12" t="str">
        <x:v>Reference/protocol and principal quantitative outcomes are reported.</x:v>
      </x:c>
      <x:c r="E176" s="12" t="str">
        <x:v>PDF pp. 4–17; Figs. 1–10; Tables 1–4</x:v>
      </x:c>
      <x:c r="F176" s="12" t="str">
        <x:v>Batch 03</x:v>
      </x:c>
    </x:row>
    <x:row r="177" ht="15" hidden="0" customHeight="1">
      <x:c r="A177" s="12" t="str">
        <x:v>S028</x:v>
      </x:c>
      <x:c r="B177" s="12" t="str">
        <x:v>D8 Wearable applicability</x:v>
      </x:c>
      <x:c r="C177" s="12" t="str">
        <x:v>Some concern</x:v>
      </x:c>
      <x:c r="D177" s="12" t="str">
        <x:v>Wearable relevance is application-specific/component-level; no complete human-worn assembly was tested.</x:v>
      </x:c>
      <x:c r="E177" s="12" t="str">
        <x:v>PDF pp. 4–17; Figs. 1–10; Tables 1–4</x:v>
      </x:c>
      <x:c r="F177" s="12" t="str">
        <x:v>Batch 03</x:v>
      </x:c>
    </x:row>
    <x:row r="178" ht="15" hidden="0" customHeight="1">
      <x:c r="A178" s="12" t="str">
        <x:v>S029</x:v>
      </x:c>
      <x:c r="B178" s="12" t="str">
        <x:v>D1 Sampling/specimen selection</x:v>
      </x:c>
      <x:c r="C178" s="12" t="str">
        <x:v>Some concern</x:v>
      </x:c>
      <x:c r="D178" s="12" t="str">
        <x:v>Study-specific limitations are recorded in the extraction and REB sheets.</x:v>
      </x:c>
      <x:c r="E178" s="12" t="str">
        <x:v>PDF pp. 4–23; Figs. 3–17; Tables 2–7</x:v>
      </x:c>
      <x:c r="F178" s="12" t="str">
        <x:v>Batch 03</x:v>
      </x:c>
    </x:row>
    <x:row r="179" ht="15" hidden="0" customHeight="1">
      <x:c r="A179" s="12" t="str">
        <x:v>S029</x:v>
      </x:c>
      <x:c r="B179" s="12" t="str">
        <x:v>D2 Fabrication-variable control</x:v>
      </x:c>
      <x:c r="C179" s="12" t="str">
        <x:v>Some concern</x:v>
      </x:c>
      <x:c r="D179" s="12" t="str">
        <x:v>Study-specific limitations are recorded in the extraction and REB sheets.</x:v>
      </x:c>
      <x:c r="E179" s="12" t="str">
        <x:v>PDF pp. 4–23; Figs. 3–17; Tables 2–7</x:v>
      </x:c>
      <x:c r="F179" s="12" t="str">
        <x:v>Batch 03</x:v>
      </x:c>
    </x:row>
    <x:row r="180" ht="15" hidden="0" customHeight="1">
      <x:c r="A180" s="12" t="str">
        <x:v>S029</x:v>
      </x:c>
      <x:c r="B180" s="12" t="str">
        <x:v>D3 Reference/calibration validity</x:v>
      </x:c>
      <x:c r="C180" s="12" t="str">
        <x:v>Low concern</x:v>
      </x:c>
      <x:c r="D180" s="12" t="str">
        <x:v>Reference/protocol and principal quantitative outcomes are reported.</x:v>
      </x:c>
      <x:c r="E180" s="12" t="str">
        <x:v>PDF pp. 4–23; Figs. 3–17; Tables 2–7</x:v>
      </x:c>
      <x:c r="F180" s="12" t="str">
        <x:v>Batch 03</x:v>
      </x:c>
    </x:row>
    <x:row r="181" ht="15" hidden="0" customHeight="1">
      <x:c r="A181" s="12" t="str">
        <x:v>S029</x:v>
      </x:c>
      <x:c r="B181" s="12" t="str">
        <x:v>D4 Loading/exposure conditions</x:v>
      </x:c>
      <x:c r="C181" s="12" t="str">
        <x:v>Low concern</x:v>
      </x:c>
      <x:c r="D181" s="12" t="str">
        <x:v>Reference/protocol and principal quantitative outcomes are reported.</x:v>
      </x:c>
      <x:c r="E181" s="12" t="str">
        <x:v>PDF pp. 4–23; Figs. 3–17; Tables 2–7</x:v>
      </x:c>
      <x:c r="F181" s="12" t="str">
        <x:v>Batch 03</x:v>
      </x:c>
    </x:row>
    <x:row r="182" ht="15" hidden="0" customHeight="1">
      <x:c r="A182" s="12" t="str">
        <x:v>S029</x:v>
      </x:c>
      <x:c r="B182" s="12" t="str">
        <x:v>D5 Repeated-measurement design</x:v>
      </x:c>
      <x:c r="C182" s="12" t="str">
        <x:v>Some concern</x:v>
      </x:c>
      <x:c r="D182" s="12" t="str">
        <x:v>Study-specific limitations are recorded in the extraction and REB sheets.</x:v>
      </x:c>
      <x:c r="E182" s="12" t="str">
        <x:v>PDF pp. 4–23; Figs. 3–17; Tables 2–7</x:v>
      </x:c>
      <x:c r="F182" s="12" t="str">
        <x:v>Batch 03</x:v>
      </x:c>
    </x:row>
    <x:row r="183" ht="15" hidden="0" customHeight="1">
      <x:c r="A183" s="12" t="str">
        <x:v>S029</x:v>
      </x:c>
      <x:c r="B183" s="12" t="str">
        <x:v>D6 Independent-device replication</x:v>
      </x:c>
      <x:c r="C183" s="12" t="str">
        <x:v>Low concern</x:v>
      </x:c>
      <x:c r="D183" s="12" t="str">
        <x:v>At least three separately fabricated sensing units were compared quantitatively.</x:v>
      </x:c>
      <x:c r="E183" s="12" t="str">
        <x:v>PDF pp. 4–23; Figs. 3–17; Tables 2–7</x:v>
      </x:c>
      <x:c r="F183" s="12" t="str">
        <x:v>Batch 03</x:v>
      </x:c>
    </x:row>
    <x:row r="184" ht="15" hidden="0" customHeight="1">
      <x:c r="A184" s="12" t="str">
        <x:v>S029</x:v>
      </x:c>
      <x:c r="B184" s="12" t="str">
        <x:v>D7 Outcome completeness</x:v>
      </x:c>
      <x:c r="C184" s="12" t="str">
        <x:v>Low concern</x:v>
      </x:c>
      <x:c r="D184" s="12" t="str">
        <x:v>Reference/protocol and principal quantitative outcomes are reported.</x:v>
      </x:c>
      <x:c r="E184" s="12" t="str">
        <x:v>PDF pp. 4–23; Figs. 3–17; Tables 2–7</x:v>
      </x:c>
      <x:c r="F184" s="12" t="str">
        <x:v>Batch 03</x:v>
      </x:c>
    </x:row>
    <x:row r="185" ht="15" hidden="0" customHeight="1">
      <x:c r="A185" s="12" t="str">
        <x:v>S029</x:v>
      </x:c>
      <x:c r="B185" s="12" t="str">
        <x:v>D8 Wearable applicability</x:v>
      </x:c>
      <x:c r="C185" s="12" t="str">
        <x:v>Some concern</x:v>
      </x:c>
      <x:c r="D185" s="12" t="str">
        <x:v>Study-specific limitations are recorded in the extraction and REB sheets.</x:v>
      </x:c>
      <x:c r="E185" s="12" t="str">
        <x:v>PDF pp. 4–23; Figs. 3–17; Tables 2–7</x:v>
      </x:c>
      <x:c r="F185" s="12" t="str">
        <x:v>Batch 03</x:v>
      </x:c>
    </x:row>
    <x:row r="186" ht="24" hidden="0" customHeight="1">
      <x:c r="A186" s="12" t="str">
        <x:v>S031</x:v>
      </x:c>
      <x:c r="B186" s="12" t="str">
        <x:v>D1 Sampling/specimen selection</x:v>
      </x:c>
      <x:c r="C186" s="12" t="str">
        <x:v>High concern</x:v>
      </x:c>
      <x:c r="D186" s="12" t="str">
        <x:v>Human sample was small and not described as prospectively powered.</x:v>
      </x:c>
      <x:c r="E186" s="12" t="str">
        <x:v>PDF pp. 3–12; Figs. 1–9; Tables 1–3; Appendix A</x:v>
      </x:c>
      <x:c r="F186" s="12" t="str">
        <x:v>Batch 03</x:v>
      </x:c>
    </x:row>
    <x:row r="187" ht="24" hidden="0" customHeight="1">
      <x:c r="A187" s="12" t="str">
        <x:v>S031</x:v>
      </x:c>
      <x:c r="B187" s="12" t="str">
        <x:v>D2 Fabrication-variable control</x:v>
      </x:c>
      <x:c r="C187" s="12" t="str">
        <x:v>Some concern</x:v>
      </x:c>
      <x:c r="D187" s="12" t="str">
        <x:v>Study-specific limitations are recorded in the extraction and REB sheets.</x:v>
      </x:c>
      <x:c r="E187" s="12" t="str">
        <x:v>PDF pp. 3–12; Figs. 1–9; Tables 1–3; Appendix A</x:v>
      </x:c>
      <x:c r="F187" s="12" t="str">
        <x:v>Batch 03</x:v>
      </x:c>
    </x:row>
    <x:row r="188" ht="24" hidden="0" customHeight="1">
      <x:c r="A188" s="12" t="str">
        <x:v>S031</x:v>
      </x:c>
      <x:c r="B188" s="12" t="str">
        <x:v>D3 Reference/calibration validity</x:v>
      </x:c>
      <x:c r="C188" s="12" t="str">
        <x:v>Low concern</x:v>
      </x:c>
      <x:c r="D188" s="12" t="str">
        <x:v>Reference/protocol and principal quantitative outcomes are reported.</x:v>
      </x:c>
      <x:c r="E188" s="12" t="str">
        <x:v>PDF pp. 3–12; Figs. 1–9; Tables 1–3; Appendix A</x:v>
      </x:c>
      <x:c r="F188" s="12" t="str">
        <x:v>Batch 03</x:v>
      </x:c>
    </x:row>
    <x:row r="189" ht="24" hidden="0" customHeight="1">
      <x:c r="A189" s="12" t="str">
        <x:v>S031</x:v>
      </x:c>
      <x:c r="B189" s="12" t="str">
        <x:v>D4 Loading/exposure conditions</x:v>
      </x:c>
      <x:c r="C189" s="12" t="str">
        <x:v>Low concern</x:v>
      </x:c>
      <x:c r="D189" s="12" t="str">
        <x:v>Reference/protocol and principal quantitative outcomes are reported.</x:v>
      </x:c>
      <x:c r="E189" s="12" t="str">
        <x:v>PDF pp. 3–12; Figs. 1–9; Tables 1–3; Appendix A</x:v>
      </x:c>
      <x:c r="F189" s="12" t="str">
        <x:v>Batch 03</x:v>
      </x:c>
    </x:row>
    <x:row r="190" ht="24" hidden="0" customHeight="1">
      <x:c r="A190" s="12" t="str">
        <x:v>S031</x:v>
      </x:c>
      <x:c r="B190" s="12" t="str">
        <x:v>D5 Repeated-measurement design</x:v>
      </x:c>
      <x:c r="C190" s="12" t="str">
        <x:v>Some concern</x:v>
      </x:c>
      <x:c r="D190" s="12" t="str">
        <x:v>Study-specific limitations are recorded in the extraction and REB sheets.</x:v>
      </x:c>
      <x:c r="E190" s="12" t="str">
        <x:v>PDF pp. 3–12; Figs. 1–9; Tables 1–3; Appendix A</x:v>
      </x:c>
      <x:c r="F190" s="12" t="str">
        <x:v>Batch 03</x:v>
      </x:c>
    </x:row>
    <x:row r="191" ht="24" hidden="0" customHeight="1">
      <x:c r="A191" s="12" t="str">
        <x:v>S031</x:v>
      </x:c>
      <x:c r="B191" s="12" t="str">
        <x:v>D6 Independent-device replication</x:v>
      </x:c>
      <x:c r="C191" s="12" t="str">
        <x:v>High concern</x:v>
      </x:c>
      <x:c r="D191" s="12" t="str">
        <x:v>A quantitative comparison of at least three separately fabricated complete sensing units was not identified.</x:v>
      </x:c>
      <x:c r="E191" s="12" t="str">
        <x:v>PDF pp. 3–12; Figs. 1–9; Tables 1–3; Appendix A</x:v>
      </x:c>
      <x:c r="F191" s="12" t="str">
        <x:v>Batch 03</x:v>
      </x:c>
    </x:row>
    <x:row r="192" ht="24" hidden="0" customHeight="1">
      <x:c r="A192" s="12" t="str">
        <x:v>S031</x:v>
      </x:c>
      <x:c r="B192" s="12" t="str">
        <x:v>D7 Outcome completeness</x:v>
      </x:c>
      <x:c r="C192" s="12" t="str">
        <x:v>Low concern</x:v>
      </x:c>
      <x:c r="D192" s="12" t="str">
        <x:v>Reference/protocol and principal quantitative outcomes are reported.</x:v>
      </x:c>
      <x:c r="E192" s="12" t="str">
        <x:v>PDF pp. 3–12; Figs. 1–9; Tables 1–3; Appendix A</x:v>
      </x:c>
      <x:c r="F192" s="12" t="str">
        <x:v>Batch 03</x:v>
      </x:c>
    </x:row>
    <x:row r="193" ht="24" hidden="0" customHeight="1">
      <x:c r="A193" s="12" t="str">
        <x:v>S031</x:v>
      </x:c>
      <x:c r="B193" s="12" t="str">
        <x:v>D8 Wearable applicability</x:v>
      </x:c>
      <x:c r="C193" s="12" t="str">
        <x:v>Some concern</x:v>
      </x:c>
      <x:c r="D193" s="12" t="str">
        <x:v>Study-specific limitations are recorded in the extraction and REB sheets.</x:v>
      </x:c>
      <x:c r="E193" s="12" t="str">
        <x:v>PDF pp. 3–12; Figs. 1–9; Tables 1–3; Appendix A</x:v>
      </x:c>
      <x:c r="F193" s="12" t="str">
        <x:v>Batch 03</x:v>
      </x:c>
    </x:row>
    <x:row r="194" ht="15" hidden="0" customHeight="1">
      <x:c r="A194" s="12" t="str">
        <x:v>S032</x:v>
      </x:c>
      <x:c r="B194" s="12" t="str">
        <x:v>D1 Sampling/specimen selection</x:v>
      </x:c>
      <x:c r="C194" s="12" t="str">
        <x:v>High concern</x:v>
      </x:c>
      <x:c r="D194" s="12" t="str">
        <x:v>Human sample was small and not described as prospectively powered.</x:v>
      </x:c>
      <x:c r="E194" s="12" t="str">
        <x:v>PDF pp. 3–10; Figs. 1–8</x:v>
      </x:c>
      <x:c r="F194" s="12" t="str">
        <x:v>Batch 03</x:v>
      </x:c>
    </x:row>
    <x:row r="195" ht="15" hidden="0" customHeight="1">
      <x:c r="A195" s="12" t="str">
        <x:v>S032</x:v>
      </x:c>
      <x:c r="B195" s="12" t="str">
        <x:v>D2 Fabrication-variable control</x:v>
      </x:c>
      <x:c r="C195" s="12" t="str">
        <x:v>Some concern</x:v>
      </x:c>
      <x:c r="D195" s="12" t="str">
        <x:v>Study-specific limitations are recorded in the extraction and REB sheets.</x:v>
      </x:c>
      <x:c r="E195" s="12" t="str">
        <x:v>PDF pp. 3–10; Figs. 1–8</x:v>
      </x:c>
      <x:c r="F195" s="12" t="str">
        <x:v>Batch 03</x:v>
      </x:c>
    </x:row>
    <x:row r="196" ht="15" hidden="0" customHeight="1">
      <x:c r="A196" s="12" t="str">
        <x:v>S032</x:v>
      </x:c>
      <x:c r="B196" s="12" t="str">
        <x:v>D3 Reference/calibration validity</x:v>
      </x:c>
      <x:c r="C196" s="12" t="str">
        <x:v>Low concern</x:v>
      </x:c>
      <x:c r="D196" s="12" t="str">
        <x:v>Reference/protocol and principal quantitative outcomes are reported.</x:v>
      </x:c>
      <x:c r="E196" s="12" t="str">
        <x:v>PDF pp. 3–10; Figs. 1–8</x:v>
      </x:c>
      <x:c r="F196" s="12" t="str">
        <x:v>Batch 03</x:v>
      </x:c>
    </x:row>
    <x:row r="197" ht="15" hidden="0" customHeight="1">
      <x:c r="A197" s="12" t="str">
        <x:v>S032</x:v>
      </x:c>
      <x:c r="B197" s="12" t="str">
        <x:v>D4 Loading/exposure conditions</x:v>
      </x:c>
      <x:c r="C197" s="12" t="str">
        <x:v>Low concern</x:v>
      </x:c>
      <x:c r="D197" s="12" t="str">
        <x:v>Reference/protocol and principal quantitative outcomes are reported.</x:v>
      </x:c>
      <x:c r="E197" s="12" t="str">
        <x:v>PDF pp. 3–10; Figs. 1–8</x:v>
      </x:c>
      <x:c r="F197" s="12" t="str">
        <x:v>Batch 03</x:v>
      </x:c>
    </x:row>
    <x:row r="198" ht="15" hidden="0" customHeight="1">
      <x:c r="A198" s="12" t="str">
        <x:v>S032</x:v>
      </x:c>
      <x:c r="B198" s="12" t="str">
        <x:v>D5 Repeated-measurement design</x:v>
      </x:c>
      <x:c r="C198" s="12" t="str">
        <x:v>Some concern</x:v>
      </x:c>
      <x:c r="D198" s="12" t="str">
        <x:v>Study-specific limitations are recorded in the extraction and REB sheets.</x:v>
      </x:c>
      <x:c r="E198" s="12" t="str">
        <x:v>PDF pp. 3–10; Figs. 1–8</x:v>
      </x:c>
      <x:c r="F198" s="12" t="str">
        <x:v>Batch 03</x:v>
      </x:c>
    </x:row>
    <x:row r="199" ht="15" hidden="0" customHeight="1">
      <x:c r="A199" s="12" t="str">
        <x:v>S032</x:v>
      </x:c>
      <x:c r="B199" s="12" t="str">
        <x:v>D6 Independent-device replication</x:v>
      </x:c>
      <x:c r="C199" s="12" t="str">
        <x:v>High concern</x:v>
      </x:c>
      <x:c r="D199" s="12" t="str">
        <x:v>A quantitative comparison of at least three separately fabricated complete sensing units was not identified.</x:v>
      </x:c>
      <x:c r="E199" s="12" t="str">
        <x:v>PDF pp. 3–10; Figs. 1–8</x:v>
      </x:c>
      <x:c r="F199" s="12" t="str">
        <x:v>Batch 03</x:v>
      </x:c>
    </x:row>
    <x:row r="200" ht="15" hidden="0" customHeight="1">
      <x:c r="A200" s="12" t="str">
        <x:v>S032</x:v>
      </x:c>
      <x:c r="B200" s="12" t="str">
        <x:v>D7 Outcome completeness</x:v>
      </x:c>
      <x:c r="C200" s="12" t="str">
        <x:v>Low concern</x:v>
      </x:c>
      <x:c r="D200" s="12" t="str">
        <x:v>Reference/protocol and principal quantitative outcomes are reported.</x:v>
      </x:c>
      <x:c r="E200" s="12" t="str">
        <x:v>PDF pp. 3–10; Figs. 1–8</x:v>
      </x:c>
      <x:c r="F200" s="12" t="str">
        <x:v>Batch 03</x:v>
      </x:c>
    </x:row>
    <x:row r="201" ht="15" hidden="0" customHeight="1">
      <x:c r="A201" s="12" t="str">
        <x:v>S032</x:v>
      </x:c>
      <x:c r="B201" s="12" t="str">
        <x:v>D8 Wearable applicability</x:v>
      </x:c>
      <x:c r="C201" s="12" t="str">
        <x:v>Some concern</x:v>
      </x:c>
      <x:c r="D201" s="12" t="str">
        <x:v>Study-specific limitations are recorded in the extraction and REB sheets.</x:v>
      </x:c>
      <x:c r="E201" s="12" t="str">
        <x:v>PDF pp. 3–10; Figs. 1–8</x:v>
      </x:c>
      <x:c r="F201" s="12" t="str">
        <x:v>Batch 03</x:v>
      </x:c>
    </x:row>
    <x:row r="202" ht="15" hidden="0" customHeight="1">
      <x:c r="A202" s="12" t="str">
        <x:v>S033</x:v>
      </x:c>
      <x:c r="B202" s="12" t="str">
        <x:v>D1 Sampling/specimen selection</x:v>
      </x:c>
      <x:c r="C202" s="12" t="str">
        <x:v>Some concern</x:v>
      </x:c>
      <x:c r="D202" s="12" t="str">
        <x:v>Study-specific limitations are recorded in the extraction and REB sheets.</x:v>
      </x:c>
      <x:c r="E202" s="12" t="str">
        <x:v>PDF pp. 2–7; Figs. 1–5; cited SI</x:v>
      </x:c>
      <x:c r="F202" s="12" t="str">
        <x:v>Batch 03</x:v>
      </x:c>
    </x:row>
    <x:row r="203" ht="15" hidden="0" customHeight="1">
      <x:c r="A203" s="12" t="str">
        <x:v>S033</x:v>
      </x:c>
      <x:c r="B203" s="12" t="str">
        <x:v>D2 Fabrication-variable control</x:v>
      </x:c>
      <x:c r="C203" s="12" t="str">
        <x:v>Some concern</x:v>
      </x:c>
      <x:c r="D203" s="12" t="str">
        <x:v>Study-specific limitations are recorded in the extraction and REB sheets.</x:v>
      </x:c>
      <x:c r="E203" s="12" t="str">
        <x:v>PDF pp. 2–7; Figs. 1–5; cited SI</x:v>
      </x:c>
      <x:c r="F203" s="12" t="str">
        <x:v>Batch 03</x:v>
      </x:c>
    </x:row>
    <x:row r="204" ht="15" hidden="0" customHeight="1">
      <x:c r="A204" s="12" t="str">
        <x:v>S033</x:v>
      </x:c>
      <x:c r="B204" s="12" t="str">
        <x:v>D3 Reference/calibration validity</x:v>
      </x:c>
      <x:c r="C204" s="12" t="str">
        <x:v>Low concern</x:v>
      </x:c>
      <x:c r="D204" s="12" t="str">
        <x:v>Reference/protocol and principal quantitative outcomes are reported.</x:v>
      </x:c>
      <x:c r="E204" s="12" t="str">
        <x:v>PDF pp. 2–7; Figs. 1–5; cited SI</x:v>
      </x:c>
      <x:c r="F204" s="12" t="str">
        <x:v>Batch 03</x:v>
      </x:c>
    </x:row>
    <x:row r="205" ht="15" hidden="0" customHeight="1">
      <x:c r="A205" s="12" t="str">
        <x:v>S033</x:v>
      </x:c>
      <x:c r="B205" s="12" t="str">
        <x:v>D4 Loading/exposure conditions</x:v>
      </x:c>
      <x:c r="C205" s="12" t="str">
        <x:v>Low concern</x:v>
      </x:c>
      <x:c r="D205" s="12" t="str">
        <x:v>Reference/protocol and principal quantitative outcomes are reported.</x:v>
      </x:c>
      <x:c r="E205" s="12" t="str">
        <x:v>PDF pp. 2–7; Figs. 1–5; cited SI</x:v>
      </x:c>
      <x:c r="F205" s="12" t="str">
        <x:v>Batch 03</x:v>
      </x:c>
    </x:row>
    <x:row r="206" ht="15" hidden="0" customHeight="1">
      <x:c r="A206" s="12" t="str">
        <x:v>S033</x:v>
      </x:c>
      <x:c r="B206" s="12" t="str">
        <x:v>D5 Repeated-measurement design</x:v>
      </x:c>
      <x:c r="C206" s="12" t="str">
        <x:v>Some concern</x:v>
      </x:c>
      <x:c r="D206" s="12" t="str">
        <x:v>Study-specific limitations are recorded in the extraction and REB sheets.</x:v>
      </x:c>
      <x:c r="E206" s="12" t="str">
        <x:v>PDF pp. 2–7; Figs. 1–5; cited SI</x:v>
      </x:c>
      <x:c r="F206" s="12" t="str">
        <x:v>Batch 03</x:v>
      </x:c>
    </x:row>
    <x:row r="207" ht="15" hidden="0" customHeight="1">
      <x:c r="A207" s="12" t="str">
        <x:v>S033</x:v>
      </x:c>
      <x:c r="B207" s="12" t="str">
        <x:v>D6 Independent-device replication</x:v>
      </x:c>
      <x:c r="C207" s="12" t="str">
        <x:v>High concern</x:v>
      </x:c>
      <x:c r="D207" s="12" t="str">
        <x:v>A quantitative comparison of at least three separately fabricated complete sensing units was not identified.</x:v>
      </x:c>
      <x:c r="E207" s="12" t="str">
        <x:v>PDF pp. 2–7; Figs. 1–5; cited SI</x:v>
      </x:c>
      <x:c r="F207" s="12" t="str">
        <x:v>Batch 03</x:v>
      </x:c>
    </x:row>
    <x:row r="208" ht="15" hidden="0" customHeight="1">
      <x:c r="A208" s="12" t="str">
        <x:v>S033</x:v>
      </x:c>
      <x:c r="B208" s="12" t="str">
        <x:v>D7 Outcome completeness</x:v>
      </x:c>
      <x:c r="C208" s="12" t="str">
        <x:v>Low concern</x:v>
      </x:c>
      <x:c r="D208" s="12" t="str">
        <x:v>Reference/protocol and principal quantitative outcomes are reported.</x:v>
      </x:c>
      <x:c r="E208" s="12" t="str">
        <x:v>PDF pp. 2–7; Figs. 1–5; cited SI</x:v>
      </x:c>
      <x:c r="F208" s="12" t="str">
        <x:v>Batch 03</x:v>
      </x:c>
    </x:row>
    <x:row r="209" ht="15" hidden="0" customHeight="1">
      <x:c r="A209" s="12" t="str">
        <x:v>S033</x:v>
      </x:c>
      <x:c r="B209" s="12" t="str">
        <x:v>D8 Wearable applicability</x:v>
      </x:c>
      <x:c r="C209" s="12" t="str">
        <x:v>Some concern</x:v>
      </x:c>
      <x:c r="D209" s="12" t="str">
        <x:v>Study-specific limitations are recorded in the extraction and REB sheets.</x:v>
      </x:c>
      <x:c r="E209" s="12" t="str">
        <x:v>PDF pp. 2–7; Figs. 1–5; cited SI</x:v>
      </x:c>
      <x:c r="F209" s="12" t="str">
        <x:v>Batch 03</x:v>
      </x:c>
    </x:row>
    <x:row r="210" ht="15" hidden="0" customHeight="1">
      <x:c r="A210" s="12" t="str">
        <x:v>S034</x:v>
      </x:c>
      <x:c r="B210" s="12" t="str">
        <x:v>D1 Sampling/specimen selection</x:v>
      </x:c>
      <x:c r="C210" s="12" t="str">
        <x:v>Some concern</x:v>
      </x:c>
      <x:c r="D210" s="12" t="str">
        <x:v>Study-specific limitations are recorded in the extraction and REB sheets.</x:v>
      </x:c>
      <x:c r="E210" s="12" t="str">
        <x:v>PDF pp. 2–9; Figs. 1–5; cited SI</x:v>
      </x:c>
      <x:c r="F210" s="12" t="str">
        <x:v>Batch 03</x:v>
      </x:c>
    </x:row>
    <x:row r="211" ht="15" hidden="0" customHeight="1">
      <x:c r="A211" s="12" t="str">
        <x:v>S034</x:v>
      </x:c>
      <x:c r="B211" s="12" t="str">
        <x:v>D2 Fabrication-variable control</x:v>
      </x:c>
      <x:c r="C211" s="12" t="str">
        <x:v>Some concern</x:v>
      </x:c>
      <x:c r="D211" s="12" t="str">
        <x:v>Study-specific limitations are recorded in the extraction and REB sheets.</x:v>
      </x:c>
      <x:c r="E211" s="12" t="str">
        <x:v>PDF pp. 2–9; Figs. 1–5; cited SI</x:v>
      </x:c>
      <x:c r="F211" s="12" t="str">
        <x:v>Batch 03</x:v>
      </x:c>
    </x:row>
    <x:row r="212" ht="15" hidden="0" customHeight="1">
      <x:c r="A212" s="12" t="str">
        <x:v>S034</x:v>
      </x:c>
      <x:c r="B212" s="12" t="str">
        <x:v>D3 Reference/calibration validity</x:v>
      </x:c>
      <x:c r="C212" s="12" t="str">
        <x:v>Low concern</x:v>
      </x:c>
      <x:c r="D212" s="12" t="str">
        <x:v>Reference/protocol and principal quantitative outcomes are reported.</x:v>
      </x:c>
      <x:c r="E212" s="12" t="str">
        <x:v>PDF pp. 2–9; Figs. 1–5; cited SI</x:v>
      </x:c>
      <x:c r="F212" s="12" t="str">
        <x:v>Batch 03</x:v>
      </x:c>
    </x:row>
    <x:row r="213" ht="15" hidden="0" customHeight="1">
      <x:c r="A213" s="12" t="str">
        <x:v>S034</x:v>
      </x:c>
      <x:c r="B213" s="12" t="str">
        <x:v>D4 Loading/exposure conditions</x:v>
      </x:c>
      <x:c r="C213" s="12" t="str">
        <x:v>Low concern</x:v>
      </x:c>
      <x:c r="D213" s="12" t="str">
        <x:v>Reference/protocol and principal quantitative outcomes are reported.</x:v>
      </x:c>
      <x:c r="E213" s="12" t="str">
        <x:v>PDF pp. 2–9; Figs. 1–5; cited SI</x:v>
      </x:c>
      <x:c r="F213" s="12" t="str">
        <x:v>Batch 03</x:v>
      </x:c>
    </x:row>
    <x:row r="214" ht="15" hidden="0" customHeight="1">
      <x:c r="A214" s="12" t="str">
        <x:v>S034</x:v>
      </x:c>
      <x:c r="B214" s="12" t="str">
        <x:v>D5 Repeated-measurement design</x:v>
      </x:c>
      <x:c r="C214" s="12" t="str">
        <x:v>Some concern</x:v>
      </x:c>
      <x:c r="D214" s="12" t="str">
        <x:v>Study-specific limitations are recorded in the extraction and REB sheets.</x:v>
      </x:c>
      <x:c r="E214" s="12" t="str">
        <x:v>PDF pp. 2–9; Figs. 1–5; cited SI</x:v>
      </x:c>
      <x:c r="F214" s="12" t="str">
        <x:v>Batch 03</x:v>
      </x:c>
    </x:row>
    <x:row r="215" ht="15" hidden="0" customHeight="1">
      <x:c r="A215" s="12" t="str">
        <x:v>S034</x:v>
      </x:c>
      <x:c r="B215" s="12" t="str">
        <x:v>D6 Independent-device replication</x:v>
      </x:c>
      <x:c r="C215" s="12" t="str">
        <x:v>Low concern</x:v>
      </x:c>
      <x:c r="D215" s="12" t="str">
        <x:v>At least three separately fabricated sensing units were compared quantitatively.</x:v>
      </x:c>
      <x:c r="E215" s="12" t="str">
        <x:v>PDF pp. 2–9; Figs. 1–5; cited SI</x:v>
      </x:c>
      <x:c r="F215" s="12" t="str">
        <x:v>Batch 03</x:v>
      </x:c>
    </x:row>
    <x:row r="216" ht="15" hidden="0" customHeight="1">
      <x:c r="A216" s="12" t="str">
        <x:v>S034</x:v>
      </x:c>
      <x:c r="B216" s="12" t="str">
        <x:v>D7 Outcome completeness</x:v>
      </x:c>
      <x:c r="C216" s="12" t="str">
        <x:v>Low concern</x:v>
      </x:c>
      <x:c r="D216" s="12" t="str">
        <x:v>Reference/protocol and principal quantitative outcomes are reported.</x:v>
      </x:c>
      <x:c r="E216" s="12" t="str">
        <x:v>PDF pp. 2–9; Figs. 1–5; cited SI</x:v>
      </x:c>
      <x:c r="F216" s="12" t="str">
        <x:v>Batch 03</x:v>
      </x:c>
    </x:row>
    <x:row r="217" ht="15" hidden="0" customHeight="1">
      <x:c r="A217" s="12" t="str">
        <x:v>S034</x:v>
      </x:c>
      <x:c r="B217" s="12" t="str">
        <x:v>D8 Wearable applicability</x:v>
      </x:c>
      <x:c r="C217" s="12" t="str">
        <x:v>Some concern</x:v>
      </x:c>
      <x:c r="D217" s="12" t="str">
        <x:v>Study-specific limitations are recorded in the extraction and REB sheets.</x:v>
      </x:c>
      <x:c r="E217" s="12" t="str">
        <x:v>PDF pp. 2–9; Figs. 1–5; cited SI</x:v>
      </x:c>
      <x:c r="F217" s="12" t="str">
        <x:v>Batch 03</x:v>
      </x:c>
    </x:row>
    <x:row r="218" ht="15" hidden="0" customHeight="1">
      <x:c r="A218" s="12" t="str">
        <x:v>S035</x:v>
      </x:c>
      <x:c r="B218" s="12" t="str">
        <x:v>D1 Sampling/specimen selection</x:v>
      </x:c>
      <x:c r="C218" s="12" t="str">
        <x:v>High concern</x:v>
      </x:c>
      <x:c r="D218" s="12" t="str">
        <x:v>On-body proof-of-concept used one or two participants.</x:v>
      </x:c>
      <x:c r="E218" s="12" t="str">
        <x:v>PDF pp. 1–5; Figs. 1–4; cited SI</x:v>
      </x:c>
      <x:c r="F218" s="12" t="str">
        <x:v>Batch 03</x:v>
      </x:c>
    </x:row>
    <x:row r="219" ht="15" hidden="0" customHeight="1">
      <x:c r="A219" s="12" t="str">
        <x:v>S035</x:v>
      </x:c>
      <x:c r="B219" s="12" t="str">
        <x:v>D2 Fabrication-variable control</x:v>
      </x:c>
      <x:c r="C219" s="12" t="str">
        <x:v>Some concern</x:v>
      </x:c>
      <x:c r="D219" s="12" t="str">
        <x:v>Study-specific limitations are recorded in the extraction and REB sheets.</x:v>
      </x:c>
      <x:c r="E219" s="12" t="str">
        <x:v>PDF pp. 1–5; Figs. 1–4; cited SI</x:v>
      </x:c>
      <x:c r="F219" s="12" t="str">
        <x:v>Batch 03</x:v>
      </x:c>
    </x:row>
    <x:row r="220" ht="15" hidden="0" customHeight="1">
      <x:c r="A220" s="12" t="str">
        <x:v>S035</x:v>
      </x:c>
      <x:c r="B220" s="12" t="str">
        <x:v>D3 Reference/calibration validity</x:v>
      </x:c>
      <x:c r="C220" s="12" t="str">
        <x:v>Low concern</x:v>
      </x:c>
      <x:c r="D220" s="12" t="str">
        <x:v>Reference/protocol and principal quantitative outcomes are reported.</x:v>
      </x:c>
      <x:c r="E220" s="12" t="str">
        <x:v>PDF pp. 1–5; Figs. 1–4; cited SI</x:v>
      </x:c>
      <x:c r="F220" s="12" t="str">
        <x:v>Batch 03</x:v>
      </x:c>
    </x:row>
    <x:row r="221" ht="15" hidden="0" customHeight="1">
      <x:c r="A221" s="12" t="str">
        <x:v>S035</x:v>
      </x:c>
      <x:c r="B221" s="12" t="str">
        <x:v>D4 Loading/exposure conditions</x:v>
      </x:c>
      <x:c r="C221" s="12" t="str">
        <x:v>Low concern</x:v>
      </x:c>
      <x:c r="D221" s="12" t="str">
        <x:v>Reference/protocol and principal quantitative outcomes are reported.</x:v>
      </x:c>
      <x:c r="E221" s="12" t="str">
        <x:v>PDF pp. 1–5; Figs. 1–4; cited SI</x:v>
      </x:c>
      <x:c r="F221" s="12" t="str">
        <x:v>Batch 03</x:v>
      </x:c>
    </x:row>
    <x:row r="222" ht="15" hidden="0" customHeight="1">
      <x:c r="A222" s="12" t="str">
        <x:v>S035</x:v>
      </x:c>
      <x:c r="B222" s="12" t="str">
        <x:v>D5 Repeated-measurement design</x:v>
      </x:c>
      <x:c r="C222" s="12" t="str">
        <x:v>Some concern</x:v>
      </x:c>
      <x:c r="D222" s="12" t="str">
        <x:v>Study-specific limitations are recorded in the extraction and REB sheets.</x:v>
      </x:c>
      <x:c r="E222" s="12" t="str">
        <x:v>PDF pp. 1–5; Figs. 1–4; cited SI</x:v>
      </x:c>
      <x:c r="F222" s="12" t="str">
        <x:v>Batch 03</x:v>
      </x:c>
    </x:row>
    <x:row r="223" ht="15" hidden="0" customHeight="1">
      <x:c r="A223" s="12" t="str">
        <x:v>S035</x:v>
      </x:c>
      <x:c r="B223" s="12" t="str">
        <x:v>D6 Independent-device replication</x:v>
      </x:c>
      <x:c r="C223" s="12" t="str">
        <x:v>Low concern</x:v>
      </x:c>
      <x:c r="D223" s="12" t="str">
        <x:v>At least three separately fabricated sensing units were compared quantitatively.</x:v>
      </x:c>
      <x:c r="E223" s="12" t="str">
        <x:v>PDF pp. 1–5; Figs. 1–4; cited SI</x:v>
      </x:c>
      <x:c r="F223" s="12" t="str">
        <x:v>Batch 03</x:v>
      </x:c>
    </x:row>
    <x:row r="224" ht="15" hidden="0" customHeight="1">
      <x:c r="A224" s="12" t="str">
        <x:v>S035</x:v>
      </x:c>
      <x:c r="B224" s="12" t="str">
        <x:v>D7 Outcome completeness</x:v>
      </x:c>
      <x:c r="C224" s="12" t="str">
        <x:v>Low concern</x:v>
      </x:c>
      <x:c r="D224" s="12" t="str">
        <x:v>Reference/protocol and principal quantitative outcomes are reported.</x:v>
      </x:c>
      <x:c r="E224" s="12" t="str">
        <x:v>PDF pp. 1–5; Figs. 1–4; cited SI</x:v>
      </x:c>
      <x:c r="F224" s="12" t="str">
        <x:v>Batch 03</x:v>
      </x:c>
    </x:row>
    <x:row r="225" ht="15" hidden="0" customHeight="1">
      <x:c r="A225" s="12" t="str">
        <x:v>S035</x:v>
      </x:c>
      <x:c r="B225" s="12" t="str">
        <x:v>D8 Wearable applicability</x:v>
      </x:c>
      <x:c r="C225" s="12" t="str">
        <x:v>Some concern</x:v>
      </x:c>
      <x:c r="D225" s="12" t="str">
        <x:v>Study-specific limitations are recorded in the extraction and REB sheets.</x:v>
      </x:c>
      <x:c r="E225" s="12" t="str">
        <x:v>PDF pp. 1–5; Figs. 1–4; cited SI</x:v>
      </x:c>
      <x:c r="F225" s="12" t="str">
        <x:v>Batch 03</x:v>
      </x:c>
    </x:row>
    <x:row r="226" ht="15" hidden="0" customHeight="1">
      <x:c r="A226" s="12" t="str">
        <x:v>S036</x:v>
      </x:c>
      <x:c r="B226" s="12" t="str">
        <x:v>D1 Sampling/specimen selection</x:v>
      </x:c>
      <x:c r="C226" s="12" t="str">
        <x:v>High concern</x:v>
      </x:c>
      <x:c r="D226" s="12" t="str">
        <x:v>On-body proof-of-concept used one or two participants.</x:v>
      </x:c>
      <x:c r="E226" s="12" t="str">
        <x:v>PDF pp. 2–11; Figs. 1–6; cited SI</x:v>
      </x:c>
      <x:c r="F226" s="12" t="str">
        <x:v>Batch 03</x:v>
      </x:c>
    </x:row>
    <x:row r="227" ht="15" hidden="0" customHeight="1">
      <x:c r="A227" s="12" t="str">
        <x:v>S036</x:v>
      </x:c>
      <x:c r="B227" s="12" t="str">
        <x:v>D2 Fabrication-variable control</x:v>
      </x:c>
      <x:c r="C227" s="12" t="str">
        <x:v>Some concern</x:v>
      </x:c>
      <x:c r="D227" s="12" t="str">
        <x:v>Study-specific limitations are recorded in the extraction and REB sheets.</x:v>
      </x:c>
      <x:c r="E227" s="12" t="str">
        <x:v>PDF pp. 2–11; Figs. 1–6; cited SI</x:v>
      </x:c>
      <x:c r="F227" s="12" t="str">
        <x:v>Batch 03</x:v>
      </x:c>
    </x:row>
    <x:row r="228" ht="15" hidden="0" customHeight="1">
      <x:c r="A228" s="12" t="str">
        <x:v>S036</x:v>
      </x:c>
      <x:c r="B228" s="12" t="str">
        <x:v>D3 Reference/calibration validity</x:v>
      </x:c>
      <x:c r="C228" s="12" t="str">
        <x:v>Low concern</x:v>
      </x:c>
      <x:c r="D228" s="12" t="str">
        <x:v>Reference/protocol and principal quantitative outcomes are reported.</x:v>
      </x:c>
      <x:c r="E228" s="12" t="str">
        <x:v>PDF pp. 2–11; Figs. 1–6; cited SI</x:v>
      </x:c>
      <x:c r="F228" s="12" t="str">
        <x:v>Batch 03</x:v>
      </x:c>
    </x:row>
    <x:row r="229" ht="15" hidden="0" customHeight="1">
      <x:c r="A229" s="12" t="str">
        <x:v>S036</x:v>
      </x:c>
      <x:c r="B229" s="12" t="str">
        <x:v>D4 Loading/exposure conditions</x:v>
      </x:c>
      <x:c r="C229" s="12" t="str">
        <x:v>Low concern</x:v>
      </x:c>
      <x:c r="D229" s="12" t="str">
        <x:v>Reference/protocol and principal quantitative outcomes are reported.</x:v>
      </x:c>
      <x:c r="E229" s="12" t="str">
        <x:v>PDF pp. 2–11; Figs. 1–6; cited SI</x:v>
      </x:c>
      <x:c r="F229" s="12" t="str">
        <x:v>Batch 03</x:v>
      </x:c>
    </x:row>
    <x:row r="230" ht="15" hidden="0" customHeight="1">
      <x:c r="A230" s="12" t="str">
        <x:v>S036</x:v>
      </x:c>
      <x:c r="B230" s="12" t="str">
        <x:v>D5 Repeated-measurement design</x:v>
      </x:c>
      <x:c r="C230" s="12" t="str">
        <x:v>Some concern</x:v>
      </x:c>
      <x:c r="D230" s="12" t="str">
        <x:v>Study-specific limitations are recorded in the extraction and REB sheets.</x:v>
      </x:c>
      <x:c r="E230" s="12" t="str">
        <x:v>PDF pp. 2–11; Figs. 1–6; cited SI</x:v>
      </x:c>
      <x:c r="F230" s="12" t="str">
        <x:v>Batch 03</x:v>
      </x:c>
    </x:row>
    <x:row r="231" ht="15" hidden="0" customHeight="1">
      <x:c r="A231" s="12" t="str">
        <x:v>S036</x:v>
      </x:c>
      <x:c r="B231" s="12" t="str">
        <x:v>D6 Independent-device replication</x:v>
      </x:c>
      <x:c r="C231" s="12" t="str">
        <x:v>High concern</x:v>
      </x:c>
      <x:c r="D231" s="12" t="str">
        <x:v>A quantitative comparison of at least three separately fabricated complete sensing units was not identified.</x:v>
      </x:c>
      <x:c r="E231" s="12" t="str">
        <x:v>PDF pp. 2–11; Figs. 1–6; cited SI</x:v>
      </x:c>
      <x:c r="F231" s="12" t="str">
        <x:v>Batch 03</x:v>
      </x:c>
    </x:row>
    <x:row r="232" ht="15" hidden="0" customHeight="1">
      <x:c r="A232" s="12" t="str">
        <x:v>S036</x:v>
      </x:c>
      <x:c r="B232" s="12" t="str">
        <x:v>D7 Outcome completeness</x:v>
      </x:c>
      <x:c r="C232" s="12" t="str">
        <x:v>Low concern</x:v>
      </x:c>
      <x:c r="D232" s="12" t="str">
        <x:v>Reference/protocol and principal quantitative outcomes are reported.</x:v>
      </x:c>
      <x:c r="E232" s="12" t="str">
        <x:v>PDF pp. 2–11; Figs. 1–6; cited SI</x:v>
      </x:c>
      <x:c r="F232" s="12" t="str">
        <x:v>Batch 03</x:v>
      </x:c>
    </x:row>
    <x:row r="233" ht="15" hidden="0" customHeight="1">
      <x:c r="A233" s="12" t="str">
        <x:v>S036</x:v>
      </x:c>
      <x:c r="B233" s="12" t="str">
        <x:v>D8 Wearable applicability</x:v>
      </x:c>
      <x:c r="C233" s="12" t="str">
        <x:v>Some concern</x:v>
      </x:c>
      <x:c r="D233" s="12" t="str">
        <x:v>Study-specific limitations are recorded in the extraction and REB sheets.</x:v>
      </x:c>
      <x:c r="E233" s="12" t="str">
        <x:v>PDF pp. 2–11; Figs. 1–6; cited SI</x:v>
      </x:c>
      <x:c r="F233" s="12" t="str">
        <x:v>Batch 03</x:v>
      </x:c>
    </x:row>
    <x:row r="234" ht="15" hidden="0" customHeight="1">
      <x:c r="A234" s="12" t="str">
        <x:v>S037</x:v>
      </x:c>
      <x:c r="B234" s="12" t="str">
        <x:v>D1 Sampling/specimen selection</x:v>
      </x:c>
      <x:c r="C234" s="12" t="str">
        <x:v>Some concern</x:v>
      </x:c>
      <x:c r="D234" s="12" t="str">
        <x:v>Study-specific limitations are recorded in the extraction and REB sheets.</x:v>
      </x:c>
      <x:c r="E234" s="12" t="str">
        <x:v>PDF pp. 1–10; Figs. 1–16</x:v>
      </x:c>
      <x:c r="F234" s="12" t="str">
        <x:v>Batch 03</x:v>
      </x:c>
    </x:row>
    <x:row r="235" ht="15" hidden="0" customHeight="1">
      <x:c r="A235" s="12" t="str">
        <x:v>S037</x:v>
      </x:c>
      <x:c r="B235" s="12" t="str">
        <x:v>D2 Fabrication-variable control</x:v>
      </x:c>
      <x:c r="C235" s="12" t="str">
        <x:v>Some concern</x:v>
      </x:c>
      <x:c r="D235" s="12" t="str">
        <x:v>Study-specific limitations are recorded in the extraction and REB sheets.</x:v>
      </x:c>
      <x:c r="E235" s="12" t="str">
        <x:v>PDF pp. 1–10; Figs. 1–16</x:v>
      </x:c>
      <x:c r="F235" s="12" t="str">
        <x:v>Batch 03</x:v>
      </x:c>
    </x:row>
    <x:row r="236" ht="15" hidden="0" customHeight="1">
      <x:c r="A236" s="12" t="str">
        <x:v>S037</x:v>
      </x:c>
      <x:c r="B236" s="12" t="str">
        <x:v>D3 Reference/calibration validity</x:v>
      </x:c>
      <x:c r="C236" s="12" t="str">
        <x:v>Low concern</x:v>
      </x:c>
      <x:c r="D236" s="12" t="str">
        <x:v>Reference/protocol and principal quantitative outcomes are reported.</x:v>
      </x:c>
      <x:c r="E236" s="12" t="str">
        <x:v>PDF pp. 1–10; Figs. 1–16</x:v>
      </x:c>
      <x:c r="F236" s="12" t="str">
        <x:v>Batch 03</x:v>
      </x:c>
    </x:row>
    <x:row r="237" ht="15" hidden="0" customHeight="1">
      <x:c r="A237" s="12" t="str">
        <x:v>S037</x:v>
      </x:c>
      <x:c r="B237" s="12" t="str">
        <x:v>D4 Loading/exposure conditions</x:v>
      </x:c>
      <x:c r="C237" s="12" t="str">
        <x:v>Low concern</x:v>
      </x:c>
      <x:c r="D237" s="12" t="str">
        <x:v>Reference/protocol and principal quantitative outcomes are reported.</x:v>
      </x:c>
      <x:c r="E237" s="12" t="str">
        <x:v>PDF pp. 1–10; Figs. 1–16</x:v>
      </x:c>
      <x:c r="F237" s="12" t="str">
        <x:v>Batch 03</x:v>
      </x:c>
    </x:row>
    <x:row r="238" ht="15" hidden="0" customHeight="1">
      <x:c r="A238" s="12" t="str">
        <x:v>S037</x:v>
      </x:c>
      <x:c r="B238" s="12" t="str">
        <x:v>D5 Repeated-measurement design</x:v>
      </x:c>
      <x:c r="C238" s="12" t="str">
        <x:v>Some concern</x:v>
      </x:c>
      <x:c r="D238" s="12" t="str">
        <x:v>Study-specific limitations are recorded in the extraction and REB sheets.</x:v>
      </x:c>
      <x:c r="E238" s="12" t="str">
        <x:v>PDF pp. 1–10; Figs. 1–16</x:v>
      </x:c>
      <x:c r="F238" s="12" t="str">
        <x:v>Batch 03</x:v>
      </x:c>
    </x:row>
    <x:row r="239" ht="15" hidden="0" customHeight="1">
      <x:c r="A239" s="12" t="str">
        <x:v>S037</x:v>
      </x:c>
      <x:c r="B239" s="12" t="str">
        <x:v>D6 Independent-device replication</x:v>
      </x:c>
      <x:c r="C239" s="12" t="str">
        <x:v>High concern</x:v>
      </x:c>
      <x:c r="D239" s="12" t="str">
        <x:v>A quantitative comparison of at least three separately fabricated complete sensing units was not identified.</x:v>
      </x:c>
      <x:c r="E239" s="12" t="str">
        <x:v>PDF pp. 1–10; Figs. 1–16</x:v>
      </x:c>
      <x:c r="F239" s="12" t="str">
        <x:v>Batch 03</x:v>
      </x:c>
    </x:row>
    <x:row r="240" ht="15" hidden="0" customHeight="1">
      <x:c r="A240" s="12" t="str">
        <x:v>S037</x:v>
      </x:c>
      <x:c r="B240" s="12" t="str">
        <x:v>D7 Outcome completeness</x:v>
      </x:c>
      <x:c r="C240" s="12" t="str">
        <x:v>Low concern</x:v>
      </x:c>
      <x:c r="D240" s="12" t="str">
        <x:v>Reference/protocol and principal quantitative outcomes are reported.</x:v>
      </x:c>
      <x:c r="E240" s="12" t="str">
        <x:v>PDF pp. 1–10; Figs. 1–16</x:v>
      </x:c>
      <x:c r="F240" s="12" t="str">
        <x:v>Batch 03</x:v>
      </x:c>
    </x:row>
    <x:row r="241" ht="15" hidden="0" customHeight="1">
      <x:c r="A241" s="12" t="str">
        <x:v>S037</x:v>
      </x:c>
      <x:c r="B241" s="12" t="str">
        <x:v>D8 Wearable applicability</x:v>
      </x:c>
      <x:c r="C241" s="12" t="str">
        <x:v>Some concern</x:v>
      </x:c>
      <x:c r="D241" s="12" t="str">
        <x:v>Wearable relevance is application-specific/component-level; no complete human-worn assembly was tested.</x:v>
      </x:c>
      <x:c r="E241" s="12" t="str">
        <x:v>PDF pp. 1–10; Figs. 1–16</x:v>
      </x:c>
      <x:c r="F241" s="12" t="str">
        <x:v>Batch 03</x:v>
      </x:c>
    </x:row>
    <x:row r="242" ht="15" hidden="0" customHeight="1">
      <x:c r="A242" s="12" t="str">
        <x:v>S038</x:v>
      </x:c>
      <x:c r="B242" s="12" t="str">
        <x:v>D1 Sampling/specimen selection</x:v>
      </x:c>
      <x:c r="C242" s="12" t="str">
        <x:v>Some concern</x:v>
      </x:c>
      <x:c r="D242" s="12" t="str">
        <x:v>Study-specific limitations are recorded in the extraction and REB sheets.</x:v>
      </x:c>
      <x:c r="E242" s="12" t="str">
        <x:v>PDF pp. 3–12; Figs. 1–11; Table 1</x:v>
      </x:c>
      <x:c r="F242" s="12" t="str">
        <x:v>Batch 04</x:v>
      </x:c>
    </x:row>
    <x:row r="243" ht="15" hidden="0" customHeight="1">
      <x:c r="A243" s="12" t="str">
        <x:v>S038</x:v>
      </x:c>
      <x:c r="B243" s="12" t="str">
        <x:v>D2 Fabrication-variable control</x:v>
      </x:c>
      <x:c r="C243" s="12" t="str">
        <x:v>Some concern</x:v>
      </x:c>
      <x:c r="D243" s="12" t="str">
        <x:v>Study-specific limitations are recorded in the extraction and REB sheets.</x:v>
      </x:c>
      <x:c r="E243" s="12" t="str">
        <x:v>PDF pp. 3–12; Figs. 1–11; Table 1</x:v>
      </x:c>
      <x:c r="F243" s="12" t="str">
        <x:v>Batch 04</x:v>
      </x:c>
    </x:row>
    <x:row r="244" ht="15" hidden="0" customHeight="1">
      <x:c r="A244" s="12" t="str">
        <x:v>S038</x:v>
      </x:c>
      <x:c r="B244" s="12" t="str">
        <x:v>D3 Reference/calibration validity</x:v>
      </x:c>
      <x:c r="C244" s="12" t="str">
        <x:v>Low concern</x:v>
      </x:c>
      <x:c r="D244" s="12" t="str">
        <x:v>The reference/protocol and principal quantitative outcomes are reported.</x:v>
      </x:c>
      <x:c r="E244" s="12" t="str">
        <x:v>PDF pp. 3–12; Figs. 1–11; Table 1</x:v>
      </x:c>
      <x:c r="F244" s="12" t="str">
        <x:v>Batch 04</x:v>
      </x:c>
    </x:row>
    <x:row r="245" ht="15" hidden="0" customHeight="1">
      <x:c r="A245" s="12" t="str">
        <x:v>S038</x:v>
      </x:c>
      <x:c r="B245" s="12" t="str">
        <x:v>D4 Loading/exposure conditions</x:v>
      </x:c>
      <x:c r="C245" s="12" t="str">
        <x:v>Low concern</x:v>
      </x:c>
      <x:c r="D245" s="12" t="str">
        <x:v>The reference/protocol and principal quantitative outcomes are reported.</x:v>
      </x:c>
      <x:c r="E245" s="12" t="str">
        <x:v>PDF pp. 3–12; Figs. 1–11; Table 1</x:v>
      </x:c>
      <x:c r="F245" s="12" t="str">
        <x:v>Batch 04</x:v>
      </x:c>
    </x:row>
    <x:row r="246" ht="15" hidden="0" customHeight="1">
      <x:c r="A246" s="12" t="str">
        <x:v>S038</x:v>
      </x:c>
      <x:c r="B246" s="12" t="str">
        <x:v>D5 Repeated-measurement design</x:v>
      </x:c>
      <x:c r="C246" s="12" t="str">
        <x:v>Some concern</x:v>
      </x:c>
      <x:c r="D246" s="12" t="str">
        <x:v>Study-specific limitations are recorded in the extraction and REB sheets.</x:v>
      </x:c>
      <x:c r="E246" s="12" t="str">
        <x:v>PDF pp. 3–12; Figs. 1–11; Table 1</x:v>
      </x:c>
      <x:c r="F246" s="12" t="str">
        <x:v>Batch 04</x:v>
      </x:c>
    </x:row>
    <x:row r="247" ht="15" hidden="0" customHeight="1">
      <x:c r="A247" s="12" t="str">
        <x:v>S038</x:v>
      </x:c>
      <x:c r="B247" s="12" t="str">
        <x:v>D6 Independent-device replication</x:v>
      </x:c>
      <x:c r="C247" s="12" t="str">
        <x:v>High concern</x:v>
      </x:c>
      <x:c r="D247" s="12" t="str">
        <x:v>A quantitative comparison of at least three separately fabricated complete sensing systems was not identified.</x:v>
      </x:c>
      <x:c r="E247" s="12" t="str">
        <x:v>PDF pp. 3–12; Figs. 1–11; Table 1</x:v>
      </x:c>
      <x:c r="F247" s="12" t="str">
        <x:v>Batch 04</x:v>
      </x:c>
    </x:row>
    <x:row r="248" ht="15" hidden="0" customHeight="1">
      <x:c r="A248" s="12" t="str">
        <x:v>S038</x:v>
      </x:c>
      <x:c r="B248" s="12" t="str">
        <x:v>D7 Outcome completeness</x:v>
      </x:c>
      <x:c r="C248" s="12" t="str">
        <x:v>Low concern</x:v>
      </x:c>
      <x:c r="D248" s="12" t="str">
        <x:v>The reference/protocol and principal quantitative outcomes are reported.</x:v>
      </x:c>
      <x:c r="E248" s="12" t="str">
        <x:v>PDF pp. 3–12; Figs. 1–11; Table 1</x:v>
      </x:c>
      <x:c r="F248" s="12" t="str">
        <x:v>Batch 04</x:v>
      </x:c>
    </x:row>
    <x:row r="249" ht="15" hidden="0" customHeight="1">
      <x:c r="A249" s="12" t="str">
        <x:v>S038</x:v>
      </x:c>
      <x:c r="B249" s="12" t="str">
        <x:v>D8 Wearable applicability</x:v>
      </x:c>
      <x:c r="C249" s="12" t="str">
        <x:v>Some concern</x:v>
      </x:c>
      <x:c r="D249" s="12" t="str">
        <x:v>A wearable prototype was demonstrated, but application testing was limited.</x:v>
      </x:c>
      <x:c r="E249" s="12" t="str">
        <x:v>PDF pp. 3–12; Figs. 1–11; Table 1</x:v>
      </x:c>
      <x:c r="F249" s="12" t="str">
        <x:v>Batch 04</x:v>
      </x:c>
    </x:row>
    <x:row r="250" ht="15" hidden="0" customHeight="1">
      <x:c r="A250" s="12" t="str">
        <x:v>S039</x:v>
      </x:c>
      <x:c r="B250" s="12" t="str">
        <x:v>D1 Sampling/specimen selection</x:v>
      </x:c>
      <x:c r="C250" s="12" t="str">
        <x:v>Some concern</x:v>
      </x:c>
      <x:c r="D250" s="12" t="str">
        <x:v>Study-specific limitations are recorded in the extraction and REB sheets.</x:v>
      </x:c>
      <x:c r="E250" s="12" t="str">
        <x:v>PDF pp. 3–9; Figs. 2–10</x:v>
      </x:c>
      <x:c r="F250" s="12" t="str">
        <x:v>Batch 04</x:v>
      </x:c>
    </x:row>
    <x:row r="251" ht="15" hidden="0" customHeight="1">
      <x:c r="A251" s="12" t="str">
        <x:v>S039</x:v>
      </x:c>
      <x:c r="B251" s="12" t="str">
        <x:v>D2 Fabrication-variable control</x:v>
      </x:c>
      <x:c r="C251" s="12" t="str">
        <x:v>Some concern</x:v>
      </x:c>
      <x:c r="D251" s="12" t="str">
        <x:v>Study-specific limitations are recorded in the extraction and REB sheets.</x:v>
      </x:c>
      <x:c r="E251" s="12" t="str">
        <x:v>PDF pp. 3–9; Figs. 2–10</x:v>
      </x:c>
      <x:c r="F251" s="12" t="str">
        <x:v>Batch 04</x:v>
      </x:c>
    </x:row>
    <x:row r="252" ht="15" hidden="0" customHeight="1">
      <x:c r="A252" s="12" t="str">
        <x:v>S039</x:v>
      </x:c>
      <x:c r="B252" s="12" t="str">
        <x:v>D3 Reference/calibration validity</x:v>
      </x:c>
      <x:c r="C252" s="12" t="str">
        <x:v>Low concern</x:v>
      </x:c>
      <x:c r="D252" s="12" t="str">
        <x:v>The reference/protocol and principal quantitative outcomes are reported.</x:v>
      </x:c>
      <x:c r="E252" s="12" t="str">
        <x:v>PDF pp. 3–9; Figs. 2–10</x:v>
      </x:c>
      <x:c r="F252" s="12" t="str">
        <x:v>Batch 04</x:v>
      </x:c>
    </x:row>
    <x:row r="253" ht="15" hidden="0" customHeight="1">
      <x:c r="A253" s="12" t="str">
        <x:v>S039</x:v>
      </x:c>
      <x:c r="B253" s="12" t="str">
        <x:v>D4 Loading/exposure conditions</x:v>
      </x:c>
      <x:c r="C253" s="12" t="str">
        <x:v>Low concern</x:v>
      </x:c>
      <x:c r="D253" s="12" t="str">
        <x:v>The reference/protocol and principal quantitative outcomes are reported.</x:v>
      </x:c>
      <x:c r="E253" s="12" t="str">
        <x:v>PDF pp. 3–9; Figs. 2–10</x:v>
      </x:c>
      <x:c r="F253" s="12" t="str">
        <x:v>Batch 04</x:v>
      </x:c>
    </x:row>
    <x:row r="254" ht="15" hidden="0" customHeight="1">
      <x:c r="A254" s="12" t="str">
        <x:v>S039</x:v>
      </x:c>
      <x:c r="B254" s="12" t="str">
        <x:v>D5 Repeated-measurement design</x:v>
      </x:c>
      <x:c r="C254" s="12" t="str">
        <x:v>Some concern</x:v>
      </x:c>
      <x:c r="D254" s="12" t="str">
        <x:v>Study-specific limitations are recorded in the extraction and REB sheets.</x:v>
      </x:c>
      <x:c r="E254" s="12" t="str">
        <x:v>PDF pp. 3–9; Figs. 2–10</x:v>
      </x:c>
      <x:c r="F254" s="12" t="str">
        <x:v>Batch 04</x:v>
      </x:c>
    </x:row>
    <x:row r="255" ht="15" hidden="0" customHeight="1">
      <x:c r="A255" s="12" t="str">
        <x:v>S039</x:v>
      </x:c>
      <x:c r="B255" s="12" t="str">
        <x:v>D6 Independent-device replication</x:v>
      </x:c>
      <x:c r="C255" s="12" t="str">
        <x:v>Low concern</x:v>
      </x:c>
      <x:c r="D255" s="12" t="str">
        <x:v>Four separately fabricated devices per FSG type were compared quantitatively.</x:v>
      </x:c>
      <x:c r="E255" s="12" t="str">
        <x:v>PDF pp. 3–9; Figs. 2–10</x:v>
      </x:c>
      <x:c r="F255" s="12" t="str">
        <x:v>Batch 04</x:v>
      </x:c>
    </x:row>
    <x:row r="256" ht="15" hidden="0" customHeight="1">
      <x:c r="A256" s="12" t="str">
        <x:v>S039</x:v>
      </x:c>
      <x:c r="B256" s="12" t="str">
        <x:v>D7 Outcome completeness</x:v>
      </x:c>
      <x:c r="C256" s="12" t="str">
        <x:v>Low concern</x:v>
      </x:c>
      <x:c r="D256" s="12" t="str">
        <x:v>The reference/protocol and principal quantitative outcomes are reported.</x:v>
      </x:c>
      <x:c r="E256" s="12" t="str">
        <x:v>PDF pp. 3–9; Figs. 2–10</x:v>
      </x:c>
      <x:c r="F256" s="12" t="str">
        <x:v>Batch 04</x:v>
      </x:c>
    </x:row>
    <x:row r="257" ht="15" hidden="0" customHeight="1">
      <x:c r="A257" s="12" t="str">
        <x:v>S039</x:v>
      </x:c>
      <x:c r="B257" s="12" t="str">
        <x:v>D8 Wearable applicability</x:v>
      </x:c>
      <x:c r="C257" s="12" t="str">
        <x:v>Low concern</x:v>
      </x:c>
      <x:c r="D257" s="12" t="str">
        <x:v>The device was tested in a human-worn configuration.</x:v>
      </x:c>
      <x:c r="E257" s="12" t="str">
        <x:v>PDF pp. 3–9; Figs. 2–10</x:v>
      </x:c>
      <x:c r="F257" s="12" t="str">
        <x:v>Batch 04</x:v>
      </x:c>
    </x:row>
    <x:row r="258" ht="15" hidden="0" customHeight="1">
      <x:c r="A258" s="12" t="str">
        <x:v>S043</x:v>
      </x:c>
      <x:c r="B258" s="12" t="str">
        <x:v>D1 Sampling/specimen selection</x:v>
      </x:c>
      <x:c r="C258" s="12" t="str">
        <x:v>Some concern</x:v>
      </x:c>
      <x:c r="D258" s="12" t="str">
        <x:v>Study-specific limitations are recorded in the extraction and REB sheets.</x:v>
      </x:c>
      <x:c r="E258" s="12" t="str">
        <x:v>PDF pp. 2–12; Figs. 1–8; Tables 1–4; cited SI</x:v>
      </x:c>
      <x:c r="F258" s="12" t="str">
        <x:v>Batch 04</x:v>
      </x:c>
    </x:row>
    <x:row r="259" ht="15" hidden="0" customHeight="1">
      <x:c r="A259" s="12" t="str">
        <x:v>S043</x:v>
      </x:c>
      <x:c r="B259" s="12" t="str">
        <x:v>D2 Fabrication-variable control</x:v>
      </x:c>
      <x:c r="C259" s="12" t="str">
        <x:v>Some concern</x:v>
      </x:c>
      <x:c r="D259" s="12" t="str">
        <x:v>Study-specific limitations are recorded in the extraction and REB sheets.</x:v>
      </x:c>
      <x:c r="E259" s="12" t="str">
        <x:v>PDF pp. 2–12; Figs. 1–8; Tables 1–4; cited SI</x:v>
      </x:c>
      <x:c r="F259" s="12" t="str">
        <x:v>Batch 04</x:v>
      </x:c>
    </x:row>
    <x:row r="260" ht="15" hidden="0" customHeight="1">
      <x:c r="A260" s="12" t="str">
        <x:v>S043</x:v>
      </x:c>
      <x:c r="B260" s="12" t="str">
        <x:v>D3 Reference/calibration validity</x:v>
      </x:c>
      <x:c r="C260" s="12" t="str">
        <x:v>Low concern</x:v>
      </x:c>
      <x:c r="D260" s="12" t="str">
        <x:v>The reference/protocol and principal quantitative outcomes are reported.</x:v>
      </x:c>
      <x:c r="E260" s="12" t="str">
        <x:v>PDF pp. 2–12; Figs. 1–8; Tables 1–4; cited SI</x:v>
      </x:c>
      <x:c r="F260" s="12" t="str">
        <x:v>Batch 04</x:v>
      </x:c>
    </x:row>
    <x:row r="261" ht="15" hidden="0" customHeight="1">
      <x:c r="A261" s="12" t="str">
        <x:v>S043</x:v>
      </x:c>
      <x:c r="B261" s="12" t="str">
        <x:v>D4 Loading/exposure conditions</x:v>
      </x:c>
      <x:c r="C261" s="12" t="str">
        <x:v>Low concern</x:v>
      </x:c>
      <x:c r="D261" s="12" t="str">
        <x:v>The reference/protocol and principal quantitative outcomes are reported.</x:v>
      </x:c>
      <x:c r="E261" s="12" t="str">
        <x:v>PDF pp. 2–12; Figs. 1–8; Tables 1–4; cited SI</x:v>
      </x:c>
      <x:c r="F261" s="12" t="str">
        <x:v>Batch 04</x:v>
      </x:c>
    </x:row>
    <x:row r="262" ht="15" hidden="0" customHeight="1">
      <x:c r="A262" s="12" t="str">
        <x:v>S043</x:v>
      </x:c>
      <x:c r="B262" s="12" t="str">
        <x:v>D5 Repeated-measurement design</x:v>
      </x:c>
      <x:c r="C262" s="12" t="str">
        <x:v>Some concern</x:v>
      </x:c>
      <x:c r="D262" s="12" t="str">
        <x:v>Study-specific limitations are recorded in the extraction and REB sheets.</x:v>
      </x:c>
      <x:c r="E262" s="12" t="str">
        <x:v>PDF pp. 2–12; Figs. 1–8; Tables 1–4; cited SI</x:v>
      </x:c>
      <x:c r="F262" s="12" t="str">
        <x:v>Batch 04</x:v>
      </x:c>
    </x:row>
    <x:row r="263" ht="15" hidden="0" customHeight="1">
      <x:c r="A263" s="12" t="str">
        <x:v>S043</x:v>
      </x:c>
      <x:c r="B263" s="12" t="str">
        <x:v>D6 Independent-device replication</x:v>
      </x:c>
      <x:c r="C263" s="12" t="str">
        <x:v>High concern</x:v>
      </x:c>
      <x:c r="D263" s="12" t="str">
        <x:v>A quantitative comparison of at least three separately fabricated complete sensing systems was not identified.</x:v>
      </x:c>
      <x:c r="E263" s="12" t="str">
        <x:v>PDF pp. 2–12; Figs. 1–8; Tables 1–4; cited SI</x:v>
      </x:c>
      <x:c r="F263" s="12" t="str">
        <x:v>Batch 04</x:v>
      </x:c>
    </x:row>
    <x:row r="264" ht="15" hidden="0" customHeight="1">
      <x:c r="A264" s="12" t="str">
        <x:v>S043</x:v>
      </x:c>
      <x:c r="B264" s="12" t="str">
        <x:v>D7 Outcome completeness</x:v>
      </x:c>
      <x:c r="C264" s="12" t="str">
        <x:v>Low concern</x:v>
      </x:c>
      <x:c r="D264" s="12" t="str">
        <x:v>The reference/protocol and principal quantitative outcomes are reported.</x:v>
      </x:c>
      <x:c r="E264" s="12" t="str">
        <x:v>PDF pp. 2–12; Figs. 1–8; Tables 1–4; cited SI</x:v>
      </x:c>
      <x:c r="F264" s="12" t="str">
        <x:v>Batch 04</x:v>
      </x:c>
    </x:row>
    <x:row r="265" ht="15" hidden="0" customHeight="1">
      <x:c r="A265" s="12" t="str">
        <x:v>S043</x:v>
      </x:c>
      <x:c r="B265" s="12" t="str">
        <x:v>D8 Wearable applicability</x:v>
      </x:c>
      <x:c r="C265" s="12" t="str">
        <x:v>Some concern</x:v>
      </x:c>
      <x:c r="D265" s="12" t="str">
        <x:v>A wearable prototype was demonstrated, but application testing was limited.</x:v>
      </x:c>
      <x:c r="E265" s="12" t="str">
        <x:v>PDF pp. 2–12; Figs. 1–8; Tables 1–4; cited SI</x:v>
      </x:c>
      <x:c r="F265" s="12" t="str">
        <x:v>Batch 04</x:v>
      </x:c>
    </x:row>
    <x:row r="266" ht="15" hidden="0" customHeight="1">
      <x:c r="A266" s="12" t="str">
        <x:v>S044</x:v>
      </x:c>
      <x:c r="B266" s="12" t="str">
        <x:v>D1 Sampling/specimen selection</x:v>
      </x:c>
      <x:c r="C266" s="12" t="str">
        <x:v>Some concern</x:v>
      </x:c>
      <x:c r="D266" s="12" t="str">
        <x:v>Study-specific limitations are recorded in the extraction and REB sheets.</x:v>
      </x:c>
      <x:c r="E266" s="12" t="str">
        <x:v>PDF pp. 4–11; Figs. 1, 5–6; cited SI</x:v>
      </x:c>
      <x:c r="F266" s="12" t="str">
        <x:v>Batch 04</x:v>
      </x:c>
    </x:row>
    <x:row r="267" ht="15" hidden="0" customHeight="1">
      <x:c r="A267" s="12" t="str">
        <x:v>S044</x:v>
      </x:c>
      <x:c r="B267" s="12" t="str">
        <x:v>D2 Fabrication-variable control</x:v>
      </x:c>
      <x:c r="C267" s="12" t="str">
        <x:v>Some concern</x:v>
      </x:c>
      <x:c r="D267" s="12" t="str">
        <x:v>Study-specific limitations are recorded in the extraction and REB sheets.</x:v>
      </x:c>
      <x:c r="E267" s="12" t="str">
        <x:v>PDF pp. 4–11; Figs. 1, 5–6; cited SI</x:v>
      </x:c>
      <x:c r="F267" s="12" t="str">
        <x:v>Batch 04</x:v>
      </x:c>
    </x:row>
    <x:row r="268" ht="15" hidden="0" customHeight="1">
      <x:c r="A268" s="12" t="str">
        <x:v>S044</x:v>
      </x:c>
      <x:c r="B268" s="12" t="str">
        <x:v>D3 Reference/calibration validity</x:v>
      </x:c>
      <x:c r="C268" s="12" t="str">
        <x:v>Low concern</x:v>
      </x:c>
      <x:c r="D268" s="12" t="str">
        <x:v>The reference/protocol and principal quantitative outcomes are reported.</x:v>
      </x:c>
      <x:c r="E268" s="12" t="str">
        <x:v>PDF pp. 4–11; Figs. 1, 5–6; cited SI</x:v>
      </x:c>
      <x:c r="F268" s="12" t="str">
        <x:v>Batch 04</x:v>
      </x:c>
    </x:row>
    <x:row r="269" ht="15" hidden="0" customHeight="1">
      <x:c r="A269" s="12" t="str">
        <x:v>S044</x:v>
      </x:c>
      <x:c r="B269" s="12" t="str">
        <x:v>D4 Loading/exposure conditions</x:v>
      </x:c>
      <x:c r="C269" s="12" t="str">
        <x:v>Low concern</x:v>
      </x:c>
      <x:c r="D269" s="12" t="str">
        <x:v>The reference/protocol and principal quantitative outcomes are reported.</x:v>
      </x:c>
      <x:c r="E269" s="12" t="str">
        <x:v>PDF pp. 4–11; Figs. 1, 5–6; cited SI</x:v>
      </x:c>
      <x:c r="F269" s="12" t="str">
        <x:v>Batch 04</x:v>
      </x:c>
    </x:row>
    <x:row r="270" ht="15" hidden="0" customHeight="1">
      <x:c r="A270" s="12" t="str">
        <x:v>S044</x:v>
      </x:c>
      <x:c r="B270" s="12" t="str">
        <x:v>D5 Repeated-measurement design</x:v>
      </x:c>
      <x:c r="C270" s="12" t="str">
        <x:v>Some concern</x:v>
      </x:c>
      <x:c r="D270" s="12" t="str">
        <x:v>Study-specific limitations are recorded in the extraction and REB sheets.</x:v>
      </x:c>
      <x:c r="E270" s="12" t="str">
        <x:v>PDF pp. 4–11; Figs. 1, 5–6; cited SI</x:v>
      </x:c>
      <x:c r="F270" s="12" t="str">
        <x:v>Batch 04</x:v>
      </x:c>
    </x:row>
    <x:row r="271" ht="15" hidden="0" customHeight="1">
      <x:c r="A271" s="12" t="str">
        <x:v>S044</x:v>
      </x:c>
      <x:c r="B271" s="12" t="str">
        <x:v>D6 Independent-device replication</x:v>
      </x:c>
      <x:c r="C271" s="12" t="str">
        <x:v>High concern</x:v>
      </x:c>
      <x:c r="D271" s="12" t="str">
        <x:v>A quantitative comparison of at least three separately fabricated complete sensing systems was not identified.</x:v>
      </x:c>
      <x:c r="E271" s="12" t="str">
        <x:v>PDF pp. 4–11; Figs. 1, 5–6; cited SI</x:v>
      </x:c>
      <x:c r="F271" s="12" t="str">
        <x:v>Batch 04</x:v>
      </x:c>
    </x:row>
    <x:row r="272" ht="15" hidden="0" customHeight="1">
      <x:c r="A272" s="12" t="str">
        <x:v>S044</x:v>
      </x:c>
      <x:c r="B272" s="12" t="str">
        <x:v>D7 Outcome completeness</x:v>
      </x:c>
      <x:c r="C272" s="12" t="str">
        <x:v>Low concern</x:v>
      </x:c>
      <x:c r="D272" s="12" t="str">
        <x:v>The reference/protocol and principal quantitative outcomes are reported.</x:v>
      </x:c>
      <x:c r="E272" s="12" t="str">
        <x:v>PDF pp. 4–11; Figs. 1, 5–6; cited SI</x:v>
      </x:c>
      <x:c r="F272" s="12" t="str">
        <x:v>Batch 04</x:v>
      </x:c>
    </x:row>
    <x:row r="273" ht="15" hidden="0" customHeight="1">
      <x:c r="A273" s="12" t="str">
        <x:v>S044</x:v>
      </x:c>
      <x:c r="B273" s="12" t="str">
        <x:v>D8 Wearable applicability</x:v>
      </x:c>
      <x:c r="C273" s="12" t="str">
        <x:v>Low concern</x:v>
      </x:c>
      <x:c r="D273" s="12" t="str">
        <x:v>The device was tested in a human-worn configuration.</x:v>
      </x:c>
      <x:c r="E273" s="12" t="str">
        <x:v>PDF pp. 4–11; Figs. 1, 5–6; cited SI</x:v>
      </x:c>
      <x:c r="F273" s="12" t="str">
        <x:v>Batch 04</x:v>
      </x:c>
    </x:row>
    <x:row r="274" ht="24" hidden="0" customHeight="1">
      <x:c r="A274" s="12" t="str">
        <x:v>S046</x:v>
      </x:c>
      <x:c r="B274" s="12" t="str">
        <x:v>D1 Sampling/specimen selection</x:v>
      </x:c>
      <x:c r="C274" s="12" t="str">
        <x:v>Some concern</x:v>
      </x:c>
      <x:c r="D274" s="12" t="str">
        <x:v>Study-specific limitations are recorded in the extraction and REB sheets.</x:v>
      </x:c>
      <x:c r="E274" s="12" t="str">
        <x:v>PDF pp. 2–7; Figs. 3–5; cited Supplementary Figs. S1–S5</x:v>
      </x:c>
      <x:c r="F274" s="12" t="str">
        <x:v>Batch 04</x:v>
      </x:c>
    </x:row>
    <x:row r="275" ht="24" hidden="0" customHeight="1">
      <x:c r="A275" s="12" t="str">
        <x:v>S046</x:v>
      </x:c>
      <x:c r="B275" s="12" t="str">
        <x:v>D2 Fabrication-variable control</x:v>
      </x:c>
      <x:c r="C275" s="12" t="str">
        <x:v>Some concern</x:v>
      </x:c>
      <x:c r="D275" s="12" t="str">
        <x:v>Study-specific limitations are recorded in the extraction and REB sheets.</x:v>
      </x:c>
      <x:c r="E275" s="12" t="str">
        <x:v>PDF pp. 2–7; Figs. 3–5; cited Supplementary Figs. S1–S5</x:v>
      </x:c>
      <x:c r="F275" s="12" t="str">
        <x:v>Batch 04</x:v>
      </x:c>
    </x:row>
    <x:row r="276" ht="24" hidden="0" customHeight="1">
      <x:c r="A276" s="12" t="str">
        <x:v>S046</x:v>
      </x:c>
      <x:c r="B276" s="12" t="str">
        <x:v>D3 Reference/calibration validity</x:v>
      </x:c>
      <x:c r="C276" s="12" t="str">
        <x:v>Low concern</x:v>
      </x:c>
      <x:c r="D276" s="12" t="str">
        <x:v>The reference/protocol and principal quantitative outcomes are reported.</x:v>
      </x:c>
      <x:c r="E276" s="12" t="str">
        <x:v>PDF pp. 2–7; Figs. 3–5; cited Supplementary Figs. S1–S5</x:v>
      </x:c>
      <x:c r="F276" s="12" t="str">
        <x:v>Batch 04</x:v>
      </x:c>
    </x:row>
    <x:row r="277" ht="24" hidden="0" customHeight="1">
      <x:c r="A277" s="12" t="str">
        <x:v>S046</x:v>
      </x:c>
      <x:c r="B277" s="12" t="str">
        <x:v>D4 Loading/exposure conditions</x:v>
      </x:c>
      <x:c r="C277" s="12" t="str">
        <x:v>Low concern</x:v>
      </x:c>
      <x:c r="D277" s="12" t="str">
        <x:v>The reference/protocol and principal quantitative outcomes are reported.</x:v>
      </x:c>
      <x:c r="E277" s="12" t="str">
        <x:v>PDF pp. 2–7; Figs. 3–5; cited Supplementary Figs. S1–S5</x:v>
      </x:c>
      <x:c r="F277" s="12" t="str">
        <x:v>Batch 04</x:v>
      </x:c>
    </x:row>
    <x:row r="278" ht="24" hidden="0" customHeight="1">
      <x:c r="A278" s="12" t="str">
        <x:v>S046</x:v>
      </x:c>
      <x:c r="B278" s="12" t="str">
        <x:v>D5 Repeated-measurement design</x:v>
      </x:c>
      <x:c r="C278" s="12" t="str">
        <x:v>Some concern</x:v>
      </x:c>
      <x:c r="D278" s="12" t="str">
        <x:v>Study-specific limitations are recorded in the extraction and REB sheets.</x:v>
      </x:c>
      <x:c r="E278" s="12" t="str">
        <x:v>PDF pp. 2–7; Figs. 3–5; cited Supplementary Figs. S1–S5</x:v>
      </x:c>
      <x:c r="F278" s="12" t="str">
        <x:v>Batch 04</x:v>
      </x:c>
    </x:row>
    <x:row r="279" ht="24" hidden="0" customHeight="1">
      <x:c r="A279" s="12" t="str">
        <x:v>S046</x:v>
      </x:c>
      <x:c r="B279" s="12" t="str">
        <x:v>D6 Independent-device replication</x:v>
      </x:c>
      <x:c r="C279" s="12" t="str">
        <x:v>High concern</x:v>
      </x:c>
      <x:c r="D279" s="12" t="str">
        <x:v>A quantitative comparison of at least three separately fabricated complete sensing systems was not identified.</x:v>
      </x:c>
      <x:c r="E279" s="12" t="str">
        <x:v>PDF pp. 2–7; Figs. 3–5; cited Supplementary Figs. S1–S5</x:v>
      </x:c>
      <x:c r="F279" s="12" t="str">
        <x:v>Batch 04</x:v>
      </x:c>
    </x:row>
    <x:row r="280" ht="24" hidden="0" customHeight="1">
      <x:c r="A280" s="12" t="str">
        <x:v>S046</x:v>
      </x:c>
      <x:c r="B280" s="12" t="str">
        <x:v>D7 Outcome completeness</x:v>
      </x:c>
      <x:c r="C280" s="12" t="str">
        <x:v>Low concern</x:v>
      </x:c>
      <x:c r="D280" s="12" t="str">
        <x:v>The reference/protocol and principal quantitative outcomes are reported.</x:v>
      </x:c>
      <x:c r="E280" s="12" t="str">
        <x:v>PDF pp. 2–7; Figs. 3–5; cited Supplementary Figs. S1–S5</x:v>
      </x:c>
      <x:c r="F280" s="12" t="str">
        <x:v>Batch 04</x:v>
      </x:c>
    </x:row>
    <x:row r="281" ht="24" hidden="0" customHeight="1">
      <x:c r="A281" s="12" t="str">
        <x:v>S046</x:v>
      </x:c>
      <x:c r="B281" s="12" t="str">
        <x:v>D8 Wearable applicability</x:v>
      </x:c>
      <x:c r="C281" s="12" t="str">
        <x:v>Low concern</x:v>
      </x:c>
      <x:c r="D281" s="12" t="str">
        <x:v>The device was tested in a human-worn configuration.</x:v>
      </x:c>
      <x:c r="E281" s="12" t="str">
        <x:v>PDF pp. 2–7; Figs. 3–5; cited Supplementary Figs. S1–S5</x:v>
      </x:c>
      <x:c r="F281" s="12" t="str">
        <x:v>Batch 04</x:v>
      </x:c>
    </x:row>
    <x:row r="282" ht="15" hidden="0" customHeight="1">
      <x:c r="A282" s="12" t="str">
        <x:v>S047</x:v>
      </x:c>
      <x:c r="B282" s="12" t="str">
        <x:v>D1 Sampling/specimen selection</x:v>
      </x:c>
      <x:c r="C282" s="12" t="str">
        <x:v>High concern</x:v>
      </x:c>
      <x:c r="D282" s="12" t="str">
        <x:v>The clinical feasibility study included two patients and was not prospectively powered.</x:v>
      </x:c>
      <x:c r="E282" s="12" t="str">
        <x:v>PDF pp. 3–13; Figs. 2–12; Table 1</x:v>
      </x:c>
      <x:c r="F282" s="12" t="str">
        <x:v>Batch 04</x:v>
      </x:c>
    </x:row>
    <x:row r="283" ht="15" hidden="0" customHeight="1">
      <x:c r="A283" s="12" t="str">
        <x:v>S047</x:v>
      </x:c>
      <x:c r="B283" s="12" t="str">
        <x:v>D2 Fabrication-variable control</x:v>
      </x:c>
      <x:c r="C283" s="12" t="str">
        <x:v>Some concern</x:v>
      </x:c>
      <x:c r="D283" s="12" t="str">
        <x:v>Study-specific limitations are recorded in the extraction and REB sheets.</x:v>
      </x:c>
      <x:c r="E283" s="12" t="str">
        <x:v>PDF pp. 3–13; Figs. 2–12; Table 1</x:v>
      </x:c>
      <x:c r="F283" s="12" t="str">
        <x:v>Batch 04</x:v>
      </x:c>
    </x:row>
    <x:row r="284" ht="15" hidden="0" customHeight="1">
      <x:c r="A284" s="12" t="str">
        <x:v>S047</x:v>
      </x:c>
      <x:c r="B284" s="12" t="str">
        <x:v>D3 Reference/calibration validity</x:v>
      </x:c>
      <x:c r="C284" s="12" t="str">
        <x:v>Low concern</x:v>
      </x:c>
      <x:c r="D284" s="12" t="str">
        <x:v>The reference/protocol and principal quantitative outcomes are reported.</x:v>
      </x:c>
      <x:c r="E284" s="12" t="str">
        <x:v>PDF pp. 3–13; Figs. 2–12; Table 1</x:v>
      </x:c>
      <x:c r="F284" s="12" t="str">
        <x:v>Batch 04</x:v>
      </x:c>
    </x:row>
    <x:row r="285" ht="15" hidden="0" customHeight="1">
      <x:c r="A285" s="12" t="str">
        <x:v>S047</x:v>
      </x:c>
      <x:c r="B285" s="12" t="str">
        <x:v>D4 Loading/exposure conditions</x:v>
      </x:c>
      <x:c r="C285" s="12" t="str">
        <x:v>Low concern</x:v>
      </x:c>
      <x:c r="D285" s="12" t="str">
        <x:v>The reference/protocol and principal quantitative outcomes are reported.</x:v>
      </x:c>
      <x:c r="E285" s="12" t="str">
        <x:v>PDF pp. 3–13; Figs. 2–12; Table 1</x:v>
      </x:c>
      <x:c r="F285" s="12" t="str">
        <x:v>Batch 04</x:v>
      </x:c>
    </x:row>
    <x:row r="286" ht="15" hidden="0" customHeight="1">
      <x:c r="A286" s="12" t="str">
        <x:v>S047</x:v>
      </x:c>
      <x:c r="B286" s="12" t="str">
        <x:v>D5 Repeated-measurement design</x:v>
      </x:c>
      <x:c r="C286" s="12" t="str">
        <x:v>Some concern</x:v>
      </x:c>
      <x:c r="D286" s="12" t="str">
        <x:v>Study-specific limitations are recorded in the extraction and REB sheets.</x:v>
      </x:c>
      <x:c r="E286" s="12" t="str">
        <x:v>PDF pp. 3–13; Figs. 2–12; Table 1</x:v>
      </x:c>
      <x:c r="F286" s="12" t="str">
        <x:v>Batch 04</x:v>
      </x:c>
    </x:row>
    <x:row r="287" ht="15" hidden="0" customHeight="1">
      <x:c r="A287" s="12" t="str">
        <x:v>S047</x:v>
      </x:c>
      <x:c r="B287" s="12" t="str">
        <x:v>D6 Independent-device replication</x:v>
      </x:c>
      <x:c r="C287" s="12" t="str">
        <x:v>High concern</x:v>
      </x:c>
      <x:c r="D287" s="12" t="str">
        <x:v>A quantitative comparison of at least three separately fabricated complete sensing systems was not identified.</x:v>
      </x:c>
      <x:c r="E287" s="12" t="str">
        <x:v>PDF pp. 3–13; Figs. 2–12; Table 1</x:v>
      </x:c>
      <x:c r="F287" s="12" t="str">
        <x:v>Batch 04</x:v>
      </x:c>
    </x:row>
    <x:row r="288" ht="15" hidden="0" customHeight="1">
      <x:c r="A288" s="12" t="str">
        <x:v>S047</x:v>
      </x:c>
      <x:c r="B288" s="12" t="str">
        <x:v>D7 Outcome completeness</x:v>
      </x:c>
      <x:c r="C288" s="12" t="str">
        <x:v>Low concern</x:v>
      </x:c>
      <x:c r="D288" s="12" t="str">
        <x:v>The reference/protocol and principal quantitative outcomes are reported.</x:v>
      </x:c>
      <x:c r="E288" s="12" t="str">
        <x:v>PDF pp. 3–13; Figs. 2–12; Table 1</x:v>
      </x:c>
      <x:c r="F288" s="12" t="str">
        <x:v>Batch 04</x:v>
      </x:c>
    </x:row>
    <x:row r="289" ht="15" hidden="0" customHeight="1">
      <x:c r="A289" s="12" t="str">
        <x:v>S047</x:v>
      </x:c>
      <x:c r="B289" s="12" t="str">
        <x:v>D8 Wearable applicability</x:v>
      </x:c>
      <x:c r="C289" s="12" t="str">
        <x:v>Low concern</x:v>
      </x:c>
      <x:c r="D289" s="12" t="str">
        <x:v>The device was tested in a human-worn configuration.</x:v>
      </x:c>
      <x:c r="E289" s="12" t="str">
        <x:v>PDF pp. 3–13; Figs. 2–12; Table 1</x:v>
      </x:c>
      <x:c r="F289" s="12" t="str">
        <x:v>Batch 04</x:v>
      </x:c>
    </x:row>
    <x:row r="290" ht="15" hidden="0" customHeight="1">
      <x:c r="A290" s="12" t="str">
        <x:v>S048</x:v>
      </x:c>
      <x:c r="B290" s="12" t="str">
        <x:v>D1 Sampling/specimen selection</x:v>
      </x:c>
      <x:c r="C290" s="12" t="str">
        <x:v>Some concern</x:v>
      </x:c>
      <x:c r="D290" s="12" t="str">
        <x:v>Study-specific limitations are recorded in the extraction and REB sheets.</x:v>
      </x:c>
      <x:c r="E290" s="12" t="str">
        <x:v>PDF pp. 3–9; Figs. 1, 4–9; cited SI</x:v>
      </x:c>
      <x:c r="F290" s="12" t="str">
        <x:v>Batch 04</x:v>
      </x:c>
    </x:row>
    <x:row r="291" ht="15" hidden="0" customHeight="1">
      <x:c r="A291" s="12" t="str">
        <x:v>S048</x:v>
      </x:c>
      <x:c r="B291" s="12" t="str">
        <x:v>D2 Fabrication-variable control</x:v>
      </x:c>
      <x:c r="C291" s="12" t="str">
        <x:v>Some concern</x:v>
      </x:c>
      <x:c r="D291" s="12" t="str">
        <x:v>Study-specific limitations are recorded in the extraction and REB sheets.</x:v>
      </x:c>
      <x:c r="E291" s="12" t="str">
        <x:v>PDF pp. 3–9; Figs. 1, 4–9; cited SI</x:v>
      </x:c>
      <x:c r="F291" s="12" t="str">
        <x:v>Batch 04</x:v>
      </x:c>
    </x:row>
    <x:row r="292" ht="15" hidden="0" customHeight="1">
      <x:c r="A292" s="12" t="str">
        <x:v>S048</x:v>
      </x:c>
      <x:c r="B292" s="12" t="str">
        <x:v>D3 Reference/calibration validity</x:v>
      </x:c>
      <x:c r="C292" s="12" t="str">
        <x:v>Low concern</x:v>
      </x:c>
      <x:c r="D292" s="12" t="str">
        <x:v>The reference/protocol and principal quantitative outcomes are reported.</x:v>
      </x:c>
      <x:c r="E292" s="12" t="str">
        <x:v>PDF pp. 3–9; Figs. 1, 4–9; cited SI</x:v>
      </x:c>
      <x:c r="F292" s="12" t="str">
        <x:v>Batch 04</x:v>
      </x:c>
    </x:row>
    <x:row r="293" ht="15" hidden="0" customHeight="1">
      <x:c r="A293" s="12" t="str">
        <x:v>S048</x:v>
      </x:c>
      <x:c r="B293" s="12" t="str">
        <x:v>D4 Loading/exposure conditions</x:v>
      </x:c>
      <x:c r="C293" s="12" t="str">
        <x:v>Low concern</x:v>
      </x:c>
      <x:c r="D293" s="12" t="str">
        <x:v>The reference/protocol and principal quantitative outcomes are reported.</x:v>
      </x:c>
      <x:c r="E293" s="12" t="str">
        <x:v>PDF pp. 3–9; Figs. 1, 4–9; cited SI</x:v>
      </x:c>
      <x:c r="F293" s="12" t="str">
        <x:v>Batch 04</x:v>
      </x:c>
    </x:row>
    <x:row r="294" ht="15" hidden="0" customHeight="1">
      <x:c r="A294" s="12" t="str">
        <x:v>S048</x:v>
      </x:c>
      <x:c r="B294" s="12" t="str">
        <x:v>D5 Repeated-measurement design</x:v>
      </x:c>
      <x:c r="C294" s="12" t="str">
        <x:v>Some concern</x:v>
      </x:c>
      <x:c r="D294" s="12" t="str">
        <x:v>Study-specific limitations are recorded in the extraction and REB sheets.</x:v>
      </x:c>
      <x:c r="E294" s="12" t="str">
        <x:v>PDF pp. 3–9; Figs. 1, 4–9; cited SI</x:v>
      </x:c>
      <x:c r="F294" s="12" t="str">
        <x:v>Batch 04</x:v>
      </x:c>
    </x:row>
    <x:row r="295" ht="15" hidden="0" customHeight="1">
      <x:c r="A295" s="12" t="str">
        <x:v>S048</x:v>
      </x:c>
      <x:c r="B295" s="12" t="str">
        <x:v>D6 Independent-device replication</x:v>
      </x:c>
      <x:c r="C295" s="12" t="str">
        <x:v>High concern</x:v>
      </x:c>
      <x:c r="D295" s="12" t="str">
        <x:v>A quantitative comparison of at least three separately fabricated complete sensing systems was not identified.</x:v>
      </x:c>
      <x:c r="E295" s="12" t="str">
        <x:v>PDF pp. 3–9; Figs. 1, 4–9; cited SI</x:v>
      </x:c>
      <x:c r="F295" s="12" t="str">
        <x:v>Batch 04</x:v>
      </x:c>
    </x:row>
    <x:row r="296" ht="15" hidden="0" customHeight="1">
      <x:c r="A296" s="12" t="str">
        <x:v>S048</x:v>
      </x:c>
      <x:c r="B296" s="12" t="str">
        <x:v>D7 Outcome completeness</x:v>
      </x:c>
      <x:c r="C296" s="12" t="str">
        <x:v>Low concern</x:v>
      </x:c>
      <x:c r="D296" s="12" t="str">
        <x:v>The reference/protocol and principal quantitative outcomes are reported.</x:v>
      </x:c>
      <x:c r="E296" s="12" t="str">
        <x:v>PDF pp. 3–9; Figs. 1, 4–9; cited SI</x:v>
      </x:c>
      <x:c r="F296" s="12" t="str">
        <x:v>Batch 04</x:v>
      </x:c>
    </x:row>
    <x:row r="297" ht="15" hidden="0" customHeight="1">
      <x:c r="A297" s="12" t="str">
        <x:v>S048</x:v>
      </x:c>
      <x:c r="B297" s="12" t="str">
        <x:v>D8 Wearable applicability</x:v>
      </x:c>
      <x:c r="C297" s="12" t="str">
        <x:v>Low concern</x:v>
      </x:c>
      <x:c r="D297" s="12" t="str">
        <x:v>The device was tested in a human-worn configuration.</x:v>
      </x:c>
      <x:c r="E297" s="12" t="str">
        <x:v>PDF pp. 3–9; Figs. 1, 4–9; cited SI</x:v>
      </x:c>
      <x:c r="F297" s="12" t="str">
        <x:v>Batch 04</x:v>
      </x:c>
    </x:row>
    <x:row r="298" ht="15" hidden="0" customHeight="1">
      <x:c r="A298" s="12" t="str">
        <x:v>S050</x:v>
      </x:c>
      <x:c r="B298" s="12" t="str">
        <x:v>D1 Sampling/specimen selection</x:v>
      </x:c>
      <x:c r="C298" s="12" t="str">
        <x:v>Some concern</x:v>
      </x:c>
      <x:c r="D298" s="12" t="str">
        <x:v>Study-specific evidence is documented in the extraction and REB sheets.</x:v>
      </x:c>
      <x:c r="E298" s="12" t="str">
        <x:v>PDF pp. 3–10; Figs. 1–8</x:v>
      </x:c>
      <x:c r="F298" s="12" t="str">
        <x:v>Batch 05</x:v>
      </x:c>
    </x:row>
    <x:row r="299" ht="15" hidden="0" customHeight="1">
      <x:c r="A299" s="12" t="str">
        <x:v>S050</x:v>
      </x:c>
      <x:c r="B299" s="12" t="str">
        <x:v>D2 Fabrication-variable control</x:v>
      </x:c>
      <x:c r="C299" s="12" t="str">
        <x:v>Some concern</x:v>
      </x:c>
      <x:c r="D299" s="12" t="str">
        <x:v>Study-specific evidence is documented in the extraction and REB sheets.</x:v>
      </x:c>
      <x:c r="E299" s="12" t="str">
        <x:v>PDF pp. 3–10; Figs. 1–8</x:v>
      </x:c>
      <x:c r="F299" s="12" t="str">
        <x:v>Batch 05</x:v>
      </x:c>
    </x:row>
    <x:row r="300" ht="15" hidden="0" customHeight="1">
      <x:c r="A300" s="12" t="str">
        <x:v>S050</x:v>
      </x:c>
      <x:c r="B300" s="12" t="str">
        <x:v>D3 Reference/calibration validity</x:v>
      </x:c>
      <x:c r="C300" s="12" t="str">
        <x:v>Low concern</x:v>
      </x:c>
      <x:c r="D300" s="12" t="str">
        <x:v>Study-specific evidence is documented in the extraction and REB sheets.</x:v>
      </x:c>
      <x:c r="E300" s="12" t="str">
        <x:v>PDF pp. 3–10; Figs. 1–8</x:v>
      </x:c>
      <x:c r="F300" s="12" t="str">
        <x:v>Batch 05</x:v>
      </x:c>
    </x:row>
    <x:row r="301" ht="15" hidden="0" customHeight="1">
      <x:c r="A301" s="12" t="str">
        <x:v>S050</x:v>
      </x:c>
      <x:c r="B301" s="12" t="str">
        <x:v>D4 Loading/exposure conditions</x:v>
      </x:c>
      <x:c r="C301" s="12" t="str">
        <x:v>Low concern</x:v>
      </x:c>
      <x:c r="D301" s="12" t="str">
        <x:v>Study-specific evidence is documented in the extraction and REB sheets.</x:v>
      </x:c>
      <x:c r="E301" s="12" t="str">
        <x:v>PDF pp. 3–10; Figs. 1–8</x:v>
      </x:c>
      <x:c r="F301" s="12" t="str">
        <x:v>Batch 05</x:v>
      </x:c>
    </x:row>
    <x:row r="302" ht="15" hidden="0" customHeight="1">
      <x:c r="A302" s="12" t="str">
        <x:v>S050</x:v>
      </x:c>
      <x:c r="B302" s="12" t="str">
        <x:v>D5 Repeated-measurement design</x:v>
      </x:c>
      <x:c r="C302" s="12" t="str">
        <x:v>Some concern</x:v>
      </x:c>
      <x:c r="D302" s="12" t="str">
        <x:v>Study-specific evidence is documented in the extraction and REB sheets.</x:v>
      </x:c>
      <x:c r="E302" s="12" t="str">
        <x:v>PDF pp. 3–10; Figs. 1–8</x:v>
      </x:c>
      <x:c r="F302" s="12" t="str">
        <x:v>Batch 05</x:v>
      </x:c>
    </x:row>
    <x:row r="303" ht="15" hidden="0" customHeight="1">
      <x:c r="A303" s="12" t="str">
        <x:v>S050</x:v>
      </x:c>
      <x:c r="B303" s="12" t="str">
        <x:v>D6 Independent-device replication</x:v>
      </x:c>
      <x:c r="C303" s="12" t="str">
        <x:v>High concern</x:v>
      </x:c>
      <x:c r="D303" s="12" t="str">
        <x:v>A quantitative comparison of at least three separately fabricated complete sensors was not identified.</x:v>
      </x:c>
      <x:c r="E303" s="12" t="str">
        <x:v>PDF pp. 3–10; Figs. 1–8</x:v>
      </x:c>
      <x:c r="F303" s="12" t="str">
        <x:v>Batch 05</x:v>
      </x:c>
    </x:row>
    <x:row r="304" ht="15" hidden="0" customHeight="1">
      <x:c r="A304" s="12" t="str">
        <x:v>S050</x:v>
      </x:c>
      <x:c r="B304" s="12" t="str">
        <x:v>D7 Outcome completeness</x:v>
      </x:c>
      <x:c r="C304" s="12" t="str">
        <x:v>Low concern</x:v>
      </x:c>
      <x:c r="D304" s="12" t="str">
        <x:v>Study-specific evidence is documented in the extraction and REB sheets.</x:v>
      </x:c>
      <x:c r="E304" s="12" t="str">
        <x:v>PDF pp. 3–10; Figs. 1–8</x:v>
      </x:c>
      <x:c r="F304" s="12" t="str">
        <x:v>Batch 05</x:v>
      </x:c>
    </x:row>
    <x:row r="305" ht="15" hidden="0" customHeight="1">
      <x:c r="A305" s="12" t="str">
        <x:v>S050</x:v>
      </x:c>
      <x:c r="B305" s="12" t="str">
        <x:v>D8 Wearable applicability</x:v>
      </x:c>
      <x:c r="C305" s="12" t="str">
        <x:v>Some concern</x:v>
      </x:c>
      <x:c r="D305" s="12" t="str">
        <x:v>The wearable configuration and extent of application testing are documented.</x:v>
      </x:c>
      <x:c r="E305" s="12" t="str">
        <x:v>PDF pp. 3–10; Figs. 1–8</x:v>
      </x:c>
      <x:c r="F305" s="12" t="str">
        <x:v>Batch 05</x:v>
      </x:c>
    </x:row>
    <x:row r="306" ht="15" hidden="0" customHeight="1">
      <x:c r="A306" s="12" t="str">
        <x:v>S051</x:v>
      </x:c>
      <x:c r="B306" s="12" t="str">
        <x:v>D1 Sampling/specimen selection</x:v>
      </x:c>
      <x:c r="C306" s="12" t="str">
        <x:v>High concern</x:v>
      </x:c>
      <x:c r="D306" s="12" t="str">
        <x:v>The on-body study involved one subject.</x:v>
      </x:c>
      <x:c r="E306" s="12" t="str">
        <x:v>PDF pp. 2–7; Figs. 1–5</x:v>
      </x:c>
      <x:c r="F306" s="12" t="str">
        <x:v>Batch 05</x:v>
      </x:c>
    </x:row>
    <x:row r="307" ht="15" hidden="0" customHeight="1">
      <x:c r="A307" s="12" t="str">
        <x:v>S051</x:v>
      </x:c>
      <x:c r="B307" s="12" t="str">
        <x:v>D2 Fabrication-variable control</x:v>
      </x:c>
      <x:c r="C307" s="12" t="str">
        <x:v>Some concern</x:v>
      </x:c>
      <x:c r="D307" s="12" t="str">
        <x:v>Study-specific evidence is documented in the extraction and REB sheets.</x:v>
      </x:c>
      <x:c r="E307" s="12" t="str">
        <x:v>PDF pp. 2–7; Figs. 1–5</x:v>
      </x:c>
      <x:c r="F307" s="12" t="str">
        <x:v>Batch 05</x:v>
      </x:c>
    </x:row>
    <x:row r="308" ht="15" hidden="0" customHeight="1">
      <x:c r="A308" s="12" t="str">
        <x:v>S051</x:v>
      </x:c>
      <x:c r="B308" s="12" t="str">
        <x:v>D3 Reference/calibration validity</x:v>
      </x:c>
      <x:c r="C308" s="12" t="str">
        <x:v>Low concern</x:v>
      </x:c>
      <x:c r="D308" s="12" t="str">
        <x:v>Study-specific evidence is documented in the extraction and REB sheets.</x:v>
      </x:c>
      <x:c r="E308" s="12" t="str">
        <x:v>PDF pp. 2–7; Figs. 1–5</x:v>
      </x:c>
      <x:c r="F308" s="12" t="str">
        <x:v>Batch 05</x:v>
      </x:c>
    </x:row>
    <x:row r="309" ht="15" hidden="0" customHeight="1">
      <x:c r="A309" s="12" t="str">
        <x:v>S051</x:v>
      </x:c>
      <x:c r="B309" s="12" t="str">
        <x:v>D4 Loading/exposure conditions</x:v>
      </x:c>
      <x:c r="C309" s="12" t="str">
        <x:v>Low concern</x:v>
      </x:c>
      <x:c r="D309" s="12" t="str">
        <x:v>Study-specific evidence is documented in the extraction and REB sheets.</x:v>
      </x:c>
      <x:c r="E309" s="12" t="str">
        <x:v>PDF pp. 2–7; Figs. 1–5</x:v>
      </x:c>
      <x:c r="F309" s="12" t="str">
        <x:v>Batch 05</x:v>
      </x:c>
    </x:row>
    <x:row r="310" ht="15" hidden="0" customHeight="1">
      <x:c r="A310" s="12" t="str">
        <x:v>S051</x:v>
      </x:c>
      <x:c r="B310" s="12" t="str">
        <x:v>D5 Repeated-measurement design</x:v>
      </x:c>
      <x:c r="C310" s="12" t="str">
        <x:v>High concern</x:v>
      </x:c>
      <x:c r="D310" s="12" t="str">
        <x:v>Study-specific evidence is documented in the extraction and REB sheets.</x:v>
      </x:c>
      <x:c r="E310" s="12" t="str">
        <x:v>PDF pp. 2–7; Figs. 1–5</x:v>
      </x:c>
      <x:c r="F310" s="12" t="str">
        <x:v>Batch 05</x:v>
      </x:c>
    </x:row>
    <x:row r="311" ht="15" hidden="0" customHeight="1">
      <x:c r="A311" s="12" t="str">
        <x:v>S051</x:v>
      </x:c>
      <x:c r="B311" s="12" t="str">
        <x:v>D6 Independent-device replication</x:v>
      </x:c>
      <x:c r="C311" s="12" t="str">
        <x:v>High concern</x:v>
      </x:c>
      <x:c r="D311" s="12" t="str">
        <x:v>A quantitative comparison of at least three separately fabricated complete sensors was not identified.</x:v>
      </x:c>
      <x:c r="E311" s="12" t="str">
        <x:v>PDF pp. 2–7; Figs. 1–5</x:v>
      </x:c>
      <x:c r="F311" s="12" t="str">
        <x:v>Batch 05</x:v>
      </x:c>
    </x:row>
    <x:row r="312" ht="15" hidden="0" customHeight="1">
      <x:c r="A312" s="12" t="str">
        <x:v>S051</x:v>
      </x:c>
      <x:c r="B312" s="12" t="str">
        <x:v>D7 Outcome completeness</x:v>
      </x:c>
      <x:c r="C312" s="12" t="str">
        <x:v>Low concern</x:v>
      </x:c>
      <x:c r="D312" s="12" t="str">
        <x:v>Study-specific evidence is documented in the extraction and REB sheets.</x:v>
      </x:c>
      <x:c r="E312" s="12" t="str">
        <x:v>PDF pp. 2–7; Figs. 1–5</x:v>
      </x:c>
      <x:c r="F312" s="12" t="str">
        <x:v>Batch 05</x:v>
      </x:c>
    </x:row>
    <x:row r="313" ht="15" hidden="0" customHeight="1">
      <x:c r="A313" s="12" t="str">
        <x:v>S051</x:v>
      </x:c>
      <x:c r="B313" s="12" t="str">
        <x:v>D8 Wearable applicability</x:v>
      </x:c>
      <x:c r="C313" s="12" t="str">
        <x:v>Some concern</x:v>
      </x:c>
      <x:c r="D313" s="12" t="str">
        <x:v>The wearable configuration and extent of application testing are documented.</x:v>
      </x:c>
      <x:c r="E313" s="12" t="str">
        <x:v>PDF pp. 2–7; Figs. 1–5</x:v>
      </x:c>
      <x:c r="F313" s="12" t="str">
        <x:v>Batch 05</x:v>
      </x:c>
    </x:row>
    <x:row r="314" ht="24" hidden="0" customHeight="1">
      <x:c r="A314" s="12" t="str">
        <x:v>S052</x:v>
      </x:c>
      <x:c r="B314" s="12" t="str">
        <x:v>D1 Sampling/specimen selection</x:v>
      </x:c>
      <x:c r="C314" s="12" t="str">
        <x:v>Some concern</x:v>
      </x:c>
      <x:c r="D314" s="12" t="str">
        <x:v>Study-specific evidence is documented in the extraction and REB sheets.</x:v>
      </x:c>
      <x:c r="E314" s="12" t="str">
        <x:v>PDF pp. 2–12; Figs. 1–6; cited Supplementary Table S1 and Figs. S1–S21</x:v>
      </x:c>
      <x:c r="F314" s="12" t="str">
        <x:v>Batch 05</x:v>
      </x:c>
    </x:row>
    <x:row r="315" ht="24" hidden="0" customHeight="1">
      <x:c r="A315" s="12" t="str">
        <x:v>S052</x:v>
      </x:c>
      <x:c r="B315" s="12" t="str">
        <x:v>D2 Fabrication-variable control</x:v>
      </x:c>
      <x:c r="C315" s="12" t="str">
        <x:v>Some concern</x:v>
      </x:c>
      <x:c r="D315" s="12" t="str">
        <x:v>Study-specific evidence is documented in the extraction and REB sheets.</x:v>
      </x:c>
      <x:c r="E315" s="12" t="str">
        <x:v>PDF pp. 2–12; Figs. 1–6; cited Supplementary Table S1 and Figs. S1–S21</x:v>
      </x:c>
      <x:c r="F315" s="12" t="str">
        <x:v>Batch 05</x:v>
      </x:c>
    </x:row>
    <x:row r="316" ht="24" hidden="0" customHeight="1">
      <x:c r="A316" s="12" t="str">
        <x:v>S052</x:v>
      </x:c>
      <x:c r="B316" s="12" t="str">
        <x:v>D3 Reference/calibration validity</x:v>
      </x:c>
      <x:c r="C316" s="12" t="str">
        <x:v>Low concern</x:v>
      </x:c>
      <x:c r="D316" s="12" t="str">
        <x:v>Study-specific evidence is documented in the extraction and REB sheets.</x:v>
      </x:c>
      <x:c r="E316" s="12" t="str">
        <x:v>PDF pp. 2–12; Figs. 1–6; cited Supplementary Table S1 and Figs. S1–S21</x:v>
      </x:c>
      <x:c r="F316" s="12" t="str">
        <x:v>Batch 05</x:v>
      </x:c>
    </x:row>
    <x:row r="317" ht="24" hidden="0" customHeight="1">
      <x:c r="A317" s="12" t="str">
        <x:v>S052</x:v>
      </x:c>
      <x:c r="B317" s="12" t="str">
        <x:v>D4 Loading/exposure conditions</x:v>
      </x:c>
      <x:c r="C317" s="12" t="str">
        <x:v>Low concern</x:v>
      </x:c>
      <x:c r="D317" s="12" t="str">
        <x:v>Study-specific evidence is documented in the extraction and REB sheets.</x:v>
      </x:c>
      <x:c r="E317" s="12" t="str">
        <x:v>PDF pp. 2–12; Figs. 1–6; cited Supplementary Table S1 and Figs. S1–S21</x:v>
      </x:c>
      <x:c r="F317" s="12" t="str">
        <x:v>Batch 05</x:v>
      </x:c>
    </x:row>
    <x:row r="318" ht="24" hidden="0" customHeight="1">
      <x:c r="A318" s="12" t="str">
        <x:v>S052</x:v>
      </x:c>
      <x:c r="B318" s="12" t="str">
        <x:v>D5 Repeated-measurement design</x:v>
      </x:c>
      <x:c r="C318" s="12" t="str">
        <x:v>Low concern</x:v>
      </x:c>
      <x:c r="D318" s="12" t="str">
        <x:v>Study-specific evidence is documented in the extraction and REB sheets.</x:v>
      </x:c>
      <x:c r="E318" s="12" t="str">
        <x:v>PDF pp. 2–12; Figs. 1–6; cited Supplementary Table S1 and Figs. S1–S21</x:v>
      </x:c>
      <x:c r="F318" s="12" t="str">
        <x:v>Batch 05</x:v>
      </x:c>
    </x:row>
    <x:row r="319" ht="24" hidden="0" customHeight="1">
      <x:c r="A319" s="12" t="str">
        <x:v>S052</x:v>
      </x:c>
      <x:c r="B319" s="12" t="str">
        <x:v>D6 Independent-device replication</x:v>
      </x:c>
      <x:c r="C319" s="12" t="str">
        <x:v>High concern</x:v>
      </x:c>
      <x:c r="D319" s="12" t="str">
        <x:v>A quantitative comparison of at least three separately fabricated complete sensors was not identified.</x:v>
      </x:c>
      <x:c r="E319" s="12" t="str">
        <x:v>PDF pp. 2–12; Figs. 1–6; cited Supplementary Table S1 and Figs. S1–S21</x:v>
      </x:c>
      <x:c r="F319" s="12" t="str">
        <x:v>Batch 05</x:v>
      </x:c>
    </x:row>
    <x:row r="320" ht="24" hidden="0" customHeight="1">
      <x:c r="A320" s="12" t="str">
        <x:v>S052</x:v>
      </x:c>
      <x:c r="B320" s="12" t="str">
        <x:v>D7 Outcome completeness</x:v>
      </x:c>
      <x:c r="C320" s="12" t="str">
        <x:v>Low concern</x:v>
      </x:c>
      <x:c r="D320" s="12" t="str">
        <x:v>Study-specific evidence is documented in the extraction and REB sheets.</x:v>
      </x:c>
      <x:c r="E320" s="12" t="str">
        <x:v>PDF pp. 2–12; Figs. 1–6; cited Supplementary Table S1 and Figs. S1–S21</x:v>
      </x:c>
      <x:c r="F320" s="12" t="str">
        <x:v>Batch 05</x:v>
      </x:c>
    </x:row>
    <x:row r="321" ht="24" hidden="0" customHeight="1">
      <x:c r="A321" s="12" t="str">
        <x:v>S052</x:v>
      </x:c>
      <x:c r="B321" s="12" t="str">
        <x:v>D8 Wearable applicability</x:v>
      </x:c>
      <x:c r="C321" s="12" t="str">
        <x:v>Some concern</x:v>
      </x:c>
      <x:c r="D321" s="12" t="str">
        <x:v>The wearable configuration and extent of application testing are documented.</x:v>
      </x:c>
      <x:c r="E321" s="12" t="str">
        <x:v>PDF pp. 2–12; Figs. 1–6; cited Supplementary Table S1 and Figs. S1–S21</x:v>
      </x:c>
      <x:c r="F321" s="12" t="str">
        <x:v>Batch 05</x:v>
      </x:c>
    </x:row>
    <x:row r="322" ht="15" hidden="0" customHeight="1">
      <x:c r="A322" s="12" t="str">
        <x:v>S053</x:v>
      </x:c>
      <x:c r="B322" s="12" t="str">
        <x:v>D1 Sampling/specimen selection</x:v>
      </x:c>
      <x:c r="C322" s="12" t="str">
        <x:v>Some concern</x:v>
      </x:c>
      <x:c r="D322" s="12" t="str">
        <x:v>Study-specific evidence is documented in the extraction and REB sheets.</x:v>
      </x:c>
      <x:c r="E322" s="12" t="str">
        <x:v>PDF pp. 3–13; Figs. 1–9</x:v>
      </x:c>
      <x:c r="F322" s="12" t="str">
        <x:v>Batch 05</x:v>
      </x:c>
    </x:row>
    <x:row r="323" ht="15" hidden="0" customHeight="1">
      <x:c r="A323" s="12" t="str">
        <x:v>S053</x:v>
      </x:c>
      <x:c r="B323" s="12" t="str">
        <x:v>D2 Fabrication-variable control</x:v>
      </x:c>
      <x:c r="C323" s="12" t="str">
        <x:v>Some concern</x:v>
      </x:c>
      <x:c r="D323" s="12" t="str">
        <x:v>Study-specific evidence is documented in the extraction and REB sheets.</x:v>
      </x:c>
      <x:c r="E323" s="12" t="str">
        <x:v>PDF pp. 3–13; Figs. 1–9</x:v>
      </x:c>
      <x:c r="F323" s="12" t="str">
        <x:v>Batch 05</x:v>
      </x:c>
    </x:row>
    <x:row r="324" ht="15" hidden="0" customHeight="1">
      <x:c r="A324" s="12" t="str">
        <x:v>S053</x:v>
      </x:c>
      <x:c r="B324" s="12" t="str">
        <x:v>D3 Reference/calibration validity</x:v>
      </x:c>
      <x:c r="C324" s="12" t="str">
        <x:v>Low concern</x:v>
      </x:c>
      <x:c r="D324" s="12" t="str">
        <x:v>Study-specific evidence is documented in the extraction and REB sheets.</x:v>
      </x:c>
      <x:c r="E324" s="12" t="str">
        <x:v>PDF pp. 3–13; Figs. 1–9</x:v>
      </x:c>
      <x:c r="F324" s="12" t="str">
        <x:v>Batch 05</x:v>
      </x:c>
    </x:row>
    <x:row r="325" ht="15" hidden="0" customHeight="1">
      <x:c r="A325" s="12" t="str">
        <x:v>S053</x:v>
      </x:c>
      <x:c r="B325" s="12" t="str">
        <x:v>D4 Loading/exposure conditions</x:v>
      </x:c>
      <x:c r="C325" s="12" t="str">
        <x:v>Low concern</x:v>
      </x:c>
      <x:c r="D325" s="12" t="str">
        <x:v>Study-specific evidence is documented in the extraction and REB sheets.</x:v>
      </x:c>
      <x:c r="E325" s="12" t="str">
        <x:v>PDF pp. 3–13; Figs. 1–9</x:v>
      </x:c>
      <x:c r="F325" s="12" t="str">
        <x:v>Batch 05</x:v>
      </x:c>
    </x:row>
    <x:row r="326" ht="15" hidden="0" customHeight="1">
      <x:c r="A326" s="12" t="str">
        <x:v>S053</x:v>
      </x:c>
      <x:c r="B326" s="12" t="str">
        <x:v>D5 Repeated-measurement design</x:v>
      </x:c>
      <x:c r="C326" s="12" t="str">
        <x:v>Low concern</x:v>
      </x:c>
      <x:c r="D326" s="12" t="str">
        <x:v>Study-specific evidence is documented in the extraction and REB sheets.</x:v>
      </x:c>
      <x:c r="E326" s="12" t="str">
        <x:v>PDF pp. 3–13; Figs. 1–9</x:v>
      </x:c>
      <x:c r="F326" s="12" t="str">
        <x:v>Batch 05</x:v>
      </x:c>
    </x:row>
    <x:row r="327" ht="15" hidden="0" customHeight="1">
      <x:c r="A327" s="12" t="str">
        <x:v>S053</x:v>
      </x:c>
      <x:c r="B327" s="12" t="str">
        <x:v>D6 Independent-device replication</x:v>
      </x:c>
      <x:c r="C327" s="12" t="str">
        <x:v>High concern</x:v>
      </x:c>
      <x:c r="D327" s="12" t="str">
        <x:v>A quantitative comparison of at least three separately fabricated complete sensors was not identified.</x:v>
      </x:c>
      <x:c r="E327" s="12" t="str">
        <x:v>PDF pp. 3–13; Figs. 1–9</x:v>
      </x:c>
      <x:c r="F327" s="12" t="str">
        <x:v>Batch 05</x:v>
      </x:c>
    </x:row>
    <x:row r="328" ht="15" hidden="0" customHeight="1">
      <x:c r="A328" s="12" t="str">
        <x:v>S053</x:v>
      </x:c>
      <x:c r="B328" s="12" t="str">
        <x:v>D7 Outcome completeness</x:v>
      </x:c>
      <x:c r="C328" s="12" t="str">
        <x:v>Low concern</x:v>
      </x:c>
      <x:c r="D328" s="12" t="str">
        <x:v>Study-specific evidence is documented in the extraction and REB sheets.</x:v>
      </x:c>
      <x:c r="E328" s="12" t="str">
        <x:v>PDF pp. 3–13; Figs. 1–9</x:v>
      </x:c>
      <x:c r="F328" s="12" t="str">
        <x:v>Batch 05</x:v>
      </x:c>
    </x:row>
    <x:row r="329" ht="15" hidden="0" customHeight="1">
      <x:c r="A329" s="12" t="str">
        <x:v>S053</x:v>
      </x:c>
      <x:c r="B329" s="12" t="str">
        <x:v>D8 Wearable applicability</x:v>
      </x:c>
      <x:c r="C329" s="12" t="str">
        <x:v>Some concern</x:v>
      </x:c>
      <x:c r="D329" s="12" t="str">
        <x:v>The wearable configuration and extent of application testing are documented.</x:v>
      </x:c>
      <x:c r="E329" s="12" t="str">
        <x:v>PDF pp. 3–13; Figs. 1–9</x:v>
      </x:c>
      <x:c r="F329" s="12" t="str">
        <x:v>Batch 05</x:v>
      </x:c>
    </x:row>
    <x:row r="330" ht="15" hidden="0" customHeight="1">
      <x:c r="A330" s="12" t="str">
        <x:v>S054</x:v>
      </x:c>
      <x:c r="B330" s="12" t="str">
        <x:v>D1 Sampling/specimen selection</x:v>
      </x:c>
      <x:c r="C330" s="12" t="str">
        <x:v>Low concern</x:v>
      </x:c>
      <x:c r="D330" s="12" t="str">
        <x:v>Study-specific evidence is documented in the extraction and REB sheets.</x:v>
      </x:c>
      <x:c r="E330" s="12" t="str">
        <x:v>PDF pp. 3–9; Figs. 1–7; Appendix 1</x:v>
      </x:c>
      <x:c r="F330" s="12" t="str">
        <x:v>Batch 05</x:v>
      </x:c>
    </x:row>
    <x:row r="331" ht="15" hidden="0" customHeight="1">
      <x:c r="A331" s="12" t="str">
        <x:v>S054</x:v>
      </x:c>
      <x:c r="B331" s="12" t="str">
        <x:v>D2 Fabrication-variable control</x:v>
      </x:c>
      <x:c r="C331" s="12" t="str">
        <x:v>Low concern</x:v>
      </x:c>
      <x:c r="D331" s="12" t="str">
        <x:v>Study-specific evidence is documented in the extraction and REB sheets.</x:v>
      </x:c>
      <x:c r="E331" s="12" t="str">
        <x:v>PDF pp. 3–9; Figs. 1–7; Appendix 1</x:v>
      </x:c>
      <x:c r="F331" s="12" t="str">
        <x:v>Batch 05</x:v>
      </x:c>
    </x:row>
    <x:row r="332" ht="15" hidden="0" customHeight="1">
      <x:c r="A332" s="12" t="str">
        <x:v>S054</x:v>
      </x:c>
      <x:c r="B332" s="12" t="str">
        <x:v>D3 Reference/calibration validity</x:v>
      </x:c>
      <x:c r="C332" s="12" t="str">
        <x:v>Low concern</x:v>
      </x:c>
      <x:c r="D332" s="12" t="str">
        <x:v>Study-specific evidence is documented in the extraction and REB sheets.</x:v>
      </x:c>
      <x:c r="E332" s="12" t="str">
        <x:v>PDF pp. 3–9; Figs. 1–7; Appendix 1</x:v>
      </x:c>
      <x:c r="F332" s="12" t="str">
        <x:v>Batch 05</x:v>
      </x:c>
    </x:row>
    <x:row r="333" ht="15" hidden="0" customHeight="1">
      <x:c r="A333" s="12" t="str">
        <x:v>S054</x:v>
      </x:c>
      <x:c r="B333" s="12" t="str">
        <x:v>D4 Loading/exposure conditions</x:v>
      </x:c>
      <x:c r="C333" s="12" t="str">
        <x:v>Low concern</x:v>
      </x:c>
      <x:c r="D333" s="12" t="str">
        <x:v>Study-specific evidence is documented in the extraction and REB sheets.</x:v>
      </x:c>
      <x:c r="E333" s="12" t="str">
        <x:v>PDF pp. 3–9; Figs. 1–7; Appendix 1</x:v>
      </x:c>
      <x:c r="F333" s="12" t="str">
        <x:v>Batch 05</x:v>
      </x:c>
    </x:row>
    <x:row r="334" ht="15" hidden="0" customHeight="1">
      <x:c r="A334" s="12" t="str">
        <x:v>S054</x:v>
      </x:c>
      <x:c r="B334" s="12" t="str">
        <x:v>D5 Repeated-measurement design</x:v>
      </x:c>
      <x:c r="C334" s="12" t="str">
        <x:v>Low concern</x:v>
      </x:c>
      <x:c r="D334" s="12" t="str">
        <x:v>Study-specific evidence is documented in the extraction and REB sheets.</x:v>
      </x:c>
      <x:c r="E334" s="12" t="str">
        <x:v>PDF pp. 3–9; Figs. 1–7; Appendix 1</x:v>
      </x:c>
      <x:c r="F334" s="12" t="str">
        <x:v>Batch 05</x:v>
      </x:c>
    </x:row>
    <x:row r="335" ht="15" hidden="0" customHeight="1">
      <x:c r="A335" s="12" t="str">
        <x:v>S054</x:v>
      </x:c>
      <x:c r="B335" s="12" t="str">
        <x:v>D6 Independent-device replication</x:v>
      </x:c>
      <x:c r="C335" s="12" t="str">
        <x:v>Low concern</x:v>
      </x:c>
      <x:c r="D335" s="12" t="str">
        <x:v>At least three independently fabricated sensing units/specimens were quantitatively compared.</x:v>
      </x:c>
      <x:c r="E335" s="12" t="str">
        <x:v>PDF pp. 3–9; Figs. 1–7; Appendix 1</x:v>
      </x:c>
      <x:c r="F335" s="12" t="str">
        <x:v>Batch 05</x:v>
      </x:c>
    </x:row>
    <x:row r="336" ht="15" hidden="0" customHeight="1">
      <x:c r="A336" s="12" t="str">
        <x:v>S054</x:v>
      </x:c>
      <x:c r="B336" s="12" t="str">
        <x:v>D7 Outcome completeness</x:v>
      </x:c>
      <x:c r="C336" s="12" t="str">
        <x:v>Low concern</x:v>
      </x:c>
      <x:c r="D336" s="12" t="str">
        <x:v>Study-specific evidence is documented in the extraction and REB sheets.</x:v>
      </x:c>
      <x:c r="E336" s="12" t="str">
        <x:v>PDF pp. 3–9; Figs. 1–7; Appendix 1</x:v>
      </x:c>
      <x:c r="F336" s="12" t="str">
        <x:v>Batch 05</x:v>
      </x:c>
    </x:row>
    <x:row r="337" ht="15" hidden="0" customHeight="1">
      <x:c r="A337" s="12" t="str">
        <x:v>S054</x:v>
      </x:c>
      <x:c r="B337" s="12" t="str">
        <x:v>D8 Wearable applicability</x:v>
      </x:c>
      <x:c r="C337" s="12" t="str">
        <x:v>Some concern</x:v>
      </x:c>
      <x:c r="D337" s="12" t="str">
        <x:v>Wearable relevance is based on a footwear-specific bench simulation; the final in-shoe assembly was not tested.</x:v>
      </x:c>
      <x:c r="E337" s="12" t="str">
        <x:v>PDF pp. 3–9; Figs. 1–7; Appendix 1</x:v>
      </x:c>
      <x:c r="F337" s="12" t="str">
        <x:v>Batch 05</x:v>
      </x:c>
    </x:row>
    <x:row r="338" ht="15" hidden="0" customHeight="1">
      <x:c r="A338" s="12" t="str">
        <x:v>S055</x:v>
      </x:c>
      <x:c r="B338" s="12" t="str">
        <x:v>D1 Sampling/specimen selection</x:v>
      </x:c>
      <x:c r="C338" s="12" t="str">
        <x:v>Some concern</x:v>
      </x:c>
      <x:c r="D338" s="12" t="str">
        <x:v>Study-specific evidence is documented in the extraction and REB sheets.</x:v>
      </x:c>
      <x:c r="E338" s="12" t="str">
        <x:v>PDF pp. 3–9; Figs. 1–10</x:v>
      </x:c>
      <x:c r="F338" s="12" t="str">
        <x:v>Batch 05</x:v>
      </x:c>
    </x:row>
    <x:row r="339" ht="15" hidden="0" customHeight="1">
      <x:c r="A339" s="12" t="str">
        <x:v>S055</x:v>
      </x:c>
      <x:c r="B339" s="12" t="str">
        <x:v>D2 Fabrication-variable control</x:v>
      </x:c>
      <x:c r="C339" s="12" t="str">
        <x:v>Some concern</x:v>
      </x:c>
      <x:c r="D339" s="12" t="str">
        <x:v>Study-specific evidence is documented in the extraction and REB sheets.</x:v>
      </x:c>
      <x:c r="E339" s="12" t="str">
        <x:v>PDF pp. 3–9; Figs. 1–10</x:v>
      </x:c>
      <x:c r="F339" s="12" t="str">
        <x:v>Batch 05</x:v>
      </x:c>
    </x:row>
    <x:row r="340" ht="15" hidden="0" customHeight="1">
      <x:c r="A340" s="12" t="str">
        <x:v>S055</x:v>
      </x:c>
      <x:c r="B340" s="12" t="str">
        <x:v>D3 Reference/calibration validity</x:v>
      </x:c>
      <x:c r="C340" s="12" t="str">
        <x:v>Low concern</x:v>
      </x:c>
      <x:c r="D340" s="12" t="str">
        <x:v>Study-specific evidence is documented in the extraction and REB sheets.</x:v>
      </x:c>
      <x:c r="E340" s="12" t="str">
        <x:v>PDF pp. 3–9; Figs. 1–10</x:v>
      </x:c>
      <x:c r="F340" s="12" t="str">
        <x:v>Batch 05</x:v>
      </x:c>
    </x:row>
    <x:row r="341" ht="15" hidden="0" customHeight="1">
      <x:c r="A341" s="12" t="str">
        <x:v>S055</x:v>
      </x:c>
      <x:c r="B341" s="12" t="str">
        <x:v>D4 Loading/exposure conditions</x:v>
      </x:c>
      <x:c r="C341" s="12" t="str">
        <x:v>Low concern</x:v>
      </x:c>
      <x:c r="D341" s="12" t="str">
        <x:v>Study-specific evidence is documented in the extraction and REB sheets.</x:v>
      </x:c>
      <x:c r="E341" s="12" t="str">
        <x:v>PDF pp. 3–9; Figs. 1–10</x:v>
      </x:c>
      <x:c r="F341" s="12" t="str">
        <x:v>Batch 05</x:v>
      </x:c>
    </x:row>
    <x:row r="342" ht="15" hidden="0" customHeight="1">
      <x:c r="A342" s="12" t="str">
        <x:v>S055</x:v>
      </x:c>
      <x:c r="B342" s="12" t="str">
        <x:v>D5 Repeated-measurement design</x:v>
      </x:c>
      <x:c r="C342" s="12" t="str">
        <x:v>Low concern</x:v>
      </x:c>
      <x:c r="D342" s="12" t="str">
        <x:v>Study-specific evidence is documented in the extraction and REB sheets.</x:v>
      </x:c>
      <x:c r="E342" s="12" t="str">
        <x:v>PDF pp. 3–9; Figs. 1–10</x:v>
      </x:c>
      <x:c r="F342" s="12" t="str">
        <x:v>Batch 05</x:v>
      </x:c>
    </x:row>
    <x:row r="343" ht="15" hidden="0" customHeight="1">
      <x:c r="A343" s="12" t="str">
        <x:v>S055</x:v>
      </x:c>
      <x:c r="B343" s="12" t="str">
        <x:v>D6 Independent-device replication</x:v>
      </x:c>
      <x:c r="C343" s="12" t="str">
        <x:v>High concern</x:v>
      </x:c>
      <x:c r="D343" s="12" t="str">
        <x:v>A quantitative comparison of at least three separately fabricated complete sensors was not identified.</x:v>
      </x:c>
      <x:c r="E343" s="12" t="str">
        <x:v>PDF pp. 3–9; Figs. 1–10</x:v>
      </x:c>
      <x:c r="F343" s="12" t="str">
        <x:v>Batch 05</x:v>
      </x:c>
    </x:row>
    <x:row r="344" ht="15" hidden="0" customHeight="1">
      <x:c r="A344" s="12" t="str">
        <x:v>S055</x:v>
      </x:c>
      <x:c r="B344" s="12" t="str">
        <x:v>D7 Outcome completeness</x:v>
      </x:c>
      <x:c r="C344" s="12" t="str">
        <x:v>Low concern</x:v>
      </x:c>
      <x:c r="D344" s="12" t="str">
        <x:v>Study-specific evidence is documented in the extraction and REB sheets.</x:v>
      </x:c>
      <x:c r="E344" s="12" t="str">
        <x:v>PDF pp. 3–9; Figs. 1–10</x:v>
      </x:c>
      <x:c r="F344" s="12" t="str">
        <x:v>Batch 05</x:v>
      </x:c>
    </x:row>
    <x:row r="345" ht="15" hidden="0" customHeight="1">
      <x:c r="A345" s="12" t="str">
        <x:v>S055</x:v>
      </x:c>
      <x:c r="B345" s="12" t="str">
        <x:v>D8 Wearable applicability</x:v>
      </x:c>
      <x:c r="C345" s="12" t="str">
        <x:v>Some concern</x:v>
      </x:c>
      <x:c r="D345" s="12" t="str">
        <x:v>The wearable configuration and extent of application testing are documented.</x:v>
      </x:c>
      <x:c r="E345" s="12" t="str">
        <x:v>PDF pp. 3–9; Figs. 1–10</x:v>
      </x:c>
      <x:c r="F345" s="12" t="str">
        <x:v>Batch 05</x:v>
      </x:c>
    </x:row>
    <x:row r="346" ht="15" hidden="0" customHeight="1">
      <x:c r="A346" s="12" t="str">
        <x:v>S056</x:v>
      </x:c>
      <x:c r="B346" s="12" t="str">
        <x:v>D1 Sampling/specimen selection</x:v>
      </x:c>
      <x:c r="C346" s="12" t="str">
        <x:v>Some concern</x:v>
      </x:c>
      <x:c r="D346" s="12" t="str">
        <x:v>Study-specific evidence is documented in the extraction and REB sheets.</x:v>
      </x:c>
      <x:c r="E346" s="12" t="str">
        <x:v>PDF pp. 3–15; Figs. 1–9; Tables 1–2</x:v>
      </x:c>
      <x:c r="F346" s="12" t="str">
        <x:v>Batch 05</x:v>
      </x:c>
    </x:row>
    <x:row r="347" ht="15" hidden="0" customHeight="1">
      <x:c r="A347" s="12" t="str">
        <x:v>S056</x:v>
      </x:c>
      <x:c r="B347" s="12" t="str">
        <x:v>D2 Fabrication-variable control</x:v>
      </x:c>
      <x:c r="C347" s="12" t="str">
        <x:v>Some concern</x:v>
      </x:c>
      <x:c r="D347" s="12" t="str">
        <x:v>Study-specific evidence is documented in the extraction and REB sheets.</x:v>
      </x:c>
      <x:c r="E347" s="12" t="str">
        <x:v>PDF pp. 3–15; Figs. 1–9; Tables 1–2</x:v>
      </x:c>
      <x:c r="F347" s="12" t="str">
        <x:v>Batch 05</x:v>
      </x:c>
    </x:row>
    <x:row r="348" ht="15" hidden="0" customHeight="1">
      <x:c r="A348" s="12" t="str">
        <x:v>S056</x:v>
      </x:c>
      <x:c r="B348" s="12" t="str">
        <x:v>D3 Reference/calibration validity</x:v>
      </x:c>
      <x:c r="C348" s="12" t="str">
        <x:v>Low concern</x:v>
      </x:c>
      <x:c r="D348" s="12" t="str">
        <x:v>Study-specific evidence is documented in the extraction and REB sheets.</x:v>
      </x:c>
      <x:c r="E348" s="12" t="str">
        <x:v>PDF pp. 3–15; Figs. 1–9; Tables 1–2</x:v>
      </x:c>
      <x:c r="F348" s="12" t="str">
        <x:v>Batch 05</x:v>
      </x:c>
    </x:row>
    <x:row r="349" ht="15" hidden="0" customHeight="1">
      <x:c r="A349" s="12" t="str">
        <x:v>S056</x:v>
      </x:c>
      <x:c r="B349" s="12" t="str">
        <x:v>D4 Loading/exposure conditions</x:v>
      </x:c>
      <x:c r="C349" s="12" t="str">
        <x:v>Low concern</x:v>
      </x:c>
      <x:c r="D349" s="12" t="str">
        <x:v>Study-specific evidence is documented in the extraction and REB sheets.</x:v>
      </x:c>
      <x:c r="E349" s="12" t="str">
        <x:v>PDF pp. 3–15; Figs. 1–9; Tables 1–2</x:v>
      </x:c>
      <x:c r="F349" s="12" t="str">
        <x:v>Batch 05</x:v>
      </x:c>
    </x:row>
    <x:row r="350" ht="15" hidden="0" customHeight="1">
      <x:c r="A350" s="12" t="str">
        <x:v>S056</x:v>
      </x:c>
      <x:c r="B350" s="12" t="str">
        <x:v>D5 Repeated-measurement design</x:v>
      </x:c>
      <x:c r="C350" s="12" t="str">
        <x:v>Low concern</x:v>
      </x:c>
      <x:c r="D350" s="12" t="str">
        <x:v>Study-specific evidence is documented in the extraction and REB sheets.</x:v>
      </x:c>
      <x:c r="E350" s="12" t="str">
        <x:v>PDF pp. 3–15; Figs. 1–9; Tables 1–2</x:v>
      </x:c>
      <x:c r="F350" s="12" t="str">
        <x:v>Batch 05</x:v>
      </x:c>
    </x:row>
    <x:row r="351" ht="15" hidden="0" customHeight="1">
      <x:c r="A351" s="12" t="str">
        <x:v>S056</x:v>
      </x:c>
      <x:c r="B351" s="12" t="str">
        <x:v>D6 Independent-device replication</x:v>
      </x:c>
      <x:c r="C351" s="12" t="str">
        <x:v>High concern</x:v>
      </x:c>
      <x:c r="D351" s="12" t="str">
        <x:v>A quantitative comparison of at least three separately fabricated complete sensors was not identified.</x:v>
      </x:c>
      <x:c r="E351" s="12" t="str">
        <x:v>PDF pp. 3–15; Figs. 1–9; Tables 1–2</x:v>
      </x:c>
      <x:c r="F351" s="12" t="str">
        <x:v>Batch 05</x:v>
      </x:c>
    </x:row>
    <x:row r="352" ht="15" hidden="0" customHeight="1">
      <x:c r="A352" s="12" t="str">
        <x:v>S056</x:v>
      </x:c>
      <x:c r="B352" s="12" t="str">
        <x:v>D7 Outcome completeness</x:v>
      </x:c>
      <x:c r="C352" s="12" t="str">
        <x:v>Low concern</x:v>
      </x:c>
      <x:c r="D352" s="12" t="str">
        <x:v>Study-specific evidence is documented in the extraction and REB sheets.</x:v>
      </x:c>
      <x:c r="E352" s="12" t="str">
        <x:v>PDF pp. 3–15; Figs. 1–9; Tables 1–2</x:v>
      </x:c>
      <x:c r="F352" s="12" t="str">
        <x:v>Batch 05</x:v>
      </x:c>
    </x:row>
    <x:row r="353" ht="15" hidden="0" customHeight="1">
      <x:c r="A353" s="12" t="str">
        <x:v>S056</x:v>
      </x:c>
      <x:c r="B353" s="12" t="str">
        <x:v>D8 Wearable applicability</x:v>
      </x:c>
      <x:c r="C353" s="12" t="str">
        <x:v>Some concern</x:v>
      </x:c>
      <x:c r="D353" s="12" t="str">
        <x:v>The wearable configuration and extent of application testing are documented.</x:v>
      </x:c>
      <x:c r="E353" s="12" t="str">
        <x:v>PDF pp. 3–15; Figs. 1–9; Tables 1–2</x:v>
      </x:c>
      <x:c r="F353" s="12" t="str">
        <x:v>Batch 05</x:v>
      </x:c>
    </x:row>
    <x:row r="354" ht="15" hidden="0" customHeight="1">
      <x:c r="A354" s="12" t="str">
        <x:v>S057</x:v>
      </x:c>
      <x:c r="B354" s="12" t="str">
        <x:v>D1 Sampling/specimen selection</x:v>
      </x:c>
      <x:c r="C354" s="12" t="str">
        <x:v>Some concern</x:v>
      </x:c>
      <x:c r="D354" s="12" t="str">
        <x:v>Study-specific evidence is documented in the extraction and REB sheets.</x:v>
      </x:c>
      <x:c r="E354" s="12" t="str">
        <x:v>PDF pp. 3–15; Figs. 1–10</x:v>
      </x:c>
      <x:c r="F354" s="12" t="str">
        <x:v>Batch 05</x:v>
      </x:c>
    </x:row>
    <x:row r="355" ht="15" hidden="0" customHeight="1">
      <x:c r="A355" s="12" t="str">
        <x:v>S057</x:v>
      </x:c>
      <x:c r="B355" s="12" t="str">
        <x:v>D2 Fabrication-variable control</x:v>
      </x:c>
      <x:c r="C355" s="12" t="str">
        <x:v>Some concern</x:v>
      </x:c>
      <x:c r="D355" s="12" t="str">
        <x:v>Study-specific evidence is documented in the extraction and REB sheets.</x:v>
      </x:c>
      <x:c r="E355" s="12" t="str">
        <x:v>PDF pp. 3–15; Figs. 1–10</x:v>
      </x:c>
      <x:c r="F355" s="12" t="str">
        <x:v>Batch 05</x:v>
      </x:c>
    </x:row>
    <x:row r="356" ht="15" hidden="0" customHeight="1">
      <x:c r="A356" s="12" t="str">
        <x:v>S057</x:v>
      </x:c>
      <x:c r="B356" s="12" t="str">
        <x:v>D3 Reference/calibration validity</x:v>
      </x:c>
      <x:c r="C356" s="12" t="str">
        <x:v>Low concern</x:v>
      </x:c>
      <x:c r="D356" s="12" t="str">
        <x:v>Study-specific evidence is documented in the extraction and REB sheets.</x:v>
      </x:c>
      <x:c r="E356" s="12" t="str">
        <x:v>PDF pp. 3–15; Figs. 1–10</x:v>
      </x:c>
      <x:c r="F356" s="12" t="str">
        <x:v>Batch 05</x:v>
      </x:c>
    </x:row>
    <x:row r="357" ht="15" hidden="0" customHeight="1">
      <x:c r="A357" s="12" t="str">
        <x:v>S057</x:v>
      </x:c>
      <x:c r="B357" s="12" t="str">
        <x:v>D4 Loading/exposure conditions</x:v>
      </x:c>
      <x:c r="C357" s="12" t="str">
        <x:v>Low concern</x:v>
      </x:c>
      <x:c r="D357" s="12" t="str">
        <x:v>Study-specific evidence is documented in the extraction and REB sheets.</x:v>
      </x:c>
      <x:c r="E357" s="12" t="str">
        <x:v>PDF pp. 3–15; Figs. 1–10</x:v>
      </x:c>
      <x:c r="F357" s="12" t="str">
        <x:v>Batch 05</x:v>
      </x:c>
    </x:row>
    <x:row r="358" ht="15" hidden="0" customHeight="1">
      <x:c r="A358" s="12" t="str">
        <x:v>S057</x:v>
      </x:c>
      <x:c r="B358" s="12" t="str">
        <x:v>D5 Repeated-measurement design</x:v>
      </x:c>
      <x:c r="C358" s="12" t="str">
        <x:v>Low concern</x:v>
      </x:c>
      <x:c r="D358" s="12" t="str">
        <x:v>Study-specific evidence is documented in the extraction and REB sheets.</x:v>
      </x:c>
      <x:c r="E358" s="12" t="str">
        <x:v>PDF pp. 3–15; Figs. 1–10</x:v>
      </x:c>
      <x:c r="F358" s="12" t="str">
        <x:v>Batch 05</x:v>
      </x:c>
    </x:row>
    <x:row r="359" ht="15" hidden="0" customHeight="1">
      <x:c r="A359" s="12" t="str">
        <x:v>S057</x:v>
      </x:c>
      <x:c r="B359" s="12" t="str">
        <x:v>D6 Independent-device replication</x:v>
      </x:c>
      <x:c r="C359" s="12" t="str">
        <x:v>High concern</x:v>
      </x:c>
      <x:c r="D359" s="12" t="str">
        <x:v>A quantitative comparison of at least three separately fabricated complete sensors was not identified.</x:v>
      </x:c>
      <x:c r="E359" s="12" t="str">
        <x:v>PDF pp. 3–15; Figs. 1–10</x:v>
      </x:c>
      <x:c r="F359" s="12" t="str">
        <x:v>Batch 05</x:v>
      </x:c>
    </x:row>
    <x:row r="360" ht="15" hidden="0" customHeight="1">
      <x:c r="A360" s="12" t="str">
        <x:v>S057</x:v>
      </x:c>
      <x:c r="B360" s="12" t="str">
        <x:v>D7 Outcome completeness</x:v>
      </x:c>
      <x:c r="C360" s="12" t="str">
        <x:v>Low concern</x:v>
      </x:c>
      <x:c r="D360" s="12" t="str">
        <x:v>Study-specific evidence is documented in the extraction and REB sheets.</x:v>
      </x:c>
      <x:c r="E360" s="12" t="str">
        <x:v>PDF pp. 3–15; Figs. 1–10</x:v>
      </x:c>
      <x:c r="F360" s="12" t="str">
        <x:v>Batch 05</x:v>
      </x:c>
    </x:row>
    <x:row r="361" ht="15" hidden="0" customHeight="1">
      <x:c r="A361" s="12" t="str">
        <x:v>S057</x:v>
      </x:c>
      <x:c r="B361" s="12" t="str">
        <x:v>D8 Wearable applicability</x:v>
      </x:c>
      <x:c r="C361" s="12" t="str">
        <x:v>Some concern</x:v>
      </x:c>
      <x:c r="D361" s="12" t="str">
        <x:v>The wearable configuration and extent of application testing are documented.</x:v>
      </x:c>
      <x:c r="E361" s="12" t="str">
        <x:v>PDF pp. 3–15; Figs. 1–10</x:v>
      </x:c>
      <x:c r="F361" s="12" t="str">
        <x:v>Batch 05</x:v>
      </x:c>
    </x:row>
    <x:row r="362" ht="24" hidden="0" customHeight="1">
      <x:c r="A362" s="12" t="str">
        <x:v>S058</x:v>
      </x:c>
      <x:c r="B362" s="12" t="str">
        <x:v>D1 Sampling/specimen selection</x:v>
      </x:c>
      <x:c r="C362" s="12" t="str">
        <x:v>Some concern</x:v>
      </x:c>
      <x:c r="D362" s="12" t="str">
        <x:v>Study-specific evidence is documented in the extraction and REB sheets.</x:v>
      </x:c>
      <x:c r="E362" s="12" t="str">
        <x:v>PDF pp. 3–13; Figs. 1–8; cited Supplementary Table S1</x:v>
      </x:c>
      <x:c r="F362" s="12" t="str">
        <x:v>Batch 05</x:v>
      </x:c>
    </x:row>
    <x:row r="363" ht="24" hidden="0" customHeight="1">
      <x:c r="A363" s="12" t="str">
        <x:v>S058</x:v>
      </x:c>
      <x:c r="B363" s="12" t="str">
        <x:v>D2 Fabrication-variable control</x:v>
      </x:c>
      <x:c r="C363" s="12" t="str">
        <x:v>Low concern</x:v>
      </x:c>
      <x:c r="D363" s="12" t="str">
        <x:v>Study-specific evidence is documented in the extraction and REB sheets.</x:v>
      </x:c>
      <x:c r="E363" s="12" t="str">
        <x:v>PDF pp. 3–13; Figs. 1–8; cited Supplementary Table S1</x:v>
      </x:c>
      <x:c r="F363" s="12" t="str">
        <x:v>Batch 05</x:v>
      </x:c>
    </x:row>
    <x:row r="364" ht="24" hidden="0" customHeight="1">
      <x:c r="A364" s="12" t="str">
        <x:v>S058</x:v>
      </x:c>
      <x:c r="B364" s="12" t="str">
        <x:v>D3 Reference/calibration validity</x:v>
      </x:c>
      <x:c r="C364" s="12" t="str">
        <x:v>Low concern</x:v>
      </x:c>
      <x:c r="D364" s="12" t="str">
        <x:v>Study-specific evidence is documented in the extraction and REB sheets.</x:v>
      </x:c>
      <x:c r="E364" s="12" t="str">
        <x:v>PDF pp. 3–13; Figs. 1–8; cited Supplementary Table S1</x:v>
      </x:c>
      <x:c r="F364" s="12" t="str">
        <x:v>Batch 05</x:v>
      </x:c>
    </x:row>
    <x:row r="365" ht="24" hidden="0" customHeight="1">
      <x:c r="A365" s="12" t="str">
        <x:v>S058</x:v>
      </x:c>
      <x:c r="B365" s="12" t="str">
        <x:v>D4 Loading/exposure conditions</x:v>
      </x:c>
      <x:c r="C365" s="12" t="str">
        <x:v>Low concern</x:v>
      </x:c>
      <x:c r="D365" s="12" t="str">
        <x:v>Study-specific evidence is documented in the extraction and REB sheets.</x:v>
      </x:c>
      <x:c r="E365" s="12" t="str">
        <x:v>PDF pp. 3–13; Figs. 1–8; cited Supplementary Table S1</x:v>
      </x:c>
      <x:c r="F365" s="12" t="str">
        <x:v>Batch 05</x:v>
      </x:c>
    </x:row>
    <x:row r="366" ht="24" hidden="0" customHeight="1">
      <x:c r="A366" s="12" t="str">
        <x:v>S058</x:v>
      </x:c>
      <x:c r="B366" s="12" t="str">
        <x:v>D5 Repeated-measurement design</x:v>
      </x:c>
      <x:c r="C366" s="12" t="str">
        <x:v>Low concern</x:v>
      </x:c>
      <x:c r="D366" s="12" t="str">
        <x:v>Study-specific evidence is documented in the extraction and REB sheets.</x:v>
      </x:c>
      <x:c r="E366" s="12" t="str">
        <x:v>PDF pp. 3–13; Figs. 1–8; cited Supplementary Table S1</x:v>
      </x:c>
      <x:c r="F366" s="12" t="str">
        <x:v>Batch 05</x:v>
      </x:c>
    </x:row>
    <x:row r="367" ht="24" hidden="0" customHeight="1">
      <x:c r="A367" s="12" t="str">
        <x:v>S058</x:v>
      </x:c>
      <x:c r="B367" s="12" t="str">
        <x:v>D6 Independent-device replication</x:v>
      </x:c>
      <x:c r="C367" s="12" t="str">
        <x:v>Low concern</x:v>
      </x:c>
      <x:c r="D367" s="12" t="str">
        <x:v>At least three independently fabricated sensing units/specimens were quantitatively compared.</x:v>
      </x:c>
      <x:c r="E367" s="12" t="str">
        <x:v>PDF pp. 3–13; Figs. 1–8; cited Supplementary Table S1</x:v>
      </x:c>
      <x:c r="F367" s="12" t="str">
        <x:v>Batch 05</x:v>
      </x:c>
    </x:row>
    <x:row r="368" ht="24" hidden="0" customHeight="1">
      <x:c r="A368" s="12" t="str">
        <x:v>S058</x:v>
      </x:c>
      <x:c r="B368" s="12" t="str">
        <x:v>D7 Outcome completeness</x:v>
      </x:c>
      <x:c r="C368" s="12" t="str">
        <x:v>Low concern</x:v>
      </x:c>
      <x:c r="D368" s="12" t="str">
        <x:v>Study-specific evidence is documented in the extraction and REB sheets.</x:v>
      </x:c>
      <x:c r="E368" s="12" t="str">
        <x:v>PDF pp. 3–13; Figs. 1–8; cited Supplementary Table S1</x:v>
      </x:c>
      <x:c r="F368" s="12" t="str">
        <x:v>Batch 05</x:v>
      </x:c>
    </x:row>
    <x:row r="369" ht="24" hidden="0" customHeight="1">
      <x:c r="A369" s="12" t="str">
        <x:v>S058</x:v>
      </x:c>
      <x:c r="B369" s="12" t="str">
        <x:v>D8 Wearable applicability</x:v>
      </x:c>
      <x:c r="C369" s="12" t="str">
        <x:v>Low concern</x:v>
      </x:c>
      <x:c r="D369" s="12" t="str">
        <x:v>The wearable configuration and extent of application testing are documented.</x:v>
      </x:c>
      <x:c r="E369" s="12" t="str">
        <x:v>PDF pp. 3–13; Figs. 1–8; cited Supplementary Table S1</x:v>
      </x:c>
      <x:c r="F369" s="12" t="str">
        <x:v>Batch 05</x:v>
      </x:c>
    </x:row>
    <x:row r="370" ht="24" hidden="0" customHeight="1">
      <x:c r="A370" s="12" t="str">
        <x:v>S059</x:v>
      </x:c>
      <x:c r="B370" s="12" t="str">
        <x:v>D1 Sampling/specimen selection</x:v>
      </x:c>
      <x:c r="C370" s="12" t="str">
        <x:v>Some concern</x:v>
      </x:c>
      <x:c r="D370" s="12" t="str">
        <x:v>Study-specific evidence is documented in the extraction and REB sheets.</x:v>
      </x:c>
      <x:c r="E370" s="12" t="str">
        <x:v>PDF pp. 3–15; Figs. 1–9; cited Supplementary Table S1</x:v>
      </x:c>
      <x:c r="F370" s="12" t="str">
        <x:v>Batch 05</x:v>
      </x:c>
    </x:row>
    <x:row r="371" ht="24" hidden="0" customHeight="1">
      <x:c r="A371" s="12" t="str">
        <x:v>S059</x:v>
      </x:c>
      <x:c r="B371" s="12" t="str">
        <x:v>D2 Fabrication-variable control</x:v>
      </x:c>
      <x:c r="C371" s="12" t="str">
        <x:v>Some concern</x:v>
      </x:c>
      <x:c r="D371" s="12" t="str">
        <x:v>Study-specific evidence is documented in the extraction and REB sheets.</x:v>
      </x:c>
      <x:c r="E371" s="12" t="str">
        <x:v>PDF pp. 3–15; Figs. 1–9; cited Supplementary Table S1</x:v>
      </x:c>
      <x:c r="F371" s="12" t="str">
        <x:v>Batch 05</x:v>
      </x:c>
    </x:row>
    <x:row r="372" ht="24" hidden="0" customHeight="1">
      <x:c r="A372" s="12" t="str">
        <x:v>S059</x:v>
      </x:c>
      <x:c r="B372" s="12" t="str">
        <x:v>D3 Reference/calibration validity</x:v>
      </x:c>
      <x:c r="C372" s="12" t="str">
        <x:v>Low concern</x:v>
      </x:c>
      <x:c r="D372" s="12" t="str">
        <x:v>Study-specific evidence is documented in the extraction and REB sheets.</x:v>
      </x:c>
      <x:c r="E372" s="12" t="str">
        <x:v>PDF pp. 3–15; Figs. 1–9; cited Supplementary Table S1</x:v>
      </x:c>
      <x:c r="F372" s="12" t="str">
        <x:v>Batch 05</x:v>
      </x:c>
    </x:row>
    <x:row r="373" ht="24" hidden="0" customHeight="1">
      <x:c r="A373" s="12" t="str">
        <x:v>S059</x:v>
      </x:c>
      <x:c r="B373" s="12" t="str">
        <x:v>D4 Loading/exposure conditions</x:v>
      </x:c>
      <x:c r="C373" s="12" t="str">
        <x:v>Low concern</x:v>
      </x:c>
      <x:c r="D373" s="12" t="str">
        <x:v>Study-specific evidence is documented in the extraction and REB sheets.</x:v>
      </x:c>
      <x:c r="E373" s="12" t="str">
        <x:v>PDF pp. 3–15; Figs. 1–9; cited Supplementary Table S1</x:v>
      </x:c>
      <x:c r="F373" s="12" t="str">
        <x:v>Batch 05</x:v>
      </x:c>
    </x:row>
    <x:row r="374" ht="24" hidden="0" customHeight="1">
      <x:c r="A374" s="12" t="str">
        <x:v>S059</x:v>
      </x:c>
      <x:c r="B374" s="12" t="str">
        <x:v>D5 Repeated-measurement design</x:v>
      </x:c>
      <x:c r="C374" s="12" t="str">
        <x:v>Low concern</x:v>
      </x:c>
      <x:c r="D374" s="12" t="str">
        <x:v>Study-specific evidence is documented in the extraction and REB sheets.</x:v>
      </x:c>
      <x:c r="E374" s="12" t="str">
        <x:v>PDF pp. 3–15; Figs. 1–9; cited Supplementary Table S1</x:v>
      </x:c>
      <x:c r="F374" s="12" t="str">
        <x:v>Batch 05</x:v>
      </x:c>
    </x:row>
    <x:row r="375" ht="24" hidden="0" customHeight="1">
      <x:c r="A375" s="12" t="str">
        <x:v>S059</x:v>
      </x:c>
      <x:c r="B375" s="12" t="str">
        <x:v>D6 Independent-device replication</x:v>
      </x:c>
      <x:c r="C375" s="12" t="str">
        <x:v>High concern</x:v>
      </x:c>
      <x:c r="D375" s="12" t="str">
        <x:v>A quantitative comparison of at least three separately fabricated complete sensors was not identified.</x:v>
      </x:c>
      <x:c r="E375" s="12" t="str">
        <x:v>PDF pp. 3–15; Figs. 1–9; cited Supplementary Table S1</x:v>
      </x:c>
      <x:c r="F375" s="12" t="str">
        <x:v>Batch 05</x:v>
      </x:c>
    </x:row>
    <x:row r="376" ht="24" hidden="0" customHeight="1">
      <x:c r="A376" s="12" t="str">
        <x:v>S059</x:v>
      </x:c>
      <x:c r="B376" s="12" t="str">
        <x:v>D7 Outcome completeness</x:v>
      </x:c>
      <x:c r="C376" s="12" t="str">
        <x:v>Low concern</x:v>
      </x:c>
      <x:c r="D376" s="12" t="str">
        <x:v>Study-specific evidence is documented in the extraction and REB sheets.</x:v>
      </x:c>
      <x:c r="E376" s="12" t="str">
        <x:v>PDF pp. 3–15; Figs. 1–9; cited Supplementary Table S1</x:v>
      </x:c>
      <x:c r="F376" s="12" t="str">
        <x:v>Batch 05</x:v>
      </x:c>
    </x:row>
    <x:row r="377" ht="24" hidden="0" customHeight="1">
      <x:c r="A377" s="12" t="str">
        <x:v>S059</x:v>
      </x:c>
      <x:c r="B377" s="12" t="str">
        <x:v>D8 Wearable applicability</x:v>
      </x:c>
      <x:c r="C377" s="12" t="str">
        <x:v>Some concern</x:v>
      </x:c>
      <x:c r="D377" s="12" t="str">
        <x:v>The wearable configuration and extent of application testing are documented.</x:v>
      </x:c>
      <x:c r="E377" s="12" t="str">
        <x:v>PDF pp. 3–15; Figs. 1–9; cited Supplementary Table S1</x:v>
      </x:c>
      <x:c r="F377" s="12" t="str">
        <x:v>Batch 05</x:v>
      </x:c>
    </x:row>
    <x:row r="378" ht="15" hidden="0" customHeight="1">
      <x:c r="A378" s="12" t="str">
        <x:v>S060</x:v>
      </x:c>
      <x:c r="B378" s="12" t="str">
        <x:v>D1 Sampling/specimen selection</x:v>
      </x:c>
      <x:c r="C378" s="12" t="str">
        <x:v>High concern</x:v>
      </x:c>
      <x:c r="D378" s="12" t="str">
        <x:v>Study-specific basis is documented in the extraction and REB sheets.</x:v>
      </x:c>
      <x:c r="E378" s="12" t="str">
        <x:v>PDF pp. 2–15; Figs. 1–10; Tables 1–4</x:v>
      </x:c>
      <x:c r="F378" s="12" t="str">
        <x:v>Batch 06</x:v>
      </x:c>
    </x:row>
    <x:row r="379" ht="15" hidden="0" customHeight="1">
      <x:c r="A379" s="12" t="str">
        <x:v>S060</x:v>
      </x:c>
      <x:c r="B379" s="12" t="str">
        <x:v>D2 Fabrication-variable control</x:v>
      </x:c>
      <x:c r="C379" s="12" t="str">
        <x:v>Some concern</x:v>
      </x:c>
      <x:c r="D379" s="12" t="str">
        <x:v>Study-specific basis is documented in the extraction and REB sheets.</x:v>
      </x:c>
      <x:c r="E379" s="12" t="str">
        <x:v>PDF pp. 2–15; Figs. 1–10; Tables 1–4</x:v>
      </x:c>
      <x:c r="F379" s="12" t="str">
        <x:v>Batch 06</x:v>
      </x:c>
    </x:row>
    <x:row r="380" ht="15" hidden="0" customHeight="1">
      <x:c r="A380" s="12" t="str">
        <x:v>S060</x:v>
      </x:c>
      <x:c r="B380" s="12" t="str">
        <x:v>D3 Reference/calibration validity</x:v>
      </x:c>
      <x:c r="C380" s="12" t="str">
        <x:v>Low concern</x:v>
      </x:c>
      <x:c r="D380" s="12" t="str">
        <x:v>Study-specific basis is documented in the extraction and REB sheets.</x:v>
      </x:c>
      <x:c r="E380" s="12" t="str">
        <x:v>PDF pp. 2–15; Figs. 1–10; Tables 1–4</x:v>
      </x:c>
      <x:c r="F380" s="12" t="str">
        <x:v>Batch 06</x:v>
      </x:c>
    </x:row>
    <x:row r="381" ht="15" hidden="0" customHeight="1">
      <x:c r="A381" s="12" t="str">
        <x:v>S060</x:v>
      </x:c>
      <x:c r="B381" s="12" t="str">
        <x:v>D4 Loading/exposure conditions</x:v>
      </x:c>
      <x:c r="C381" s="12" t="str">
        <x:v>Low concern</x:v>
      </x:c>
      <x:c r="D381" s="12" t="str">
        <x:v>Study-specific basis is documented in the extraction and REB sheets.</x:v>
      </x:c>
      <x:c r="E381" s="12" t="str">
        <x:v>PDF pp. 2–15; Figs. 1–10; Tables 1–4</x:v>
      </x:c>
      <x:c r="F381" s="12" t="str">
        <x:v>Batch 06</x:v>
      </x:c>
    </x:row>
    <x:row r="382" ht="15" hidden="0" customHeight="1">
      <x:c r="A382" s="12" t="str">
        <x:v>S060</x:v>
      </x:c>
      <x:c r="B382" s="12" t="str">
        <x:v>D5 Repeated-measurement design</x:v>
      </x:c>
      <x:c r="C382" s="12" t="str">
        <x:v>Low concern</x:v>
      </x:c>
      <x:c r="D382" s="12" t="str">
        <x:v>Study-specific basis is documented in the extraction and REB sheets.</x:v>
      </x:c>
      <x:c r="E382" s="12" t="str">
        <x:v>PDF pp. 2–15; Figs. 1–10; Tables 1–4</x:v>
      </x:c>
      <x:c r="F382" s="12" t="str">
        <x:v>Batch 06</x:v>
      </x:c>
    </x:row>
    <x:row r="383" ht="15" hidden="0" customHeight="1">
      <x:c r="A383" s="12" t="str">
        <x:v>S060</x:v>
      </x:c>
      <x:c r="B383" s="12" t="str">
        <x:v>D6 Independent-device replication</x:v>
      </x:c>
      <x:c r="C383" s="12" t="str">
        <x:v>High concern</x:v>
      </x:c>
      <x:c r="D383" s="12" t="str">
        <x:v>A qualifying same-condition comparison of at least three separately fabricated complete sensors was not identified.</x:v>
      </x:c>
      <x:c r="E383" s="12" t="str">
        <x:v>PDF pp. 2–15; Figs. 1–10; Tables 1–4</x:v>
      </x:c>
      <x:c r="F383" s="12" t="str">
        <x:v>Batch 06</x:v>
      </x:c>
    </x:row>
    <x:row r="384" ht="15" hidden="0" customHeight="1">
      <x:c r="A384" s="12" t="str">
        <x:v>S060</x:v>
      </x:c>
      <x:c r="B384" s="12" t="str">
        <x:v>D7 Outcome completeness</x:v>
      </x:c>
      <x:c r="C384" s="12" t="str">
        <x:v>Low concern</x:v>
      </x:c>
      <x:c r="D384" s="12" t="str">
        <x:v>Study-specific basis is documented in the extraction and REB sheets.</x:v>
      </x:c>
      <x:c r="E384" s="12" t="str">
        <x:v>PDF pp. 2–15; Figs. 1–10; Tables 1–4</x:v>
      </x:c>
      <x:c r="F384" s="12" t="str">
        <x:v>Batch 06</x:v>
      </x:c>
    </x:row>
    <x:row r="385" ht="15" hidden="0" customHeight="1">
      <x:c r="A385" s="12" t="str">
        <x:v>S060</x:v>
      </x:c>
      <x:c r="B385" s="12" t="str">
        <x:v>D8 Wearable applicability</x:v>
      </x:c>
      <x:c r="C385" s="12" t="str">
        <x:v>High concern</x:v>
      </x:c>
      <x:c r="D385" s="12" t="str">
        <x:v>Wearable configuration and extent of application testing are documented in the sensor and experiment sheets.</x:v>
      </x:c>
      <x:c r="E385" s="12" t="str">
        <x:v>PDF pp. 2–15; Figs. 1–10; Tables 1–4</x:v>
      </x:c>
      <x:c r="F385" s="12" t="str">
        <x:v>Batch 06</x:v>
      </x:c>
    </x:row>
    <x:row r="386" ht="15" hidden="0" customHeight="1">
      <x:c r="A386" s="12" t="str">
        <x:v>S061</x:v>
      </x:c>
      <x:c r="B386" s="12" t="str">
        <x:v>D1 Sampling/specimen selection</x:v>
      </x:c>
      <x:c r="C386" s="12" t="str">
        <x:v>Some concern</x:v>
      </x:c>
      <x:c r="D386" s="12" t="str">
        <x:v>Study-specific basis is documented in the extraction and REB sheets.</x:v>
      </x:c>
      <x:c r="E386" s="12" t="str">
        <x:v>PDF pp. 2–11; Figs. 1–13; Table 1</x:v>
      </x:c>
      <x:c r="F386" s="12" t="str">
        <x:v>Batch 06</x:v>
      </x:c>
    </x:row>
    <x:row r="387" ht="15" hidden="0" customHeight="1">
      <x:c r="A387" s="12" t="str">
        <x:v>S061</x:v>
      </x:c>
      <x:c r="B387" s="12" t="str">
        <x:v>D2 Fabrication-variable control</x:v>
      </x:c>
      <x:c r="C387" s="12" t="str">
        <x:v>Some concern</x:v>
      </x:c>
      <x:c r="D387" s="12" t="str">
        <x:v>Study-specific basis is documented in the extraction and REB sheets.</x:v>
      </x:c>
      <x:c r="E387" s="12" t="str">
        <x:v>PDF pp. 2–11; Figs. 1–13; Table 1</x:v>
      </x:c>
      <x:c r="F387" s="12" t="str">
        <x:v>Batch 06</x:v>
      </x:c>
    </x:row>
    <x:row r="388" ht="15" hidden="0" customHeight="1">
      <x:c r="A388" s="12" t="str">
        <x:v>S061</x:v>
      </x:c>
      <x:c r="B388" s="12" t="str">
        <x:v>D3 Reference/calibration validity</x:v>
      </x:c>
      <x:c r="C388" s="12" t="str">
        <x:v>Some concern</x:v>
      </x:c>
      <x:c r="D388" s="12" t="str">
        <x:v>Study-specific basis is documented in the extraction and REB sheets.</x:v>
      </x:c>
      <x:c r="E388" s="12" t="str">
        <x:v>PDF pp. 2–11; Figs. 1–13; Table 1</x:v>
      </x:c>
      <x:c r="F388" s="12" t="str">
        <x:v>Batch 06</x:v>
      </x:c>
    </x:row>
    <x:row r="389" ht="15" hidden="0" customHeight="1">
      <x:c r="A389" s="12" t="str">
        <x:v>S061</x:v>
      </x:c>
      <x:c r="B389" s="12" t="str">
        <x:v>D4 Loading/exposure conditions</x:v>
      </x:c>
      <x:c r="C389" s="12" t="str">
        <x:v>Low concern</x:v>
      </x:c>
      <x:c r="D389" s="12" t="str">
        <x:v>Study-specific basis is documented in the extraction and REB sheets.</x:v>
      </x:c>
      <x:c r="E389" s="12" t="str">
        <x:v>PDF pp. 2–11; Figs. 1–13; Table 1</x:v>
      </x:c>
      <x:c r="F389" s="12" t="str">
        <x:v>Batch 06</x:v>
      </x:c>
    </x:row>
    <x:row r="390" ht="15" hidden="0" customHeight="1">
      <x:c r="A390" s="12" t="str">
        <x:v>S061</x:v>
      </x:c>
      <x:c r="B390" s="12" t="str">
        <x:v>D5 Repeated-measurement design</x:v>
      </x:c>
      <x:c r="C390" s="12" t="str">
        <x:v>High concern</x:v>
      </x:c>
      <x:c r="D390" s="12" t="str">
        <x:v>Study-specific basis is documented in the extraction and REB sheets.</x:v>
      </x:c>
      <x:c r="E390" s="12" t="str">
        <x:v>PDF pp. 2–11; Figs. 1–13; Table 1</x:v>
      </x:c>
      <x:c r="F390" s="12" t="str">
        <x:v>Batch 06</x:v>
      </x:c>
    </x:row>
    <x:row r="391" ht="15" hidden="0" customHeight="1">
      <x:c r="A391" s="12" t="str">
        <x:v>S061</x:v>
      </x:c>
      <x:c r="B391" s="12" t="str">
        <x:v>D6 Independent-device replication</x:v>
      </x:c>
      <x:c r="C391" s="12" t="str">
        <x:v>High concern</x:v>
      </x:c>
      <x:c r="D391" s="12" t="str">
        <x:v>A qualifying same-condition comparison of at least three separately fabricated complete sensors was not identified.</x:v>
      </x:c>
      <x:c r="E391" s="12" t="str">
        <x:v>PDF pp. 2–11; Figs. 1–13; Table 1</x:v>
      </x:c>
      <x:c r="F391" s="12" t="str">
        <x:v>Batch 06</x:v>
      </x:c>
    </x:row>
    <x:row r="392" ht="15" hidden="0" customHeight="1">
      <x:c r="A392" s="12" t="str">
        <x:v>S061</x:v>
      </x:c>
      <x:c r="B392" s="12" t="str">
        <x:v>D7 Outcome completeness</x:v>
      </x:c>
      <x:c r="C392" s="12" t="str">
        <x:v>Some concern</x:v>
      </x:c>
      <x:c r="D392" s="12" t="str">
        <x:v>Study-specific basis is documented in the extraction and REB sheets.</x:v>
      </x:c>
      <x:c r="E392" s="12" t="str">
        <x:v>PDF pp. 2–11; Figs. 1–13; Table 1</x:v>
      </x:c>
      <x:c r="F392" s="12" t="str">
        <x:v>Batch 06</x:v>
      </x:c>
    </x:row>
    <x:row r="393" ht="15" hidden="0" customHeight="1">
      <x:c r="A393" s="12" t="str">
        <x:v>S061</x:v>
      </x:c>
      <x:c r="B393" s="12" t="str">
        <x:v>D8 Wearable applicability</x:v>
      </x:c>
      <x:c r="C393" s="12" t="str">
        <x:v>Some concern</x:v>
      </x:c>
      <x:c r="D393" s="12" t="str">
        <x:v>Wearable configuration and extent of application testing are documented in the sensor and experiment sheets.</x:v>
      </x:c>
      <x:c r="E393" s="12" t="str">
        <x:v>PDF pp. 2–11; Figs. 1–13; Table 1</x:v>
      </x:c>
      <x:c r="F393" s="12" t="str">
        <x:v>Batch 06</x:v>
      </x:c>
    </x:row>
    <x:row r="394" ht="15" hidden="0" customHeight="1">
      <x:c r="A394" s="12" t="str">
        <x:v>S063</x:v>
      </x:c>
      <x:c r="B394" s="12" t="str">
        <x:v>D1 Sampling/specimen selection</x:v>
      </x:c>
      <x:c r="C394" s="12" t="str">
        <x:v>Some concern</x:v>
      </x:c>
      <x:c r="D394" s="12" t="str">
        <x:v>Study-specific basis is documented in the extraction and REB sheets.</x:v>
      </x:c>
      <x:c r="E394" s="12" t="str">
        <x:v>PDF pp. 2–12; Figs. 1–9; Tables 1–2</x:v>
      </x:c>
      <x:c r="F394" s="12" t="str">
        <x:v>Batch 06</x:v>
      </x:c>
    </x:row>
    <x:row r="395" ht="15" hidden="0" customHeight="1">
      <x:c r="A395" s="12" t="str">
        <x:v>S063</x:v>
      </x:c>
      <x:c r="B395" s="12" t="str">
        <x:v>D2 Fabrication-variable control</x:v>
      </x:c>
      <x:c r="C395" s="12" t="str">
        <x:v>Low concern</x:v>
      </x:c>
      <x:c r="D395" s="12" t="str">
        <x:v>Study-specific basis is documented in the extraction and REB sheets.</x:v>
      </x:c>
      <x:c r="E395" s="12" t="str">
        <x:v>PDF pp. 2–12; Figs. 1–9; Tables 1–2</x:v>
      </x:c>
      <x:c r="F395" s="12" t="str">
        <x:v>Batch 06</x:v>
      </x:c>
    </x:row>
    <x:row r="396" ht="15" hidden="0" customHeight="1">
      <x:c r="A396" s="12" t="str">
        <x:v>S063</x:v>
      </x:c>
      <x:c r="B396" s="12" t="str">
        <x:v>D3 Reference/calibration validity</x:v>
      </x:c>
      <x:c r="C396" s="12" t="str">
        <x:v>Low concern</x:v>
      </x:c>
      <x:c r="D396" s="12" t="str">
        <x:v>Study-specific basis is documented in the extraction and REB sheets.</x:v>
      </x:c>
      <x:c r="E396" s="12" t="str">
        <x:v>PDF pp. 2–12; Figs. 1–9; Tables 1–2</x:v>
      </x:c>
      <x:c r="F396" s="12" t="str">
        <x:v>Batch 06</x:v>
      </x:c>
    </x:row>
    <x:row r="397" ht="15" hidden="0" customHeight="1">
      <x:c r="A397" s="12" t="str">
        <x:v>S063</x:v>
      </x:c>
      <x:c r="B397" s="12" t="str">
        <x:v>D4 Loading/exposure conditions</x:v>
      </x:c>
      <x:c r="C397" s="12" t="str">
        <x:v>Low concern</x:v>
      </x:c>
      <x:c r="D397" s="12" t="str">
        <x:v>Study-specific basis is documented in the extraction and REB sheets.</x:v>
      </x:c>
      <x:c r="E397" s="12" t="str">
        <x:v>PDF pp. 2–12; Figs. 1–9; Tables 1–2</x:v>
      </x:c>
      <x:c r="F397" s="12" t="str">
        <x:v>Batch 06</x:v>
      </x:c>
    </x:row>
    <x:row r="398" ht="15" hidden="0" customHeight="1">
      <x:c r="A398" s="12" t="str">
        <x:v>S063</x:v>
      </x:c>
      <x:c r="B398" s="12" t="str">
        <x:v>D5 Repeated-measurement design</x:v>
      </x:c>
      <x:c r="C398" s="12" t="str">
        <x:v>Low concern</x:v>
      </x:c>
      <x:c r="D398" s="12" t="str">
        <x:v>Study-specific basis is documented in the extraction and REB sheets.</x:v>
      </x:c>
      <x:c r="E398" s="12" t="str">
        <x:v>PDF pp. 2–12; Figs. 1–9; Tables 1–2</x:v>
      </x:c>
      <x:c r="F398" s="12" t="str">
        <x:v>Batch 06</x:v>
      </x:c>
    </x:row>
    <x:row r="399" ht="15" hidden="0" customHeight="1">
      <x:c r="A399" s="12" t="str">
        <x:v>S063</x:v>
      </x:c>
      <x:c r="B399" s="12" t="str">
        <x:v>D6 Independent-device replication</x:v>
      </x:c>
      <x:c r="C399" s="12" t="str">
        <x:v>High concern</x:v>
      </x:c>
      <x:c r="D399" s="12" t="str">
        <x:v>A qualifying same-condition comparison of at least three separately fabricated complete sensors was not identified.</x:v>
      </x:c>
      <x:c r="E399" s="12" t="str">
        <x:v>PDF pp. 2–12; Figs. 1–9; Tables 1–2</x:v>
      </x:c>
      <x:c r="F399" s="12" t="str">
        <x:v>Batch 06</x:v>
      </x:c>
    </x:row>
    <x:row r="400" ht="15" hidden="0" customHeight="1">
      <x:c r="A400" s="12" t="str">
        <x:v>S063</x:v>
      </x:c>
      <x:c r="B400" s="12" t="str">
        <x:v>D7 Outcome completeness</x:v>
      </x:c>
      <x:c r="C400" s="12" t="str">
        <x:v>Low concern</x:v>
      </x:c>
      <x:c r="D400" s="12" t="str">
        <x:v>Study-specific basis is documented in the extraction and REB sheets.</x:v>
      </x:c>
      <x:c r="E400" s="12" t="str">
        <x:v>PDF pp. 2–12; Figs. 1–9; Tables 1–2</x:v>
      </x:c>
      <x:c r="F400" s="12" t="str">
        <x:v>Batch 06</x:v>
      </x:c>
    </x:row>
    <x:row r="401" ht="15" hidden="0" customHeight="1">
      <x:c r="A401" s="12" t="str">
        <x:v>S063</x:v>
      </x:c>
      <x:c r="B401" s="12" t="str">
        <x:v>D8 Wearable applicability</x:v>
      </x:c>
      <x:c r="C401" s="12" t="str">
        <x:v>Some concern</x:v>
      </x:c>
      <x:c r="D401" s="12" t="str">
        <x:v>Wearable configuration and extent of application testing are documented in the sensor and experiment sheets.</x:v>
      </x:c>
      <x:c r="E401" s="12" t="str">
        <x:v>PDF pp. 2–12; Figs. 1–9; Tables 1–2</x:v>
      </x:c>
      <x:c r="F401" s="12" t="str">
        <x:v>Batch 06</x:v>
      </x:c>
    </x:row>
    <x:row r="402" ht="15" hidden="0" customHeight="1">
      <x:c r="A402" s="12" t="str">
        <x:v>S064</x:v>
      </x:c>
      <x:c r="B402" s="12" t="str">
        <x:v>D1 Sampling/specimen selection</x:v>
      </x:c>
      <x:c r="C402" s="12" t="str">
        <x:v>Some concern</x:v>
      </x:c>
      <x:c r="D402" s="12" t="str">
        <x:v>Study-specific basis is documented in the extraction and REB sheets.</x:v>
      </x:c>
      <x:c r="E402" s="12" t="str">
        <x:v>PDF pp. 2–12; Figs. 1–10; Table 1</x:v>
      </x:c>
      <x:c r="F402" s="12" t="str">
        <x:v>Batch 06</x:v>
      </x:c>
    </x:row>
    <x:row r="403" ht="15" hidden="0" customHeight="1">
      <x:c r="A403" s="12" t="str">
        <x:v>S064</x:v>
      </x:c>
      <x:c r="B403" s="12" t="str">
        <x:v>D2 Fabrication-variable control</x:v>
      </x:c>
      <x:c r="C403" s="12" t="str">
        <x:v>Some concern</x:v>
      </x:c>
      <x:c r="D403" s="12" t="str">
        <x:v>Study-specific basis is documented in the extraction and REB sheets.</x:v>
      </x:c>
      <x:c r="E403" s="12" t="str">
        <x:v>PDF pp. 2–12; Figs. 1–10; Table 1</x:v>
      </x:c>
      <x:c r="F403" s="12" t="str">
        <x:v>Batch 06</x:v>
      </x:c>
    </x:row>
    <x:row r="404" ht="15" hidden="0" customHeight="1">
      <x:c r="A404" s="12" t="str">
        <x:v>S064</x:v>
      </x:c>
      <x:c r="B404" s="12" t="str">
        <x:v>D3 Reference/calibration validity</x:v>
      </x:c>
      <x:c r="C404" s="12" t="str">
        <x:v>Some concern</x:v>
      </x:c>
      <x:c r="D404" s="12" t="str">
        <x:v>Study-specific basis is documented in the extraction and REB sheets.</x:v>
      </x:c>
      <x:c r="E404" s="12" t="str">
        <x:v>PDF pp. 2–12; Figs. 1–10; Table 1</x:v>
      </x:c>
      <x:c r="F404" s="12" t="str">
        <x:v>Batch 06</x:v>
      </x:c>
    </x:row>
    <x:row r="405" ht="15" hidden="0" customHeight="1">
      <x:c r="A405" s="12" t="str">
        <x:v>S064</x:v>
      </x:c>
      <x:c r="B405" s="12" t="str">
        <x:v>D4 Loading/exposure conditions</x:v>
      </x:c>
      <x:c r="C405" s="12" t="str">
        <x:v>Low concern</x:v>
      </x:c>
      <x:c r="D405" s="12" t="str">
        <x:v>Study-specific basis is documented in the extraction and REB sheets.</x:v>
      </x:c>
      <x:c r="E405" s="12" t="str">
        <x:v>PDF pp. 2–12; Figs. 1–10; Table 1</x:v>
      </x:c>
      <x:c r="F405" s="12" t="str">
        <x:v>Batch 06</x:v>
      </x:c>
    </x:row>
    <x:row r="406" ht="15" hidden="0" customHeight="1">
      <x:c r="A406" s="12" t="str">
        <x:v>S064</x:v>
      </x:c>
      <x:c r="B406" s="12" t="str">
        <x:v>D5 Repeated-measurement design</x:v>
      </x:c>
      <x:c r="C406" s="12" t="str">
        <x:v>Some concern</x:v>
      </x:c>
      <x:c r="D406" s="12" t="str">
        <x:v>Study-specific basis is documented in the extraction and REB sheets.</x:v>
      </x:c>
      <x:c r="E406" s="12" t="str">
        <x:v>PDF pp. 2–12; Figs. 1–10; Table 1</x:v>
      </x:c>
      <x:c r="F406" s="12" t="str">
        <x:v>Batch 06</x:v>
      </x:c>
    </x:row>
    <x:row r="407" ht="15" hidden="0" customHeight="1">
      <x:c r="A407" s="12" t="str">
        <x:v>S064</x:v>
      </x:c>
      <x:c r="B407" s="12" t="str">
        <x:v>D6 Independent-device replication</x:v>
      </x:c>
      <x:c r="C407" s="12" t="str">
        <x:v>High concern</x:v>
      </x:c>
      <x:c r="D407" s="12" t="str">
        <x:v>A qualifying same-condition comparison of at least three separately fabricated complete sensors was not identified.</x:v>
      </x:c>
      <x:c r="E407" s="12" t="str">
        <x:v>PDF pp. 2–12; Figs. 1–10; Table 1</x:v>
      </x:c>
      <x:c r="F407" s="12" t="str">
        <x:v>Batch 06</x:v>
      </x:c>
    </x:row>
    <x:row r="408" ht="15" hidden="0" customHeight="1">
      <x:c r="A408" s="12" t="str">
        <x:v>S064</x:v>
      </x:c>
      <x:c r="B408" s="12" t="str">
        <x:v>D7 Outcome completeness</x:v>
      </x:c>
      <x:c r="C408" s="12" t="str">
        <x:v>Low concern</x:v>
      </x:c>
      <x:c r="D408" s="12" t="str">
        <x:v>Study-specific basis is documented in the extraction and REB sheets.</x:v>
      </x:c>
      <x:c r="E408" s="12" t="str">
        <x:v>PDF pp. 2–12; Figs. 1–10; Table 1</x:v>
      </x:c>
      <x:c r="F408" s="12" t="str">
        <x:v>Batch 06</x:v>
      </x:c>
    </x:row>
    <x:row r="409" ht="15" hidden="0" customHeight="1">
      <x:c r="A409" s="12" t="str">
        <x:v>S064</x:v>
      </x:c>
      <x:c r="B409" s="12" t="str">
        <x:v>D8 Wearable applicability</x:v>
      </x:c>
      <x:c r="C409" s="12" t="str">
        <x:v>Some concern</x:v>
      </x:c>
      <x:c r="D409" s="12" t="str">
        <x:v>Wearable configuration and extent of application testing are documented in the sensor and experiment sheets.</x:v>
      </x:c>
      <x:c r="E409" s="12" t="str">
        <x:v>PDF pp. 2–12; Figs. 1–10; Table 1</x:v>
      </x:c>
      <x:c r="F409" s="12" t="str">
        <x:v>Batch 06</x:v>
      </x:c>
    </x:row>
    <x:row r="410" ht="15" hidden="0" customHeight="1">
      <x:c r="A410" s="12" t="str">
        <x:v>S065</x:v>
      </x:c>
      <x:c r="B410" s="12" t="str">
        <x:v>D1 Sampling/specimen selection</x:v>
      </x:c>
      <x:c r="C410" s="12" t="str">
        <x:v>Some concern</x:v>
      </x:c>
      <x:c r="D410" s="12" t="str">
        <x:v>Study-specific basis is documented in the extraction and REB sheets.</x:v>
      </x:c>
      <x:c r="E410" s="12" t="str">
        <x:v>PDF pp. 2–9; Figs. 1–7</x:v>
      </x:c>
      <x:c r="F410" s="12" t="str">
        <x:v>Batch 06</x:v>
      </x:c>
    </x:row>
    <x:row r="411" ht="15" hidden="0" customHeight="1">
      <x:c r="A411" s="12" t="str">
        <x:v>S065</x:v>
      </x:c>
      <x:c r="B411" s="12" t="str">
        <x:v>D2 Fabrication-variable control</x:v>
      </x:c>
      <x:c r="C411" s="12" t="str">
        <x:v>Some concern</x:v>
      </x:c>
      <x:c r="D411" s="12" t="str">
        <x:v>Study-specific basis is documented in the extraction and REB sheets.</x:v>
      </x:c>
      <x:c r="E411" s="12" t="str">
        <x:v>PDF pp. 2–9; Figs. 1–7</x:v>
      </x:c>
      <x:c r="F411" s="12" t="str">
        <x:v>Batch 06</x:v>
      </x:c>
    </x:row>
    <x:row r="412" ht="15" hidden="0" customHeight="1">
      <x:c r="A412" s="12" t="str">
        <x:v>S065</x:v>
      </x:c>
      <x:c r="B412" s="12" t="str">
        <x:v>D3 Reference/calibration validity</x:v>
      </x:c>
      <x:c r="C412" s="12" t="str">
        <x:v>Low concern</x:v>
      </x:c>
      <x:c r="D412" s="12" t="str">
        <x:v>Study-specific basis is documented in the extraction and REB sheets.</x:v>
      </x:c>
      <x:c r="E412" s="12" t="str">
        <x:v>PDF pp. 2–9; Figs. 1–7</x:v>
      </x:c>
      <x:c r="F412" s="12" t="str">
        <x:v>Batch 06</x:v>
      </x:c>
    </x:row>
    <x:row r="413" ht="15" hidden="0" customHeight="1">
      <x:c r="A413" s="12" t="str">
        <x:v>S065</x:v>
      </x:c>
      <x:c r="B413" s="12" t="str">
        <x:v>D4 Loading/exposure conditions</x:v>
      </x:c>
      <x:c r="C413" s="12" t="str">
        <x:v>Low concern</x:v>
      </x:c>
      <x:c r="D413" s="12" t="str">
        <x:v>Study-specific basis is documented in the extraction and REB sheets.</x:v>
      </x:c>
      <x:c r="E413" s="12" t="str">
        <x:v>PDF pp. 2–9; Figs. 1–7</x:v>
      </x:c>
      <x:c r="F413" s="12" t="str">
        <x:v>Batch 06</x:v>
      </x:c>
    </x:row>
    <x:row r="414" ht="15" hidden="0" customHeight="1">
      <x:c r="A414" s="12" t="str">
        <x:v>S065</x:v>
      </x:c>
      <x:c r="B414" s="12" t="str">
        <x:v>D5 Repeated-measurement design</x:v>
      </x:c>
      <x:c r="C414" s="12" t="str">
        <x:v>Low concern</x:v>
      </x:c>
      <x:c r="D414" s="12" t="str">
        <x:v>Study-specific basis is documented in the extraction and REB sheets.</x:v>
      </x:c>
      <x:c r="E414" s="12" t="str">
        <x:v>PDF pp. 2–9; Figs. 1–7</x:v>
      </x:c>
      <x:c r="F414" s="12" t="str">
        <x:v>Batch 06</x:v>
      </x:c>
    </x:row>
    <x:row r="415" ht="15" hidden="0" customHeight="1">
      <x:c r="A415" s="12" t="str">
        <x:v>S065</x:v>
      </x:c>
      <x:c r="B415" s="12" t="str">
        <x:v>D6 Independent-device replication</x:v>
      </x:c>
      <x:c r="C415" s="12" t="str">
        <x:v>Low concern</x:v>
      </x:c>
      <x:c r="D415" s="12" t="str">
        <x:v>At least three separately fabricated complete devices were quantitatively compared.</x:v>
      </x:c>
      <x:c r="E415" s="12" t="str">
        <x:v>PDF pp. 2–9; Figs. 1–7</x:v>
      </x:c>
      <x:c r="F415" s="12" t="str">
        <x:v>Batch 06</x:v>
      </x:c>
    </x:row>
    <x:row r="416" ht="15" hidden="0" customHeight="1">
      <x:c r="A416" s="12" t="str">
        <x:v>S065</x:v>
      </x:c>
      <x:c r="B416" s="12" t="str">
        <x:v>D7 Outcome completeness</x:v>
      </x:c>
      <x:c r="C416" s="12" t="str">
        <x:v>Low concern</x:v>
      </x:c>
      <x:c r="D416" s="12" t="str">
        <x:v>Study-specific basis is documented in the extraction and REB sheets.</x:v>
      </x:c>
      <x:c r="E416" s="12" t="str">
        <x:v>PDF pp. 2–9; Figs. 1–7</x:v>
      </x:c>
      <x:c r="F416" s="12" t="str">
        <x:v>Batch 06</x:v>
      </x:c>
    </x:row>
    <x:row r="417" ht="15" hidden="0" customHeight="1">
      <x:c r="A417" s="12" t="str">
        <x:v>S065</x:v>
      </x:c>
      <x:c r="B417" s="12" t="str">
        <x:v>D8 Wearable applicability</x:v>
      </x:c>
      <x:c r="C417" s="12" t="str">
        <x:v>Some concern</x:v>
      </x:c>
      <x:c r="D417" s="12" t="str">
        <x:v>Wearable configuration and extent of application testing are documented in the sensor and experiment sheets.</x:v>
      </x:c>
      <x:c r="E417" s="12" t="str">
        <x:v>PDF pp. 2–9; Figs. 1–7</x:v>
      </x:c>
      <x:c r="F417" s="12" t="str">
        <x:v>Batch 06</x:v>
      </x:c>
    </x:row>
    <x:row r="418" ht="15" hidden="0" customHeight="1">
      <x:c r="A418" s="12" t="str">
        <x:v>S066</x:v>
      </x:c>
      <x:c r="B418" s="12" t="str">
        <x:v>D1 Sampling/specimen selection</x:v>
      </x:c>
      <x:c r="C418" s="12" t="str">
        <x:v>Low concern</x:v>
      </x:c>
      <x:c r="D418" s="12" t="str">
        <x:v>Study-specific basis is documented in the extraction and REB sheets.</x:v>
      </x:c>
      <x:c r="E418" s="12" t="str">
        <x:v>PDF pp. 2–8; Figs. 1–8; Table I</x:v>
      </x:c>
      <x:c r="F418" s="12" t="str">
        <x:v>Batch 06</x:v>
      </x:c>
    </x:row>
    <x:row r="419" ht="15" hidden="0" customHeight="1">
      <x:c r="A419" s="12" t="str">
        <x:v>S066</x:v>
      </x:c>
      <x:c r="B419" s="12" t="str">
        <x:v>D2 Fabrication-variable control</x:v>
      </x:c>
      <x:c r="C419" s="12" t="str">
        <x:v>Some concern</x:v>
      </x:c>
      <x:c r="D419" s="12" t="str">
        <x:v>Study-specific basis is documented in the extraction and REB sheets.</x:v>
      </x:c>
      <x:c r="E419" s="12" t="str">
        <x:v>PDF pp. 2–8; Figs. 1–8; Table I</x:v>
      </x:c>
      <x:c r="F419" s="12" t="str">
        <x:v>Batch 06</x:v>
      </x:c>
    </x:row>
    <x:row r="420" ht="15" hidden="0" customHeight="1">
      <x:c r="A420" s="12" t="str">
        <x:v>S066</x:v>
      </x:c>
      <x:c r="B420" s="12" t="str">
        <x:v>D3 Reference/calibration validity</x:v>
      </x:c>
      <x:c r="C420" s="12" t="str">
        <x:v>Some concern</x:v>
      </x:c>
      <x:c r="D420" s="12" t="str">
        <x:v>Study-specific basis is documented in the extraction and REB sheets.</x:v>
      </x:c>
      <x:c r="E420" s="12" t="str">
        <x:v>PDF pp. 2–8; Figs. 1–8; Table I</x:v>
      </x:c>
      <x:c r="F420" s="12" t="str">
        <x:v>Batch 06</x:v>
      </x:c>
    </x:row>
    <x:row r="421" ht="15" hidden="0" customHeight="1">
      <x:c r="A421" s="12" t="str">
        <x:v>S066</x:v>
      </x:c>
      <x:c r="B421" s="12" t="str">
        <x:v>D4 Loading/exposure conditions</x:v>
      </x:c>
      <x:c r="C421" s="12" t="str">
        <x:v>Low concern</x:v>
      </x:c>
      <x:c r="D421" s="12" t="str">
        <x:v>Study-specific basis is documented in the extraction and REB sheets.</x:v>
      </x:c>
      <x:c r="E421" s="12" t="str">
        <x:v>PDF pp. 2–8; Figs. 1–8; Table I</x:v>
      </x:c>
      <x:c r="F421" s="12" t="str">
        <x:v>Batch 06</x:v>
      </x:c>
    </x:row>
    <x:row r="422" ht="15" hidden="0" customHeight="1">
      <x:c r="A422" s="12" t="str">
        <x:v>S066</x:v>
      </x:c>
      <x:c r="B422" s="12" t="str">
        <x:v>D5 Repeated-measurement design</x:v>
      </x:c>
      <x:c r="C422" s="12" t="str">
        <x:v>Low concern</x:v>
      </x:c>
      <x:c r="D422" s="12" t="str">
        <x:v>Study-specific basis is documented in the extraction and REB sheets.</x:v>
      </x:c>
      <x:c r="E422" s="12" t="str">
        <x:v>PDF pp. 2–8; Figs. 1–8; Table I</x:v>
      </x:c>
      <x:c r="F422" s="12" t="str">
        <x:v>Batch 06</x:v>
      </x:c>
    </x:row>
    <x:row r="423" ht="15" hidden="0" customHeight="1">
      <x:c r="A423" s="12" t="str">
        <x:v>S066</x:v>
      </x:c>
      <x:c r="B423" s="12" t="str">
        <x:v>D6 Independent-device replication</x:v>
      </x:c>
      <x:c r="C423" s="12" t="str">
        <x:v>High concern</x:v>
      </x:c>
      <x:c r="D423" s="12" t="str">
        <x:v>A qualifying same-condition comparison of at least three separately fabricated complete sensors was not identified.</x:v>
      </x:c>
      <x:c r="E423" s="12" t="str">
        <x:v>PDF pp. 2–8; Figs. 1–8; Table I</x:v>
      </x:c>
      <x:c r="F423" s="12" t="str">
        <x:v>Batch 06</x:v>
      </x:c>
    </x:row>
    <x:row r="424" ht="15" hidden="0" customHeight="1">
      <x:c r="A424" s="12" t="str">
        <x:v>S066</x:v>
      </x:c>
      <x:c r="B424" s="12" t="str">
        <x:v>D7 Outcome completeness</x:v>
      </x:c>
      <x:c r="C424" s="12" t="str">
        <x:v>Low concern</x:v>
      </x:c>
      <x:c r="D424" s="12" t="str">
        <x:v>Study-specific basis is documented in the extraction and REB sheets.</x:v>
      </x:c>
      <x:c r="E424" s="12" t="str">
        <x:v>PDF pp. 2–8; Figs. 1–8; Table I</x:v>
      </x:c>
      <x:c r="F424" s="12" t="str">
        <x:v>Batch 06</x:v>
      </x:c>
    </x:row>
    <x:row r="425" ht="15" hidden="0" customHeight="1">
      <x:c r="A425" s="12" t="str">
        <x:v>S066</x:v>
      </x:c>
      <x:c r="B425" s="12" t="str">
        <x:v>D8 Wearable applicability</x:v>
      </x:c>
      <x:c r="C425" s="12" t="str">
        <x:v>Low concern</x:v>
      </x:c>
      <x:c r="D425" s="12" t="str">
        <x:v>Wearable configuration and extent of application testing are documented in the sensor and experiment sheets.</x:v>
      </x:c>
      <x:c r="E425" s="12" t="str">
        <x:v>PDF pp. 2–8; Figs. 1–8; Table I</x:v>
      </x:c>
      <x:c r="F425" s="12" t="str">
        <x:v>Batch 06</x:v>
      </x:c>
    </x:row>
    <x:row r="426" ht="15" hidden="0" customHeight="1">
      <x:c r="A426" s="12" t="str">
        <x:v>S067</x:v>
      </x:c>
      <x:c r="B426" s="12" t="str">
        <x:v>D1 Sampling/specimen selection</x:v>
      </x:c>
      <x:c r="C426" s="12" t="str">
        <x:v>High concern</x:v>
      </x:c>
      <x:c r="D426" s="12" t="str">
        <x:v>Study-specific basis is documented in the extraction and REB sheets.</x:v>
      </x:c>
      <x:c r="E426" s="12" t="str">
        <x:v>PDF pp. 2–9; Figs. 1–8</x:v>
      </x:c>
      <x:c r="F426" s="12" t="str">
        <x:v>Batch 06</x:v>
      </x:c>
    </x:row>
    <x:row r="427" ht="15" hidden="0" customHeight="1">
      <x:c r="A427" s="12" t="str">
        <x:v>S067</x:v>
      </x:c>
      <x:c r="B427" s="12" t="str">
        <x:v>D2 Fabrication-variable control</x:v>
      </x:c>
      <x:c r="C427" s="12" t="str">
        <x:v>Some concern</x:v>
      </x:c>
      <x:c r="D427" s="12" t="str">
        <x:v>Study-specific basis is documented in the extraction and REB sheets.</x:v>
      </x:c>
      <x:c r="E427" s="12" t="str">
        <x:v>PDF pp. 2–9; Figs. 1–8</x:v>
      </x:c>
      <x:c r="F427" s="12" t="str">
        <x:v>Batch 06</x:v>
      </x:c>
    </x:row>
    <x:row r="428" ht="15" hidden="0" customHeight="1">
      <x:c r="A428" s="12" t="str">
        <x:v>S067</x:v>
      </x:c>
      <x:c r="B428" s="12" t="str">
        <x:v>D3 Reference/calibration validity</x:v>
      </x:c>
      <x:c r="C428" s="12" t="str">
        <x:v>Low concern</x:v>
      </x:c>
      <x:c r="D428" s="12" t="str">
        <x:v>Study-specific basis is documented in the extraction and REB sheets.</x:v>
      </x:c>
      <x:c r="E428" s="12" t="str">
        <x:v>PDF pp. 2–9; Figs. 1–8</x:v>
      </x:c>
      <x:c r="F428" s="12" t="str">
        <x:v>Batch 06</x:v>
      </x:c>
    </x:row>
    <x:row r="429" ht="15" hidden="0" customHeight="1">
      <x:c r="A429" s="12" t="str">
        <x:v>S067</x:v>
      </x:c>
      <x:c r="B429" s="12" t="str">
        <x:v>D4 Loading/exposure conditions</x:v>
      </x:c>
      <x:c r="C429" s="12" t="str">
        <x:v>Low concern</x:v>
      </x:c>
      <x:c r="D429" s="12" t="str">
        <x:v>Study-specific basis is documented in the extraction and REB sheets.</x:v>
      </x:c>
      <x:c r="E429" s="12" t="str">
        <x:v>PDF pp. 2–9; Figs. 1–8</x:v>
      </x:c>
      <x:c r="F429" s="12" t="str">
        <x:v>Batch 06</x:v>
      </x:c>
    </x:row>
    <x:row r="430" ht="15" hidden="0" customHeight="1">
      <x:c r="A430" s="12" t="str">
        <x:v>S067</x:v>
      </x:c>
      <x:c r="B430" s="12" t="str">
        <x:v>D5 Repeated-measurement design</x:v>
      </x:c>
      <x:c r="C430" s="12" t="str">
        <x:v>Low concern</x:v>
      </x:c>
      <x:c r="D430" s="12" t="str">
        <x:v>Study-specific basis is documented in the extraction and REB sheets.</x:v>
      </x:c>
      <x:c r="E430" s="12" t="str">
        <x:v>PDF pp. 2–9; Figs. 1–8</x:v>
      </x:c>
      <x:c r="F430" s="12" t="str">
        <x:v>Batch 06</x:v>
      </x:c>
    </x:row>
    <x:row r="431" ht="15" hidden="0" customHeight="1">
      <x:c r="A431" s="12" t="str">
        <x:v>S067</x:v>
      </x:c>
      <x:c r="B431" s="12" t="str">
        <x:v>D6 Independent-device replication</x:v>
      </x:c>
      <x:c r="C431" s="12" t="str">
        <x:v>High concern</x:v>
      </x:c>
      <x:c r="D431" s="12" t="str">
        <x:v>A qualifying same-condition comparison of at least three separately fabricated complete sensors was not identified.</x:v>
      </x:c>
      <x:c r="E431" s="12" t="str">
        <x:v>PDF pp. 2–9; Figs. 1–8</x:v>
      </x:c>
      <x:c r="F431" s="12" t="str">
        <x:v>Batch 06</x:v>
      </x:c>
    </x:row>
    <x:row r="432" ht="15" hidden="0" customHeight="1">
      <x:c r="A432" s="12" t="str">
        <x:v>S067</x:v>
      </x:c>
      <x:c r="B432" s="12" t="str">
        <x:v>D7 Outcome completeness</x:v>
      </x:c>
      <x:c r="C432" s="12" t="str">
        <x:v>Low concern</x:v>
      </x:c>
      <x:c r="D432" s="12" t="str">
        <x:v>Study-specific basis is documented in the extraction and REB sheets.</x:v>
      </x:c>
      <x:c r="E432" s="12" t="str">
        <x:v>PDF pp. 2–9; Figs. 1–8</x:v>
      </x:c>
      <x:c r="F432" s="12" t="str">
        <x:v>Batch 06</x:v>
      </x:c>
    </x:row>
    <x:row r="433" ht="15" hidden="0" customHeight="1">
      <x:c r="A433" s="12" t="str">
        <x:v>S067</x:v>
      </x:c>
      <x:c r="B433" s="12" t="str">
        <x:v>D8 Wearable applicability</x:v>
      </x:c>
      <x:c r="C433" s="12" t="str">
        <x:v>Some concern</x:v>
      </x:c>
      <x:c r="D433" s="12" t="str">
        <x:v>Wearable configuration and extent of application testing are documented in the sensor and experiment sheets.</x:v>
      </x:c>
      <x:c r="E433" s="12" t="str">
        <x:v>PDF pp. 2–9; Figs. 1–8</x:v>
      </x:c>
      <x:c r="F433" s="12" t="str">
        <x:v>Batch 06</x:v>
      </x:c>
    </x:row>
    <x:row r="434" ht="15" hidden="0" customHeight="1">
      <x:c r="A434" s="12" t="str">
        <x:v>S068</x:v>
      </x:c>
      <x:c r="B434" s="12" t="str">
        <x:v>D1 Sampling/specimen selection</x:v>
      </x:c>
      <x:c r="C434" s="12" t="str">
        <x:v>High concern</x:v>
      </x:c>
      <x:c r="D434" s="12" t="str">
        <x:v>Study-specific basis is documented in the extraction and REB sheets.</x:v>
      </x:c>
      <x:c r="E434" s="12" t="str">
        <x:v>PDF pp. 2–10; Figs. 1–7; Table 1</x:v>
      </x:c>
      <x:c r="F434" s="12" t="str">
        <x:v>Batch 06</x:v>
      </x:c>
    </x:row>
    <x:row r="435" ht="15" hidden="0" customHeight="1">
      <x:c r="A435" s="12" t="str">
        <x:v>S068</x:v>
      </x:c>
      <x:c r="B435" s="12" t="str">
        <x:v>D2 Fabrication-variable control</x:v>
      </x:c>
      <x:c r="C435" s="12" t="str">
        <x:v>Some concern</x:v>
      </x:c>
      <x:c r="D435" s="12" t="str">
        <x:v>Study-specific basis is documented in the extraction and REB sheets.</x:v>
      </x:c>
      <x:c r="E435" s="12" t="str">
        <x:v>PDF pp. 2–10; Figs. 1–7; Table 1</x:v>
      </x:c>
      <x:c r="F435" s="12" t="str">
        <x:v>Batch 06</x:v>
      </x:c>
    </x:row>
    <x:row r="436" ht="15" hidden="0" customHeight="1">
      <x:c r="A436" s="12" t="str">
        <x:v>S068</x:v>
      </x:c>
      <x:c r="B436" s="12" t="str">
        <x:v>D3 Reference/calibration validity</x:v>
      </x:c>
      <x:c r="C436" s="12" t="str">
        <x:v>Low concern</x:v>
      </x:c>
      <x:c r="D436" s="12" t="str">
        <x:v>Study-specific basis is documented in the extraction and REB sheets.</x:v>
      </x:c>
      <x:c r="E436" s="12" t="str">
        <x:v>PDF pp. 2–10; Figs. 1–7; Table 1</x:v>
      </x:c>
      <x:c r="F436" s="12" t="str">
        <x:v>Batch 06</x:v>
      </x:c>
    </x:row>
    <x:row r="437" ht="15" hidden="0" customHeight="1">
      <x:c r="A437" s="12" t="str">
        <x:v>S068</x:v>
      </x:c>
      <x:c r="B437" s="12" t="str">
        <x:v>D4 Loading/exposure conditions</x:v>
      </x:c>
      <x:c r="C437" s="12" t="str">
        <x:v>Low concern</x:v>
      </x:c>
      <x:c r="D437" s="12" t="str">
        <x:v>Study-specific basis is documented in the extraction and REB sheets.</x:v>
      </x:c>
      <x:c r="E437" s="12" t="str">
        <x:v>PDF pp. 2–10; Figs. 1–7; Table 1</x:v>
      </x:c>
      <x:c r="F437" s="12" t="str">
        <x:v>Batch 06</x:v>
      </x:c>
    </x:row>
    <x:row r="438" ht="15" hidden="0" customHeight="1">
      <x:c r="A438" s="12" t="str">
        <x:v>S068</x:v>
      </x:c>
      <x:c r="B438" s="12" t="str">
        <x:v>D5 Repeated-measurement design</x:v>
      </x:c>
      <x:c r="C438" s="12" t="str">
        <x:v>Low concern</x:v>
      </x:c>
      <x:c r="D438" s="12" t="str">
        <x:v>Study-specific basis is documented in the extraction and REB sheets.</x:v>
      </x:c>
      <x:c r="E438" s="12" t="str">
        <x:v>PDF pp. 2–10; Figs. 1–7; Table 1</x:v>
      </x:c>
      <x:c r="F438" s="12" t="str">
        <x:v>Batch 06</x:v>
      </x:c>
    </x:row>
    <x:row r="439" ht="15" hidden="0" customHeight="1">
      <x:c r="A439" s="12" t="str">
        <x:v>S068</x:v>
      </x:c>
      <x:c r="B439" s="12" t="str">
        <x:v>D6 Independent-device replication</x:v>
      </x:c>
      <x:c r="C439" s="12" t="str">
        <x:v>High concern</x:v>
      </x:c>
      <x:c r="D439" s="12" t="str">
        <x:v>A qualifying same-condition comparison of at least three separately fabricated complete sensors was not identified.</x:v>
      </x:c>
      <x:c r="E439" s="12" t="str">
        <x:v>PDF pp. 2–10; Figs. 1–7; Table 1</x:v>
      </x:c>
      <x:c r="F439" s="12" t="str">
        <x:v>Batch 06</x:v>
      </x:c>
    </x:row>
    <x:row r="440" ht="15" hidden="0" customHeight="1">
      <x:c r="A440" s="12" t="str">
        <x:v>S068</x:v>
      </x:c>
      <x:c r="B440" s="12" t="str">
        <x:v>D7 Outcome completeness</x:v>
      </x:c>
      <x:c r="C440" s="12" t="str">
        <x:v>Low concern</x:v>
      </x:c>
      <x:c r="D440" s="12" t="str">
        <x:v>Study-specific basis is documented in the extraction and REB sheets.</x:v>
      </x:c>
      <x:c r="E440" s="12" t="str">
        <x:v>PDF pp. 2–10; Figs. 1–7; Table 1</x:v>
      </x:c>
      <x:c r="F440" s="12" t="str">
        <x:v>Batch 06</x:v>
      </x:c>
    </x:row>
    <x:row r="441" ht="15" hidden="0" customHeight="1">
      <x:c r="A441" s="12" t="str">
        <x:v>S068</x:v>
      </x:c>
      <x:c r="B441" s="12" t="str">
        <x:v>D8 Wearable applicability</x:v>
      </x:c>
      <x:c r="C441" s="12" t="str">
        <x:v>Some concern</x:v>
      </x:c>
      <x:c r="D441" s="12" t="str">
        <x:v>Wearable configuration and extent of application testing are documented in the sensor and experiment sheets.</x:v>
      </x:c>
      <x:c r="E441" s="12" t="str">
        <x:v>PDF pp. 2–10; Figs. 1–7; Table 1</x:v>
      </x:c>
      <x:c r="F441" s="12" t="str">
        <x:v>Batch 06</x:v>
      </x:c>
    </x:row>
    <x:row r="442" ht="15" hidden="0" customHeight="1">
      <x:c r="A442" s="12" t="str">
        <x:v>S069</x:v>
      </x:c>
      <x:c r="B442" s="12" t="str">
        <x:v>D1 Sampling/specimen selection</x:v>
      </x:c>
      <x:c r="C442" s="12" t="str">
        <x:v>Some concern</x:v>
      </x:c>
      <x:c r="D442" s="12" t="str">
        <x:v>Study-specific basis is documented in the extraction and REB sheets.</x:v>
      </x:c>
      <x:c r="E442" s="12" t="str">
        <x:v>PDF pp. 2–12; Figs. 1–11; Table 1; cited SI</x:v>
      </x:c>
      <x:c r="F442" s="12" t="str">
        <x:v>Batch 06</x:v>
      </x:c>
    </x:row>
    <x:row r="443" ht="15" hidden="0" customHeight="1">
      <x:c r="A443" s="12" t="str">
        <x:v>S069</x:v>
      </x:c>
      <x:c r="B443" s="12" t="str">
        <x:v>D2 Fabrication-variable control</x:v>
      </x:c>
      <x:c r="C443" s="12" t="str">
        <x:v>Some concern</x:v>
      </x:c>
      <x:c r="D443" s="12" t="str">
        <x:v>Study-specific basis is documented in the extraction and REB sheets.</x:v>
      </x:c>
      <x:c r="E443" s="12" t="str">
        <x:v>PDF pp. 2–12; Figs. 1–11; Table 1; cited SI</x:v>
      </x:c>
      <x:c r="F443" s="12" t="str">
        <x:v>Batch 06</x:v>
      </x:c>
    </x:row>
    <x:row r="444" ht="15" hidden="0" customHeight="1">
      <x:c r="A444" s="12" t="str">
        <x:v>S069</x:v>
      </x:c>
      <x:c r="B444" s="12" t="str">
        <x:v>D3 Reference/calibration validity</x:v>
      </x:c>
      <x:c r="C444" s="12" t="str">
        <x:v>Low concern</x:v>
      </x:c>
      <x:c r="D444" s="12" t="str">
        <x:v>Study-specific basis is documented in the extraction and REB sheets.</x:v>
      </x:c>
      <x:c r="E444" s="12" t="str">
        <x:v>PDF pp. 2–12; Figs. 1–11; Table 1; cited SI</x:v>
      </x:c>
      <x:c r="F444" s="12" t="str">
        <x:v>Batch 06</x:v>
      </x:c>
    </x:row>
    <x:row r="445" ht="15" hidden="0" customHeight="1">
      <x:c r="A445" s="12" t="str">
        <x:v>S069</x:v>
      </x:c>
      <x:c r="B445" s="12" t="str">
        <x:v>D4 Loading/exposure conditions</x:v>
      </x:c>
      <x:c r="C445" s="12" t="str">
        <x:v>Low concern</x:v>
      </x:c>
      <x:c r="D445" s="12" t="str">
        <x:v>Study-specific basis is documented in the extraction and REB sheets.</x:v>
      </x:c>
      <x:c r="E445" s="12" t="str">
        <x:v>PDF pp. 2–12; Figs. 1–11; Table 1; cited SI</x:v>
      </x:c>
      <x:c r="F445" s="12" t="str">
        <x:v>Batch 06</x:v>
      </x:c>
    </x:row>
    <x:row r="446" ht="15" hidden="0" customHeight="1">
      <x:c r="A446" s="12" t="str">
        <x:v>S069</x:v>
      </x:c>
      <x:c r="B446" s="12" t="str">
        <x:v>D5 Repeated-measurement design</x:v>
      </x:c>
      <x:c r="C446" s="12" t="str">
        <x:v>Low concern</x:v>
      </x:c>
      <x:c r="D446" s="12" t="str">
        <x:v>Study-specific basis is documented in the extraction and REB sheets.</x:v>
      </x:c>
      <x:c r="E446" s="12" t="str">
        <x:v>PDF pp. 2–12; Figs. 1–11; Table 1; cited SI</x:v>
      </x:c>
      <x:c r="F446" s="12" t="str">
        <x:v>Batch 06</x:v>
      </x:c>
    </x:row>
    <x:row r="447" ht="15" hidden="0" customHeight="1">
      <x:c r="A447" s="12" t="str">
        <x:v>S069</x:v>
      </x:c>
      <x:c r="B447" s="12" t="str">
        <x:v>D6 Independent-device replication</x:v>
      </x:c>
      <x:c r="C447" s="12" t="str">
        <x:v>High concern</x:v>
      </x:c>
      <x:c r="D447" s="12" t="str">
        <x:v>A qualifying same-condition comparison of at least three separately fabricated complete sensors was not identified.</x:v>
      </x:c>
      <x:c r="E447" s="12" t="str">
        <x:v>PDF pp. 2–12; Figs. 1–11; Table 1; cited SI</x:v>
      </x:c>
      <x:c r="F447" s="12" t="str">
        <x:v>Batch 06</x:v>
      </x:c>
    </x:row>
    <x:row r="448" ht="15" hidden="0" customHeight="1">
      <x:c r="A448" s="12" t="str">
        <x:v>S069</x:v>
      </x:c>
      <x:c r="B448" s="12" t="str">
        <x:v>D7 Outcome completeness</x:v>
      </x:c>
      <x:c r="C448" s="12" t="str">
        <x:v>Low concern</x:v>
      </x:c>
      <x:c r="D448" s="12" t="str">
        <x:v>Study-specific basis is documented in the extraction and REB sheets.</x:v>
      </x:c>
      <x:c r="E448" s="12" t="str">
        <x:v>PDF pp. 2–12; Figs. 1–11; Table 1; cited SI</x:v>
      </x:c>
      <x:c r="F448" s="12" t="str">
        <x:v>Batch 06</x:v>
      </x:c>
    </x:row>
    <x:row r="449" ht="15" hidden="0" customHeight="1">
      <x:c r="A449" s="12" t="str">
        <x:v>S069</x:v>
      </x:c>
      <x:c r="B449" s="12" t="str">
        <x:v>D8 Wearable applicability</x:v>
      </x:c>
      <x:c r="C449" s="12" t="str">
        <x:v>Some concern</x:v>
      </x:c>
      <x:c r="D449" s="12" t="str">
        <x:v>Wearable configuration and extent of application testing are documented in the sensor and experiment sheets.</x:v>
      </x:c>
      <x:c r="E449" s="12" t="str">
        <x:v>PDF pp. 2–12; Figs. 1–11; Table 1; cited SI</x:v>
      </x:c>
      <x:c r="F449" s="12" t="str">
        <x:v>Batch 06</x:v>
      </x:c>
    </x:row>
    <x:row r="450" ht="15" hidden="0" customHeight="1">
      <x:c r="A450" s="12" t="str">
        <x:v>S070</x:v>
      </x:c>
      <x:c r="B450" s="12" t="str">
        <x:v>D1 Sampling/specimen selection</x:v>
      </x:c>
      <x:c r="C450" s="12" t="str">
        <x:v>High concern</x:v>
      </x:c>
      <x:c r="D450" s="12" t="str">
        <x:v>Application evidence relies on one or an unspecified small convenience sample and device sampling is not justified.</x:v>
      </x:c>
      <x:c r="E450" s="12" t="str">
        <x:v>PDF pp. 3–9; Figs. 1–12; Tables I–III</x:v>
      </x:c>
      <x:c r="F450" s="12" t="str">
        <x:v>Batch 07</x:v>
      </x:c>
    </x:row>
    <x:row r="451" ht="15" hidden="0" customHeight="1">
      <x:c r="A451" s="12" t="str">
        <x:v>S070</x:v>
      </x:c>
      <x:c r="B451" s="12" t="str">
        <x:v>D2 Fabrication-variable control</x:v>
      </x:c>
      <x:c r="C451" s="12" t="str">
        <x:v>Low concern</x:v>
      </x:c>
      <x:c r="D451" s="12" t="str">
        <x:v>Fabrication variables and application-relevant settings are sufficiently controlled and reported.</x:v>
      </x:c>
      <x:c r="E451" s="12" t="str">
        <x:v>PDF pp. 3–9; Figs. 1–12; Tables I–III</x:v>
      </x:c>
      <x:c r="F451" s="12" t="str">
        <x:v>Batch 07</x:v>
      </x:c>
    </x:row>
    <x:row r="452" ht="15" hidden="0" customHeight="1">
      <x:c r="A452" s="12" t="str">
        <x:v>S070</x:v>
      </x:c>
      <x:c r="B452" s="12" t="str">
        <x:v>D3 Reference/calibration validity</x:v>
      </x:c>
      <x:c r="C452" s="12" t="str">
        <x:v>Low concern</x:v>
      </x:c>
      <x:c r="D452" s="12" t="str">
        <x:v>Controlled inputs and suitable reference instrumentation/procedures are reported.</x:v>
      </x:c>
      <x:c r="E452" s="12" t="str">
        <x:v>PDF pp. 3–9; Figs. 1–12; Tables I–III</x:v>
      </x:c>
      <x:c r="F452" s="12" t="str">
        <x:v>Batch 07</x:v>
      </x:c>
    </x:row>
    <x:row r="453" ht="15" hidden="0" customHeight="1">
      <x:c r="A453" s="12" t="str">
        <x:v>S070</x:v>
      </x:c>
      <x:c r="B453" s="12" t="str">
        <x:v>D4 Loading/exposure conditions</x:v>
      </x:c>
      <x:c r="C453" s="12" t="str">
        <x:v>Low concern</x:v>
      </x:c>
      <x:c r="D453" s="12" t="str">
        <x:v>Loading/exposure ranges, rates or conditions are stated for the principal experiments.</x:v>
      </x:c>
      <x:c r="E453" s="12" t="str">
        <x:v>PDF pp. 3–9; Figs. 1–12; Tables I–III</x:v>
      </x:c>
      <x:c r="F453" s="12" t="str">
        <x:v>Batch 07</x:v>
      </x:c>
    </x:row>
    <x:row r="454" ht="15" hidden="0" customHeight="1">
      <x:c r="A454" s="12" t="str">
        <x:v>S070</x:v>
      </x:c>
      <x:c r="B454" s="12" t="str">
        <x:v>D5 Repeated-measurement design</x:v>
      </x:c>
      <x:c r="C454" s="12" t="str">
        <x:v>Low concern</x:v>
      </x:c>
      <x:c r="D454" s="12" t="str">
        <x:v>The study reports at least one defined ≥3-cycle repeated-measurement or endurance protocol.</x:v>
      </x:c>
      <x:c r="E454" s="12" t="str">
        <x:v>PDF pp. 3–9; Figs. 1–12; Tables I–III</x:v>
      </x:c>
      <x:c r="F454" s="12" t="str">
        <x:v>Batch 07</x:v>
      </x:c>
    </x:row>
    <x:row r="455" ht="24" hidden="0" customHeight="1">
      <x:c r="A455" s="12" t="str">
        <x:v>S070</x:v>
      </x:c>
      <x:c r="B455" s="12" t="str">
        <x:v>D6 Independent-device replication</x:v>
      </x:c>
      <x:c r="C455" s="12" t="str">
        <x:v>High concern</x:v>
      </x:c>
      <x:c r="D455" s="12" t="str">
        <x:v>A qualifying same-condition comparison of at least three separately fabricated complete sensing units with device-level results or dispersion was not identified.</x:v>
      </x:c>
      <x:c r="E455" s="12" t="str">
        <x:v>PDF pp. 3–9; Figs. 1–12; Tables I–III</x:v>
      </x:c>
      <x:c r="F455" s="12" t="str">
        <x:v>Batch 07</x:v>
      </x:c>
    </x:row>
    <x:row r="456" ht="15" hidden="0" customHeight="1">
      <x:c r="A456" s="12" t="str">
        <x:v>S070</x:v>
      </x:c>
      <x:c r="B456" s="12" t="str">
        <x:v>D7 Outcome completeness</x:v>
      </x:c>
      <x:c r="C456" s="12" t="str">
        <x:v>Low concern</x:v>
      </x:c>
      <x:c r="D456" s="12" t="str">
        <x:v>Principal response magnitudes, ranges and relevant retention/failure behavior are reported.</x:v>
      </x:c>
      <x:c r="E456" s="12" t="str">
        <x:v>PDF pp. 3–9; Figs. 1–12; Tables I–III</x:v>
      </x:c>
      <x:c r="F456" s="12" t="str">
        <x:v>Batch 07</x:v>
      </x:c>
    </x:row>
    <x:row r="457" ht="15" hidden="0" customHeight="1">
      <x:c r="A457" s="12" t="str">
        <x:v>S070</x:v>
      </x:c>
      <x:c r="B457" s="12" t="str">
        <x:v>D8 Wearable applicability</x:v>
      </x:c>
      <x:c r="C457" s="12" t="str">
        <x:v>High concern</x:v>
      </x:c>
      <x:c r="D457" s="12" t="str">
        <x:v>Wearable evidence is limited to a single or sparsely documented demonstration.</x:v>
      </x:c>
      <x:c r="E457" s="12" t="str">
        <x:v>PDF pp. 3–9; Figs. 1–12; Tables I–III</x:v>
      </x:c>
      <x:c r="F457" s="12" t="str">
        <x:v>Batch 07</x:v>
      </x:c>
    </x:row>
    <x:row r="458" ht="15" hidden="0" customHeight="1">
      <x:c r="A458" s="12" t="str">
        <x:v>S071</x:v>
      </x:c>
      <x:c r="B458" s="12" t="str">
        <x:v>D1 Sampling/specimen selection</x:v>
      </x:c>
      <x:c r="C458" s="12" t="str">
        <x:v>Some concern</x:v>
      </x:c>
      <x:c r="D458" s="12" t="str">
        <x:v>Participant/specimen sampling is partly described, but selection and representativeness are limited.</x:v>
      </x:c>
      <x:c r="E458" s="12" t="str">
        <x:v>PDF pp. 2–10; Figs. 1–12; Tables 1–2</x:v>
      </x:c>
      <x:c r="F458" s="12" t="str">
        <x:v>Batch 07</x:v>
      </x:c>
    </x:row>
    <x:row r="459" ht="15" hidden="0" customHeight="1">
      <x:c r="A459" s="12" t="str">
        <x:v>S071</x:v>
      </x:c>
      <x:c r="B459" s="12" t="str">
        <x:v>D2 Fabrication-variable control</x:v>
      </x:c>
      <x:c r="C459" s="12" t="str">
        <x:v>Some concern</x:v>
      </x:c>
      <x:c r="D459" s="12" t="str">
        <x:v>One or more fabrication settings or platform details are absent, unresolved or internally inconsistent.</x:v>
      </x:c>
      <x:c r="E459" s="12" t="str">
        <x:v>PDF pp. 2–10; Figs. 1–12; Tables 1–2</x:v>
      </x:c>
      <x:c r="F459" s="12" t="str">
        <x:v>Batch 07</x:v>
      </x:c>
    </x:row>
    <x:row r="460" ht="15" hidden="0" customHeight="1">
      <x:c r="A460" s="12" t="str">
        <x:v>S071</x:v>
      </x:c>
      <x:c r="B460" s="12" t="str">
        <x:v>D3 Reference/calibration validity</x:v>
      </x:c>
      <x:c r="C460" s="12" t="str">
        <x:v>Low concern</x:v>
      </x:c>
      <x:c r="D460" s="12" t="str">
        <x:v>Controlled inputs and suitable reference instrumentation/procedures are reported.</x:v>
      </x:c>
      <x:c r="E460" s="12" t="str">
        <x:v>PDF pp. 2–10; Figs. 1–12; Tables 1–2</x:v>
      </x:c>
      <x:c r="F460" s="12" t="str">
        <x:v>Batch 07</x:v>
      </x:c>
    </x:row>
    <x:row r="461" ht="15" hidden="0" customHeight="1">
      <x:c r="A461" s="12" t="str">
        <x:v>S071</x:v>
      </x:c>
      <x:c r="B461" s="12" t="str">
        <x:v>D4 Loading/exposure conditions</x:v>
      </x:c>
      <x:c r="C461" s="12" t="str">
        <x:v>Low concern</x:v>
      </x:c>
      <x:c r="D461" s="12" t="str">
        <x:v>Loading/exposure ranges, rates or conditions are stated for the principal experiments.</x:v>
      </x:c>
      <x:c r="E461" s="12" t="str">
        <x:v>PDF pp. 2–10; Figs. 1–12; Tables 1–2</x:v>
      </x:c>
      <x:c r="F461" s="12" t="str">
        <x:v>Batch 07</x:v>
      </x:c>
    </x:row>
    <x:row r="462" ht="15" hidden="0" customHeight="1">
      <x:c r="A462" s="12" t="str">
        <x:v>S071</x:v>
      </x:c>
      <x:c r="B462" s="12" t="str">
        <x:v>D5 Repeated-measurement design</x:v>
      </x:c>
      <x:c r="C462" s="12" t="str">
        <x:v>Low concern</x:v>
      </x:c>
      <x:c r="D462" s="12" t="str">
        <x:v>The study reports at least one defined ≥3-cycle repeated-measurement or endurance protocol.</x:v>
      </x:c>
      <x:c r="E462" s="12" t="str">
        <x:v>PDF pp. 2–10; Figs. 1–12; Tables 1–2</x:v>
      </x:c>
      <x:c r="F462" s="12" t="str">
        <x:v>Batch 07</x:v>
      </x:c>
    </x:row>
    <x:row r="463" ht="24" hidden="0" customHeight="1">
      <x:c r="A463" s="12" t="str">
        <x:v>S071</x:v>
      </x:c>
      <x:c r="B463" s="12" t="str">
        <x:v>D6 Independent-device replication</x:v>
      </x:c>
      <x:c r="C463" s="12" t="str">
        <x:v>High concern</x:v>
      </x:c>
      <x:c r="D463" s="12" t="str">
        <x:v>A qualifying same-condition comparison of at least three separately fabricated complete sensing units with device-level results or dispersion was not identified.</x:v>
      </x:c>
      <x:c r="E463" s="12" t="str">
        <x:v>PDF pp. 2–10; Figs. 1–12; Tables 1–2</x:v>
      </x:c>
      <x:c r="F463" s="12" t="str">
        <x:v>Batch 07</x:v>
      </x:c>
    </x:row>
    <x:row r="464" ht="24" hidden="0" customHeight="1">
      <x:c r="A464" s="12" t="str">
        <x:v>S071</x:v>
      </x:c>
      <x:c r="B464" s="12" t="str">
        <x:v>D7 Outcome completeness</x:v>
      </x:c>
      <x:c r="C464" s="12" t="str">
        <x:v>Some concern</x:v>
      </x:c>
      <x:c r="D464" s="12" t="str">
        <x:v>Some principal claims rely on selected curves, inconsistent descriptions or incomplete uncertainty/device-level reporting.</x:v>
      </x:c>
      <x:c r="E464" s="12" t="str">
        <x:v>PDF pp. 2–10; Figs. 1–12; Tables 1–2</x:v>
      </x:c>
      <x:c r="F464" s="12" t="str">
        <x:v>Batch 07</x:v>
      </x:c>
    </x:row>
    <x:row r="465" ht="24" hidden="0" customHeight="1">
      <x:c r="A465" s="12" t="str">
        <x:v>S071</x:v>
      </x:c>
      <x:c r="B465" s="12" t="str">
        <x:v>D8 Wearable applicability</x:v>
      </x:c>
      <x:c r="C465" s="12" t="str">
        <x:v>Some concern</x:v>
      </x:c>
      <x:c r="D465" s="12" t="str">
        <x:v>A complete wearable configuration was demonstrated, but the participant count, comparator or protocol depth was limited.</x:v>
      </x:c>
      <x:c r="E465" s="12" t="str">
        <x:v>PDF pp. 2–10; Figs. 1–12; Tables 1–2</x:v>
      </x:c>
      <x:c r="F465" s="12" t="str">
        <x:v>Batch 07</x:v>
      </x:c>
    </x:row>
    <x:row r="466" ht="15" hidden="0" customHeight="1">
      <x:c r="A466" s="12" t="str">
        <x:v>S073</x:v>
      </x:c>
      <x:c r="B466" s="12" t="str">
        <x:v>D1 Sampling/specimen selection</x:v>
      </x:c>
      <x:c r="C466" s="12" t="str">
        <x:v>High concern</x:v>
      </x:c>
      <x:c r="D466" s="12" t="str">
        <x:v>Application evidence relies on one or an unspecified small convenience sample and device sampling is not justified.</x:v>
      </x:c>
      <x:c r="E466" s="12" t="str">
        <x:v>PDF pp. 2–13; Figs. 1–10; Tables 1–2</x:v>
      </x:c>
      <x:c r="F466" s="12" t="str">
        <x:v>Batch 07</x:v>
      </x:c>
    </x:row>
    <x:row r="467" ht="15" hidden="0" customHeight="1">
      <x:c r="A467" s="12" t="str">
        <x:v>S073</x:v>
      </x:c>
      <x:c r="B467" s="12" t="str">
        <x:v>D2 Fabrication-variable control</x:v>
      </x:c>
      <x:c r="C467" s="12" t="str">
        <x:v>Some concern</x:v>
      </x:c>
      <x:c r="D467" s="12" t="str">
        <x:v>One or more fabrication settings or platform details are absent, unresolved or internally inconsistent.</x:v>
      </x:c>
      <x:c r="E467" s="12" t="str">
        <x:v>PDF pp. 2–13; Figs. 1–10; Tables 1–2</x:v>
      </x:c>
      <x:c r="F467" s="12" t="str">
        <x:v>Batch 07</x:v>
      </x:c>
    </x:row>
    <x:row r="468" ht="15" hidden="0" customHeight="1">
      <x:c r="A468" s="12" t="str">
        <x:v>S073</x:v>
      </x:c>
      <x:c r="B468" s="12" t="str">
        <x:v>D3 Reference/calibration validity</x:v>
      </x:c>
      <x:c r="C468" s="12" t="str">
        <x:v>Some concern</x:v>
      </x:c>
      <x:c r="D468" s="12" t="str">
        <x:v>Reference/calibration details are incomplete for at least one claimed sensing or application outcome.</x:v>
      </x:c>
      <x:c r="E468" s="12" t="str">
        <x:v>PDF pp. 2–13; Figs. 1–10; Tables 1–2</x:v>
      </x:c>
      <x:c r="F468" s="12" t="str">
        <x:v>Batch 07</x:v>
      </x:c>
    </x:row>
    <x:row r="469" ht="15" hidden="0" customHeight="1">
      <x:c r="A469" s="12" t="str">
        <x:v>S073</x:v>
      </x:c>
      <x:c r="B469" s="12" t="str">
        <x:v>D4 Loading/exposure conditions</x:v>
      </x:c>
      <x:c r="C469" s="12" t="str">
        <x:v>Low concern</x:v>
      </x:c>
      <x:c r="D469" s="12" t="str">
        <x:v>Loading/exposure ranges, rates or conditions are stated for the principal experiments.</x:v>
      </x:c>
      <x:c r="E469" s="12" t="str">
        <x:v>PDF pp. 2–13; Figs. 1–10; Tables 1–2</x:v>
      </x:c>
      <x:c r="F469" s="12" t="str">
        <x:v>Batch 07</x:v>
      </x:c>
    </x:row>
    <x:row r="470" ht="15" hidden="0" customHeight="1">
      <x:c r="A470" s="12" t="str">
        <x:v>S073</x:v>
      </x:c>
      <x:c r="B470" s="12" t="str">
        <x:v>D5 Repeated-measurement design</x:v>
      </x:c>
      <x:c r="C470" s="12" t="str">
        <x:v>Low concern</x:v>
      </x:c>
      <x:c r="D470" s="12" t="str">
        <x:v>The study reports at least one defined ≥3-cycle repeated-measurement or endurance protocol.</x:v>
      </x:c>
      <x:c r="E470" s="12" t="str">
        <x:v>PDF pp. 2–13; Figs. 1–10; Tables 1–2</x:v>
      </x:c>
      <x:c r="F470" s="12" t="str">
        <x:v>Batch 07</x:v>
      </x:c>
    </x:row>
    <x:row r="471" ht="24" hidden="0" customHeight="1">
      <x:c r="A471" s="12" t="str">
        <x:v>S073</x:v>
      </x:c>
      <x:c r="B471" s="12" t="str">
        <x:v>D6 Independent-device replication</x:v>
      </x:c>
      <x:c r="C471" s="12" t="str">
        <x:v>High concern</x:v>
      </x:c>
      <x:c r="D471" s="12" t="str">
        <x:v>A qualifying same-condition comparison of at least three separately fabricated complete sensing units with device-level results or dispersion was not identified.</x:v>
      </x:c>
      <x:c r="E471" s="12" t="str">
        <x:v>PDF pp. 2–13; Figs. 1–10; Tables 1–2</x:v>
      </x:c>
      <x:c r="F471" s="12" t="str">
        <x:v>Batch 07</x:v>
      </x:c>
    </x:row>
    <x:row r="472" ht="24" hidden="0" customHeight="1">
      <x:c r="A472" s="12" t="str">
        <x:v>S073</x:v>
      </x:c>
      <x:c r="B472" s="12" t="str">
        <x:v>D7 Outcome completeness</x:v>
      </x:c>
      <x:c r="C472" s="12" t="str">
        <x:v>Some concern</x:v>
      </x:c>
      <x:c r="D472" s="12" t="str">
        <x:v>Some principal claims rely on selected curves, inconsistent descriptions or incomplete uncertainty/device-level reporting.</x:v>
      </x:c>
      <x:c r="E472" s="12" t="str">
        <x:v>PDF pp. 2–13; Figs. 1–10; Tables 1–2</x:v>
      </x:c>
      <x:c r="F472" s="12" t="str">
        <x:v>Batch 07</x:v>
      </x:c>
    </x:row>
    <x:row r="473" ht="24" hidden="0" customHeight="1">
      <x:c r="A473" s="12" t="str">
        <x:v>S073</x:v>
      </x:c>
      <x:c r="B473" s="12" t="str">
        <x:v>D8 Wearable applicability</x:v>
      </x:c>
      <x:c r="C473" s="12" t="str">
        <x:v>Some concern</x:v>
      </x:c>
      <x:c r="D473" s="12" t="str">
        <x:v>A complete wearable configuration was demonstrated, but the participant count, comparator or protocol depth was limited.</x:v>
      </x:c>
      <x:c r="E473" s="12" t="str">
        <x:v>PDF pp. 2–13; Figs. 1–10; Tables 1–2</x:v>
      </x:c>
      <x:c r="F473" s="12" t="str">
        <x:v>Batch 07</x:v>
      </x:c>
    </x:row>
    <x:row r="474" ht="15" hidden="0" customHeight="1">
      <x:c r="A474" s="12" t="str">
        <x:v>S074</x:v>
      </x:c>
      <x:c r="B474" s="12" t="str">
        <x:v>D1 Sampling/specimen selection</x:v>
      </x:c>
      <x:c r="C474" s="12" t="str">
        <x:v>Low concern</x:v>
      </x:c>
      <x:c r="D474" s="12" t="str">
        <x:v>A defined multi-participant sample was used for the wearable validation.</x:v>
      </x:c>
      <x:c r="E474" s="12" t="str">
        <x:v>PDF pp. 3–9; Figs. 1–13</x:v>
      </x:c>
      <x:c r="F474" s="12" t="str">
        <x:v>Batch 07</x:v>
      </x:c>
    </x:row>
    <x:row r="475" ht="15" hidden="0" customHeight="1">
      <x:c r="A475" s="12" t="str">
        <x:v>S074</x:v>
      </x:c>
      <x:c r="B475" s="12" t="str">
        <x:v>D2 Fabrication-variable control</x:v>
      </x:c>
      <x:c r="C475" s="12" t="str">
        <x:v>Some concern</x:v>
      </x:c>
      <x:c r="D475" s="12" t="str">
        <x:v>One or more fabrication settings or platform details are absent, unresolved or internally inconsistent.</x:v>
      </x:c>
      <x:c r="E475" s="12" t="str">
        <x:v>PDF pp. 3–9; Figs. 1–13</x:v>
      </x:c>
      <x:c r="F475" s="12" t="str">
        <x:v>Batch 07</x:v>
      </x:c>
    </x:row>
    <x:row r="476" ht="15" hidden="0" customHeight="1">
      <x:c r="A476" s="12" t="str">
        <x:v>S074</x:v>
      </x:c>
      <x:c r="B476" s="12" t="str">
        <x:v>D3 Reference/calibration validity</x:v>
      </x:c>
      <x:c r="C476" s="12" t="str">
        <x:v>Low concern</x:v>
      </x:c>
      <x:c r="D476" s="12" t="str">
        <x:v>Controlled inputs and suitable reference instrumentation/procedures are reported.</x:v>
      </x:c>
      <x:c r="E476" s="12" t="str">
        <x:v>PDF pp. 3–9; Figs. 1–13</x:v>
      </x:c>
      <x:c r="F476" s="12" t="str">
        <x:v>Batch 07</x:v>
      </x:c>
    </x:row>
    <x:row r="477" ht="15" hidden="0" customHeight="1">
      <x:c r="A477" s="12" t="str">
        <x:v>S074</x:v>
      </x:c>
      <x:c r="B477" s="12" t="str">
        <x:v>D4 Loading/exposure conditions</x:v>
      </x:c>
      <x:c r="C477" s="12" t="str">
        <x:v>Low concern</x:v>
      </x:c>
      <x:c r="D477" s="12" t="str">
        <x:v>Loading/exposure ranges, rates or conditions are stated for the principal experiments.</x:v>
      </x:c>
      <x:c r="E477" s="12" t="str">
        <x:v>PDF pp. 3–9; Figs. 1–13</x:v>
      </x:c>
      <x:c r="F477" s="12" t="str">
        <x:v>Batch 07</x:v>
      </x:c>
    </x:row>
    <x:row r="478" ht="15" hidden="0" customHeight="1">
      <x:c r="A478" s="12" t="str">
        <x:v>S074</x:v>
      </x:c>
      <x:c r="B478" s="12" t="str">
        <x:v>D5 Repeated-measurement design</x:v>
      </x:c>
      <x:c r="C478" s="12" t="str">
        <x:v>Low concern</x:v>
      </x:c>
      <x:c r="D478" s="12" t="str">
        <x:v>The study reports at least one defined ≥3-cycle repeated-measurement or endurance protocol.</x:v>
      </x:c>
      <x:c r="E478" s="12" t="str">
        <x:v>PDF pp. 3–9; Figs. 1–13</x:v>
      </x:c>
      <x:c r="F478" s="12" t="str">
        <x:v>Batch 07</x:v>
      </x:c>
    </x:row>
    <x:row r="479" ht="24" hidden="0" customHeight="1">
      <x:c r="A479" s="12" t="str">
        <x:v>S074</x:v>
      </x:c>
      <x:c r="B479" s="12" t="str">
        <x:v>D6 Independent-device replication</x:v>
      </x:c>
      <x:c r="C479" s="12" t="str">
        <x:v>High concern</x:v>
      </x:c>
      <x:c r="D479" s="12" t="str">
        <x:v>A qualifying same-condition comparison of at least three separately fabricated complete sensing units with device-level results or dispersion was not identified.</x:v>
      </x:c>
      <x:c r="E479" s="12" t="str">
        <x:v>PDF pp. 3–9; Figs. 1–13</x:v>
      </x:c>
      <x:c r="F479" s="12" t="str">
        <x:v>Batch 07</x:v>
      </x:c>
    </x:row>
    <x:row r="480" ht="15" hidden="0" customHeight="1">
      <x:c r="A480" s="12" t="str">
        <x:v>S074</x:v>
      </x:c>
      <x:c r="B480" s="12" t="str">
        <x:v>D7 Outcome completeness</x:v>
      </x:c>
      <x:c r="C480" s="12" t="str">
        <x:v>Low concern</x:v>
      </x:c>
      <x:c r="D480" s="12" t="str">
        <x:v>Principal response magnitudes, ranges and relevant retention/failure behavior are reported.</x:v>
      </x:c>
      <x:c r="E480" s="12" t="str">
        <x:v>PDF pp. 3–9; Figs. 1–13</x:v>
      </x:c>
      <x:c r="F480" s="12" t="str">
        <x:v>Batch 07</x:v>
      </x:c>
    </x:row>
    <x:row r="481" ht="15" hidden="0" customHeight="1">
      <x:c r="A481" s="12" t="str">
        <x:v>S074</x:v>
      </x:c>
      <x:c r="B481" s="12" t="str">
        <x:v>D8 Wearable applicability</x:v>
      </x:c>
      <x:c r="C481" s="12" t="str">
        <x:v>Low concern</x:v>
      </x:c>
      <x:c r="D481" s="12" t="str">
        <x:v>The complete wearable configuration was evaluated in a defined participant/application protocol.</x:v>
      </x:c>
      <x:c r="E481" s="12" t="str">
        <x:v>PDF pp. 3–9; Figs. 1–13</x:v>
      </x:c>
      <x:c r="F481" s="12" t="str">
        <x:v>Batch 07</x:v>
      </x:c>
    </x:row>
    <x:row r="482" ht="15" hidden="0" customHeight="1">
      <x:c r="A482" s="12" t="str">
        <x:v>S075</x:v>
      </x:c>
      <x:c r="B482" s="12" t="str">
        <x:v>D1 Sampling/specimen selection</x:v>
      </x:c>
      <x:c r="C482" s="12" t="str">
        <x:v>High concern</x:v>
      </x:c>
      <x:c r="D482" s="12" t="str">
        <x:v>Application evidence relies on one or an unspecified small convenience sample and device sampling is not justified.</x:v>
      </x:c>
      <x:c r="E482" s="12" t="str">
        <x:v>PDF pp. 2–8; Figs. 1–7</x:v>
      </x:c>
      <x:c r="F482" s="12" t="str">
        <x:v>Batch 07</x:v>
      </x:c>
    </x:row>
    <x:row r="483" ht="15" hidden="0" customHeight="1">
      <x:c r="A483" s="12" t="str">
        <x:v>S075</x:v>
      </x:c>
      <x:c r="B483" s="12" t="str">
        <x:v>D2 Fabrication-variable control</x:v>
      </x:c>
      <x:c r="C483" s="12" t="str">
        <x:v>Low concern</x:v>
      </x:c>
      <x:c r="D483" s="12" t="str">
        <x:v>Fabrication variables and application-relevant settings are sufficiently controlled and reported.</x:v>
      </x:c>
      <x:c r="E483" s="12" t="str">
        <x:v>PDF pp. 2–8; Figs. 1–7</x:v>
      </x:c>
      <x:c r="F483" s="12" t="str">
        <x:v>Batch 07</x:v>
      </x:c>
    </x:row>
    <x:row r="484" ht="15" hidden="0" customHeight="1">
      <x:c r="A484" s="12" t="str">
        <x:v>S075</x:v>
      </x:c>
      <x:c r="B484" s="12" t="str">
        <x:v>D3 Reference/calibration validity</x:v>
      </x:c>
      <x:c r="C484" s="12" t="str">
        <x:v>Low concern</x:v>
      </x:c>
      <x:c r="D484" s="12" t="str">
        <x:v>Controlled inputs and suitable reference instrumentation/procedures are reported.</x:v>
      </x:c>
      <x:c r="E484" s="12" t="str">
        <x:v>PDF pp. 2–8; Figs. 1–7</x:v>
      </x:c>
      <x:c r="F484" s="12" t="str">
        <x:v>Batch 07</x:v>
      </x:c>
    </x:row>
    <x:row r="485" ht="15" hidden="0" customHeight="1">
      <x:c r="A485" s="12" t="str">
        <x:v>S075</x:v>
      </x:c>
      <x:c r="B485" s="12" t="str">
        <x:v>D4 Loading/exposure conditions</x:v>
      </x:c>
      <x:c r="C485" s="12" t="str">
        <x:v>Low concern</x:v>
      </x:c>
      <x:c r="D485" s="12" t="str">
        <x:v>Loading/exposure ranges, rates or conditions are stated for the principal experiments.</x:v>
      </x:c>
      <x:c r="E485" s="12" t="str">
        <x:v>PDF pp. 2–8; Figs. 1–7</x:v>
      </x:c>
      <x:c r="F485" s="12" t="str">
        <x:v>Batch 07</x:v>
      </x:c>
    </x:row>
    <x:row r="486" ht="15" hidden="0" customHeight="1">
      <x:c r="A486" s="12" t="str">
        <x:v>S075</x:v>
      </x:c>
      <x:c r="B486" s="12" t="str">
        <x:v>D5 Repeated-measurement design</x:v>
      </x:c>
      <x:c r="C486" s="12" t="str">
        <x:v>Low concern</x:v>
      </x:c>
      <x:c r="D486" s="12" t="str">
        <x:v>The study reports at least one defined ≥3-cycle repeated-measurement or endurance protocol.</x:v>
      </x:c>
      <x:c r="E486" s="12" t="str">
        <x:v>PDF pp. 2–8; Figs. 1–7</x:v>
      </x:c>
      <x:c r="F486" s="12" t="str">
        <x:v>Batch 07</x:v>
      </x:c>
    </x:row>
    <x:row r="487" ht="24" hidden="0" customHeight="1">
      <x:c r="A487" s="12" t="str">
        <x:v>S075</x:v>
      </x:c>
      <x:c r="B487" s="12" t="str">
        <x:v>D6 Independent-device replication</x:v>
      </x:c>
      <x:c r="C487" s="12" t="str">
        <x:v>High concern</x:v>
      </x:c>
      <x:c r="D487" s="12" t="str">
        <x:v>A qualifying same-condition comparison of at least three separately fabricated complete sensing units with device-level results or dispersion was not identified.</x:v>
      </x:c>
      <x:c r="E487" s="12" t="str">
        <x:v>PDF pp. 2–8; Figs. 1–7</x:v>
      </x:c>
      <x:c r="F487" s="12" t="str">
        <x:v>Batch 07</x:v>
      </x:c>
    </x:row>
    <x:row r="488" ht="15" hidden="0" customHeight="1">
      <x:c r="A488" s="12" t="str">
        <x:v>S075</x:v>
      </x:c>
      <x:c r="B488" s="12" t="str">
        <x:v>D7 Outcome completeness</x:v>
      </x:c>
      <x:c r="C488" s="12" t="str">
        <x:v>Low concern</x:v>
      </x:c>
      <x:c r="D488" s="12" t="str">
        <x:v>Principal response magnitudes, ranges and relevant retention/failure behavior are reported.</x:v>
      </x:c>
      <x:c r="E488" s="12" t="str">
        <x:v>PDF pp. 2–8; Figs. 1–7</x:v>
      </x:c>
      <x:c r="F488" s="12" t="str">
        <x:v>Batch 07</x:v>
      </x:c>
    </x:row>
    <x:row r="489" ht="24" hidden="0" customHeight="1">
      <x:c r="A489" s="12" t="str">
        <x:v>S075</x:v>
      </x:c>
      <x:c r="B489" s="12" t="str">
        <x:v>D8 Wearable applicability</x:v>
      </x:c>
      <x:c r="C489" s="12" t="str">
        <x:v>Some concern</x:v>
      </x:c>
      <x:c r="D489" s="12" t="str">
        <x:v>A complete wearable configuration was demonstrated, but the participant count, comparator or protocol depth was limited.</x:v>
      </x:c>
      <x:c r="E489" s="12" t="str">
        <x:v>PDF pp. 2–8; Figs. 1–7</x:v>
      </x:c>
      <x:c r="F489" s="12" t="str">
        <x:v>Batch 07</x:v>
      </x:c>
    </x:row>
    <x:row r="490" ht="24" hidden="0" customHeight="1">
      <x:c r="A490" s="12" t="str">
        <x:v>S076</x:v>
      </x:c>
      <x:c r="B490" s="12" t="str">
        <x:v>D1 Sampling/specimen selection</x:v>
      </x:c>
      <x:c r="C490" s="12" t="str">
        <x:v>High concern</x:v>
      </x:c>
      <x:c r="D490" s="12" t="str">
        <x:v>Application evidence relies on one or an unspecified small convenience sample and device sampling is not justified.</x:v>
      </x:c>
      <x:c r="E490" s="12" t="str">
        <x:v>PDF pp. 3–8; Figs. 1–6; cited Supplementary Figs. S1–S10</x:v>
      </x:c>
      <x:c r="F490" s="12" t="str">
        <x:v>Batch 07</x:v>
      </x:c>
    </x:row>
    <x:row r="491" ht="24" hidden="0" customHeight="1">
      <x:c r="A491" s="12" t="str">
        <x:v>S076</x:v>
      </x:c>
      <x:c r="B491" s="12" t="str">
        <x:v>D2 Fabrication-variable control</x:v>
      </x:c>
      <x:c r="C491" s="12" t="str">
        <x:v>Some concern</x:v>
      </x:c>
      <x:c r="D491" s="12" t="str">
        <x:v>One or more fabrication settings or platform details are absent, unresolved or internally inconsistent.</x:v>
      </x:c>
      <x:c r="E491" s="12" t="str">
        <x:v>PDF pp. 3–8; Figs. 1–6; cited Supplementary Figs. S1–S10</x:v>
      </x:c>
      <x:c r="F491" s="12" t="str">
        <x:v>Batch 07</x:v>
      </x:c>
    </x:row>
    <x:row r="492" ht="24" hidden="0" customHeight="1">
      <x:c r="A492" s="12" t="str">
        <x:v>S076</x:v>
      </x:c>
      <x:c r="B492" s="12" t="str">
        <x:v>D3 Reference/calibration validity</x:v>
      </x:c>
      <x:c r="C492" s="12" t="str">
        <x:v>Low concern</x:v>
      </x:c>
      <x:c r="D492" s="12" t="str">
        <x:v>Controlled inputs and suitable reference instrumentation/procedures are reported.</x:v>
      </x:c>
      <x:c r="E492" s="12" t="str">
        <x:v>PDF pp. 3–8; Figs. 1–6; cited Supplementary Figs. S1–S10</x:v>
      </x:c>
      <x:c r="F492" s="12" t="str">
        <x:v>Batch 07</x:v>
      </x:c>
    </x:row>
    <x:row r="493" ht="24" hidden="0" customHeight="1">
      <x:c r="A493" s="12" t="str">
        <x:v>S076</x:v>
      </x:c>
      <x:c r="B493" s="12" t="str">
        <x:v>D4 Loading/exposure conditions</x:v>
      </x:c>
      <x:c r="C493" s="12" t="str">
        <x:v>Low concern</x:v>
      </x:c>
      <x:c r="D493" s="12" t="str">
        <x:v>Loading/exposure ranges, rates or conditions are stated for the principal experiments.</x:v>
      </x:c>
      <x:c r="E493" s="12" t="str">
        <x:v>PDF pp. 3–8; Figs. 1–6; cited Supplementary Figs. S1–S10</x:v>
      </x:c>
      <x:c r="F493" s="12" t="str">
        <x:v>Batch 07</x:v>
      </x:c>
    </x:row>
    <x:row r="494" ht="24" hidden="0" customHeight="1">
      <x:c r="A494" s="12" t="str">
        <x:v>S076</x:v>
      </x:c>
      <x:c r="B494" s="12" t="str">
        <x:v>D5 Repeated-measurement design</x:v>
      </x:c>
      <x:c r="C494" s="12" t="str">
        <x:v>Low concern</x:v>
      </x:c>
      <x:c r="D494" s="12" t="str">
        <x:v>The study reports at least one defined ≥3-cycle repeated-measurement or endurance protocol.</x:v>
      </x:c>
      <x:c r="E494" s="12" t="str">
        <x:v>PDF pp. 3–8; Figs. 1–6; cited Supplementary Figs. S1–S10</x:v>
      </x:c>
      <x:c r="F494" s="12" t="str">
        <x:v>Batch 07</x:v>
      </x:c>
    </x:row>
    <x:row r="495" ht="24" hidden="0" customHeight="1">
      <x:c r="A495" s="12" t="str">
        <x:v>S076</x:v>
      </x:c>
      <x:c r="B495" s="12" t="str">
        <x:v>D6 Independent-device replication</x:v>
      </x:c>
      <x:c r="C495" s="12" t="str">
        <x:v>High concern</x:v>
      </x:c>
      <x:c r="D495" s="12" t="str">
        <x:v>A qualifying same-condition comparison of at least three separately fabricated complete sensing units with device-level results or dispersion was not identified.</x:v>
      </x:c>
      <x:c r="E495" s="12" t="str">
        <x:v>PDF pp. 3–8; Figs. 1–6; cited Supplementary Figs. S1–S10</x:v>
      </x:c>
      <x:c r="F495" s="12" t="str">
        <x:v>Batch 07</x:v>
      </x:c>
    </x:row>
    <x:row r="496" ht="24" hidden="0" customHeight="1">
      <x:c r="A496" s="12" t="str">
        <x:v>S076</x:v>
      </x:c>
      <x:c r="B496" s="12" t="str">
        <x:v>D7 Outcome completeness</x:v>
      </x:c>
      <x:c r="C496" s="12" t="str">
        <x:v>Low concern</x:v>
      </x:c>
      <x:c r="D496" s="12" t="str">
        <x:v>Principal response magnitudes, ranges and relevant retention/failure behavior are reported.</x:v>
      </x:c>
      <x:c r="E496" s="12" t="str">
        <x:v>PDF pp. 3–8; Figs. 1–6; cited Supplementary Figs. S1–S10</x:v>
      </x:c>
      <x:c r="F496" s="12" t="str">
        <x:v>Batch 07</x:v>
      </x:c>
    </x:row>
    <x:row r="497" ht="24" hidden="0" customHeight="1">
      <x:c r="A497" s="12" t="str">
        <x:v>S076</x:v>
      </x:c>
      <x:c r="B497" s="12" t="str">
        <x:v>D8 Wearable applicability</x:v>
      </x:c>
      <x:c r="C497" s="12" t="str">
        <x:v>Some concern</x:v>
      </x:c>
      <x:c r="D497" s="12" t="str">
        <x:v>A complete wearable configuration was demonstrated, but the participant count, comparator or protocol depth was limited.</x:v>
      </x:c>
      <x:c r="E497" s="12" t="str">
        <x:v>PDF pp. 3–8; Figs. 1–6; cited Supplementary Figs. S1–S10</x:v>
      </x:c>
      <x:c r="F497" s="12" t="str">
        <x:v>Batch 07</x:v>
      </x:c>
    </x:row>
    <x:row r="498" ht="15" hidden="0" customHeight="1">
      <x:c r="A498" s="12" t="str">
        <x:v>S077</x:v>
      </x:c>
      <x:c r="B498" s="12" t="str">
        <x:v>D1 Sampling/specimen selection</x:v>
      </x:c>
      <x:c r="C498" s="12" t="str">
        <x:v>High concern</x:v>
      </x:c>
      <x:c r="D498" s="12" t="str">
        <x:v>Application evidence relies on one or an unspecified small convenience sample and device sampling is not justified.</x:v>
      </x:c>
      <x:c r="E498" s="12" t="str">
        <x:v>PDF pp. 3–15; Figs. 1–7; Table 1</x:v>
      </x:c>
      <x:c r="F498" s="12" t="str">
        <x:v>Batch 07</x:v>
      </x:c>
    </x:row>
    <x:row r="499" ht="15" hidden="0" customHeight="1">
      <x:c r="A499" s="12" t="str">
        <x:v>S077</x:v>
      </x:c>
      <x:c r="B499" s="12" t="str">
        <x:v>D2 Fabrication-variable control</x:v>
      </x:c>
      <x:c r="C499" s="12" t="str">
        <x:v>Low concern</x:v>
      </x:c>
      <x:c r="D499" s="12" t="str">
        <x:v>Fabrication variables and application-relevant settings are sufficiently controlled and reported.</x:v>
      </x:c>
      <x:c r="E499" s="12" t="str">
        <x:v>PDF pp. 3–15; Figs. 1–7; Table 1</x:v>
      </x:c>
      <x:c r="F499" s="12" t="str">
        <x:v>Batch 07</x:v>
      </x:c>
    </x:row>
    <x:row r="500" ht="15" hidden="0" customHeight="1">
      <x:c r="A500" s="12" t="str">
        <x:v>S077</x:v>
      </x:c>
      <x:c r="B500" s="12" t="str">
        <x:v>D3 Reference/calibration validity</x:v>
      </x:c>
      <x:c r="C500" s="12" t="str">
        <x:v>Some concern</x:v>
      </x:c>
      <x:c r="D500" s="12" t="str">
        <x:v>Reference/calibration details are incomplete for at least one claimed sensing or application outcome.</x:v>
      </x:c>
      <x:c r="E500" s="12" t="str">
        <x:v>PDF pp. 3–15; Figs. 1–7; Table 1</x:v>
      </x:c>
      <x:c r="F500" s="12" t="str">
        <x:v>Batch 07</x:v>
      </x:c>
    </x:row>
    <x:row r="501" ht="15" hidden="0" customHeight="1">
      <x:c r="A501" s="12" t="str">
        <x:v>S077</x:v>
      </x:c>
      <x:c r="B501" s="12" t="str">
        <x:v>D4 Loading/exposure conditions</x:v>
      </x:c>
      <x:c r="C501" s="12" t="str">
        <x:v>Some concern</x:v>
      </x:c>
      <x:c r="D501" s="12" t="str">
        <x:v>Conditions are incompletely specified across the multifunctional/application tests.</x:v>
      </x:c>
      <x:c r="E501" s="12" t="str">
        <x:v>PDF pp. 3–15; Figs. 1–7; Table 1</x:v>
      </x:c>
      <x:c r="F501" s="12" t="str">
        <x:v>Batch 07</x:v>
      </x:c>
    </x:row>
    <x:row r="502" ht="15" hidden="0" customHeight="1">
      <x:c r="A502" s="12" t="str">
        <x:v>S077</x:v>
      </x:c>
      <x:c r="B502" s="12" t="str">
        <x:v>D5 Repeated-measurement design</x:v>
      </x:c>
      <x:c r="C502" s="12" t="str">
        <x:v>Low concern</x:v>
      </x:c>
      <x:c r="D502" s="12" t="str">
        <x:v>The study reports at least one defined ≥3-cycle repeated-measurement or endurance protocol.</x:v>
      </x:c>
      <x:c r="E502" s="12" t="str">
        <x:v>PDF pp. 3–15; Figs. 1–7; Table 1</x:v>
      </x:c>
      <x:c r="F502" s="12" t="str">
        <x:v>Batch 07</x:v>
      </x:c>
    </x:row>
    <x:row r="503" ht="24" hidden="0" customHeight="1">
      <x:c r="A503" s="12" t="str">
        <x:v>S077</x:v>
      </x:c>
      <x:c r="B503" s="12" t="str">
        <x:v>D6 Independent-device replication</x:v>
      </x:c>
      <x:c r="C503" s="12" t="str">
        <x:v>High concern</x:v>
      </x:c>
      <x:c r="D503" s="12" t="str">
        <x:v>A qualifying same-condition comparison of at least three separately fabricated complete sensing units with device-level results or dispersion was not identified.</x:v>
      </x:c>
      <x:c r="E503" s="12" t="str">
        <x:v>PDF pp. 3–15; Figs. 1–7; Table 1</x:v>
      </x:c>
      <x:c r="F503" s="12" t="str">
        <x:v>Batch 07</x:v>
      </x:c>
    </x:row>
    <x:row r="504" ht="24" hidden="0" customHeight="1">
      <x:c r="A504" s="12" t="str">
        <x:v>S077</x:v>
      </x:c>
      <x:c r="B504" s="12" t="str">
        <x:v>D7 Outcome completeness</x:v>
      </x:c>
      <x:c r="C504" s="12" t="str">
        <x:v>Some concern</x:v>
      </x:c>
      <x:c r="D504" s="12" t="str">
        <x:v>Some principal claims rely on selected curves, inconsistent descriptions or incomplete uncertainty/device-level reporting.</x:v>
      </x:c>
      <x:c r="E504" s="12" t="str">
        <x:v>PDF pp. 3–15; Figs. 1–7; Table 1</x:v>
      </x:c>
      <x:c r="F504" s="12" t="str">
        <x:v>Batch 07</x:v>
      </x:c>
    </x:row>
    <x:row r="505" ht="24" hidden="0" customHeight="1">
      <x:c r="A505" s="12" t="str">
        <x:v>S077</x:v>
      </x:c>
      <x:c r="B505" s="12" t="str">
        <x:v>D8 Wearable applicability</x:v>
      </x:c>
      <x:c r="C505" s="12" t="str">
        <x:v>Some concern</x:v>
      </x:c>
      <x:c r="D505" s="12" t="str">
        <x:v>A complete wearable configuration was demonstrated, but the participant count, comparator or protocol depth was limited.</x:v>
      </x:c>
      <x:c r="E505" s="12" t="str">
        <x:v>PDF pp. 3–15; Figs. 1–7; Table 1</x:v>
      </x:c>
      <x:c r="F505" s="12" t="str">
        <x:v>Batch 07</x:v>
      </x:c>
    </x:row>
    <x:row r="506" ht="24" hidden="0" customHeight="1">
      <x:c r="A506" s="12" t="str">
        <x:v>S078</x:v>
      </x:c>
      <x:c r="B506" s="12" t="str">
        <x:v>D1 Sampling/specimen selection</x:v>
      </x:c>
      <x:c r="C506" s="12" t="str">
        <x:v>High concern</x:v>
      </x:c>
      <x:c r="D506" s="12" t="str">
        <x:v>Application evidence relies on one or an unspecified small convenience sample and device sampling is not justified.</x:v>
      </x:c>
      <x:c r="E506" s="12" t="str">
        <x:v>PDF pp. 3–8; Figs. 1–6; Supporting Table S1 cited</x:v>
      </x:c>
      <x:c r="F506" s="12" t="str">
        <x:v>Batch 07</x:v>
      </x:c>
    </x:row>
    <x:row r="507" ht="24" hidden="0" customHeight="1">
      <x:c r="A507" s="12" t="str">
        <x:v>S078</x:v>
      </x:c>
      <x:c r="B507" s="12" t="str">
        <x:v>D2 Fabrication-variable control</x:v>
      </x:c>
      <x:c r="C507" s="12" t="str">
        <x:v>Some concern</x:v>
      </x:c>
      <x:c r="D507" s="12" t="str">
        <x:v>One or more fabrication settings or platform details are absent, unresolved or internally inconsistent.</x:v>
      </x:c>
      <x:c r="E507" s="12" t="str">
        <x:v>PDF pp. 3–8; Figs. 1–6; Supporting Table S1 cited</x:v>
      </x:c>
      <x:c r="F507" s="12" t="str">
        <x:v>Batch 07</x:v>
      </x:c>
    </x:row>
    <x:row r="508" ht="24" hidden="0" customHeight="1">
      <x:c r="A508" s="12" t="str">
        <x:v>S078</x:v>
      </x:c>
      <x:c r="B508" s="12" t="str">
        <x:v>D3 Reference/calibration validity</x:v>
      </x:c>
      <x:c r="C508" s="12" t="str">
        <x:v>Low concern</x:v>
      </x:c>
      <x:c r="D508" s="12" t="str">
        <x:v>Controlled inputs and suitable reference instrumentation/procedures are reported.</x:v>
      </x:c>
      <x:c r="E508" s="12" t="str">
        <x:v>PDF pp. 3–8; Figs. 1–6; Supporting Table S1 cited</x:v>
      </x:c>
      <x:c r="F508" s="12" t="str">
        <x:v>Batch 07</x:v>
      </x:c>
    </x:row>
    <x:row r="509" ht="24" hidden="0" customHeight="1">
      <x:c r="A509" s="12" t="str">
        <x:v>S078</x:v>
      </x:c>
      <x:c r="B509" s="12" t="str">
        <x:v>D4 Loading/exposure conditions</x:v>
      </x:c>
      <x:c r="C509" s="12" t="str">
        <x:v>Low concern</x:v>
      </x:c>
      <x:c r="D509" s="12" t="str">
        <x:v>Loading/exposure ranges, rates or conditions are stated for the principal experiments.</x:v>
      </x:c>
      <x:c r="E509" s="12" t="str">
        <x:v>PDF pp. 3–8; Figs. 1–6; Supporting Table S1 cited</x:v>
      </x:c>
      <x:c r="F509" s="12" t="str">
        <x:v>Batch 07</x:v>
      </x:c>
    </x:row>
    <x:row r="510" ht="24" hidden="0" customHeight="1">
      <x:c r="A510" s="12" t="str">
        <x:v>S078</x:v>
      </x:c>
      <x:c r="B510" s="12" t="str">
        <x:v>D5 Repeated-measurement design</x:v>
      </x:c>
      <x:c r="C510" s="12" t="str">
        <x:v>Low concern</x:v>
      </x:c>
      <x:c r="D510" s="12" t="str">
        <x:v>The study reports at least one defined ≥3-cycle repeated-measurement or endurance protocol.</x:v>
      </x:c>
      <x:c r="E510" s="12" t="str">
        <x:v>PDF pp. 3–8; Figs. 1–6; Supporting Table S1 cited</x:v>
      </x:c>
      <x:c r="F510" s="12" t="str">
        <x:v>Batch 07</x:v>
      </x:c>
    </x:row>
    <x:row r="511" ht="24" hidden="0" customHeight="1">
      <x:c r="A511" s="12" t="str">
        <x:v>S078</x:v>
      </x:c>
      <x:c r="B511" s="12" t="str">
        <x:v>D6 Independent-device replication</x:v>
      </x:c>
      <x:c r="C511" s="12" t="str">
        <x:v>High concern</x:v>
      </x:c>
      <x:c r="D511" s="12" t="str">
        <x:v>A qualifying same-condition comparison of at least three separately fabricated complete sensing units with device-level results or dispersion was not identified.</x:v>
      </x:c>
      <x:c r="E511" s="12" t="str">
        <x:v>PDF pp. 3–8; Figs. 1–6; Supporting Table S1 cited</x:v>
      </x:c>
      <x:c r="F511" s="12" t="str">
        <x:v>Batch 07</x:v>
      </x:c>
    </x:row>
    <x:row r="512" ht="24" hidden="0" customHeight="1">
      <x:c r="A512" s="12" t="str">
        <x:v>S078</x:v>
      </x:c>
      <x:c r="B512" s="12" t="str">
        <x:v>D7 Outcome completeness</x:v>
      </x:c>
      <x:c r="C512" s="12" t="str">
        <x:v>Low concern</x:v>
      </x:c>
      <x:c r="D512" s="12" t="str">
        <x:v>Principal response magnitudes, ranges and relevant retention/failure behavior are reported.</x:v>
      </x:c>
      <x:c r="E512" s="12" t="str">
        <x:v>PDF pp. 3–8; Figs. 1–6; Supporting Table S1 cited</x:v>
      </x:c>
      <x:c r="F512" s="12" t="str">
        <x:v>Batch 07</x:v>
      </x:c>
    </x:row>
    <x:row r="513" ht="24" hidden="0" customHeight="1">
      <x:c r="A513" s="12" t="str">
        <x:v>S078</x:v>
      </x:c>
      <x:c r="B513" s="12" t="str">
        <x:v>D8 Wearable applicability</x:v>
      </x:c>
      <x:c r="C513" s="12" t="str">
        <x:v>Some concern</x:v>
      </x:c>
      <x:c r="D513" s="12" t="str">
        <x:v>A complete wearable configuration was demonstrated, but the participant count, comparator or protocol depth was limited.</x:v>
      </x:c>
      <x:c r="E513" s="12" t="str">
        <x:v>PDF pp. 3–8; Figs. 1–6; Supporting Table S1 cited</x:v>
      </x:c>
      <x:c r="F513" s="12" t="str">
        <x:v>Batch 07</x:v>
      </x:c>
    </x:row>
    <x:row r="514" ht="24" hidden="0" customHeight="1">
      <x:c r="A514" s="12" t="str">
        <x:v>S079</x:v>
      </x:c>
      <x:c r="B514" s="12" t="str">
        <x:v>D1 Sampling/specimen selection</x:v>
      </x:c>
      <x:c r="C514" s="12" t="str">
        <x:v>Some concern</x:v>
      </x:c>
      <x:c r="D514" s="12" t="str">
        <x:v>Participant/specimen sampling is partly described, but selection and representativeness are limited.</x:v>
      </x:c>
      <x:c r="E514" s="12" t="str">
        <x:v>PDF pp. 2–12; Figs. 1–8; Supplementary Figs. S1–S15 cited</x:v>
      </x:c>
      <x:c r="F514" s="12" t="str">
        <x:v>Batch 07</x:v>
      </x:c>
    </x:row>
    <x:row r="515" ht="24" hidden="0" customHeight="1">
      <x:c r="A515" s="12" t="str">
        <x:v>S079</x:v>
      </x:c>
      <x:c r="B515" s="12" t="str">
        <x:v>D2 Fabrication-variable control</x:v>
      </x:c>
      <x:c r="C515" s="12" t="str">
        <x:v>Some concern</x:v>
      </x:c>
      <x:c r="D515" s="12" t="str">
        <x:v>One or more fabrication settings or platform details are absent, unresolved or internally inconsistent.</x:v>
      </x:c>
      <x:c r="E515" s="12" t="str">
        <x:v>PDF pp. 2–12; Figs. 1–8; Supplementary Figs. S1–S15 cited</x:v>
      </x:c>
      <x:c r="F515" s="12" t="str">
        <x:v>Batch 07</x:v>
      </x:c>
    </x:row>
    <x:row r="516" ht="24" hidden="0" customHeight="1">
      <x:c r="A516" s="12" t="str">
        <x:v>S079</x:v>
      </x:c>
      <x:c r="B516" s="12" t="str">
        <x:v>D3 Reference/calibration validity</x:v>
      </x:c>
      <x:c r="C516" s="12" t="str">
        <x:v>Low concern</x:v>
      </x:c>
      <x:c r="D516" s="12" t="str">
        <x:v>Controlled inputs and suitable reference instrumentation/procedures are reported.</x:v>
      </x:c>
      <x:c r="E516" s="12" t="str">
        <x:v>PDF pp. 2–12; Figs. 1–8; Supplementary Figs. S1–S15 cited</x:v>
      </x:c>
      <x:c r="F516" s="12" t="str">
        <x:v>Batch 07</x:v>
      </x:c>
    </x:row>
    <x:row r="517" ht="24" hidden="0" customHeight="1">
      <x:c r="A517" s="12" t="str">
        <x:v>S079</x:v>
      </x:c>
      <x:c r="B517" s="12" t="str">
        <x:v>D4 Loading/exposure conditions</x:v>
      </x:c>
      <x:c r="C517" s="12" t="str">
        <x:v>Low concern</x:v>
      </x:c>
      <x:c r="D517" s="12" t="str">
        <x:v>Loading/exposure ranges, rates or conditions are stated for the principal experiments.</x:v>
      </x:c>
      <x:c r="E517" s="12" t="str">
        <x:v>PDF pp. 2–12; Figs. 1–8; Supplementary Figs. S1–S15 cited</x:v>
      </x:c>
      <x:c r="F517" s="12" t="str">
        <x:v>Batch 07</x:v>
      </x:c>
    </x:row>
    <x:row r="518" ht="24" hidden="0" customHeight="1">
      <x:c r="A518" s="12" t="str">
        <x:v>S079</x:v>
      </x:c>
      <x:c r="B518" s="12" t="str">
        <x:v>D5 Repeated-measurement design</x:v>
      </x:c>
      <x:c r="C518" s="12" t="str">
        <x:v>Low concern</x:v>
      </x:c>
      <x:c r="D518" s="12" t="str">
        <x:v>The study reports at least one defined ≥3-cycle repeated-measurement or endurance protocol.</x:v>
      </x:c>
      <x:c r="E518" s="12" t="str">
        <x:v>PDF pp. 2–12; Figs. 1–8; Supplementary Figs. S1–S15 cited</x:v>
      </x:c>
      <x:c r="F518" s="12" t="str">
        <x:v>Batch 07</x:v>
      </x:c>
    </x:row>
    <x:row r="519" ht="24" hidden="0" customHeight="1">
      <x:c r="A519" s="12" t="str">
        <x:v>S079</x:v>
      </x:c>
      <x:c r="B519" s="12" t="str">
        <x:v>D6 Independent-device replication</x:v>
      </x:c>
      <x:c r="C519" s="12" t="str">
        <x:v>High concern</x:v>
      </x:c>
      <x:c r="D519" s="12" t="str">
        <x:v>A qualifying same-condition comparison of at least three separately fabricated complete sensing units with device-level results or dispersion was not identified.</x:v>
      </x:c>
      <x:c r="E519" s="12" t="str">
        <x:v>PDF pp. 2–12; Figs. 1–8; Supplementary Figs. S1–S15 cited</x:v>
      </x:c>
      <x:c r="F519" s="12" t="str">
        <x:v>Batch 07</x:v>
      </x:c>
    </x:row>
    <x:row r="520" ht="24" hidden="0" customHeight="1">
      <x:c r="A520" s="12" t="str">
        <x:v>S079</x:v>
      </x:c>
      <x:c r="B520" s="12" t="str">
        <x:v>D7 Outcome completeness</x:v>
      </x:c>
      <x:c r="C520" s="12" t="str">
        <x:v>Some concern</x:v>
      </x:c>
      <x:c r="D520" s="12" t="str">
        <x:v>Some principal claims rely on selected curves, inconsistent descriptions or incomplete uncertainty/device-level reporting.</x:v>
      </x:c>
      <x:c r="E520" s="12" t="str">
        <x:v>PDF pp. 2–12; Figs. 1–8; Supplementary Figs. S1–S15 cited</x:v>
      </x:c>
      <x:c r="F520" s="12" t="str">
        <x:v>Batch 07</x:v>
      </x:c>
    </x:row>
    <x:row r="521" ht="24" hidden="0" customHeight="1">
      <x:c r="A521" s="12" t="str">
        <x:v>S079</x:v>
      </x:c>
      <x:c r="B521" s="12" t="str">
        <x:v>D8 Wearable applicability</x:v>
      </x:c>
      <x:c r="C521" s="12" t="str">
        <x:v>Low concern</x:v>
      </x:c>
      <x:c r="D521" s="12" t="str">
        <x:v>The complete wearable configuration was evaluated in a defined participant/application protocol.</x:v>
      </x:c>
      <x:c r="E521" s="12" t="str">
        <x:v>PDF pp. 2–12; Figs. 1–8; Supplementary Figs. S1–S15 cited</x:v>
      </x:c>
      <x:c r="F521" s="12" t="str">
        <x:v>Batch 07</x:v>
      </x:c>
    </x:row>
    <x:row r="522" ht="24" hidden="0" customHeight="1">
      <x:c r="A522" s="12" t="str">
        <x:v>S080</x:v>
      </x:c>
      <x:c r="B522" s="12" t="str">
        <x:v>D1 Sampling/specimen selection</x:v>
      </x:c>
      <x:c r="C522" s="12" t="str">
        <x:v>High concern</x:v>
      </x:c>
      <x:c r="D522" s="12" t="str">
        <x:v>Device sampling was not justified and wearable testing used one, two or an unspecified small number of participants.</x:v>
      </x:c>
      <x:c r="E522" s="12" t="str">
        <x:v>PDF pp. 2, 4–12; Figs. 1–8</x:v>
      </x:c>
      <x:c r="F522" s="12" t="str">
        <x:v>Batch 08</x:v>
      </x:c>
    </x:row>
    <x:row r="523" ht="15" hidden="0" customHeight="1">
      <x:c r="A523" s="12" t="str">
        <x:v>S080</x:v>
      </x:c>
      <x:c r="B523" s="12" t="str">
        <x:v>D2 Fabrication-variable control</x:v>
      </x:c>
      <x:c r="C523" s="12" t="str">
        <x:v>Some concern</x:v>
      </x:c>
      <x:c r="D523" s="12" t="str">
        <x:v>One or more platform, nozzle, layer-height, infill or toolpath details are absent.</x:v>
      </x:c>
      <x:c r="E523" s="12" t="str">
        <x:v>PDF pp. 2, 4–12; Figs. 1–8</x:v>
      </x:c>
      <x:c r="F523" s="12" t="str">
        <x:v>Batch 08</x:v>
      </x:c>
    </x:row>
    <x:row r="524" ht="24" hidden="0" customHeight="1">
      <x:c r="A524" s="12" t="str">
        <x:v>S080</x:v>
      </x:c>
      <x:c r="B524" s="12" t="str">
        <x:v>D3 Reference/calibration validity</x:v>
      </x:c>
      <x:c r="C524" s="12" t="str">
        <x:v>Some concern</x:v>
      </x:c>
      <x:c r="D524" s="12" t="str">
        <x:v>The application demonstration lacks an independent physiological comparator or independently measured joint angle.</x:v>
      </x:c>
      <x:c r="E524" s="12" t="str">
        <x:v>PDF pp. 2, 4–12; Figs. 1–8</x:v>
      </x:c>
      <x:c r="F524" s="12" t="str">
        <x:v>Batch 08</x:v>
      </x:c>
    </x:row>
    <x:row r="525" ht="15" hidden="0" customHeight="1">
      <x:c r="A525" s="12" t="str">
        <x:v>S080</x:v>
      </x:c>
      <x:c r="B525" s="12" t="str">
        <x:v>D4 Loading/exposure conditions</x:v>
      </x:c>
      <x:c r="C525" s="12" t="str">
        <x:v>Low concern</x:v>
      </x:c>
      <x:c r="D525" s="12" t="str">
        <x:v>Principal loading ranges, rates, holds or cycle conditions are stated.</x:v>
      </x:c>
      <x:c r="E525" s="12" t="str">
        <x:v>PDF pp. 2, 4–12; Figs. 1–8</x:v>
      </x:c>
      <x:c r="F525" s="12" t="str">
        <x:v>Batch 08</x:v>
      </x:c>
    </x:row>
    <x:row r="526" ht="15" hidden="0" customHeight="1">
      <x:c r="A526" s="12" t="str">
        <x:v>S080</x:v>
      </x:c>
      <x:c r="B526" s="12" t="str">
        <x:v>D5 Repeated-measurement design</x:v>
      </x:c>
      <x:c r="C526" s="12" t="str">
        <x:v>Low concern</x:v>
      </x:c>
      <x:c r="D526" s="12" t="str">
        <x:v>At least one defined repeated-measurement or endurance protocol is reported.</x:v>
      </x:c>
      <x:c r="E526" s="12" t="str">
        <x:v>PDF pp. 2, 4–12; Figs. 1–8</x:v>
      </x:c>
      <x:c r="F526" s="12" t="str">
        <x:v>Batch 08</x:v>
      </x:c>
    </x:row>
    <x:row r="527" ht="24" hidden="0" customHeight="1">
      <x:c r="A527" s="12" t="str">
        <x:v>S080</x:v>
      </x:c>
      <x:c r="B527" s="12" t="str">
        <x:v>D6 Independent-device replication</x:v>
      </x:c>
      <x:c r="C527" s="12" t="str">
        <x:v>High concern</x:v>
      </x:c>
      <x:c r="D527" s="12" t="str">
        <x:v>A same-condition comparison of at least three separately fabricated complete sensing units with device-level results or dispersion was not identified.</x:v>
      </x:c>
      <x:c r="E527" s="12" t="str">
        <x:v>PDF pp. 2, 4–12; Figs. 1–8</x:v>
      </x:c>
      <x:c r="F527" s="12" t="str">
        <x:v>Batch 08</x:v>
      </x:c>
    </x:row>
    <x:row r="528" ht="15" hidden="0" customHeight="1">
      <x:c r="A528" s="12" t="str">
        <x:v>S080</x:v>
      </x:c>
      <x:c r="B528" s="12" t="str">
        <x:v>D7 Outcome completeness</x:v>
      </x:c>
      <x:c r="C528" s="12" t="str">
        <x:v>Some concern</x:v>
      </x:c>
      <x:c r="D528" s="12" t="str">
        <x:v>Principal outcomes are quantitative, but device-level uncertainty/dispersion or retention magnitude is incomplete.</x:v>
      </x:c>
      <x:c r="E528" s="12" t="str">
        <x:v>PDF pp. 2, 4–12; Figs. 1–8</x:v>
      </x:c>
      <x:c r="F528" s="12" t="str">
        <x:v>Batch 08</x:v>
      </x:c>
    </x:row>
    <x:row r="529" ht="15" hidden="0" customHeight="1">
      <x:c r="A529" s="12" t="str">
        <x:v>S080</x:v>
      </x:c>
      <x:c r="B529" s="12" t="str">
        <x:v>D8 Wearable applicability</x:v>
      </x:c>
      <x:c r="C529" s="12" t="str">
        <x:v>Some concern</x:v>
      </x:c>
      <x:c r="D529" s="12" t="str">
        <x:v>A complete wearable configuration was demonstrated, but participant count, comparator or protocol depth is limited.</x:v>
      </x:c>
      <x:c r="E529" s="12" t="str">
        <x:v>PDF pp. 2, 4–12; Figs. 1–8</x:v>
      </x:c>
      <x:c r="F529" s="12" t="str">
        <x:v>Batch 08</x:v>
      </x:c>
    </x:row>
    <x:row r="530" ht="24" hidden="0" customHeight="1">
      <x:c r="A530" s="12" t="str">
        <x:v>S081</x:v>
      </x:c>
      <x:c r="B530" s="12" t="str">
        <x:v>D1 Sampling/specimen selection</x:v>
      </x:c>
      <x:c r="C530" s="12" t="str">
        <x:v>High concern</x:v>
      </x:c>
      <x:c r="D530" s="12" t="str">
        <x:v>Device sampling was not justified and wearable testing used one, two or an unspecified small number of participants.</x:v>
      </x:c>
      <x:c r="E530" s="12" t="str">
        <x:v>PDF pp. 3–7; Figs. 1–8; Table I</x:v>
      </x:c>
      <x:c r="F530" s="12" t="str">
        <x:v>Batch 08</x:v>
      </x:c>
    </x:row>
    <x:row r="531" ht="15" hidden="0" customHeight="1">
      <x:c r="A531" s="12" t="str">
        <x:v>S081</x:v>
      </x:c>
      <x:c r="B531" s="12" t="str">
        <x:v>D2 Fabrication-variable control</x:v>
      </x:c>
      <x:c r="C531" s="12" t="str">
        <x:v>Some concern</x:v>
      </x:c>
      <x:c r="D531" s="12" t="str">
        <x:v>One or more platform, nozzle, layer-height, infill or toolpath details are absent.</x:v>
      </x:c>
      <x:c r="E531" s="12" t="str">
        <x:v>PDF pp. 3–7; Figs. 1–8; Table I</x:v>
      </x:c>
      <x:c r="F531" s="12" t="str">
        <x:v>Batch 08</x:v>
      </x:c>
    </x:row>
    <x:row r="532" ht="15" hidden="0" customHeight="1">
      <x:c r="A532" s="12" t="str">
        <x:v>S081</x:v>
      </x:c>
      <x:c r="B532" s="12" t="str">
        <x:v>D3 Reference/calibration validity</x:v>
      </x:c>
      <x:c r="C532" s="12" t="str">
        <x:v>Low concern</x:v>
      </x:c>
      <x:c r="D532" s="12" t="str">
        <x:v>Controlled inputs and suitable reference instruments/procedures are reported.</x:v>
      </x:c>
      <x:c r="E532" s="12" t="str">
        <x:v>PDF pp. 3–7; Figs. 1–8; Table I</x:v>
      </x:c>
      <x:c r="F532" s="12" t="str">
        <x:v>Batch 08</x:v>
      </x:c>
    </x:row>
    <x:row r="533" ht="15" hidden="0" customHeight="1">
      <x:c r="A533" s="12" t="str">
        <x:v>S081</x:v>
      </x:c>
      <x:c r="B533" s="12" t="str">
        <x:v>D4 Loading/exposure conditions</x:v>
      </x:c>
      <x:c r="C533" s="12" t="str">
        <x:v>Low concern</x:v>
      </x:c>
      <x:c r="D533" s="12" t="str">
        <x:v>Principal loading ranges, rates, holds or cycle conditions are stated.</x:v>
      </x:c>
      <x:c r="E533" s="12" t="str">
        <x:v>PDF pp. 3–7; Figs. 1–8; Table I</x:v>
      </x:c>
      <x:c r="F533" s="12" t="str">
        <x:v>Batch 08</x:v>
      </x:c>
    </x:row>
    <x:row r="534" ht="15" hidden="0" customHeight="1">
      <x:c r="A534" s="12" t="str">
        <x:v>S081</x:v>
      </x:c>
      <x:c r="B534" s="12" t="str">
        <x:v>D5 Repeated-measurement design</x:v>
      </x:c>
      <x:c r="C534" s="12" t="str">
        <x:v>Low concern</x:v>
      </x:c>
      <x:c r="D534" s="12" t="str">
        <x:v>At least one defined repeated-measurement or endurance protocol is reported.</x:v>
      </x:c>
      <x:c r="E534" s="12" t="str">
        <x:v>PDF pp. 3–7; Figs. 1–8; Table I</x:v>
      </x:c>
      <x:c r="F534" s="12" t="str">
        <x:v>Batch 08</x:v>
      </x:c>
    </x:row>
    <x:row r="535" ht="24" hidden="0" customHeight="1">
      <x:c r="A535" s="12" t="str">
        <x:v>S081</x:v>
      </x:c>
      <x:c r="B535" s="12" t="str">
        <x:v>D6 Independent-device replication</x:v>
      </x:c>
      <x:c r="C535" s="12" t="str">
        <x:v>High concern</x:v>
      </x:c>
      <x:c r="D535" s="12" t="str">
        <x:v>A same-condition comparison of at least three separately fabricated complete sensing units with device-level results or dispersion was not identified.</x:v>
      </x:c>
      <x:c r="E535" s="12" t="str">
        <x:v>PDF pp. 3–7; Figs. 1–8; Table I</x:v>
      </x:c>
      <x:c r="F535" s="12" t="str">
        <x:v>Batch 08</x:v>
      </x:c>
    </x:row>
    <x:row r="536" ht="15" hidden="0" customHeight="1">
      <x:c r="A536" s="12" t="str">
        <x:v>S081</x:v>
      </x:c>
      <x:c r="B536" s="12" t="str">
        <x:v>D7 Outcome completeness</x:v>
      </x:c>
      <x:c r="C536" s="12" t="str">
        <x:v>Low concern</x:v>
      </x:c>
      <x:c r="D536" s="12" t="str">
        <x:v>Principal response magnitudes, ranges and stability/failure behavior are quantitatively reported.</x:v>
      </x:c>
      <x:c r="E536" s="12" t="str">
        <x:v>PDF pp. 3–7; Figs. 1–8; Table I</x:v>
      </x:c>
      <x:c r="F536" s="12" t="str">
        <x:v>Batch 08</x:v>
      </x:c>
    </x:row>
    <x:row r="537" ht="15" hidden="0" customHeight="1">
      <x:c r="A537" s="12" t="str">
        <x:v>S081</x:v>
      </x:c>
      <x:c r="B537" s="12" t="str">
        <x:v>D8 Wearable applicability</x:v>
      </x:c>
      <x:c r="C537" s="12" t="str">
        <x:v>Some concern</x:v>
      </x:c>
      <x:c r="D537" s="12" t="str">
        <x:v>A complete wearable configuration was demonstrated, but participant count, comparator or protocol depth is limited.</x:v>
      </x:c>
      <x:c r="E537" s="12" t="str">
        <x:v>PDF pp. 3–7; Figs. 1–8; Table I</x:v>
      </x:c>
      <x:c r="F537" s="12" t="str">
        <x:v>Batch 08</x:v>
      </x:c>
    </x:row>
    <x:row r="538" ht="24" hidden="0" customHeight="1">
      <x:c r="A538" s="12" t="str">
        <x:v>S082</x:v>
      </x:c>
      <x:c r="B538" s="12" t="str">
        <x:v>D1 Sampling/specimen selection</x:v>
      </x:c>
      <x:c r="C538" s="12" t="str">
        <x:v>High concern</x:v>
      </x:c>
      <x:c r="D538" s="12" t="str">
        <x:v>Device sampling was not justified and wearable testing used one, two or an unspecified small number of participants.</x:v>
      </x:c>
      <x:c r="E538" s="12" t="str">
        <x:v>PDF pp. 4–12; Figs. 1–7; Supplementary Figs. S1–S5 cited</x:v>
      </x:c>
      <x:c r="F538" s="12" t="str">
        <x:v>Batch 08</x:v>
      </x:c>
    </x:row>
    <x:row r="539" ht="24" hidden="0" customHeight="1">
      <x:c r="A539" s="12" t="str">
        <x:v>S082</x:v>
      </x:c>
      <x:c r="B539" s="12" t="str">
        <x:v>D2 Fabrication-variable control</x:v>
      </x:c>
      <x:c r="C539" s="12" t="str">
        <x:v>Some concern</x:v>
      </x:c>
      <x:c r="D539" s="12" t="str">
        <x:v>One or more platform, nozzle, layer-height, infill or toolpath details are absent.</x:v>
      </x:c>
      <x:c r="E539" s="12" t="str">
        <x:v>PDF pp. 4–12; Figs. 1–7; Supplementary Figs. S1–S5 cited</x:v>
      </x:c>
      <x:c r="F539" s="12" t="str">
        <x:v>Batch 08</x:v>
      </x:c>
    </x:row>
    <x:row r="540" ht="24" hidden="0" customHeight="1">
      <x:c r="A540" s="12" t="str">
        <x:v>S082</x:v>
      </x:c>
      <x:c r="B540" s="12" t="str">
        <x:v>D3 Reference/calibration validity</x:v>
      </x:c>
      <x:c r="C540" s="12" t="str">
        <x:v>Low concern</x:v>
      </x:c>
      <x:c r="D540" s="12" t="str">
        <x:v>Controlled inputs and suitable reference instruments/procedures are reported.</x:v>
      </x:c>
      <x:c r="E540" s="12" t="str">
        <x:v>PDF pp. 4–12; Figs. 1–7; Supplementary Figs. S1–S5 cited</x:v>
      </x:c>
      <x:c r="F540" s="12" t="str">
        <x:v>Batch 08</x:v>
      </x:c>
    </x:row>
    <x:row r="541" ht="24" hidden="0" customHeight="1">
      <x:c r="A541" s="12" t="str">
        <x:v>S082</x:v>
      </x:c>
      <x:c r="B541" s="12" t="str">
        <x:v>D4 Loading/exposure conditions</x:v>
      </x:c>
      <x:c r="C541" s="12" t="str">
        <x:v>Low concern</x:v>
      </x:c>
      <x:c r="D541" s="12" t="str">
        <x:v>Principal loading ranges, rates, holds or cycle conditions are stated.</x:v>
      </x:c>
      <x:c r="E541" s="12" t="str">
        <x:v>PDF pp. 4–12; Figs. 1–7; Supplementary Figs. S1–S5 cited</x:v>
      </x:c>
      <x:c r="F541" s="12" t="str">
        <x:v>Batch 08</x:v>
      </x:c>
    </x:row>
    <x:row r="542" ht="24" hidden="0" customHeight="1">
      <x:c r="A542" s="12" t="str">
        <x:v>S082</x:v>
      </x:c>
      <x:c r="B542" s="12" t="str">
        <x:v>D5 Repeated-measurement design</x:v>
      </x:c>
      <x:c r="C542" s="12" t="str">
        <x:v>Low concern</x:v>
      </x:c>
      <x:c r="D542" s="12" t="str">
        <x:v>At least one defined repeated-measurement or endurance protocol is reported.</x:v>
      </x:c>
      <x:c r="E542" s="12" t="str">
        <x:v>PDF pp. 4–12; Figs. 1–7; Supplementary Figs. S1–S5 cited</x:v>
      </x:c>
      <x:c r="F542" s="12" t="str">
        <x:v>Batch 08</x:v>
      </x:c>
    </x:row>
    <x:row r="543" ht="24" hidden="0" customHeight="1">
      <x:c r="A543" s="12" t="str">
        <x:v>S082</x:v>
      </x:c>
      <x:c r="B543" s="12" t="str">
        <x:v>D6 Independent-device replication</x:v>
      </x:c>
      <x:c r="C543" s="12" t="str">
        <x:v>High concern</x:v>
      </x:c>
      <x:c r="D543" s="12" t="str">
        <x:v>A same-condition comparison of at least three separately fabricated complete sensing units with device-level results or dispersion was not identified.</x:v>
      </x:c>
      <x:c r="E543" s="12" t="str">
        <x:v>PDF pp. 4–12; Figs. 1–7; Supplementary Figs. S1–S5 cited</x:v>
      </x:c>
      <x:c r="F543" s="12" t="str">
        <x:v>Batch 08</x:v>
      </x:c>
    </x:row>
    <x:row r="544" ht="24" hidden="0" customHeight="1">
      <x:c r="A544" s="12" t="str">
        <x:v>S082</x:v>
      </x:c>
      <x:c r="B544" s="12" t="str">
        <x:v>D7 Outcome completeness</x:v>
      </x:c>
      <x:c r="C544" s="12" t="str">
        <x:v>Some concern</x:v>
      </x:c>
      <x:c r="D544" s="12" t="str">
        <x:v>Principal outcomes are quantitative, but device-level uncertainty/dispersion or retention magnitude is incomplete.</x:v>
      </x:c>
      <x:c r="E544" s="12" t="str">
        <x:v>PDF pp. 4–12; Figs. 1–7; Supplementary Figs. S1–S5 cited</x:v>
      </x:c>
      <x:c r="F544" s="12" t="str">
        <x:v>Batch 08</x:v>
      </x:c>
    </x:row>
    <x:row r="545" ht="24" hidden="0" customHeight="1">
      <x:c r="A545" s="12" t="str">
        <x:v>S082</x:v>
      </x:c>
      <x:c r="B545" s="12" t="str">
        <x:v>D8 Wearable applicability</x:v>
      </x:c>
      <x:c r="C545" s="12" t="str">
        <x:v>Some concern</x:v>
      </x:c>
      <x:c r="D545" s="12" t="str">
        <x:v>A complete wearable configuration was demonstrated, but participant count, comparator or protocol depth is limited.</x:v>
      </x:c>
      <x:c r="E545" s="12" t="str">
        <x:v>PDF pp. 4–12; Figs. 1–7; Supplementary Figs. S1–S5 cited</x:v>
      </x:c>
      <x:c r="F545" s="12" t="str">
        <x:v>Batch 08</x:v>
      </x:c>
    </x:row>
    <x:row r="546" ht="24" hidden="0" customHeight="1">
      <x:c r="A546" s="12" t="str">
        <x:v>S084</x:v>
      </x:c>
      <x:c r="B546" s="12" t="str">
        <x:v>D1 Sampling/specimen selection</x:v>
      </x:c>
      <x:c r="C546" s="12" t="str">
        <x:v>High concern</x:v>
      </x:c>
      <x:c r="D546" s="12" t="str">
        <x:v>Device sampling was not justified and wearable testing used one, two or an unspecified small number of participants.</x:v>
      </x:c>
      <x:c r="E546" s="12" t="str">
        <x:v>PDF pp. 4–11; Figs. 1–8; Supplementary Figs. S1–S5 cited</x:v>
      </x:c>
      <x:c r="F546" s="12" t="str">
        <x:v>Batch 08</x:v>
      </x:c>
    </x:row>
    <x:row r="547" ht="24" hidden="0" customHeight="1">
      <x:c r="A547" s="12" t="str">
        <x:v>S084</x:v>
      </x:c>
      <x:c r="B547" s="12" t="str">
        <x:v>D2 Fabrication-variable control</x:v>
      </x:c>
      <x:c r="C547" s="12" t="str">
        <x:v>Some concern</x:v>
      </x:c>
      <x:c r="D547" s="12" t="str">
        <x:v>One or more platform, nozzle, layer-height, infill or toolpath details are absent.</x:v>
      </x:c>
      <x:c r="E547" s="12" t="str">
        <x:v>PDF pp. 4–11; Figs. 1–8; Supplementary Figs. S1–S5 cited</x:v>
      </x:c>
      <x:c r="F547" s="12" t="str">
        <x:v>Batch 08</x:v>
      </x:c>
    </x:row>
    <x:row r="548" ht="24" hidden="0" customHeight="1">
      <x:c r="A548" s="12" t="str">
        <x:v>S084</x:v>
      </x:c>
      <x:c r="B548" s="12" t="str">
        <x:v>D3 Reference/calibration validity</x:v>
      </x:c>
      <x:c r="C548" s="12" t="str">
        <x:v>Low concern</x:v>
      </x:c>
      <x:c r="D548" s="12" t="str">
        <x:v>Controlled inputs and suitable reference instruments/procedures are reported.</x:v>
      </x:c>
      <x:c r="E548" s="12" t="str">
        <x:v>PDF pp. 4–11; Figs. 1–8; Supplementary Figs. S1–S5 cited</x:v>
      </x:c>
      <x:c r="F548" s="12" t="str">
        <x:v>Batch 08</x:v>
      </x:c>
    </x:row>
    <x:row r="549" ht="24" hidden="0" customHeight="1">
      <x:c r="A549" s="12" t="str">
        <x:v>S084</x:v>
      </x:c>
      <x:c r="B549" s="12" t="str">
        <x:v>D4 Loading/exposure conditions</x:v>
      </x:c>
      <x:c r="C549" s="12" t="str">
        <x:v>Low concern</x:v>
      </x:c>
      <x:c r="D549" s="12" t="str">
        <x:v>Principal loading ranges, rates, holds or cycle conditions are stated.</x:v>
      </x:c>
      <x:c r="E549" s="12" t="str">
        <x:v>PDF pp. 4–11; Figs. 1–8; Supplementary Figs. S1–S5 cited</x:v>
      </x:c>
      <x:c r="F549" s="12" t="str">
        <x:v>Batch 08</x:v>
      </x:c>
    </x:row>
    <x:row r="550" ht="24" hidden="0" customHeight="1">
      <x:c r="A550" s="12" t="str">
        <x:v>S084</x:v>
      </x:c>
      <x:c r="B550" s="12" t="str">
        <x:v>D5 Repeated-measurement design</x:v>
      </x:c>
      <x:c r="C550" s="12" t="str">
        <x:v>Low concern</x:v>
      </x:c>
      <x:c r="D550" s="12" t="str">
        <x:v>At least one defined repeated-measurement or endurance protocol is reported.</x:v>
      </x:c>
      <x:c r="E550" s="12" t="str">
        <x:v>PDF pp. 4–11; Figs. 1–8; Supplementary Figs. S1–S5 cited</x:v>
      </x:c>
      <x:c r="F550" s="12" t="str">
        <x:v>Batch 08</x:v>
      </x:c>
    </x:row>
    <x:row r="551" ht="24" hidden="0" customHeight="1">
      <x:c r="A551" s="12" t="str">
        <x:v>S084</x:v>
      </x:c>
      <x:c r="B551" s="12" t="str">
        <x:v>D6 Independent-device replication</x:v>
      </x:c>
      <x:c r="C551" s="12" t="str">
        <x:v>High concern</x:v>
      </x:c>
      <x:c r="D551" s="12" t="str">
        <x:v>A same-condition comparison of at least three separately fabricated complete sensing units with device-level results or dispersion was not identified.</x:v>
      </x:c>
      <x:c r="E551" s="12" t="str">
        <x:v>PDF pp. 4–11; Figs. 1–8; Supplementary Figs. S1–S5 cited</x:v>
      </x:c>
      <x:c r="F551" s="12" t="str">
        <x:v>Batch 08</x:v>
      </x:c>
    </x:row>
    <x:row r="552" ht="24" hidden="0" customHeight="1">
      <x:c r="A552" s="12" t="str">
        <x:v>S084</x:v>
      </x:c>
      <x:c r="B552" s="12" t="str">
        <x:v>D7 Outcome completeness</x:v>
      </x:c>
      <x:c r="C552" s="12" t="str">
        <x:v>Some concern</x:v>
      </x:c>
      <x:c r="D552" s="12" t="str">
        <x:v>Principal outcomes are quantitative, but device-level uncertainty/dispersion or retention magnitude is incomplete.</x:v>
      </x:c>
      <x:c r="E552" s="12" t="str">
        <x:v>PDF pp. 4–11; Figs. 1–8; Supplementary Figs. S1–S5 cited</x:v>
      </x:c>
      <x:c r="F552" s="12" t="str">
        <x:v>Batch 08</x:v>
      </x:c>
    </x:row>
    <x:row r="553" ht="24" hidden="0" customHeight="1">
      <x:c r="A553" s="12" t="str">
        <x:v>S084</x:v>
      </x:c>
      <x:c r="B553" s="12" t="str">
        <x:v>D8 Wearable applicability</x:v>
      </x:c>
      <x:c r="C553" s="12" t="str">
        <x:v>Some concern</x:v>
      </x:c>
      <x:c r="D553" s="12" t="str">
        <x:v>A complete wearable configuration was demonstrated, but participant count, comparator or protocol depth is limited.</x:v>
      </x:c>
      <x:c r="E553" s="12" t="str">
        <x:v>PDF pp. 4–11; Figs. 1–8; Supplementary Figs. S1–S5 cited</x:v>
      </x:c>
      <x:c r="F553" s="12" t="str">
        <x:v>Batch 08</x:v>
      </x:c>
    </x:row>
    <x:row r="554" ht="24" hidden="0" customHeight="1">
      <x:c r="A554" s="12" t="str">
        <x:v>S085</x:v>
      </x:c>
      <x:c r="B554" s="12" t="str">
        <x:v>D1 Sampling/specimen selection</x:v>
      </x:c>
      <x:c r="C554" s="12" t="str">
        <x:v>High concern</x:v>
      </x:c>
      <x:c r="D554" s="12" t="str">
        <x:v>Device sampling was not justified and wearable testing used one, two or an unspecified small number of participants.</x:v>
      </x:c>
      <x:c r="E554" s="12" t="str">
        <x:v>PDF pp. 2–4, 8–12; Figs. 1–18; Tables 1–2</x:v>
      </x:c>
      <x:c r="F554" s="12" t="str">
        <x:v>Batch 08</x:v>
      </x:c>
    </x:row>
    <x:row r="555" ht="15" hidden="0" customHeight="1">
      <x:c r="A555" s="12" t="str">
        <x:v>S085</x:v>
      </x:c>
      <x:c r="B555" s="12" t="str">
        <x:v>D2 Fabrication-variable control</x:v>
      </x:c>
      <x:c r="C555" s="12" t="str">
        <x:v>Low concern</x:v>
      </x:c>
      <x:c r="D555" s="12" t="str">
        <x:v>Application-relevant fabrication variables and settings are sufficiently controlled and reported.</x:v>
      </x:c>
      <x:c r="E555" s="12" t="str">
        <x:v>PDF pp. 2–4, 8–12; Figs. 1–18; Tables 1–2</x:v>
      </x:c>
      <x:c r="F555" s="12" t="str">
        <x:v>Batch 08</x:v>
      </x:c>
    </x:row>
    <x:row r="556" ht="15" hidden="0" customHeight="1">
      <x:c r="A556" s="12" t="str">
        <x:v>S085</x:v>
      </x:c>
      <x:c r="B556" s="12" t="str">
        <x:v>D3 Reference/calibration validity</x:v>
      </x:c>
      <x:c r="C556" s="12" t="str">
        <x:v>Low concern</x:v>
      </x:c>
      <x:c r="D556" s="12" t="str">
        <x:v>Controlled inputs and suitable reference instruments/procedures are reported.</x:v>
      </x:c>
      <x:c r="E556" s="12" t="str">
        <x:v>PDF pp. 2–4, 8–12; Figs. 1–18; Tables 1–2</x:v>
      </x:c>
      <x:c r="F556" s="12" t="str">
        <x:v>Batch 08</x:v>
      </x:c>
    </x:row>
    <x:row r="557" ht="15" hidden="0" customHeight="1">
      <x:c r="A557" s="12" t="str">
        <x:v>S085</x:v>
      </x:c>
      <x:c r="B557" s="12" t="str">
        <x:v>D4 Loading/exposure conditions</x:v>
      </x:c>
      <x:c r="C557" s="12" t="str">
        <x:v>Low concern</x:v>
      </x:c>
      <x:c r="D557" s="12" t="str">
        <x:v>Principal loading ranges, rates, holds or cycle conditions are stated.</x:v>
      </x:c>
      <x:c r="E557" s="12" t="str">
        <x:v>PDF pp. 2–4, 8–12; Figs. 1–18; Tables 1–2</x:v>
      </x:c>
      <x:c r="F557" s="12" t="str">
        <x:v>Batch 08</x:v>
      </x:c>
    </x:row>
    <x:row r="558" ht="15" hidden="0" customHeight="1">
      <x:c r="A558" s="12" t="str">
        <x:v>S085</x:v>
      </x:c>
      <x:c r="B558" s="12" t="str">
        <x:v>D5 Repeated-measurement design</x:v>
      </x:c>
      <x:c r="C558" s="12" t="str">
        <x:v>Low concern</x:v>
      </x:c>
      <x:c r="D558" s="12" t="str">
        <x:v>At least one defined repeated-measurement or endurance protocol is reported.</x:v>
      </x:c>
      <x:c r="E558" s="12" t="str">
        <x:v>PDF pp. 2–4, 8–12; Figs. 1–18; Tables 1–2</x:v>
      </x:c>
      <x:c r="F558" s="12" t="str">
        <x:v>Batch 08</x:v>
      </x:c>
    </x:row>
    <x:row r="559" ht="24" hidden="0" customHeight="1">
      <x:c r="A559" s="12" t="str">
        <x:v>S085</x:v>
      </x:c>
      <x:c r="B559" s="12" t="str">
        <x:v>D6 Independent-device replication</x:v>
      </x:c>
      <x:c r="C559" s="12" t="str">
        <x:v>High concern</x:v>
      </x:c>
      <x:c r="D559" s="12" t="str">
        <x:v>A same-condition comparison of at least three separately fabricated complete sensing units with device-level results or dispersion was not identified.</x:v>
      </x:c>
      <x:c r="E559" s="12" t="str">
        <x:v>PDF pp. 2–4, 8–12; Figs. 1–18; Tables 1–2</x:v>
      </x:c>
      <x:c r="F559" s="12" t="str">
        <x:v>Batch 08</x:v>
      </x:c>
    </x:row>
    <x:row r="560" ht="15" hidden="0" customHeight="1">
      <x:c r="A560" s="12" t="str">
        <x:v>S085</x:v>
      </x:c>
      <x:c r="B560" s="12" t="str">
        <x:v>D7 Outcome completeness</x:v>
      </x:c>
      <x:c r="C560" s="12" t="str">
        <x:v>Low concern</x:v>
      </x:c>
      <x:c r="D560" s="12" t="str">
        <x:v>Principal response magnitudes, ranges and stability/failure behavior are quantitatively reported.</x:v>
      </x:c>
      <x:c r="E560" s="12" t="str">
        <x:v>PDF pp. 2–4, 8–12; Figs. 1–18; Tables 1–2</x:v>
      </x:c>
      <x:c r="F560" s="12" t="str">
        <x:v>Batch 08</x:v>
      </x:c>
    </x:row>
    <x:row r="561" ht="15" hidden="0" customHeight="1">
      <x:c r="A561" s="12" t="str">
        <x:v>S085</x:v>
      </x:c>
      <x:c r="B561" s="12" t="str">
        <x:v>D8 Wearable applicability</x:v>
      </x:c>
      <x:c r="C561" s="12" t="str">
        <x:v>Some concern</x:v>
      </x:c>
      <x:c r="D561" s="12" t="str">
        <x:v>A complete wearable configuration was demonstrated, but participant count, comparator or protocol depth is limited.</x:v>
      </x:c>
      <x:c r="E561" s="12" t="str">
        <x:v>PDF pp. 2–4, 8–12; Figs. 1–18; Tables 1–2</x:v>
      </x:c>
      <x:c r="F561" s="12" t="str">
        <x:v>Batch 08</x:v>
      </x:c>
    </x:row>
    <x:row r="562" ht="24" hidden="0" customHeight="1">
      <x:c r="A562" s="12" t="str">
        <x:v>S086</x:v>
      </x:c>
      <x:c r="B562" s="12" t="str">
        <x:v>D1 Sampling/specimen selection</x:v>
      </x:c>
      <x:c r="C562" s="12" t="str">
        <x:v>High concern</x:v>
      </x:c>
      <x:c r="D562" s="12" t="str">
        <x:v>Device sampling was not justified and wearable testing used one, two or an unspecified small number of participants.</x:v>
      </x:c>
      <x:c r="E562" s="12" t="str">
        <x:v>PDF pp. 2–9; Figs. 1–6; Supporting Figs. S1–S3 and Table S1 cited</x:v>
      </x:c>
      <x:c r="F562" s="12" t="str">
        <x:v>Batch 08</x:v>
      </x:c>
    </x:row>
    <x:row r="563" ht="24" hidden="0" customHeight="1">
      <x:c r="A563" s="12" t="str">
        <x:v>S086</x:v>
      </x:c>
      <x:c r="B563" s="12" t="str">
        <x:v>D2 Fabrication-variable control</x:v>
      </x:c>
      <x:c r="C563" s="12" t="str">
        <x:v>Some concern</x:v>
      </x:c>
      <x:c r="D563" s="12" t="str">
        <x:v>One or more platform, nozzle, layer-height, infill or toolpath details are absent.</x:v>
      </x:c>
      <x:c r="E563" s="12" t="str">
        <x:v>PDF pp. 2–9; Figs. 1–6; Supporting Figs. S1–S3 and Table S1 cited</x:v>
      </x:c>
      <x:c r="F563" s="12" t="str">
        <x:v>Batch 08</x:v>
      </x:c>
    </x:row>
    <x:row r="564" ht="24" hidden="0" customHeight="1">
      <x:c r="A564" s="12" t="str">
        <x:v>S086</x:v>
      </x:c>
      <x:c r="B564" s="12" t="str">
        <x:v>D3 Reference/calibration validity</x:v>
      </x:c>
      <x:c r="C564" s="12" t="str">
        <x:v>Low concern</x:v>
      </x:c>
      <x:c r="D564" s="12" t="str">
        <x:v>Controlled inputs and suitable reference instruments/procedures are reported.</x:v>
      </x:c>
      <x:c r="E564" s="12" t="str">
        <x:v>PDF pp. 2–9; Figs. 1–6; Supporting Figs. S1–S3 and Table S1 cited</x:v>
      </x:c>
      <x:c r="F564" s="12" t="str">
        <x:v>Batch 08</x:v>
      </x:c>
    </x:row>
    <x:row r="565" ht="24" hidden="0" customHeight="1">
      <x:c r="A565" s="12" t="str">
        <x:v>S086</x:v>
      </x:c>
      <x:c r="B565" s="12" t="str">
        <x:v>D4 Loading/exposure conditions</x:v>
      </x:c>
      <x:c r="C565" s="12" t="str">
        <x:v>Low concern</x:v>
      </x:c>
      <x:c r="D565" s="12" t="str">
        <x:v>Principal loading ranges, rates, holds or cycle conditions are stated.</x:v>
      </x:c>
      <x:c r="E565" s="12" t="str">
        <x:v>PDF pp. 2–9; Figs. 1–6; Supporting Figs. S1–S3 and Table S1 cited</x:v>
      </x:c>
      <x:c r="F565" s="12" t="str">
        <x:v>Batch 08</x:v>
      </x:c>
    </x:row>
    <x:row r="566" ht="24" hidden="0" customHeight="1">
      <x:c r="A566" s="12" t="str">
        <x:v>S086</x:v>
      </x:c>
      <x:c r="B566" s="12" t="str">
        <x:v>D5 Repeated-measurement design</x:v>
      </x:c>
      <x:c r="C566" s="12" t="str">
        <x:v>Low concern</x:v>
      </x:c>
      <x:c r="D566" s="12" t="str">
        <x:v>At least one defined repeated-measurement or endurance protocol is reported.</x:v>
      </x:c>
      <x:c r="E566" s="12" t="str">
        <x:v>PDF pp. 2–9; Figs. 1–6; Supporting Figs. S1–S3 and Table S1 cited</x:v>
      </x:c>
      <x:c r="F566" s="12" t="str">
        <x:v>Batch 08</x:v>
      </x:c>
    </x:row>
    <x:row r="567" ht="24" hidden="0" customHeight="1">
      <x:c r="A567" s="12" t="str">
        <x:v>S086</x:v>
      </x:c>
      <x:c r="B567" s="12" t="str">
        <x:v>D6 Independent-device replication</x:v>
      </x:c>
      <x:c r="C567" s="12" t="str">
        <x:v>High concern</x:v>
      </x:c>
      <x:c r="D567" s="12" t="str">
        <x:v>A same-condition comparison of at least three separately fabricated complete sensing units with device-level results or dispersion was not identified.</x:v>
      </x:c>
      <x:c r="E567" s="12" t="str">
        <x:v>PDF pp. 2–9; Figs. 1–6; Supporting Figs. S1–S3 and Table S1 cited</x:v>
      </x:c>
      <x:c r="F567" s="12" t="str">
        <x:v>Batch 08</x:v>
      </x:c>
    </x:row>
    <x:row r="568" ht="24" hidden="0" customHeight="1">
      <x:c r="A568" s="12" t="str">
        <x:v>S086</x:v>
      </x:c>
      <x:c r="B568" s="12" t="str">
        <x:v>D7 Outcome completeness</x:v>
      </x:c>
      <x:c r="C568" s="12" t="str">
        <x:v>Some concern</x:v>
      </x:c>
      <x:c r="D568" s="12" t="str">
        <x:v>Principal outcomes are quantitative, but device-level uncertainty/dispersion or retention magnitude is incomplete.</x:v>
      </x:c>
      <x:c r="E568" s="12" t="str">
        <x:v>PDF pp. 2–9; Figs. 1–6; Supporting Figs. S1–S3 and Table S1 cited</x:v>
      </x:c>
      <x:c r="F568" s="12" t="str">
        <x:v>Batch 08</x:v>
      </x:c>
    </x:row>
    <x:row r="569" ht="24" hidden="0" customHeight="1">
      <x:c r="A569" s="12" t="str">
        <x:v>S086</x:v>
      </x:c>
      <x:c r="B569" s="12" t="str">
        <x:v>D8 Wearable applicability</x:v>
      </x:c>
      <x:c r="C569" s="12" t="str">
        <x:v>Some concern</x:v>
      </x:c>
      <x:c r="D569" s="12" t="str">
        <x:v>A complete wearable configuration was demonstrated, but participant count, comparator or protocol depth is limited.</x:v>
      </x:c>
      <x:c r="E569" s="12" t="str">
        <x:v>PDF pp. 2–9; Figs. 1–6; Supporting Figs. S1–S3 and Table S1 cited</x:v>
      </x:c>
      <x:c r="F569" s="12" t="str">
        <x:v>Batch 08</x:v>
      </x:c>
    </x:row>
    <x:row r="570" ht="24" hidden="0" customHeight="1">
      <x:c r="A570" s="12" t="str">
        <x:v>S087</x:v>
      </x:c>
      <x:c r="B570" s="12" t="str">
        <x:v>D1 Sampling/specimen selection</x:v>
      </x:c>
      <x:c r="C570" s="12" t="str">
        <x:v>High concern</x:v>
      </x:c>
      <x:c r="D570" s="12" t="str">
        <x:v>Device sampling was not justified and wearable testing used one, two or an unspecified small number of participants.</x:v>
      </x:c>
      <x:c r="E570" s="12" t="str">
        <x:v>PDF pp. 2–7; Figs. 1–5; Supplementary Figs. S1–S7 cited</x:v>
      </x:c>
      <x:c r="F570" s="12" t="str">
        <x:v>Batch 08</x:v>
      </x:c>
    </x:row>
    <x:row r="571" ht="24" hidden="0" customHeight="1">
      <x:c r="A571" s="12" t="str">
        <x:v>S087</x:v>
      </x:c>
      <x:c r="B571" s="12" t="str">
        <x:v>D2 Fabrication-variable control</x:v>
      </x:c>
      <x:c r="C571" s="12" t="str">
        <x:v>Some concern</x:v>
      </x:c>
      <x:c r="D571" s="12" t="str">
        <x:v>One or more platform, nozzle, layer-height, infill or toolpath details are absent.</x:v>
      </x:c>
      <x:c r="E571" s="12" t="str">
        <x:v>PDF pp. 2–7; Figs. 1–5; Supplementary Figs. S1–S7 cited</x:v>
      </x:c>
      <x:c r="F571" s="12" t="str">
        <x:v>Batch 08</x:v>
      </x:c>
    </x:row>
    <x:row r="572" ht="24" hidden="0" customHeight="1">
      <x:c r="A572" s="12" t="str">
        <x:v>S087</x:v>
      </x:c>
      <x:c r="B572" s="12" t="str">
        <x:v>D3 Reference/calibration validity</x:v>
      </x:c>
      <x:c r="C572" s="12" t="str">
        <x:v>Low concern</x:v>
      </x:c>
      <x:c r="D572" s="12" t="str">
        <x:v>Controlled inputs and suitable reference instruments/procedures are reported.</x:v>
      </x:c>
      <x:c r="E572" s="12" t="str">
        <x:v>PDF pp. 2–7; Figs. 1–5; Supplementary Figs. S1–S7 cited</x:v>
      </x:c>
      <x:c r="F572" s="12" t="str">
        <x:v>Batch 08</x:v>
      </x:c>
    </x:row>
    <x:row r="573" ht="24" hidden="0" customHeight="1">
      <x:c r="A573" s="12" t="str">
        <x:v>S087</x:v>
      </x:c>
      <x:c r="B573" s="12" t="str">
        <x:v>D4 Loading/exposure conditions</x:v>
      </x:c>
      <x:c r="C573" s="12" t="str">
        <x:v>Low concern</x:v>
      </x:c>
      <x:c r="D573" s="12" t="str">
        <x:v>Principal loading ranges, rates, holds or cycle conditions are stated.</x:v>
      </x:c>
      <x:c r="E573" s="12" t="str">
        <x:v>PDF pp. 2–7; Figs. 1–5; Supplementary Figs. S1–S7 cited</x:v>
      </x:c>
      <x:c r="F573" s="12" t="str">
        <x:v>Batch 08</x:v>
      </x:c>
    </x:row>
    <x:row r="574" ht="24" hidden="0" customHeight="1">
      <x:c r="A574" s="12" t="str">
        <x:v>S087</x:v>
      </x:c>
      <x:c r="B574" s="12" t="str">
        <x:v>D5 Repeated-measurement design</x:v>
      </x:c>
      <x:c r="C574" s="12" t="str">
        <x:v>Low concern</x:v>
      </x:c>
      <x:c r="D574" s="12" t="str">
        <x:v>At least one defined repeated-measurement or endurance protocol is reported.</x:v>
      </x:c>
      <x:c r="E574" s="12" t="str">
        <x:v>PDF pp. 2–7; Figs. 1–5; Supplementary Figs. S1–S7 cited</x:v>
      </x:c>
      <x:c r="F574" s="12" t="str">
        <x:v>Batch 08</x:v>
      </x:c>
    </x:row>
    <x:row r="575" ht="24" hidden="0" customHeight="1">
      <x:c r="A575" s="12" t="str">
        <x:v>S087</x:v>
      </x:c>
      <x:c r="B575" s="12" t="str">
        <x:v>D6 Independent-device replication</x:v>
      </x:c>
      <x:c r="C575" s="12" t="str">
        <x:v>High concern</x:v>
      </x:c>
      <x:c r="D575" s="12" t="str">
        <x:v>A same-condition comparison of at least three separately fabricated complete sensing units with device-level results or dispersion was not identified.</x:v>
      </x:c>
      <x:c r="E575" s="12" t="str">
        <x:v>PDF pp. 2–7; Figs. 1–5; Supplementary Figs. S1–S7 cited</x:v>
      </x:c>
      <x:c r="F575" s="12" t="str">
        <x:v>Batch 08</x:v>
      </x:c>
    </x:row>
    <x:row r="576" ht="24" hidden="0" customHeight="1">
      <x:c r="A576" s="12" t="str">
        <x:v>S087</x:v>
      </x:c>
      <x:c r="B576" s="12" t="str">
        <x:v>D7 Outcome completeness</x:v>
      </x:c>
      <x:c r="C576" s="12" t="str">
        <x:v>Some concern</x:v>
      </x:c>
      <x:c r="D576" s="12" t="str">
        <x:v>Principal outcomes are quantitative, but device-level uncertainty/dispersion or retention magnitude is incomplete.</x:v>
      </x:c>
      <x:c r="E576" s="12" t="str">
        <x:v>PDF pp. 2–7; Figs. 1–5; Supplementary Figs. S1–S7 cited</x:v>
      </x:c>
      <x:c r="F576" s="12" t="str">
        <x:v>Batch 08</x:v>
      </x:c>
    </x:row>
    <x:row r="577" ht="24" hidden="0" customHeight="1">
      <x:c r="A577" s="12" t="str">
        <x:v>S087</x:v>
      </x:c>
      <x:c r="B577" s="12" t="str">
        <x:v>D8 Wearable applicability</x:v>
      </x:c>
      <x:c r="C577" s="12" t="str">
        <x:v>Some concern</x:v>
      </x:c>
      <x:c r="D577" s="12" t="str">
        <x:v>A complete wearable configuration was demonstrated, but participant count, comparator or protocol depth is limited.</x:v>
      </x:c>
      <x:c r="E577" s="12" t="str">
        <x:v>PDF pp. 2–7; Figs. 1–5; Supplementary Figs. S1–S7 cited</x:v>
      </x:c>
      <x:c r="F577" s="12" t="str">
        <x:v>Batch 08</x:v>
      </x:c>
    </x:row>
    <x:row r="578" ht="24" hidden="0" customHeight="1">
      <x:c r="A578" s="12" t="str">
        <x:v>S088</x:v>
      </x:c>
      <x:c r="B578" s="12" t="str">
        <x:v>D1 Sampling/specimen selection</x:v>
      </x:c>
      <x:c r="C578" s="12" t="str">
        <x:v>High concern</x:v>
      </x:c>
      <x:c r="D578" s="12" t="str">
        <x:v>Device sampling was not justified and wearable testing used one, two or an unspecified small number of participants.</x:v>
      </x:c>
      <x:c r="E578" s="12" t="str">
        <x:v>PDF pp. 4–12; Figs. 1–10; Table 1</x:v>
      </x:c>
      <x:c r="F578" s="12" t="str">
        <x:v>Batch 08</x:v>
      </x:c>
    </x:row>
    <x:row r="579" ht="15" hidden="0" customHeight="1">
      <x:c r="A579" s="12" t="str">
        <x:v>S088</x:v>
      </x:c>
      <x:c r="B579" s="12" t="str">
        <x:v>D2 Fabrication-variable control</x:v>
      </x:c>
      <x:c r="C579" s="12" t="str">
        <x:v>Some concern</x:v>
      </x:c>
      <x:c r="D579" s="12" t="str">
        <x:v>One or more platform, nozzle, layer-height, infill or toolpath details are absent.</x:v>
      </x:c>
      <x:c r="E579" s="12" t="str">
        <x:v>PDF pp. 4–12; Figs. 1–10; Table 1</x:v>
      </x:c>
      <x:c r="F579" s="12" t="str">
        <x:v>Batch 08</x:v>
      </x:c>
    </x:row>
    <x:row r="580" ht="24" hidden="0" customHeight="1">
      <x:c r="A580" s="12" t="str">
        <x:v>S088</x:v>
      </x:c>
      <x:c r="B580" s="12" t="str">
        <x:v>D3 Reference/calibration validity</x:v>
      </x:c>
      <x:c r="C580" s="12" t="str">
        <x:v>Some concern</x:v>
      </x:c>
      <x:c r="D580" s="12" t="str">
        <x:v>The application demonstration lacks an independent physiological comparator or independently measured joint angle.</x:v>
      </x:c>
      <x:c r="E580" s="12" t="str">
        <x:v>PDF pp. 4–12; Figs. 1–10; Table 1</x:v>
      </x:c>
      <x:c r="F580" s="12" t="str">
        <x:v>Batch 08</x:v>
      </x:c>
    </x:row>
    <x:row r="581" ht="15" hidden="0" customHeight="1">
      <x:c r="A581" s="12" t="str">
        <x:v>S088</x:v>
      </x:c>
      <x:c r="B581" s="12" t="str">
        <x:v>D4 Loading/exposure conditions</x:v>
      </x:c>
      <x:c r="C581" s="12" t="str">
        <x:v>Low concern</x:v>
      </x:c>
      <x:c r="D581" s="12" t="str">
        <x:v>Principal loading ranges, rates, holds or cycle conditions are stated.</x:v>
      </x:c>
      <x:c r="E581" s="12" t="str">
        <x:v>PDF pp. 4–12; Figs. 1–10; Table 1</x:v>
      </x:c>
      <x:c r="F581" s="12" t="str">
        <x:v>Batch 08</x:v>
      </x:c>
    </x:row>
    <x:row r="582" ht="15" hidden="0" customHeight="1">
      <x:c r="A582" s="12" t="str">
        <x:v>S088</x:v>
      </x:c>
      <x:c r="B582" s="12" t="str">
        <x:v>D5 Repeated-measurement design</x:v>
      </x:c>
      <x:c r="C582" s="12" t="str">
        <x:v>Low concern</x:v>
      </x:c>
      <x:c r="D582" s="12" t="str">
        <x:v>At least one defined repeated-measurement or endurance protocol is reported.</x:v>
      </x:c>
      <x:c r="E582" s="12" t="str">
        <x:v>PDF pp. 4–12; Figs. 1–10; Table 1</x:v>
      </x:c>
      <x:c r="F582" s="12" t="str">
        <x:v>Batch 08</x:v>
      </x:c>
    </x:row>
    <x:row r="583" ht="24" hidden="0" customHeight="1">
      <x:c r="A583" s="12" t="str">
        <x:v>S088</x:v>
      </x:c>
      <x:c r="B583" s="12" t="str">
        <x:v>D6 Independent-device replication</x:v>
      </x:c>
      <x:c r="C583" s="12" t="str">
        <x:v>High concern</x:v>
      </x:c>
      <x:c r="D583" s="12" t="str">
        <x:v>A same-condition comparison of at least three separately fabricated complete sensing units with device-level results or dispersion was not identified.</x:v>
      </x:c>
      <x:c r="E583" s="12" t="str">
        <x:v>PDF pp. 4–12; Figs. 1–10; Table 1</x:v>
      </x:c>
      <x:c r="F583" s="12" t="str">
        <x:v>Batch 08</x:v>
      </x:c>
    </x:row>
    <x:row r="584" ht="15" hidden="0" customHeight="1">
      <x:c r="A584" s="12" t="str">
        <x:v>S088</x:v>
      </x:c>
      <x:c r="B584" s="12" t="str">
        <x:v>D7 Outcome completeness</x:v>
      </x:c>
      <x:c r="C584" s="12" t="str">
        <x:v>Low concern</x:v>
      </x:c>
      <x:c r="D584" s="12" t="str">
        <x:v>Principal response magnitudes, ranges and stability/failure behavior are quantitatively reported.</x:v>
      </x:c>
      <x:c r="E584" s="12" t="str">
        <x:v>PDF pp. 4–12; Figs. 1–10; Table 1</x:v>
      </x:c>
      <x:c r="F584" s="12" t="str">
        <x:v>Batch 08</x:v>
      </x:c>
    </x:row>
    <x:row r="585" ht="15" hidden="0" customHeight="1">
      <x:c r="A585" s="12" t="str">
        <x:v>S088</x:v>
      </x:c>
      <x:c r="B585" s="12" t="str">
        <x:v>D8 Wearable applicability</x:v>
      </x:c>
      <x:c r="C585" s="12" t="str">
        <x:v>High concern</x:v>
      </x:c>
      <x:c r="D585" s="12" t="str">
        <x:v>Wearable evidence is restricted to one participant and lacks broader validation.</x:v>
      </x:c>
      <x:c r="E585" s="12" t="str">
        <x:v>PDF pp. 4–12; Figs. 1–10; Table 1</x:v>
      </x:c>
      <x:c r="F585" s="12" t="str">
        <x:v>Batch 08</x:v>
      </x:c>
    </x:row>
    <x:row r="586" ht="36" hidden="0" customHeight="1">
      <x:c r="A586" s="12" t="str">
        <x:v>S089</x:v>
      </x:c>
      <x:c r="B586" s="12" t="str">
        <x:v>D1 Sampling/specimen selection</x:v>
      </x:c>
      <x:c r="C586" s="12" t="str">
        <x:v>High concern</x:v>
      </x:c>
      <x:c r="D586" s="12" t="str">
        <x:v>Device sampling was not justified and wearable testing used one, two or an unspecified small number of participants.</x:v>
      </x:c>
      <x:c r="E586" s="12" t="str">
        <x:v>PDF pp. 10–35 of available accepted manuscript; Figs. 1–10; Tables 1–2; Supplementary Tables S1–S2 cited</x:v>
      </x:c>
      <x:c r="F586" s="12" t="str">
        <x:v>Batch 08</x:v>
      </x:c>
    </x:row>
    <x:row r="587" ht="36" hidden="0" customHeight="1">
      <x:c r="A587" s="12" t="str">
        <x:v>S089</x:v>
      </x:c>
      <x:c r="B587" s="12" t="str">
        <x:v>D2 Fabrication-variable control</x:v>
      </x:c>
      <x:c r="C587" s="12" t="str">
        <x:v>Low concern</x:v>
      </x:c>
      <x:c r="D587" s="12" t="str">
        <x:v>Application-relevant fabrication variables and settings are sufficiently controlled and reported.</x:v>
      </x:c>
      <x:c r="E587" s="12" t="str">
        <x:v>PDF pp. 10–35 of available accepted manuscript; Figs. 1–10; Tables 1–2; Supplementary Tables S1–S2 cited</x:v>
      </x:c>
      <x:c r="F587" s="12" t="str">
        <x:v>Batch 08</x:v>
      </x:c>
    </x:row>
    <x:row r="588" ht="36" hidden="0" customHeight="1">
      <x:c r="A588" s="12" t="str">
        <x:v>S089</x:v>
      </x:c>
      <x:c r="B588" s="12" t="str">
        <x:v>D3 Reference/calibration validity</x:v>
      </x:c>
      <x:c r="C588" s="12" t="str">
        <x:v>Low concern</x:v>
      </x:c>
      <x:c r="D588" s="12" t="str">
        <x:v>Controlled inputs and suitable reference instruments/procedures are reported.</x:v>
      </x:c>
      <x:c r="E588" s="12" t="str">
        <x:v>PDF pp. 10–35 of available accepted manuscript; Figs. 1–10; Tables 1–2; Supplementary Tables S1–S2 cited</x:v>
      </x:c>
      <x:c r="F588" s="12" t="str">
        <x:v>Batch 08</x:v>
      </x:c>
    </x:row>
    <x:row r="589" ht="36" hidden="0" customHeight="1">
      <x:c r="A589" s="12" t="str">
        <x:v>S089</x:v>
      </x:c>
      <x:c r="B589" s="12" t="str">
        <x:v>D4 Loading/exposure conditions</x:v>
      </x:c>
      <x:c r="C589" s="12" t="str">
        <x:v>Low concern</x:v>
      </x:c>
      <x:c r="D589" s="12" t="str">
        <x:v>Principal loading ranges, rates, holds or cycle conditions are stated.</x:v>
      </x:c>
      <x:c r="E589" s="12" t="str">
        <x:v>PDF pp. 10–35 of available accepted manuscript; Figs. 1–10; Tables 1–2; Supplementary Tables S1–S2 cited</x:v>
      </x:c>
      <x:c r="F589" s="12" t="str">
        <x:v>Batch 08</x:v>
      </x:c>
    </x:row>
    <x:row r="590" ht="36" hidden="0" customHeight="1">
      <x:c r="A590" s="12" t="str">
        <x:v>S089</x:v>
      </x:c>
      <x:c r="B590" s="12" t="str">
        <x:v>D5 Repeated-measurement design</x:v>
      </x:c>
      <x:c r="C590" s="12" t="str">
        <x:v>Low concern</x:v>
      </x:c>
      <x:c r="D590" s="12" t="str">
        <x:v>At least one defined repeated-measurement or endurance protocol is reported.</x:v>
      </x:c>
      <x:c r="E590" s="12" t="str">
        <x:v>PDF pp. 10–35 of available accepted manuscript; Figs. 1–10; Tables 1–2; Supplementary Tables S1–S2 cited</x:v>
      </x:c>
      <x:c r="F590" s="12" t="str">
        <x:v>Batch 08</x:v>
      </x:c>
    </x:row>
    <x:row r="591" ht="36" hidden="0" customHeight="1">
      <x:c r="A591" s="12" t="str">
        <x:v>S089</x:v>
      </x:c>
      <x:c r="B591" s="12" t="str">
        <x:v>D6 Independent-device replication</x:v>
      </x:c>
      <x:c r="C591" s="12" t="str">
        <x:v>High concern</x:v>
      </x:c>
      <x:c r="D591" s="12" t="str">
        <x:v>A same-condition comparison of at least three separately fabricated complete sensing units with device-level results or dispersion was not identified.</x:v>
      </x:c>
      <x:c r="E591" s="12" t="str">
        <x:v>PDF pp. 10–35 of available accepted manuscript; Figs. 1–10; Tables 1–2; Supplementary Tables S1–S2 cited</x:v>
      </x:c>
      <x:c r="F591" s="12" t="str">
        <x:v>Batch 08</x:v>
      </x:c>
    </x:row>
    <x:row r="592" ht="36" hidden="0" customHeight="1">
      <x:c r="A592" s="12" t="str">
        <x:v>S089</x:v>
      </x:c>
      <x:c r="B592" s="12" t="str">
        <x:v>D7 Outcome completeness</x:v>
      </x:c>
      <x:c r="C592" s="12" t="str">
        <x:v>Some concern</x:v>
      </x:c>
      <x:c r="D592" s="12" t="str">
        <x:v>Principal outcomes are quantitative, but device-level uncertainty/dispersion or retention magnitude is incomplete.</x:v>
      </x:c>
      <x:c r="E592" s="12" t="str">
        <x:v>PDF pp. 10–35 of available accepted manuscript; Figs. 1–10; Tables 1–2; Supplementary Tables S1–S2 cited</x:v>
      </x:c>
      <x:c r="F592" s="12" t="str">
        <x:v>Batch 08</x:v>
      </x:c>
    </x:row>
    <x:row r="593" ht="36" hidden="0" customHeight="1">
      <x:c r="A593" s="12" t="str">
        <x:v>S089</x:v>
      </x:c>
      <x:c r="B593" s="12" t="str">
        <x:v>D8 Wearable applicability</x:v>
      </x:c>
      <x:c r="C593" s="12" t="str">
        <x:v>Some concern</x:v>
      </x:c>
      <x:c r="D593" s="12" t="str">
        <x:v>A complete wearable configuration was demonstrated, but participant count, comparator or protocol depth is limited.</x:v>
      </x:c>
      <x:c r="E593" s="12" t="str">
        <x:v>PDF pp. 10–35 of available accepted manuscript; Figs. 1–10; Tables 1–2; Supplementary Tables S1–S2 cited</x:v>
      </x:c>
      <x:c r="F593" s="12" t="str">
        <x:v>Batch 08</x:v>
      </x:c>
    </x:row>
    <x:row r="594" ht="15" hidden="0" customHeight="1">
      <x:c r="A594" s="12" t="str">
        <x:v>S090</x:v>
      </x:c>
      <x:c r="B594" s="12" t="str">
        <x:v>D1 Sampling/specimen selection</x:v>
      </x:c>
      <x:c r="C594" s="12" t="str">
        <x:v>High concern</x:v>
      </x:c>
      <x:c r="D594" s="12" t="str">
        <x:v>Device counts are reported for several electrical parameters, but sampling and device selection were not justified.</x:v>
      </x:c>
      <x:c r="E594" s="12" t="str">
        <x:v>PDF pp. 2–7; Figs. 1, 3–4; Tables 1–2</x:v>
      </x:c>
      <x:c r="F594" s="12" t="str">
        <x:v>Batch 09</x:v>
      </x:c>
    </x:row>
    <x:row r="595" ht="24" hidden="0" customHeight="1">
      <x:c r="A595" s="12" t="str">
        <x:v>S090</x:v>
      </x:c>
      <x:c r="B595" s="12" t="str">
        <x:v>D2 Fabrication-variable control</x:v>
      </x:c>
      <x:c r="C595" s="12" t="str">
        <x:v>Some concern</x:v>
      </x:c>
      <x:c r="D595" s="12" t="str">
        <x:v>The FDM platform and material are identified, but several FDM settings required to reproduce the soft-PLA structure are absent.</x:v>
      </x:c>
      <x:c r="E595" s="12" t="str">
        <x:v>PDF pp. 2–7; Figs. 1, 3–4; Tables 1–2</x:v>
      </x:c>
      <x:c r="F595" s="12" t="str">
        <x:v>Batch 09</x:v>
      </x:c>
    </x:row>
    <x:row r="596" ht="15" hidden="0" customHeight="1">
      <x:c r="A596" s="12" t="str">
        <x:v>S090</x:v>
      </x:c>
      <x:c r="B596" s="12" t="str">
        <x:v>D3 Reference/calibration validity</x:v>
      </x:c>
      <x:c r="C596" s="12" t="str">
        <x:v>Low concern</x:v>
      </x:c>
      <x:c r="D596" s="12" t="str">
        <x:v>Controlled electrical inputs and independent pH measurement are reported with appropriate instrumentation.</x:v>
      </x:c>
      <x:c r="E596" s="12" t="str">
        <x:v>PDF pp. 2–7; Figs. 1, 3–4; Tables 1–2</x:v>
      </x:c>
      <x:c r="F596" s="12" t="str">
        <x:v>Batch 09</x:v>
      </x:c>
    </x:row>
    <x:row r="597" ht="15" hidden="0" customHeight="1">
      <x:c r="A597" s="12" t="str">
        <x:v>S090</x:v>
      </x:c>
      <x:c r="B597" s="12" t="str">
        <x:v>D4 Loading/exposure conditions</x:v>
      </x:c>
      <x:c r="C597" s="12" t="str">
        <x:v>Low concern</x:v>
      </x:c>
      <x:c r="D597" s="12" t="str">
        <x:v>Electrical bias, electrolyte concentrations and pH values are stated.</x:v>
      </x:c>
      <x:c r="E597" s="12" t="str">
        <x:v>PDF pp. 2–7; Figs. 1, 3–4; Tables 1–2</x:v>
      </x:c>
      <x:c r="F597" s="12" t="str">
        <x:v>Batch 09</x:v>
      </x:c>
    </x:row>
    <x:row r="598" ht="15" hidden="0" customHeight="1">
      <x:c r="A598" s="12" t="str">
        <x:v>S090</x:v>
      </x:c>
      <x:c r="B598" s="12" t="str">
        <x:v>D5 Repeated-measurement design</x:v>
      </x:c>
      <x:c r="C598" s="12" t="str">
        <x:v>High concern</x:v>
      </x:c>
      <x:c r="D598" s="12" t="str">
        <x:v>No defined same-device repeat or endurance protocol meeting the locked rule is reported.</x:v>
      </x:c>
      <x:c r="E598" s="12" t="str">
        <x:v>PDF pp. 2–7; Figs. 1, 3–4; Tables 1–2</x:v>
      </x:c>
      <x:c r="F598" s="12" t="str">
        <x:v>Batch 09</x:v>
      </x:c>
    </x:row>
    <x:row r="599" ht="15" hidden="0" customHeight="1">
      <x:c r="A599" s="12" t="str">
        <x:v>S090</x:v>
      </x:c>
      <x:c r="B599" s="12" t="str">
        <x:v>D6 Independent-device replication</x:v>
      </x:c>
      <x:c r="C599" s="12" t="str">
        <x:v>Low concern</x:v>
      </x:c>
      <x:c r="D599" s="12" t="str">
        <x:v>Parameters for multiple devices are summarized with n values and dispersion.</x:v>
      </x:c>
      <x:c r="E599" s="12" t="str">
        <x:v>PDF pp. 2–7; Figs. 1, 3–4; Tables 1–2</x:v>
      </x:c>
      <x:c r="F599" s="12" t="str">
        <x:v>Batch 09</x:v>
      </x:c>
    </x:row>
    <x:row r="600" ht="24" hidden="0" customHeight="1">
      <x:c r="A600" s="12" t="str">
        <x:v>S090</x:v>
      </x:c>
      <x:c r="B600" s="12" t="str">
        <x:v>D7 Outcome completeness</x:v>
      </x:c>
      <x:c r="C600" s="12" t="str">
        <x:v>Some concern</x:v>
      </x:c>
      <x:c r="D600" s="12" t="str">
        <x:v>Principal device and sensing metrics are quantitative, but sensing is described as preliminary and repeat/device counts are incomplete.</x:v>
      </x:c>
      <x:c r="E600" s="12" t="str">
        <x:v>PDF pp. 2–7; Figs. 1, 3–4; Tables 1–2</x:v>
      </x:c>
      <x:c r="F600" s="12" t="str">
        <x:v>Batch 09</x:v>
      </x:c>
    </x:row>
    <x:row r="601" ht="15" hidden="0" customHeight="1">
      <x:c r="A601" s="12" t="str">
        <x:v>S090</x:v>
      </x:c>
      <x:c r="B601" s="12" t="str">
        <x:v>D8 Wearable applicability</x:v>
      </x:c>
      <x:c r="C601" s="12" t="str">
        <x:v>High concern</x:v>
      </x:c>
      <x:c r="D601" s="12" t="str">
        <x:v>Wearable use is proposed and flexibility is shown, but no on-body or application-level validation is reported.</x:v>
      </x:c>
      <x:c r="E601" s="12" t="str">
        <x:v>PDF pp. 2–7; Figs. 1, 3–4; Tables 1–2</x:v>
      </x:c>
      <x:c r="F601" s="12" t="str">
        <x:v>Batch 09</x:v>
      </x:c>
    </x:row>
    <x:row r="602" ht="24" hidden="0" customHeight="1">
      <x:c r="A602" s="12" t="str">
        <x:v>S091</x:v>
      </x:c>
      <x:c r="B602" s="12" t="str">
        <x:v>D1 Sampling/specimen selection</x:v>
      </x:c>
      <x:c r="C602" s="12" t="str">
        <x:v>Some concern</x:v>
      </x:c>
      <x:c r="D602" s="12" t="str">
        <x:v>Three specimens per loading were used for baseline resistance, but VOC-test specimen selection and count are not reported.</x:v>
      </x:c>
      <x:c r="E602" s="12" t="str">
        <x:v>PDF pp. 1–8; Figs. 2, 6–11; Table 1; ESI Table S1 and Fig. S5 cited</x:v>
      </x:c>
      <x:c r="F602" s="12" t="str">
        <x:v>Batch 09</x:v>
      </x:c>
    </x:row>
    <x:row r="603" ht="24" hidden="0" customHeight="1">
      <x:c r="A603" s="12" t="str">
        <x:v>S091</x:v>
      </x:c>
      <x:c r="B603" s="12" t="str">
        <x:v>D2 Fabrication-variable control</x:v>
      </x:c>
      <x:c r="C603" s="12" t="str">
        <x:v>Low concern</x:v>
      </x:c>
      <x:c r="D603" s="12" t="str">
        <x:v>Material formulation and application-relevant FDM settings are sufficiently controlled and reported.</x:v>
      </x:c>
      <x:c r="E603" s="12" t="str">
        <x:v>PDF pp. 1–8; Figs. 2, 6–11; Table 1; ESI Table S1 and Fig. S5 cited</x:v>
      </x:c>
      <x:c r="F603" s="12" t="str">
        <x:v>Batch 09</x:v>
      </x:c>
    </x:row>
    <x:row r="604" ht="24" hidden="0" customHeight="1">
      <x:c r="A604" s="12" t="str">
        <x:v>S091</x:v>
      </x:c>
      <x:c r="B604" s="12" t="str">
        <x:v>D3 Reference/calibration validity</x:v>
      </x:c>
      <x:c r="C604" s="12" t="str">
        <x:v>Low concern</x:v>
      </x:c>
      <x:c r="D604" s="12" t="str">
        <x:v>A stated vapour chamber and voltage-divider acquisition circuit link exposure to resistance response.</x:v>
      </x:c>
      <x:c r="E604" s="12" t="str">
        <x:v>PDF pp. 1–8; Figs. 2, 6–11; Table 1; ESI Table S1 and Fig. S5 cited</x:v>
      </x:c>
      <x:c r="F604" s="12" t="str">
        <x:v>Batch 09</x:v>
      </x:c>
    </x:row>
    <x:row r="605" ht="24" hidden="0" customHeight="1">
      <x:c r="A605" s="12" t="str">
        <x:v>S091</x:v>
      </x:c>
      <x:c r="B605" s="12" t="str">
        <x:v>D4 Loading/exposure conditions</x:v>
      </x:c>
      <x:c r="C605" s="12" t="str">
        <x:v>Low concern</x:v>
      </x:c>
      <x:c r="D605" s="12" t="str">
        <x:v>VOC exposure, vacuum recovery and cycle timing are reported.</x:v>
      </x:c>
      <x:c r="E605" s="12" t="str">
        <x:v>PDF pp. 1–8; Figs. 2, 6–11; Table 1; ESI Table S1 and Fig. S5 cited</x:v>
      </x:c>
      <x:c r="F605" s="12" t="str">
        <x:v>Batch 09</x:v>
      </x:c>
    </x:row>
    <x:row r="606" ht="24" hidden="0" customHeight="1">
      <x:c r="A606" s="12" t="str">
        <x:v>S091</x:v>
      </x:c>
      <x:c r="B606" s="12" t="str">
        <x:v>D5 Repeated-measurement design</x:v>
      </x:c>
      <x:c r="C606" s="12" t="str">
        <x:v>Low concern</x:v>
      </x:c>
      <x:c r="D606" s="12" t="str">
        <x:v>Four-cycle tests and a 25-cycle endurance sequence are reported.</x:v>
      </x:c>
      <x:c r="E606" s="12" t="str">
        <x:v>PDF pp. 1–8; Figs. 2, 6–11; Table 1; ESI Table S1 and Fig. S5 cited</x:v>
      </x:c>
      <x:c r="F606" s="12" t="str">
        <x:v>Batch 09</x:v>
      </x:c>
    </x:row>
    <x:row r="607" ht="24" hidden="0" customHeight="1">
      <x:c r="A607" s="12" t="str">
        <x:v>S091</x:v>
      </x:c>
      <x:c r="B607" s="12" t="str">
        <x:v>D6 Independent-device replication</x:v>
      </x:c>
      <x:c r="C607" s="12" t="str">
        <x:v>Some concern</x:v>
      </x:c>
      <x:c r="D607" s="12" t="str">
        <x:v>Between-device dispersion is available for baseline resistance, but not for VOC response or retention.</x:v>
      </x:c>
      <x:c r="E607" s="12" t="str">
        <x:v>PDF pp. 1–8; Figs. 2, 6–11; Table 1; ESI Table S1 and Fig. S5 cited</x:v>
      </x:c>
      <x:c r="F607" s="12" t="str">
        <x:v>Batch 09</x:v>
      </x:c>
    </x:row>
    <x:row r="608" ht="24" hidden="0" customHeight="1">
      <x:c r="A608" s="12" t="str">
        <x:v>S091</x:v>
      </x:c>
      <x:c r="B608" s="12" t="str">
        <x:v>D7 Outcome completeness</x:v>
      </x:c>
      <x:c r="C608" s="12" t="str">
        <x:v>Some concern</x:v>
      </x:c>
      <x:c r="D608" s="12" t="str">
        <x:v>Principal response magnitudes are quantitative; the 25-cycle retention result is qualitative in the main article and relies on cited ESI for the trace.</x:v>
      </x:c>
      <x:c r="E608" s="12" t="str">
        <x:v>PDF pp. 1–8; Figs. 2, 6–11; Table 1; ESI Table S1 and Fig. S5 cited</x:v>
      </x:c>
      <x:c r="F608" s="12" t="str">
        <x:v>Batch 09</x:v>
      </x:c>
    </x:row>
    <x:row r="609" ht="24" hidden="0" customHeight="1">
      <x:c r="A609" s="12" t="str">
        <x:v>S091</x:v>
      </x:c>
      <x:c r="B609" s="12" t="str">
        <x:v>D8 Wearable applicability</x:v>
      </x:c>
      <x:c r="C609" s="12" t="str">
        <x:v>High concern</x:v>
      </x:c>
      <x:c r="D609" s="12" t="str">
        <x:v>Wearable form factors are proposed, but no on-body or integrated wearable experiment is reported.</x:v>
      </x:c>
      <x:c r="E609" s="12" t="str">
        <x:v>PDF pp. 1–8; Figs. 2, 6–11; Table 1; ESI Table S1 and Fig. S5 cited</x:v>
      </x:c>
      <x:c r="F609" s="12" t="str">
        <x:v>Batch 09</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670000076293945" hidden="0" customWidth="1"/>
    <x:col min="3" max="3" width="24.440000534057617" hidden="0" customWidth="1"/>
    <x:col min="4" max="4" width="66.66999816894531" hidden="0" customWidth="1"/>
    <x:col min="5" max="5" width="68.88999938964844" hidden="0" customWidth="1"/>
    <x:col min="6" max="6" width="11.670000076293945" hidden="0" customWidth="1"/>
    <x:col min="7" max="7" width="31.110000610351562" hidden="0" customWidth="1"/>
    <x:col min="8" max="8" width="13.329999923706055" hidden="0" customWidth="1"/>
  </x:cols>
  <x:sheetData>
    <x:row r="1" ht="24" hidden="0" customHeight="1">
      <x:c r="A1" s="11" t="str">
        <x:v>Query ID</x:v>
      </x:c>
      <x:c r="B1" s="11" t="str">
        <x:v>Stable Study ID</x:v>
      </x:c>
      <x:c r="C1" s="11" t="str">
        <x:v>Field/rule</x:v>
      </x:c>
      <x:c r="D1" s="11" t="str">
        <x:v>Ambiguity</x:v>
      </x:c>
      <x:c r="E1" s="11" t="str">
        <x:v>Handling</x:v>
      </x:c>
      <x:c r="F1" s="11" t="str">
        <x:v>Severity</x:v>
      </x:c>
      <x:c r="G1" s="11" t="str">
        <x:v>Evidence locator</x:v>
      </x:c>
      <x:c r="H1" s="11" t="str">
        <x:v>Authoritative source</x:v>
      </x:c>
    </x:row>
    <x:row r="2" ht="24" hidden="0" customHeight="1">
      <x:c r="A2" s="12" t="str">
        <x:v>A005</x:v>
      </x:c>
      <x:c r="B2" s="12" t="str">
        <x:v>S011</x:v>
      </x:c>
      <x:c r="C2" s="12" t="str">
        <x:v>Independent-device count</x:v>
      </x:c>
      <x:c r="D2" s="12" t="str">
        <x:v>Sixteen sensors are summarized as mean +/- SD, but print-batch independence is not reported.</x:v>
      </x:c>
      <x:c r="E2" s="12" t="str">
        <x:v>Treat separately fabricated physical sensor units as independent devices; do not require separate print jobs, but flag if units are only channels within one monolithic print.</x:v>
      </x:c>
      <x:c r="F2" s="12" t="str">
        <x:v>Moderate</x:v>
      </x:c>
      <x:c r="G2" s="12" t="str">
        <x:v>PDF pp. 5, 8-9</x:v>
      </x:c>
      <x:c r="H2" s="12" t="str">
        <x:v>Pilot</x:v>
      </x:c>
    </x:row>
    <x:row r="3" ht="15" hidden="0" customHeight="1">
      <x:c r="A3" s="12" t="str">
        <x:v>A006</x:v>
      </x:c>
      <x:c r="B3" s="12" t="str">
        <x:v>S007</x:v>
      </x:c>
      <x:c r="C3" s="12" t="str">
        <x:v>L5 boundary</x:v>
      </x:c>
      <x:c r="D3" s="12" t="str">
        <x:v>A single loading-unloading loop gives hysteresis, but no repeated-use cycle series.</x:v>
      </x:c>
      <x:c r="E3" s="12" t="str">
        <x:v>L5 requires &gt;=3 cycles/repetitions plus a stability result; score 0.</x:v>
      </x:c>
      <x:c r="F3" s="12" t="str">
        <x:v>Moderate</x:v>
      </x:c>
      <x:c r="G3" s="12" t="str">
        <x:v>PDF pp. 5-9, Table 3</x:v>
      </x:c>
      <x:c r="H3" s="12" t="str">
        <x:v>Pilot</x:v>
      </x:c>
    </x:row>
    <x:row r="4" ht="24" hidden="0" customHeight="1">
      <x:c r="A4" s="12" t="str">
        <x:v>A007</x:v>
      </x:c>
      <x:c r="B4" s="12" t="str">
        <x:v>S007</x:v>
      </x:c>
      <x:c r="C4" s="12" t="str">
        <x:v>L6 versus intended measurand</x:v>
      </x:c>
      <x:c r="D4" s="12" t="str">
        <x:v>Pressure could be mistaken for a generic environmental exposure.</x:v>
      </x:c>
      <x:c r="E4" s="12" t="str">
        <x:v>The intended measurand does not itself qualify for L6. Here scalp contact pressure is a mounting/use variable for EEG, so retain as a use-condition subtype.</x:v>
      </x:c>
      <x:c r="F4" s="12" t="str">
        <x:v>Moderate</x:v>
      </x:c>
      <x:c r="G4" s="12" t="str">
        <x:v>PDF pp. 5-6, 9-10</x:v>
      </x:c>
      <x:c r="H4" s="12" t="str">
        <x:v>Pilot</x:v>
      </x:c>
    </x:row>
    <x:row r="5" ht="24" hidden="0" customHeight="1">
      <x:c r="A5" s="12" t="str">
        <x:v>A008</x:v>
      </x:c>
      <x:c r="B5" s="12" t="str">
        <x:v>S017</x:v>
      </x:c>
      <x:c r="C5" s="12" t="str">
        <x:v>Material composition</x:v>
      </x:c>
      <x:c r="D5" s="12" t="str">
        <x:v>Carbon fiber is introduced but loading is not reported; an approximately 500 deg C drying temperature is stated and appears implausible.</x:v>
      </x:c>
      <x:c r="E5" s="12" t="str">
        <x:v>Transcribe exactly, mark carbon loading NR, and flag the temperature for author/source verification; do not silently correct.</x:v>
      </x:c>
      <x:c r="F5" s="12" t="str">
        <x:v>Moderate</x:v>
      </x:c>
      <x:c r="G5" s="12" t="str">
        <x:v>PDF p. 2</x:v>
      </x:c>
      <x:c r="H5" s="12" t="str">
        <x:v>Pilot</x:v>
      </x:c>
    </x:row>
    <x:row r="6" ht="24" hidden="0" customHeight="1">
      <x:c r="A6" s="12" t="str">
        <x:v>A010</x:v>
      </x:c>
      <x:c r="B6" s="12" t="str">
        <x:v>S001</x:v>
      </x:c>
      <x:c r="C6" s="12" t="str">
        <x:v>Gait-phase wording</x:v>
      </x:c>
      <x:c r="D6" s="12" t="str">
        <x:v>The numerical stance/swing values appear in a context where label order should be checked before reuse.</x:v>
      </x:c>
      <x:c r="E6" s="12" t="str">
        <x:v>Retain reported numbers with an author-verification flag until figure/text are reconciled.</x:v>
      </x:c>
      <x:c r="F6" s="12" t="str">
        <x:v>Moderate</x:v>
      </x:c>
      <x:c r="G6" s="12" t="str">
        <x:v>PDF p. 14</x:v>
      </x:c>
      <x:c r="H6" s="12" t="str">
        <x:v>Pilot</x:v>
      </x:c>
    </x:row>
    <x:row r="7" ht="24" hidden="0" customHeight="1">
      <x:c r="A7" s="12" t="str">
        <x:v>B01-A03</x:v>
      </x:c>
      <x:c r="B7" s="12" t="str">
        <x:v>S004</x:v>
      </x:c>
      <x:c r="C7" s="12" t="str">
        <x:v>L5</x:v>
      </x:c>
      <x:c r="D7" s="12" t="str">
        <x:v>Cyclic plots and recovery language are present, but exact same-condition cycle count is not stated.</x:v>
      </x:c>
      <x:c r="E7" s="12" t="str">
        <x:v>Score 1 initially because multiple complete measured cycles or ranges and a recovery outcome are visible; retain for consensus audit.</x:v>
      </x:c>
      <x:c r="F7" s="12" t="str">
        <x:v>Moderate</x:v>
      </x:c>
      <x:c r="G7" s="12" t="str">
        <x:v>PDF pp. 10–12; Figs. 6–7</x:v>
      </x:c>
      <x:c r="H7" s="12" t="str">
        <x:v>Batch 01</x:v>
      </x:c>
    </x:row>
    <x:row r="8" ht="15" hidden="0" customHeight="1">
      <x:c r="A8" s="12" t="str">
        <x:v>B01-A04</x:v>
      </x:c>
      <x:c r="B8" s="12" t="str">
        <x:v>S008</x:v>
      </x:c>
      <x:c r="C8" s="12" t="str">
        <x:v>L5</x:v>
      </x:c>
      <x:c r="D8" s="12" t="str">
        <x:v>A standard deviation &lt;0.002 is reported, but repetition count and device basis are absent.</x:v>
      </x:c>
      <x:c r="E8" s="12" t="str">
        <x:v>Score 0 under count-required L5 rule.</x:v>
      </x:c>
      <x:c r="F8" s="12" t="str">
        <x:v>Moderate</x:v>
      </x:c>
      <x:c r="G8" s="12" t="str">
        <x:v>PDF p. 8; Fig. 5g–h</x:v>
      </x:c>
      <x:c r="H8" s="12" t="str">
        <x:v>Batch 01</x:v>
      </x:c>
    </x:row>
    <x:row r="9" ht="24" hidden="0" customHeight="1">
      <x:c r="A9" s="12" t="str">
        <x:v>B01-A05</x:v>
      </x:c>
      <x:c r="B9" s="12" t="str">
        <x:v>S012</x:v>
      </x:c>
      <x:c r="C9" s="12" t="str">
        <x:v>L5</x:v>
      </x:c>
      <x:c r="D9" s="12" t="str">
        <x:v>Repeated contractions reflect human input as well as device response.</x:v>
      </x:c>
      <x:c r="E9" s="12" t="str">
        <x:v>Score 1 because three complete intended repetitions and quantitative variability are reported; flag for consensus.</x:v>
      </x:c>
      <x:c r="F9" s="12" t="str">
        <x:v>Moderate</x:v>
      </x:c>
      <x:c r="G9" s="12" t="str">
        <x:v>PDF pp. 6–7, 10–11; Figs. 10–13</x:v>
      </x:c>
      <x:c r="H9" s="12" t="str">
        <x:v>Batch 01</x:v>
      </x:c>
    </x:row>
    <x:row r="10" ht="15" hidden="0" customHeight="1">
      <x:c r="A10" s="12" t="str">
        <x:v>B01-A06</x:v>
      </x:c>
      <x:c r="B10" s="12" t="str">
        <x:v>S014</x:v>
      </x:c>
      <x:c r="C10" s="12" t="str">
        <x:v>L8</x:v>
      </x:c>
      <x:c r="D10" s="12" t="str">
        <x:v>Three pull-out specimens per material are non-sensorized interface coupons.</x:v>
      </x:c>
      <x:c r="E10" s="12" t="str">
        <x:v>Do not count them as functional-device reproducibility; L8=0.</x:v>
      </x:c>
      <x:c r="F10" s="12" t="str">
        <x:v>Moderate</x:v>
      </x:c>
      <x:c r="G10" s="12" t="str">
        <x:v>PDF p. 9; Fig. 6</x:v>
      </x:c>
      <x:c r="H10" s="12" t="str">
        <x:v>Batch 01</x:v>
      </x:c>
    </x:row>
    <x:row r="11" ht="24" hidden="0" customHeight="1">
      <x:c r="A11" s="12" t="str">
        <x:v>B01-A07</x:v>
      </x:c>
      <x:c r="B11" s="12" t="str">
        <x:v>S015</x:v>
      </x:c>
      <x:c r="C11" s="12" t="str">
        <x:v>Printed-component role</x:v>
      </x:c>
      <x:c r="D11" s="12" t="str">
        <x:v>Commercial sensors provide transduction, while printed brackets define sensor position and jaw-motion load transfer.</x:v>
      </x:c>
      <x:c r="E11" s="12" t="str">
        <x:v>Include as essential sensing structure; describe role explicitly.</x:v>
      </x:c>
      <x:c r="F11" s="12" t="str">
        <x:v>Major</x:v>
      </x:c>
      <x:c r="G11" s="12" t="str">
        <x:v>PDF p. 3; Figs. 1–2</x:v>
      </x:c>
      <x:c r="H11" s="12" t="str">
        <x:v>Batch 01</x:v>
      </x:c>
    </x:row>
    <x:row r="12" ht="15" hidden="0" customHeight="1">
      <x:c r="A12" s="12" t="str">
        <x:v>B02-A02</x:v>
      </x:c>
      <x:c r="B12" s="12" t="str">
        <x:v>S021</x:v>
      </x:c>
      <x:c r="C12" s="12" t="str">
        <x:v>Printed-component role</x:v>
      </x:c>
      <x:c r="D12" s="12" t="str">
        <x:v>The FDM skeleton does not transduce optically but fixes and decouples the sensors from skin strain.</x:v>
      </x:c>
      <x:c r="E12" s="12" t="str">
        <x:v>Include as a dedicated essential load-transfer/stabilization structure.</x:v>
      </x:c>
      <x:c r="F12" s="12" t="str">
        <x:v>Major</x:v>
      </x:c>
      <x:c r="G12" s="12" t="str">
        <x:v>PDF pp. 3–5, 10–12</x:v>
      </x:c>
      <x:c r="H12" s="12" t="str">
        <x:v>Batch 02</x:v>
      </x:c>
    </x:row>
    <x:row r="13" ht="24" hidden="0" customHeight="1">
      <x:c r="A13" s="12" t="str">
        <x:v>B02-A03</x:v>
      </x:c>
      <x:c r="B13" s="12" t="str">
        <x:v>S022</x:v>
      </x:c>
      <x:c r="C13" s="12" t="str">
        <x:v>L6</x:v>
      </x:c>
      <x:c r="D13" s="12" t="str">
        <x:v>The named supplementary source was obtained and reviewed.</x:v>
      </x:c>
      <x:c r="E13" s="12" t="str">
        <x:v>Final decision: 1; Resistance response was measured from 23% to 85% RH; the reported normalized-resistance variation was on the order of 10^-3.</x:v>
      </x:c>
      <x:c r="F13" s="12" t="str">
        <x:v>Resolved</x:v>
      </x:c>
      <x:c r="G13" s="12" t="str">
        <x:v>Supplementary Fig. S9</x:v>
      </x:c>
      <x:c r="H13" s="12" t="str">
        <x:v>Supplement verified 2026-09-03</x:v>
      </x:c>
    </x:row>
    <x:row r="14" ht="24" hidden="0" customHeight="1">
      <x:c r="A14" s="12" t="str">
        <x:v>B02-A04</x:v>
      </x:c>
      <x:c r="B14" s="12" t="str">
        <x:v>S023</x:v>
      </x:c>
      <x:c r="C14" s="12" t="str">
        <x:v>Wearable relevance</x:v>
      </x:c>
      <x:c r="D14" s="12" t="str">
        <x:v>No body-worn assembly is shown, but the test protocol explicitly targets clothing-integrated wearable components.</x:v>
      </x:c>
      <x:c r="E14" s="12" t="str">
        <x:v>Include at application-specific component tier; retain this limitation in synthesis.</x:v>
      </x:c>
      <x:c r="F14" s="12" t="str">
        <x:v>Major</x:v>
      </x:c>
      <x:c r="G14" s="12" t="str">
        <x:v>PDF pp. 5, 11, 14–16</x:v>
      </x:c>
      <x:c r="H14" s="12" t="str">
        <x:v>Batch 02</x:v>
      </x:c>
    </x:row>
    <x:row r="15" ht="24" hidden="0" customHeight="1">
      <x:c r="A15" s="12" t="str">
        <x:v>B02-A05</x:v>
      </x:c>
      <x:c r="B15" s="12" t="str">
        <x:v>S024</x:v>
      </x:c>
      <x:c r="C15" s="12" t="str">
        <x:v>L6</x:v>
      </x:c>
      <x:c r="D15" s="12" t="str">
        <x:v>The named supplementary source was obtained and reviewed.</x:v>
      </x:c>
      <x:c r="E15" s="12" t="str">
        <x:v>Final decision: 1; Sensor response was compared before exposure and after 3 and 7 days at 60 °C and 80% RH; gauge factor decreased by 5.4% and 9.1%, respectively.</x:v>
      </x:c>
      <x:c r="F15" s="12" t="str">
        <x:v>Resolved</x:v>
      </x:c>
      <x:c r="G15" s="12" t="str">
        <x:v>Main article p. 7; Supplementary Fig. S4, SI p. 4</x:v>
      </x:c>
      <x:c r="H15" s="12" t="str">
        <x:v>Supplement verified 2026-09-03</x:v>
      </x:c>
    </x:row>
    <x:row r="16" ht="36" hidden="0" customHeight="1">
      <x:c r="A16" s="12" t="str">
        <x:v>B02-A06</x:v>
      </x:c>
      <x:c r="B16" s="12" t="str">
        <x:v>S025</x:v>
      </x:c>
      <x:c r="C16" s="12" t="str">
        <x:v>L2</x:v>
      </x:c>
      <x:c r="D16" s="12" t="str">
        <x:v>The named supplementary source was obtained and reviewed.</x:v>
      </x:c>
      <x:c r="E16" s="12" t="str">
        <x:v>Final decision: 1; The supplement identifies the H+-selective cocktail (hydrogen ionophore I, NaTFPB, PU and DOS in THF) and the reference membrane (PVB and NaCl in methanol), together with the CB-PLA and Ag/AgCl components.</x:v>
      </x:c>
      <x:c r="F16" s="12" t="str">
        <x:v>Resolved</x:v>
      </x:c>
      <x:c r="G16" s="12" t="str">
        <x:v>Supplementary Experimental section, SI p. 3</x:v>
      </x:c>
      <x:c r="H16" s="12" t="str">
        <x:v>Supplement verified 2026-09-03</x:v>
      </x:c>
    </x:row>
    <x:row r="17" ht="24" hidden="0" customHeight="1">
      <x:c r="A17" s="12" t="str">
        <x:v>B03-A02</x:v>
      </x:c>
      <x:c r="B17" s="12" t="str">
        <x:v>S031</x:v>
      </x:c>
      <x:c r="C17" s="12" t="str">
        <x:v>Printed-component role</x:v>
      </x:c>
      <x:c r="D17" s="12" t="str">
        <x:v>The Hall sensor is commercial; the printed arms align the encoder/magnet and transfer knee rotation.</x:v>
      </x:c>
      <x:c r="E17" s="12" t="str">
        <x:v>Include as a dedicated essential sensing structure, while distinguishing this from a directly printed transducer.</x:v>
      </x:c>
      <x:c r="F17" s="12" t="str">
        <x:v>Major</x:v>
      </x:c>
      <x:c r="G17" s="12" t="str">
        <x:v>PDF pp. 3–4; Figs. 1–3</x:v>
      </x:c>
      <x:c r="H17" s="12" t="str">
        <x:v>Batch 03</x:v>
      </x:c>
    </x:row>
    <x:row r="18" ht="24" hidden="0" customHeight="1">
      <x:c r="A18" s="12" t="str">
        <x:v>B03-A03</x:v>
      </x:c>
      <x:c r="B18" s="12" t="str">
        <x:v>S032</x:v>
      </x:c>
      <x:c r="C18" s="12" t="str">
        <x:v>L7 versus L6</x:v>
      </x:c>
      <x:c r="D18" s="12" t="str">
        <x:v>Skin temperature is monitored under the attached optical probe; temperature is not a deliberately varied environmental stress.</x:v>
      </x:c>
      <x:c r="E18" s="12" t="str">
        <x:v>Code L7=1 as a quantified interface-safety endpoint and L6=0.</x:v>
      </x:c>
      <x:c r="F18" s="12" t="str">
        <x:v>Moderate</x:v>
      </x:c>
      <x:c r="G18" s="12" t="str">
        <x:v>PDF pp. 3–4, 9; Figs. 1, 7c, 8c</x:v>
      </x:c>
      <x:c r="H18" s="12" t="str">
        <x:v>Batch 03</x:v>
      </x:c>
    </x:row>
    <x:row r="19" ht="24" hidden="0" customHeight="1">
      <x:c r="A19" s="12" t="str">
        <x:v>B03-A04</x:v>
      </x:c>
      <x:c r="B19" s="12" t="str">
        <x:v>S033</x:v>
      </x:c>
      <x:c r="C19" s="12" t="str">
        <x:v>L7</x:v>
      </x:c>
      <x:c r="D19" s="12" t="str">
        <x:v>The named supplementary source was obtained and reviewed.</x:v>
      </x:c>
      <x:c r="E19" s="12" t="str">
        <x:v>Final decision: 1; Peel-off force was measured in newtons over time for coated, embedded and unmodified TPE sensing units attached to test tape.</x:v>
      </x:c>
      <x:c r="F19" s="12" t="str">
        <x:v>Resolved</x:v>
      </x:c>
      <x:c r="G19" s="12" t="str">
        <x:v>Supplementary Fig. S2, SI p. 2</x:v>
      </x:c>
      <x:c r="H19" s="12" t="str">
        <x:v>Supplement verified 2026-09-03</x:v>
      </x:c>
    </x:row>
    <x:row r="20" ht="24" hidden="0" customHeight="1">
      <x:c r="A20" s="12" t="str">
        <x:v>B03-A05</x:v>
      </x:c>
      <x:c r="B20" s="12" t="str">
        <x:v>S034</x:v>
      </x:c>
      <x:c r="C20" s="12" t="str">
        <x:v>Printed-component role</x:v>
      </x:c>
      <x:c r="D20" s="12" t="str">
        <x:v>The electrodes are screen printed on a resin-printed pad, whereas FDM produces the sample-routing microfluidic/fabric structure.</x:v>
      </x:c>
      <x:c r="E20" s="12" t="str">
        <x:v>Include because the FDM component is essential to sample acquisition and delivery, not a generic housing.</x:v>
      </x:c>
      <x:c r="F20" s="12" t="str">
        <x:v>Major</x:v>
      </x:c>
      <x:c r="G20" s="12" t="str">
        <x:v>PDF pp. 2–6; Figs. 1–2</x:v>
      </x:c>
      <x:c r="H20" s="12" t="str">
        <x:v>Batch 03</x:v>
      </x:c>
    </x:row>
    <x:row r="21" ht="24" hidden="0" customHeight="1">
      <x:c r="A21" s="12" t="str">
        <x:v>B03-A06</x:v>
      </x:c>
      <x:c r="B21" s="12" t="str">
        <x:v>S036</x:v>
      </x:c>
      <x:c r="C21" s="12" t="str">
        <x:v>L1</x:v>
      </x:c>
      <x:c r="D21" s="12" t="str">
        <x:v>The paper states a two-nozzle Prusa printer but not a specific model and does not give nozzle diameter.</x:v>
      </x:c>
      <x:c r="E21" s="12" t="str">
        <x:v>Code L1=0 under the locked printer/model and core-settings requirement.</x:v>
      </x:c>
      <x:c r="F21" s="12" t="str">
        <x:v>Minor</x:v>
      </x:c>
      <x:c r="G21" s="12" t="str">
        <x:v>PDF pp. 2–3</x:v>
      </x:c>
      <x:c r="H21" s="12" t="str">
        <x:v>Batch 03</x:v>
      </x:c>
    </x:row>
    <x:row r="22" ht="15" hidden="0" customHeight="1">
      <x:c r="A22" s="12" t="str">
        <x:v>B03-A07</x:v>
      </x:c>
      <x:c r="B22" s="12" t="str">
        <x:v>S037</x:v>
      </x:c>
      <x:c r="C22" s="12" t="str">
        <x:v>Wearable relevance</x:v>
      </x:c>
      <x:c r="D22" s="12" t="str">
        <x:v>The device is anatomically designed for the fingertip but evaluated only with a phantom.</x:v>
      </x:c>
      <x:c r="E22" s="12" t="str">
        <x:v>Include at the application-specific component tier; retain lack of human-worn testing as a limitation.</x:v>
      </x:c>
      <x:c r="F22" s="12" t="str">
        <x:v>Major</x:v>
      </x:c>
      <x:c r="G22" s="12" t="str">
        <x:v>PDF pp. 1–6; Figs. 1–8</x:v>
      </x:c>
      <x:c r="H22" s="12" t="str">
        <x:v>Batch 03</x:v>
      </x:c>
    </x:row>
    <x:row r="23" ht="36" hidden="0" customHeight="1">
      <x:c r="A23" s="12" t="str">
        <x:v>B04-A04</x:v>
      </x:c>
      <x:c r="B23" s="12" t="str">
        <x:v>S046</x:v>
      </x:c>
      <x:c r="C23" s="12" t="str">
        <x:v>L1 printing detail</x:v>
      </x:c>
      <x:c r="D23" s="12" t="str">
        <x:v>The named supplementary source was obtained and reviewed.</x:v>
      </x:c>
      <x:c r="E23" s="12" t="str">
        <x:v>Final decision: 0; The supplement reports the Anycubic Kobra Plus i3 printer, 90 °C platform, 250 °C nozzle and 15 mm s^-1 speed, but layer height, infill value/pattern and orientation/toolpath remain unreported; the tested device cannot be fully reconstructed.</x:v>
      </x:c>
      <x:c r="F23" s="12" t="str">
        <x:v>Resolved</x:v>
      </x:c>
      <x:c r="G23" s="12" t="str">
        <x:v>Supplementary pp. 3-4; Fig. S3</x:v>
      </x:c>
      <x:c r="H23" s="12" t="str">
        <x:v>Supplement verified 2026-09-03</x:v>
      </x:c>
    </x:row>
    <x:row r="24" ht="24" hidden="0" customHeight="1">
      <x:c r="A24" s="12" t="str">
        <x:v>B04-A05</x:v>
      </x:c>
      <x:c r="B24" s="12" t="str">
        <x:v>S047</x:v>
      </x:c>
      <x:c r="C24" s="12" t="str">
        <x:v>Printed-component role</x:v>
      </x:c>
      <x:c r="D24" s="12" t="str">
        <x:v>The sensing modules are commercial, whereas the FDM mask controls their position, pressure concentration, attachment and skin interface.</x:v>
      </x:c>
      <x:c r="E24" s="12" t="str">
        <x:v>Include as an essential load-transfer and sensor-integration structure, not as a directly printed transducer.</x:v>
      </x:c>
      <x:c r="F24" s="12" t="str">
        <x:v>Major</x:v>
      </x:c>
      <x:c r="G24" s="12" t="str">
        <x:v>PDF pp. 3–5; Figs. 2–4</x:v>
      </x:c>
      <x:c r="H24" s="12" t="str">
        <x:v>Batch 04</x:v>
      </x:c>
    </x:row>
    <x:row r="25" ht="24" hidden="0" customHeight="1">
      <x:c r="A25" s="12" t="str">
        <x:v>B04-A06</x:v>
      </x:c>
      <x:c r="B25" s="12" t="str">
        <x:v>S047</x:v>
      </x:c>
      <x:c r="C25" s="12" t="str">
        <x:v>L5 versus longitudinal monitoring</x:v>
      </x:c>
      <x:c r="D25" s="12" t="str">
        <x:v>The mask was used for four weeks, but the paper does not report calibration retention, drift or a controlled repeated sensor-response test.</x:v>
      </x:c>
      <x:c r="E25" s="12" t="str">
        <x:v>Code L5=0; keep duration and clinical pressure data in the experiment sheet.</x:v>
      </x:c>
      <x:c r="F25" s="12" t="str">
        <x:v>Moderate</x:v>
      </x:c>
      <x:c r="G25" s="12" t="str">
        <x:v>PDF pp. 7, 9–13; Table 1; Fig. 9</x:v>
      </x:c>
      <x:c r="H25" s="12" t="str">
        <x:v>Batch 04</x:v>
      </x:c>
    </x:row>
    <x:row r="26" ht="24" hidden="0" customHeight="1">
      <x:c r="A26" s="12" t="str">
        <x:v>B04-A07</x:v>
      </x:c>
      <x:c r="B26" s="12" t="str">
        <x:v>S043</x:v>
      </x:c>
      <x:c r="C26" s="12" t="str">
        <x:v>Wearable test extent</x:v>
      </x:c>
      <x:c r="D26" s="12" t="str">
        <x:v>The wristband was placed on a forearm for a photograph, whereas artificial-sweat measurements were performed horizontally.</x:v>
      </x:c>
      <x:c r="E26" s="12" t="str">
        <x:v>Include because the final device is specifically engineered and assembled as a forearm wristband; record limited on-body validation separately.</x:v>
      </x:c>
      <x:c r="F26" s="12" t="str">
        <x:v>Moderate</x:v>
      </x:c>
      <x:c r="G26" s="12" t="str">
        <x:v>PDF pp. 3, 11–12; Figs. 7–8</x:v>
      </x:c>
      <x:c r="H26" s="12" t="str">
        <x:v>Batch 04</x:v>
      </x:c>
    </x:row>
    <x:row r="27" ht="24" hidden="0" customHeight="1">
      <x:c r="A27" s="12" t="str">
        <x:v>B04-A08</x:v>
      </x:c>
      <x:c r="B27" s="12" t="str">
        <x:v>S038</x:v>
      </x:c>
      <x:c r="C27" s="12" t="str">
        <x:v>Publication year metadata</x:v>
      </x:c>
      <x:c r="D27" s="12" t="str">
        <x:v>The DOI record was published online in December 2018, while the journal issue is Polymers 2019, 11, 11.</x:v>
      </x:c>
      <x:c r="E27" s="12" t="str">
        <x:v>Retain the working-set year 2018 and preserve the DOI for bibliographic reconciliation.</x:v>
      </x:c>
      <x:c r="F27" s="12" t="str">
        <x:v>Minor</x:v>
      </x:c>
      <x:c r="G27" s="12" t="str">
        <x:v>PDF p. 1; DOI 10.3390/polym11010011</x:v>
      </x:c>
      <x:c r="H27" s="12" t="str">
        <x:v>Batch 04</x:v>
      </x:c>
    </x:row>
    <x:row r="28" ht="36" hidden="0" customHeight="1">
      <x:c r="A28" s="12" t="str">
        <x:v>B05-A01</x:v>
      </x:c>
      <x:c r="B28" s="12" t="str">
        <x:v>S052</x:v>
      </x:c>
      <x:c r="C28" s="12" t="str">
        <x:v>L1 printing detail</x:v>
      </x:c>
      <x:c r="D28" s="12" t="str">
        <x:v>The named supplementary source was obtained and reviewed.</x:v>
      </x:c>
      <x:c r="E28" s="12" t="str">
        <x:v>Final decision: 0; The main article reports the F430 NX printer and 225/130 °C nozzle/base temperatures, and Supplementary Table S1 gives device geometry; nozzle diameter, layer height, print speed, infill and orientation/toolpath remain unreported.</x:v>
      </x:c>
      <x:c r="F28" s="12" t="str">
        <x:v>Resolved</x:v>
      </x:c>
      <x:c r="G28" s="12" t="str">
        <x:v>Main article p. 2; Supplementary Table S1</x:v>
      </x:c>
      <x:c r="H28" s="12" t="str">
        <x:v>Supplement verified 2026-09-03</x:v>
      </x:c>
    </x:row>
    <x:row r="29" ht="24" hidden="0" customHeight="1">
      <x:c r="A29" s="12" t="str">
        <x:v>B05-A02</x:v>
      </x:c>
      <x:c r="B29" s="12" t="str">
        <x:v>S054</x:v>
      </x:c>
      <x:c r="C29" s="12" t="str">
        <x:v>Wearable eligibility</x:v>
      </x:c>
      <x:c r="D29" s="12" t="str">
        <x:v>The device is not tested on a person or in a final insole, but the structure was specifically designed, dimensioned and mechanically validated as an overload-history element for therapeutic footwear.</x:v>
      </x:c>
      <x:c r="E29" s="12" t="str">
        <x:v>Include at locked wearable-hierarchy level 3; record absence of in-shoe testing separately.</x:v>
      </x:c>
      <x:c r="F29" s="12" t="str">
        <x:v>Major</x:v>
      </x:c>
      <x:c r="G29" s="12" t="str">
        <x:v>PDF pp. 3–8; Figs. 1–7</x:v>
      </x:c>
      <x:c r="H29" s="12" t="str">
        <x:v>Batch 05</x:v>
      </x:c>
    </x:row>
    <x:row r="30" ht="24" hidden="0" customHeight="1">
      <x:c r="A30" s="12" t="str">
        <x:v>B05-A03</x:v>
      </x:c>
      <x:c r="B30" s="12" t="str">
        <x:v>S058</x:v>
      </x:c>
      <x:c r="C30" s="12" t="str">
        <x:v>L1 printing detail</x:v>
      </x:c>
      <x:c r="D30" s="12" t="str">
        <x:v>The named supplementary source was obtained and reviewed.</x:v>
      </x:c>
      <x:c r="E30" s="12" t="str">
        <x:v>Final decision: 1; The printer, TPE filament, 240 °C nozzle temperature, device dimensions and variant-specific nozzle diameter, layer height, first-layer height and thermal post-treatment are reported.</x:v>
      </x:c>
      <x:c r="F30" s="12" t="str">
        <x:v>Resolved</x:v>
      </x:c>
      <x:c r="G30" s="12" t="str">
        <x:v>Main article Experimental section 3.1; Supplementary Table S1</x:v>
      </x:c>
      <x:c r="H30" s="12" t="str">
        <x:v>Supplement verified 2026-09-03</x:v>
      </x:c>
    </x:row>
    <x:row r="31" ht="24" hidden="0" customHeight="1">
      <x:c r="A31" s="12" t="str">
        <x:v>B05-A04</x:v>
      </x:c>
      <x:c r="B31" s="12" t="str">
        <x:v>S059</x:v>
      </x:c>
      <x:c r="C31" s="12" t="str">
        <x:v>L1 printing detail</x:v>
      </x:c>
      <x:c r="D31" s="12" t="str">
        <x:v>The named supplementary source was obtained and reviewed.</x:v>
      </x:c>
      <x:c r="E31" s="12" t="str">
        <x:v>Final decision: 1; The Sovol SV04 IDEX process and material-specific extrusion/bed temperatures, speeds, layer thickness, line width, infill level/pattern and wall/top/bottom settings are reported.</x:v>
      </x:c>
      <x:c r="F31" s="12" t="str">
        <x:v>Resolved</x:v>
      </x:c>
      <x:c r="G31" s="12" t="str">
        <x:v>Main article pp. 3-4; Supplementary Table S1, SI pp. 3-4</x:v>
      </x:c>
      <x:c r="H31" s="12" t="str">
        <x:v>Supplement verified 2026-09-03</x:v>
      </x:c>
    </x:row>
    <x:row r="32" ht="24" hidden="0" customHeight="1">
      <x:c r="A32" s="12" t="str">
        <x:v>B05-A05</x:v>
      </x:c>
      <x:c r="B32" s="12" t="str">
        <x:v>S051</x:v>
      </x:c>
      <x:c r="C32" s="12" t="str">
        <x:v>Printed-component role</x:v>
      </x:c>
      <x:c r="D32" s="12" t="str">
        <x:v>The thermopile is commercial, but printed layers and channels align it to the tympanum, route liquid-metal interconnections and define the wearable assembly.</x:v>
      </x:c>
      <x:c r="E32" s="12" t="str">
        <x:v>Include as an essential sensing/integration structure, not a directly printed thermopile.</x:v>
      </x:c>
      <x:c r="F32" s="12" t="str">
        <x:v>Major</x:v>
      </x:c>
      <x:c r="G32" s="12" t="str">
        <x:v>PDF pp. 2–3; Figs. 1–2</x:v>
      </x:c>
      <x:c r="H32" s="12" t="str">
        <x:v>Batch 05</x:v>
      </x:c>
    </x:row>
    <x:row r="33" ht="24" hidden="0" customHeight="1">
      <x:c r="A33" s="12" t="str">
        <x:v>B05-A06</x:v>
      </x:c>
      <x:c r="B33" s="12" t="str">
        <x:v>S052</x:v>
      </x:c>
      <x:c r="C33" s="12" t="str">
        <x:v>L8 batch statement</x:v>
      </x:c>
      <x:c r="D33" s="12" t="str">
        <x:v>Figure text states ±6% batch-to-batch variation but does not identify at least three separately fabricated complete sensing units.</x:v>
      </x:c>
      <x:c r="E33" s="12" t="str">
        <x:v>Code L8=0; do not infer unit count from the word batch.</x:v>
      </x:c>
      <x:c r="F33" s="12" t="str">
        <x:v>Moderate</x:v>
      </x:c>
      <x:c r="G33" s="12" t="str">
        <x:v>PDF p. 8; Fig. 4i</x:v>
      </x:c>
      <x:c r="H33" s="12" t="str">
        <x:v>Batch 05</x:v>
      </x:c>
    </x:row>
    <x:row r="34" ht="24" hidden="0" customHeight="1">
      <x:c r="A34" s="12" t="str">
        <x:v>B06-A02</x:v>
      </x:c>
      <x:c r="B34" s="12" t="str">
        <x:v>S061</x:v>
      </x:c>
      <x:c r="C34" s="12" t="str">
        <x:v>Terminology/data consistency</x:v>
      </x:c>
      <x:c r="D34" s="12" t="str">
        <x:v>The meanings of ‘with wear’ and ‘without wear’ and some S11 values differ between prose, table and conclusion.</x:v>
      </x:c>
      <x:c r="E34" s="12" t="str">
        <x:v>Retain the reported numbers with a consistency flag; do not reinterpret the labels.</x:v>
      </x:c>
      <x:c r="F34" s="12" t="str">
        <x:v>Moderate</x:v>
      </x:c>
      <x:c r="G34" s="12" t="str">
        <x:v>PDF pp. 7–11; Table 1; Figs. 11–13</x:v>
      </x:c>
      <x:c r="H34" s="12" t="str">
        <x:v>Batch 06</x:v>
      </x:c>
    </x:row>
    <x:row r="35" ht="24" hidden="0" customHeight="1">
      <x:c r="A35" s="12" t="str">
        <x:v>B06-A03</x:v>
      </x:c>
      <x:c r="B35" s="12" t="str">
        <x:v>S064</x:v>
      </x:c>
      <x:c r="C35" s="12" t="str">
        <x:v>L8 unit comparison</x:v>
      </x:c>
      <x:c r="D35" s="12" t="str">
        <x:v>Five specimens were used, but each was assigned a different impact velocity; the article does not provide same-condition between-device dispersion.</x:v>
      </x:c>
      <x:c r="E35" s="12" t="str">
        <x:v>Code L8=0; do not treat condition-specific specimens as replicate devices.</x:v>
      </x:c>
      <x:c r="F35" s="12" t="str">
        <x:v>Moderate</x:v>
      </x:c>
      <x:c r="G35" s="12" t="str">
        <x:v>PDF pp. 4–7; Figs. 3–5</x:v>
      </x:c>
      <x:c r="H35" s="12" t="str">
        <x:v>Batch 06</x:v>
      </x:c>
    </x:row>
    <x:row r="36" ht="15" hidden="0" customHeight="1">
      <x:c r="A36" s="12" t="str">
        <x:v>B06-A04</x:v>
      </x:c>
      <x:c r="B36" s="12" t="str">
        <x:v>S068</x:v>
      </x:c>
      <x:c r="C36" s="12" t="str">
        <x:v>L8 repetition type</x:v>
      </x:c>
      <x:c r="D36" s="12" t="str">
        <x:v>The article explicitly states that three sensitivity tests were repeated on the same sample.</x:v>
      </x:c>
      <x:c r="E36" s="12" t="str">
        <x:v>Code L8=0; count as repeated-measurement evidence, not independent-device reproducibility.</x:v>
      </x:c>
      <x:c r="F36" s="12" t="str">
        <x:v>Moderate</x:v>
      </x:c>
      <x:c r="G36" s="12" t="str">
        <x:v>PDF pp. 5–7; Fig. 6a–c</x:v>
      </x:c>
      <x:c r="H36" s="12" t="str">
        <x:v>Batch 06</x:v>
      </x:c>
    </x:row>
    <x:row r="37" ht="36" hidden="0" customHeight="1">
      <x:c r="A37" s="12" t="str">
        <x:v>B06-A05</x:v>
      </x:c>
      <x:c r="B37" s="12" t="str">
        <x:v>S069</x:v>
      </x:c>
      <x:c r="C37" s="12" t="str">
        <x:v>L1 supporting settings</x:v>
      </x:c>
      <x:c r="D37" s="12" t="str">
        <x:v>Printing speed and filament-specific thermal settings are assigned to Supplementary Tables S1–S2, but the main article reports the printer, PP, nozzle, extrusion/bed temperature, layer height, geometry and Z offset.</x:v>
      </x:c>
      <x:c r="E37" s="12" t="str">
        <x:v>Code L1=1 because the locked core fields and application-relevant settings are reported in the main article; preserve the SI locator.</x:v>
      </x:c>
      <x:c r="F37" s="12" t="str">
        <x:v>Minor</x:v>
      </x:c>
      <x:c r="G37" s="12" t="str">
        <x:v>PDF pp. 2–3; Tables S1–S2 cited</x:v>
      </x:c>
      <x:c r="H37" s="12" t="str">
        <x:v>Batch 06</x:v>
      </x:c>
    </x:row>
    <x:row r="38" ht="24" hidden="0" customHeight="1">
      <x:c r="A38" s="12" t="str">
        <x:v>B07-A02</x:v>
      </x:c>
      <x:c r="B38" s="12" t="str">
        <x:v>S071</x:v>
      </x:c>
      <x:c r="C38" s="12" t="str">
        <x:v>Outcome consistency</x:v>
      </x:c>
      <x:c r="D38" s="12" t="str">
        <x:v>The discussion describes the post-cycle graphene coating as intact in one passage but later refers to cracks and delamination.</x:v>
      </x:c>
      <x:c r="E38" s="12" t="str">
        <x:v>Retain the quantitative 4.2% degradation and flag the qualitative coating interpretation as internally inconsistent.</x:v>
      </x:c>
      <x:c r="F38" s="12" t="str">
        <x:v>Moderate</x:v>
      </x:c>
      <x:c r="G38" s="12" t="str">
        <x:v>PDF pp. 5–8; Fig. 6g</x:v>
      </x:c>
      <x:c r="H38" s="12" t="str">
        <x:v>Batch 07</x:v>
      </x:c>
    </x:row>
    <x:row r="39" ht="24" hidden="0" customHeight="1">
      <x:c r="A39" s="12" t="str">
        <x:v>B07-A03</x:v>
      </x:c>
      <x:c r="B39" s="12" t="str">
        <x:v>S075</x:v>
      </x:c>
      <x:c r="C39" s="12" t="str">
        <x:v>L8 unit definition</x:v>
      </x:c>
      <x:c r="D39" s="12" t="str">
        <x:v>Three nominally identical printed sensors were fabricated, but they were assigned to bare, tape and silicone integration conditions.</x:v>
      </x:c>
      <x:c r="E39" s="12" t="str">
        <x:v>Code L8=0 because same-condition between-device variation was not reported.</x:v>
      </x:c>
      <x:c r="F39" s="12" t="str">
        <x:v>Moderate</x:v>
      </x:c>
      <x:c r="G39" s="12" t="str">
        <x:v>PDF pp. 2–3; Fig. 1</x:v>
      </x:c>
      <x:c r="H39" s="12" t="str">
        <x:v>Batch 07</x:v>
      </x:c>
    </x:row>
    <x:row r="40" ht="24" hidden="0" customHeight="1">
      <x:c r="A40" s="12" t="str">
        <x:v>B07-A04</x:v>
      </x:c>
      <x:c r="B40" s="12" t="str">
        <x:v>S076</x:v>
      </x:c>
      <x:c r="C40" s="12" t="str">
        <x:v>Printer identity</x:v>
      </x:c>
      <x:c r="D40" s="12" t="str">
        <x:v>Methods/results name RepRap x350Pro, an Ultimaker FDM printer and Raise3D Pro2 for closely related PVDF printing descriptions.</x:v>
      </x:c>
      <x:c r="E40" s="12" t="str">
        <x:v>Retain all reported platform names; do not resolve the inconsistency by assumption.</x:v>
      </x:c>
      <x:c r="F40" s="12" t="str">
        <x:v>Moderate</x:v>
      </x:c>
      <x:c r="G40" s="12" t="str">
        <x:v>PDF pp. 3–4; Fig. 1</x:v>
      </x:c>
      <x:c r="H40" s="12" t="str">
        <x:v>Batch 07</x:v>
      </x:c>
    </x:row>
    <x:row r="41" ht="24" hidden="0" customHeight="1">
      <x:c r="A41" s="12" t="str">
        <x:v>B07-A05</x:v>
      </x:c>
      <x:c r="B41" s="12" t="str">
        <x:v>S076</x:v>
      </x:c>
      <x:c r="C41" s="12" t="str">
        <x:v>L8 replicate definition</x:v>
      </x:c>
      <x:c r="D41" s="12" t="str">
        <x:v>Three poled PVDF samples produced mean±SD d33, but the principal device is an assembled polarization-free HPTENG.</x:v>
      </x:c>
      <x:c r="E41" s="12" t="str">
        <x:v>Code L8=0 because the triplicate result is not a comparison of three complete principal sensing units.</x:v>
      </x:c>
      <x:c r="F41" s="12" t="str">
        <x:v>Moderate</x:v>
      </x:c>
      <x:c r="G41" s="12" t="str">
        <x:v>PDF p. 3; Fig. 1</x:v>
      </x:c>
      <x:c r="H41" s="12" t="str">
        <x:v>Batch 07</x:v>
      </x:c>
    </x:row>
    <x:row r="42" ht="24" hidden="0" customHeight="1">
      <x:c r="A42" s="12" t="str">
        <x:v>B07-A06</x:v>
      </x:c>
      <x:c r="B42" s="12" t="str">
        <x:v>S077</x:v>
      </x:c>
      <x:c r="C42" s="12" t="str">
        <x:v>L8 repetition type</x:v>
      </x:c>
      <x:c r="D42" s="12" t="str">
        <x:v>The statistical section states that measurements were repeated three times, without stating whether separately fabricated devices were used or providing device identifiers.</x:v>
      </x:c>
      <x:c r="E42" s="12" t="str">
        <x:v>Code L8=0; do not convert generic measurement repetition into independent-device evidence.</x:v>
      </x:c>
      <x:c r="F42" s="12" t="str">
        <x:v>Moderate</x:v>
      </x:c>
      <x:c r="G42" s="12" t="str">
        <x:v>PDF p. 4; Section 2.6</x:v>
      </x:c>
      <x:c r="H42" s="12" t="str">
        <x:v>Batch 07</x:v>
      </x:c>
    </x:row>
    <x:row r="43" ht="24" hidden="0" customHeight="1">
      <x:c r="A43" s="12" t="str">
        <x:v>B07-A07</x:v>
      </x:c>
      <x:c r="B43" s="12" t="str">
        <x:v>S077</x:v>
      </x:c>
      <x:c r="C43" s="12" t="str">
        <x:v>Endurance locator</x:v>
      </x:c>
      <x:c r="D43" s="12" t="str">
        <x:v>The conclusion reports 6000 cycles at 100% strain, but the extracted main-text discussion does not provide an equally explicit figure-panel locator for that endurance result.</x:v>
      </x:c>
      <x:c r="E43" s="12" t="str">
        <x:v>Retain the reported value with a locator and verification flag; avoid adding unreported retention statistics.</x:v>
      </x:c>
      <x:c r="F43" s="12" t="str">
        <x:v>Moderate</x:v>
      </x:c>
      <x:c r="G43" s="12" t="str">
        <x:v>PDF p. 15; Conclusion</x:v>
      </x:c>
      <x:c r="H43" s="12" t="str">
        <x:v>Batch 07</x:v>
      </x:c>
    </x:row>
    <x:row r="44" ht="24" hidden="0" customHeight="1">
      <x:c r="A44" s="12" t="str">
        <x:v>B07-A08</x:v>
      </x:c>
      <x:c r="B44" s="12" t="str">
        <x:v>S078</x:v>
      </x:c>
      <x:c r="C44" s="12" t="str">
        <x:v>L1 supporting information</x:v>
      </x:c>
      <x:c r="D44" s="12" t="str">
        <x:v>The named supplementary source was obtained and reviewed.</x:v>
      </x:c>
      <x:c r="E44" s="12" t="str">
        <x:v>Final decision: 1; The Mori M3145K process, geometry, raster/infill and post-treatment are reported with a 0.6 mm nozzle, 200 °C nozzle, 50 °C bed, 0.4 mm layer height, 50% infill and 10 mm s^-1 speed.</x:v>
      </x:c>
      <x:c r="F44" s="12" t="str">
        <x:v>Resolved</x:v>
      </x:c>
      <x:c r="G44" s="12" t="str">
        <x:v>Main article Experimental section; Supplementary Table S1</x:v>
      </x:c>
      <x:c r="H44" s="12" t="str">
        <x:v>Supplement verified 2026-09-03</x:v>
      </x:c>
    </x:row>
    <x:row r="45" ht="24" hidden="0" customHeight="1">
      <x:c r="A45" s="12" t="str">
        <x:v>B07-A09</x:v>
      </x:c>
      <x:c r="B45" s="12" t="str">
        <x:v>S079</x:v>
      </x:c>
      <x:c r="C45" s="12" t="str">
        <x:v>L8 selected-curve reporting</x:v>
      </x:c>
      <x:c r="D45" s="12" t="str">
        <x:v>The paper states that compression curves were repeatable among samples of the same structure, but presents one selected curve without sample count, device-level results or dispersion.</x:v>
      </x:c>
      <x:c r="E45" s="12" t="str">
        <x:v>Code L8=0 under the locked rule.</x:v>
      </x:c>
      <x:c r="F45" s="12" t="str">
        <x:v>Moderate</x:v>
      </x:c>
      <x:c r="G45" s="12" t="str">
        <x:v>PDF pp. 5–6; Fig. 3</x:v>
      </x:c>
      <x:c r="H45" s="12" t="str">
        <x:v>Batch 07</x:v>
      </x:c>
    </x:row>
    <x:row r="46" ht="24" hidden="0" customHeight="1">
      <x:c r="A46" s="12" t="str">
        <x:v>B07-A10</x:v>
      </x:c>
      <x:c r="B46" s="12" t="str">
        <x:v>S079</x:v>
      </x:c>
      <x:c r="C46" s="12" t="str">
        <x:v>Outcome inconsistency</x:v>
      </x:c>
      <x:c r="D46" s="12" t="str">
        <x:v>Detection-limit and response-time values differ among the main Results, abstract and conclusion.</x:v>
      </x:c>
      <x:c r="E46" s="12" t="str">
        <x:v>Use values tied to the described experiment and keep the inconsistent summary values flagged rather than silently reconciling them.</x:v>
      </x:c>
      <x:c r="F46" s="12" t="str">
        <x:v>Moderate</x:v>
      </x:c>
      <x:c r="G46" s="12" t="str">
        <x:v>PDF pp. 1–2 and 9–12; Fig. 4; Fig. S13 cited</x:v>
      </x:c>
      <x:c r="H46" s="12" t="str">
        <x:v>Batch 07</x:v>
      </x:c>
    </x:row>
    <x:row r="47" ht="15" hidden="0" customHeight="1">
      <x:c r="A47" s="12" t="str">
        <x:v>B08-A02</x:v>
      </x:c>
      <x:c r="B47" s="12" t="str">
        <x:v>S081</x:v>
      </x:c>
      <x:c r="C47" s="12" t="str">
        <x:v>Printing speed</x:v>
      </x:c>
      <x:c r="D47" s="12" t="str">
        <x:v>Table I reports printing speed as 15%, without a dimensional speed value.</x:v>
      </x:c>
      <x:c r="E47" s="12" t="str">
        <x:v>Retain the value exactly as a printer setting and do not convert it to mm s⁻¹.</x:v>
      </x:c>
      <x:c r="F47" s="12" t="str">
        <x:v>Moderate</x:v>
      </x:c>
      <x:c r="G47" s="12" t="str">
        <x:v>PDF p. 3; Table I</x:v>
      </x:c>
      <x:c r="H47" s="12" t="str">
        <x:v>Batch 08</x:v>
      </x:c>
    </x:row>
    <x:row r="48" ht="24" hidden="0" customHeight="1">
      <x:c r="A48" s="12" t="str">
        <x:v>B08-A03</x:v>
      </x:c>
      <x:c r="B48" s="12" t="str">
        <x:v>S081</x:v>
      </x:c>
      <x:c r="C48" s="12" t="str">
        <x:v>Repeat versus device unit</x:v>
      </x:c>
      <x:c r="D48" s="12" t="str">
        <x:v>Seven compression tests and two clinical procedures are reported, but the number of separately fabricated devices is not stated.</x:v>
      </x:c>
      <x:c r="E48" s="12" t="str">
        <x:v>Code L5=1 and L8=0.</x:v>
      </x:c>
      <x:c r="F48" s="12" t="str">
        <x:v>Moderate</x:v>
      </x:c>
      <x:c r="G48" s="12" t="str">
        <x:v>PDF pp. 4–7; Figs. 6–8</x:v>
      </x:c>
      <x:c r="H48" s="12" t="str">
        <x:v>Batch 08</x:v>
      </x:c>
    </x:row>
    <x:row r="49" ht="24" hidden="0" customHeight="1">
      <x:c r="A49" s="12" t="str">
        <x:v>B08-A05</x:v>
      </x:c>
      <x:c r="B49" s="12" t="str">
        <x:v>S085</x:v>
      </x:c>
      <x:c r="C49" s="12" t="str">
        <x:v>Printer identification</x:v>
      </x:c>
      <x:c r="D49" s="12" t="str">
        <x:v>The platform is described as a customized low-cost desktop FDM printer without manufacturer/model.</x:v>
      </x:c>
      <x:c r="E49" s="12" t="str">
        <x:v>Treat the customized platform description as the equivalent identifier required by L1; all other locked process fields are reported.</x:v>
      </x:c>
      <x:c r="F49" s="12" t="str">
        <x:v>Moderate</x:v>
      </x:c>
      <x:c r="G49" s="12" t="str">
        <x:v>PDF pp. 2–4; Figs. 1–3</x:v>
      </x:c>
      <x:c r="H49" s="12" t="str">
        <x:v>Batch 08</x:v>
      </x:c>
    </x:row>
    <x:row r="50" ht="24" hidden="0" customHeight="1">
      <x:c r="A50" s="12" t="str">
        <x:v>B08-A06</x:v>
      </x:c>
      <x:c r="B50" s="12" t="str">
        <x:v>S086</x:v>
      </x:c>
      <x:c r="C50" s="12" t="str">
        <x:v>Cycle count wording</x:v>
      </x:c>
      <x:c r="D50" s="12" t="str">
        <x:v>The study describes three 2000-s cyclic tests and later summarizes 6000 s; these are durations, not 6000 loading cycles.</x:v>
      </x:c>
      <x:c r="E50" s="12" t="str">
        <x:v>Record duration in seconds and do not convert it to a cycle count.</x:v>
      </x:c>
      <x:c r="F50" s="12" t="str">
        <x:v>Major</x:v>
      </x:c>
      <x:c r="G50" s="12" t="str">
        <x:v>PDF pp. 7–8; Fig. 5</x:v>
      </x:c>
      <x:c r="H50" s="12" t="str">
        <x:v>Batch 08</x:v>
      </x:c>
    </x:row>
    <x:row r="51" ht="24" hidden="0" customHeight="1">
      <x:c r="A51" s="12" t="str">
        <x:v>B08-A07</x:v>
      </x:c>
      <x:c r="B51" s="12" t="str">
        <x:v>S087</x:v>
      </x:c>
      <x:c r="C51" s="12" t="str">
        <x:v>Environmental versus fabrication treatment</x:v>
      </x:c>
      <x:c r="D51" s="12" t="str">
        <x:v>Heating at 100–115 °C embeds graphene during fabrication; tape peel evaluates adhesion rather than sensor response after exposure.</x:v>
      </x:c>
      <x:c r="E51" s="12" t="str">
        <x:v>Do not count these as L6 environmental/use-exposure evidence.</x:v>
      </x:c>
      <x:c r="F51" s="12" t="str">
        <x:v>Moderate</x:v>
      </x:c>
      <x:c r="G51" s="12" t="str">
        <x:v>PDF pp. 3–7; Figs. 2–4; Figs. S3–S4 cited</x:v>
      </x:c>
      <x:c r="H51" s="12" t="str">
        <x:v>Batch 08</x:v>
      </x:c>
    </x:row>
    <x:row r="52" ht="36" hidden="0" customHeight="1">
      <x:c r="A52" s="12" t="str">
        <x:v>B08-A08</x:v>
      </x:c>
      <x:c r="B52" s="12" t="str">
        <x:v>S088</x:v>
      </x:c>
      <x:c r="C52" s="12" t="str">
        <x:v>Reported resolution inconsistency</x:v>
      </x:c>
      <x:c r="D52" s="12" t="str">
        <x:v>The elbow resolution calculation is explicit, whereas the reported knee resolution (0.39°) is not arithmetically consistent with the stated 0.001-nm interrogator resolution and 0.0276 nm degree⁻¹ sensitivity.</x:v>
      </x:c>
      <x:c r="E52" s="12" t="str">
        <x:v>Retain the authors’ reported knee value and flag it; do not silently recalculate.</x:v>
      </x:c>
      <x:c r="F52" s="12" t="str">
        <x:v>Moderate</x:v>
      </x:c>
      <x:c r="G52" s="12" t="str">
        <x:v>PDF pp. 9–12; Figs. 7–10</x:v>
      </x:c>
      <x:c r="H52" s="12" t="str">
        <x:v>Batch 08</x:v>
      </x:c>
    </x:row>
    <x:row r="53" ht="24" hidden="0" customHeight="1">
      <x:c r="A53" s="12" t="str">
        <x:v>B08-A09</x:v>
      </x:c>
      <x:c r="B53" s="12" t="str">
        <x:v>S089</x:v>
      </x:c>
      <x:c r="C53" s="12" t="str">
        <x:v>PDF pagination</x:v>
      </x:c>
      <x:c r="D53" s="12" t="str">
        <x:v>The available file contains repository metadata and an accepted-manuscript layout before the article text, so PDF-page locators differ from journal pagination.</x:v>
      </x:c>
      <x:c r="E53" s="12" t="str">
        <x:v>Use explicit PDF-page locators in this workbook and identify figures/tables alongside them.</x:v>
      </x:c>
      <x:c r="F53" s="12" t="str">
        <x:v>Minor</x:v>
      </x:c>
      <x:c r="G53" s="12" t="str">
        <x:v>Available PDF pp. 1–40</x:v>
      </x:c>
      <x:c r="H53" s="12" t="str">
        <x:v>Batch 08</x:v>
      </x:c>
    </x:row>
    <x:row r="54" ht="36" hidden="0" customHeight="1">
      <x:c r="A54" s="12" t="str">
        <x:v>B09-A01</x:v>
      </x:c>
      <x:c r="B54" s="12" t="str">
        <x:v>S090</x:v>
      </x:c>
      <x:c r="C54" s="12" t="str">
        <x:v>Configuration-specific eligibility</x:v>
      </x:c>
      <x:c r="D54" s="12" t="str">
        <x:v>Ion and pH sensing was performed on direct-written PDMS devices, while thermoplastic-filament FDM was used for the soft-PLA substrate and channel-defining mask in a different characterized OECT configuration.</x:v>
      </x:c>
      <x:c r="E54" s="12" t="str">
        <x:v>Retain the study because the FDM soft-PLA mask is a retained essential structure in a complete flexible OECT. Keep configuration-specific outcomes separate and do not attribute the PDMS ion/pH experiment to the FDM configuration.</x:v>
      </x:c>
      <x:c r="F54" s="12" t="str">
        <x:v>Major</x:v>
      </x:c>
      <x:c r="G54" s="12" t="str">
        <x:v>PDF pp. 2–7; Figs. 1, 3–4; Tables 1–2</x:v>
      </x:c>
      <x:c r="H54" s="12" t="str">
        <x:v>Batch 09</x:v>
      </x:c>
    </x:row>
    <x:row r="55" ht="24" hidden="0" customHeight="1">
      <x:c r="A55" s="12" t="str">
        <x:v>B09-A02</x:v>
      </x:c>
      <x:c r="B55" s="12" t="str">
        <x:v>S090</x:v>
      </x:c>
      <x:c r="C55" s="12" t="str">
        <x:v>Repeatability wording</x:v>
      </x:c>
      <x:c r="D55" s="12" t="str">
        <x:v>The abstract says the devices were robust after several measurement cycles, and Methods mention washing between cycles, but no qualifying repeat count or repeated-stimulus trace is reported.</x:v>
      </x:c>
      <x:c r="E55" s="12" t="str">
        <x:v>Code L5=0; do not infer a minimum of three cycles.</x:v>
      </x:c>
      <x:c r="F55" s="12" t="str">
        <x:v>Moderate</x:v>
      </x:c>
      <x:c r="G55" s="12" t="str">
        <x:v>PDF pp. 1–2 and 7</x:v>
      </x:c>
      <x:c r="H55" s="12" t="str">
        <x:v>Batch 09</x:v>
      </x:c>
    </x:row>
    <x:row r="56" ht="24" hidden="0" customHeight="1">
      <x:c r="A56" s="12" t="str">
        <x:v>B09-A03</x:v>
      </x:c>
      <x:c r="B56" s="12" t="str">
        <x:v>S090</x:v>
      </x:c>
      <x:c r="C56" s="12" t="str">
        <x:v>Independent-device evidence</x:v>
      </x:c>
      <x:c r="D56" s="12" t="str">
        <x:v>Sample sizes vary by metric and configuration; Table 1 summarizes device parameters with dispersion.</x:v>
      </x:c>
      <x:c r="E56" s="12" t="str">
        <x:v>Code L8=1 because n=4 and n=8 device-level groups are quantitatively summarized; note that this does not establish sensing reproducibility.</x:v>
      </x:c>
      <x:c r="F56" s="12" t="str">
        <x:v>Moderate</x:v>
      </x:c>
      <x:c r="G56" s="12" t="str">
        <x:v>PDF pp. 2, 5; Table 1</x:v>
      </x:c>
      <x:c r="H56" s="12" t="str">
        <x:v>Batch 09</x:v>
      </x:c>
    </x:row>
    <x:row r="57" ht="24" hidden="0" customHeight="1">
      <x:c r="A57" s="12" t="str">
        <x:v>B09-A04</x:v>
      </x:c>
      <x:c r="B57" s="12" t="str">
        <x:v>S091</x:v>
      </x:c>
      <x:c r="C57" s="12" t="str">
        <x:v>Missing ESI</x:v>
      </x:c>
      <x:c r="D57" s="12" t="str">
        <x:v>The main PDF cites Table S1 and Fig. S5 for detailed composition-response values and the 25-cycle trace, but the ESI file is not in the available study folder.</x:v>
      </x:c>
      <x:c r="E57" s="12" t="str">
        <x:v>Use the explicit main-text statements; mark the exact ESI-dependent details as unavailable rather than reconstructing them.</x:v>
      </x:c>
      <x:c r="F57" s="12" t="str">
        <x:v>Moderate</x:v>
      </x:c>
      <x:c r="G57" s="12" t="str">
        <x:v>PDF pp. 1 and 6–7</x:v>
      </x:c>
      <x:c r="H57" s="12" t="str">
        <x:v>Batch 09</x:v>
      </x:c>
    </x:row>
    <x:row r="58" ht="24" hidden="0" customHeight="1">
      <x:c r="A58" s="12" t="str">
        <x:v>B09-A05</x:v>
      </x:c>
      <x:c r="B58" s="12" t="str">
        <x:v>S091</x:v>
      </x:c>
      <x:c r="C58" s="12" t="str">
        <x:v>Independent-device scope</x:v>
      </x:c>
      <x:c r="D58" s="12" t="str">
        <x:v>Three separate sensors per MWCNT ratio were measured for baseline resistance, whereas the number of devices used for VOC response is not stated.</x:v>
      </x:c>
      <x:c r="E58" s="12" t="str">
        <x:v>Code L8=1 under the locked rule but describe it specifically as between-device baseline-resistance evidence, not replicated VOC sensitivity or lifetime.</x:v>
      </x:c>
      <x:c r="F58" s="12" t="str">
        <x:v>Moderate</x:v>
      </x:c>
      <x:c r="G58" s="12" t="str">
        <x:v>PDF pp. 3 and 8; Table 1</x:v>
      </x:c>
      <x:c r="H58" s="12" t="str">
        <x:v>Batch 09</x:v>
      </x:c>
    </x:row>
    <x:row r="59" ht="24" hidden="0" customHeight="1">
      <x:c r="A59" s="12" t="str">
        <x:v>B09-A06</x:v>
      </x:c>
      <x:c r="B59" s="12" t="str">
        <x:v>S091</x:v>
      </x:c>
      <x:c r="C59" s="12" t="str">
        <x:v>L6 boundary</x:v>
      </x:c>
      <x:c r="D59" s="12" t="str">
        <x:v>VOC exposure is chemically stressful but is also the intended measurand of this sensor.</x:v>
      </x:c>
      <x:c r="E59" s="12" t="str">
        <x:v>Code L6=0 because the locked rule excludes the intended measurand unless a distinct use-related or environmental exposure is evaluated.</x:v>
      </x:c>
      <x:c r="F59" s="12" t="str">
        <x:v>Moderate</x:v>
      </x:c>
      <x:c r="G59" s="12" t="str">
        <x:v>PDF pp. 5–8; Figs. 6–8 and 10</x:v>
      </x:c>
      <x:c r="H59" s="12" t="str">
        <x:v>Batch 09</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11.670000076293945" hidden="0" customWidth="1"/>
    <x:col min="3" max="3" width="23.329999923706055" hidden="0" customWidth="1"/>
    <x:col min="4" max="4" width="33.33000183105469" hidden="0" customWidth="1"/>
    <x:col min="5" max="5" width="8.890000343322754" hidden="0" customWidth="1"/>
    <x:col min="6" max="6" width="11.109999656677246" hidden="0" customWidth="1"/>
    <x:col min="7" max="7" width="75.55999755859375" hidden="0" customWidth="1"/>
    <x:col min="8" max="8" width="33.33000183105469" hidden="0" customWidth="1"/>
    <x:col min="9" max="9" width="12.220000267028809" hidden="0" customWidth="1"/>
  </x:cols>
  <x:sheetData>
    <x:row r="1" ht="15" hidden="0" customHeight="1">
      <x:c r="A1" s="11" t="str">
        <x:v>Synthesis ID</x:v>
      </x:c>
      <x:c r="B1" s="11" t="str">
        <x:v>Stable Study ID</x:v>
      </x:c>
      <x:c r="C1" s="11" t="str">
        <x:v>DOI</x:v>
      </x:c>
      <x:c r="D1" s="11" t="str">
        <x:v>Supplementary file</x:v>
      </x:c>
      <x:c r="E1" s="11" t="str">
        <x:v>REB item</x:v>
      </x:c>
      <x:c r="F1" s="11" t="str">
        <x:v>Final decision</x:v>
      </x:c>
      <x:c r="G1" s="11" t="str">
        <x:v>Supporting evidence/reason</x:v>
      </x:c>
      <x:c r="H1" s="11" t="str">
        <x:v>Evidence locator</x:v>
      </x:c>
      <x:c r="I1" s="11" t="str">
        <x:v>Verified date</x:v>
      </x:c>
    </x:row>
    <x:row r="2" ht="24" hidden="0" customHeight="1">
      <x:c r="A2" s="12" t="n">
        <x:v>18</x:v>
      </x:c>
      <x:c r="B2" s="12" t="str">
        <x:v>S022</x:v>
      </x:c>
      <x:c r="C2" s="12" t="str">
        <x:v>10.1021/acsami.5c11880</x:v>
      </x:c>
      <x:c r="D2" s="12" t="str">
        <x:v>am5c11880_si_001.pdf</x:v>
      </x:c>
      <x:c r="E2" s="12" t="str">
        <x:v>L6</x:v>
      </x:c>
      <x:c r="F2" s="12" t="n">
        <x:v>1</x:v>
      </x:c>
      <x:c r="G2" s="12" t="str">
        <x:v>Resistance response was measured from 23% to 85% RH; the reported normalized-resistance variation was on the order of 10^-3.</x:v>
      </x:c>
      <x:c r="H2" s="12" t="str">
        <x:v>Supplementary Fig. S9</x:v>
      </x:c>
      <x:c r="I2" s="12" t="str">
        <x:v>2026-09-03</x:v>
      </x:c>
    </x:row>
    <x:row r="3" ht="24" hidden="0" customHeight="1">
      <x:c r="A3" s="12" t="n">
        <x:v>20</x:v>
      </x:c>
      <x:c r="B3" s="12" t="str">
        <x:v>S024</x:v>
      </x:c>
      <x:c r="C3" s="12" t="str">
        <x:v>10.1039/d6mh00123h</x:v>
      </x:c>
      <x:c r="D3" s="12" t="str">
        <x:v>d6mh00123h1_suppl.pdf</x:v>
      </x:c>
      <x:c r="E3" s="12" t="str">
        <x:v>L6</x:v>
      </x:c>
      <x:c r="F3" s="12" t="n">
        <x:v>1</x:v>
      </x:c>
      <x:c r="G3" s="12" t="str">
        <x:v>Sensor response was compared before exposure and after 3 and 7 days at 60 °C and 80% RH; gauge factor decreased by 5.4% and 9.1%, respectively.</x:v>
      </x:c>
      <x:c r="H3" s="12" t="str">
        <x:v>Main article p. 7; Supplementary Fig. S4, SI p. 4</x:v>
      </x:c>
      <x:c r="I3" s="12" t="str">
        <x:v>2026-09-03</x:v>
      </x:c>
    </x:row>
    <x:row r="4" ht="24" hidden="0" customHeight="1">
      <x:c r="A4" s="12" t="n">
        <x:v>21</x:v>
      </x:c>
      <x:c r="B4" s="12" t="str">
        <x:v>S025</x:v>
      </x:c>
      <x:c r="C4" s="12" t="str">
        <x:v>10.1021/acssensors.6c01291</x:v>
      </x:c>
      <x:c r="D4" s="12" t="str">
        <x:v>se-2026-01291p_si_001.pdf</x:v>
      </x:c>
      <x:c r="E4" s="12" t="str">
        <x:v>L2</x:v>
      </x:c>
      <x:c r="F4" s="12" t="n">
        <x:v>1</x:v>
      </x:c>
      <x:c r="G4" s="12" t="str">
        <x:v>The supplement identifies the H+-selective cocktail (hydrogen ionophore I, NaTFPB, PU and DOS in THF) and the reference membrane (PVB and NaCl in methanol), together with the CB-PLA and Ag/AgCl components.</x:v>
      </x:c>
      <x:c r="H4" s="12" t="str">
        <x:v>Supplementary Experimental section, SI p. 3</x:v>
      </x:c>
      <x:c r="I4" s="12" t="str">
        <x:v>2026-09-03</x:v>
      </x:c>
    </x:row>
    <x:row r="5" ht="24" hidden="0" customHeight="1">
      <x:c r="A5" s="12" t="n">
        <x:v>26</x:v>
      </x:c>
      <x:c r="B5" s="12" t="str">
        <x:v>S033</x:v>
      </x:c>
      <x:c r="C5" s="12" t="str">
        <x:v>10.1021/acsami.0c09552</x:v>
      </x:c>
      <x:c r="D5" s="12" t="str">
        <x:v>am0c09552_si_001.pdf (from 12698150.zip)</x:v>
      </x:c>
      <x:c r="E5" s="12" t="str">
        <x:v>L7</x:v>
      </x:c>
      <x:c r="F5" s="12" t="n">
        <x:v>1</x:v>
      </x:c>
      <x:c r="G5" s="12" t="str">
        <x:v>Peel-off force was measured in newtons over time for coated, embedded and unmodified TPE sensing units attached to test tape.</x:v>
      </x:c>
      <x:c r="H5" s="12" t="str">
        <x:v>Supplementary Fig. S2, SI p. 2</x:v>
      </x:c>
      <x:c r="I5" s="12" t="str">
        <x:v>2026-09-03</x:v>
      </x:c>
    </x:row>
    <x:row r="6" ht="36" hidden="0" customHeight="1">
      <x:c r="A6" s="12" t="n">
        <x:v>35</x:v>
      </x:c>
      <x:c r="B6" s="12" t="str">
        <x:v>S046</x:v>
      </x:c>
      <x:c r="C6" s="12" t="str">
        <x:v>10.1089/3dp.2022.0396</x:v>
      </x:c>
      <x:c r="D6" s="12" t="str">
        <x:v>sj-doc-1-tdp-10.1089_3dp.2022.0396.doc</x:v>
      </x:c>
      <x:c r="E6" s="12" t="str">
        <x:v>L1</x:v>
      </x:c>
      <x:c r="F6" s="12" t="n">
        <x:v>0</x:v>
      </x:c>
      <x:c r="G6" s="12" t="str">
        <x:v>The supplement reports the Anycubic Kobra Plus i3 printer, 90 °C platform, 250 °C nozzle and 15 mm s^-1 speed, but layer height, infill value/pattern and orientation/toolpath remain unreported; the tested device cannot be fully reconstructed.</x:v>
      </x:c>
      <x:c r="H6" s="12" t="str">
        <x:v>Supplementary pp. 3-4; Fig. S3</x:v>
      </x:c>
      <x:c r="I6" s="12" t="str">
        <x:v>2026-09-03</x:v>
      </x:c>
    </x:row>
    <x:row r="7" ht="36" hidden="0" customHeight="1">
      <x:c r="A7" s="12" t="n">
        <x:v>40</x:v>
      </x:c>
      <x:c r="B7" s="12" t="str">
        <x:v>S052</x:v>
      </x:c>
      <x:c r="C7" s="12" t="str">
        <x:v>10.1002/smll.75137</x:v>
      </x:c>
      <x:c r="D7" s="12" t="str">
        <x:v>smll75137-sup-0001-suppmat.docx</x:v>
      </x:c>
      <x:c r="E7" s="12" t="str">
        <x:v>L1</x:v>
      </x:c>
      <x:c r="F7" s="12" t="n">
        <x:v>0</x:v>
      </x:c>
      <x:c r="G7" s="12" t="str">
        <x:v>The main article reports the F430 NX printer and 225/130 °C nozzle/base temperatures, and Supplementary Table S1 gives device geometry; nozzle diameter, layer height, print speed, infill and orientation/toolpath remain unreported.</x:v>
      </x:c>
      <x:c r="H7" s="12" t="str">
        <x:v>Main article p. 2; Supplementary Table S1</x:v>
      </x:c>
      <x:c r="I7" s="12" t="str">
        <x:v>2026-09-03</x:v>
      </x:c>
    </x:row>
    <x:row r="8" ht="24" hidden="0" customHeight="1">
      <x:c r="A8" s="12" t="n">
        <x:v>46</x:v>
      </x:c>
      <x:c r="B8" s="12" t="str">
        <x:v>S058</x:v>
      </x:c>
      <x:c r="C8" s="12" t="str">
        <x:v>10.1016/j.cej.2026.178259</x:v>
      </x:c>
      <x:c r="D8" s="12" t="str">
        <x:v>1-s2.0-S1385894726057207-mmc4.docx</x:v>
      </x:c>
      <x:c r="E8" s="12" t="str">
        <x:v>L1</x:v>
      </x:c>
      <x:c r="F8" s="12" t="n">
        <x:v>1</x:v>
      </x:c>
      <x:c r="G8" s="12" t="str">
        <x:v>The printer, TPE filament, 240 °C nozzle temperature, device dimensions and variant-specific nozzle diameter, layer height, first-layer height and thermal post-treatment are reported.</x:v>
      </x:c>
      <x:c r="H8" s="12" t="str">
        <x:v>Main article Experimental section 3.1; Supplementary Table S1</x:v>
      </x:c>
      <x:c r="I8" s="12" t="str">
        <x:v>2026-09-03</x:v>
      </x:c>
    </x:row>
    <x:row r="9" ht="24" hidden="0" customHeight="1">
      <x:c r="A9" s="12" t="n">
        <x:v>47</x:v>
      </x:c>
      <x:c r="B9" s="12" t="str">
        <x:v>S059</x:v>
      </x:c>
      <x:c r="C9" s="12" t="str">
        <x:v>10.1002/adsr.70169</x:v>
      </x:c>
      <x:c r="D9" s="12" t="str">
        <x:v>adsr70169-sup-0001-suppmat.pdf</x:v>
      </x:c>
      <x:c r="E9" s="12" t="str">
        <x:v>L1</x:v>
      </x:c>
      <x:c r="F9" s="12" t="n">
        <x:v>1</x:v>
      </x:c>
      <x:c r="G9" s="12" t="str">
        <x:v>The Sovol SV04 IDEX process and material-specific extrusion/bed temperatures, speeds, layer thickness, line width, infill level/pattern and wall/top/bottom settings are reported.</x:v>
      </x:c>
      <x:c r="H9" s="12" t="str">
        <x:v>Main article pp. 3-4; Supplementary Table S1, SI pp. 3-4</x:v>
      </x:c>
      <x:c r="I9" s="12" t="str">
        <x:v>2026-09-03</x:v>
      </x:c>
    </x:row>
    <x:row r="10" ht="24" hidden="0" customHeight="1">
      <x:c r="A10" s="12" t="n">
        <x:v>64</x:v>
      </x:c>
      <x:c r="B10" s="12" t="str">
        <x:v>S078</x:v>
      </x:c>
      <x:c r="C10" s="12" t="str">
        <x:v>10.1002/macp.202400284</x:v>
      </x:c>
      <x:c r="D10" s="12" t="str">
        <x:v>macp202400284-sup-0001-suppmat.docx</x:v>
      </x:c>
      <x:c r="E10" s="12" t="str">
        <x:v>L1</x:v>
      </x:c>
      <x:c r="F10" s="12" t="n">
        <x:v>1</x:v>
      </x:c>
      <x:c r="G10" s="12" t="str">
        <x:v>The Mori M3145K process, geometry, raster/infill and post-treatment are reported with a 0.6 mm nozzle, 200 °C nozzle, 50 °C bed, 0.4 mm layer height, 50% infill and 10 mm s^-1 speed.</x:v>
      </x:c>
      <x:c r="H10" s="12" t="str">
        <x:v>Main article Experimental section; Supplementary Table S1</x:v>
      </x:c>
      <x:c r="I10" s="12" t="str">
        <x:v>2026-09-03</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52.220001220703125" hidden="0" customWidth="1"/>
    <x:col min="3" max="3" width="7.78000020980835" hidden="0" customWidth="1"/>
    <x:col min="4" max="4" width="25.559999465942383" hidden="0" customWidth="1"/>
    <x:col min="5" max="5" width="22.780000686645508" hidden="0" customWidth="1"/>
    <x:col min="6" max="6" width="34.439998626708984" hidden="0" customWidth="1"/>
    <x:col min="7" max="7" width="57.779998779296875" hidden="0" customWidth="1"/>
    <x:col min="8" max="8" width="27.780000686645508" hidden="0" customWidth="1"/>
    <x:col min="9" max="9" width="12.220000267028809" hidden="0" customWidth="1"/>
    <x:col min="10" max="10" width="36.66999816894531" hidden="0" customWidth="1"/>
  </x:cols>
  <x:sheetData>
    <x:row r="1" ht="15" hidden="0" customHeight="1">
      <x:c r="A1" s="11" t="str">
        <x:v>Stable Study ID</x:v>
      </x:c>
      <x:c r="B1" s="11" t="str">
        <x:v>Title</x:v>
      </x:c>
      <x:c r="C1" s="11" t="str">
        <x:v>Year</x:v>
      </x:c>
      <x:c r="D1" s="11" t="str">
        <x:v>Journal</x:v>
      </x:c>
      <x:c r="E1" s="11" t="str">
        <x:v>DOI</x:v>
      </x:c>
      <x:c r="F1" s="11" t="str">
        <x:v>Primary reason</x:v>
      </x:c>
      <x:c r="G1" s="11" t="str">
        <x:v>Detail</x:v>
      </x:c>
      <x:c r="H1" s="11" t="str">
        <x:v>Evidence locator</x:v>
      </x:c>
      <x:c r="I1" s="11" t="str">
        <x:v>Decision date</x:v>
      </x:c>
      <x:c r="J1" s="11" t="str">
        <x:v>Decision basis</x:v>
      </x:c>
    </x:row>
    <x:row r="2" ht="36" hidden="0" customHeight="1">
      <x:c r="A2" s="12" t="str">
        <x:v>S003</x:v>
      </x:c>
      <x:c r="B2" s="12" t="str">
        <x:v>Fabrication and performance of 3D-printed bidirectional cantilever sensors</x:v>
      </x:c>
      <x:c r="C2" s="12" t="n">
        <x:v>2025</x:v>
      </x:c>
      <x:c r="D2" s="12" t="str">
        <x:v>Materials Letters</x:v>
      </x:c>
      <x:c r="E2" s="12" t="str">
        <x:v>10.1016/j.matlet.2025.138366</x:v>
      </x:c>
      <x:c r="F2" s="12" t="str">
        <x:v>Wearable relevance not demonstrated</x:v>
      </x:c>
      <x:c r="G2" s="12" t="str">
        <x:v>Wearable and health-monitoring use is mentioned only as a general prospect; no body-worn test, final wearable assembly, or application-specific body-worn design was demonstrated.</x:v>
      </x:c>
      <x:c r="H2" s="12" t="str">
        <x:v>PDF pp. 1-4</x:v>
      </x:c>
      <x:c r="I2" s="12" t="str">
        <x:v>2026-09-02</x:v>
      </x:c>
      <x:c r="J2" s="12" t="str">
        <x:v>Full extraction batch 01 using locked manual v1.1</x:v>
      </x:c>
    </x:row>
    <x:row r="3" ht="24" hidden="0" customHeight="1">
      <x:c r="A3" s="12" t="str">
        <x:v>S006</x:v>
      </x:c>
      <x:c r="B3" s="12" t="str">
        <x:v>Structural Electronic Skin for Conformal Tactile Sensing.</x:v>
      </x:c>
      <x:c r="C3" s="12" t="n">
        <x:v>2023</x:v>
      </x:c>
      <x:c r="D3" s="12" t="str">
        <x:v>Advanced science (Weinheim, Baden-Wurttemberg, Germany)</x:v>
      </x:c>
      <x:c r="E3" s="12" t="str">
        <x:v>10.1002/advs.202304106</x:v>
      </x:c>
      <x:c r="F3" s="12" t="str">
        <x:v>Not FDM/FFF thermoplastic-filament material extrusion</x:v>
      </x:c>
      <x:c r="G3" s="12" t="str">
        <x:v>Experimental section identifies a Form 2 (Formlabs) resin printer.</x:v>
      </x:c>
      <x:c r="H3" s="12" t="str">
        <x:v>PDF p. 12</x:v>
      </x:c>
      <x:c r="I3" s="12" t="str">
        <x:v>2026-09-02</x:v>
      </x:c>
      <x:c r="J3" s="12" t="str">
        <x:v>Pilot extraction adjudication using locked manual v1.1</x:v>
      </x:c>
    </x:row>
    <x:row r="4" ht="24" hidden="0" customHeight="1">
      <x:c r="A4" s="12" t="str">
        <x:v>S009</x:v>
      </x:c>
      <x:c r="B4" s="12" t="str">
        <x:v>Monolithic Potentiometric Cell Using Fused Filament Fabrication.</x:v>
      </x:c>
      <x:c r="C4" s="12" t="n">
        <x:v>2026</x:v>
      </x:c>
      <x:c r="D4" s="12" t="str">
        <x:v>Analytical chemistry</x:v>
      </x:c>
      <x:c r="E4" s="12" t="str">
        <x:v>10.1021/acs.analchem.6c00156</x:v>
      </x:c>
      <x:c r="F4" s="12" t="str">
        <x:v>Wearable relevance not demonstrated</x:v>
      </x:c>
      <x:c r="G4" s="12" t="str">
        <x:v>The 1.5 mL monolithic potentiometric cell was evaluated in artificial interstitial fluid and sweat, but wearable integration remained prospective.</x:v>
      </x:c>
      <x:c r="H4" s="12" t="str">
        <x:v>PDF pp. 1-7</x:v>
      </x:c>
      <x:c r="I4" s="12" t="str">
        <x:v>2026-09-02</x:v>
      </x:c>
      <x:c r="J4" s="12" t="str">
        <x:v>Full extraction batch 01 using locked manual v1.1</x:v>
      </x:c>
    </x:row>
    <x:row r="5" ht="24" hidden="0" customHeight="1">
      <x:c r="A5" s="12" t="str">
        <x:v>S016</x:v>
      </x:c>
      <x:c r="B5" s="12" t="str">
        <x:v>Towards Ultra Low-Cost Myoactivated Prostheses.</x:v>
      </x:c>
      <x:c r="C5" s="12" t="n">
        <x:v>2018</x:v>
      </x:c>
      <x:c r="D5" s="12" t="str">
        <x:v>BioMed research international</x:v>
      </x:c>
      <x:c r="E5" s="12" t="str">
        <x:v>10.1155/2018/9634184</x:v>
      </x:c>
      <x:c r="F5" s="12" t="str">
        <x:v>Printed element is not the sensing element or an essential sensing structure</x:v>
      </x:c>
      <x:c r="G5" s="12" t="str">
        <x:v>The FDM PLA hand is a prosthetic platform; separately manufactured electroresistive bands perform muscle and position sensing.</x:v>
      </x:c>
      <x:c r="H5" s="12" t="str">
        <x:v>PDF pp. 1-10; Figs. 1-14</x:v>
      </x:c>
      <x:c r="I5" s="12" t="str">
        <x:v>2026-09-02</x:v>
      </x:c>
      <x:c r="J5" s="12" t="str">
        <x:v>Full extraction batch 02 using locked manual v1.1</x:v>
      </x:c>
    </x:row>
    <x:row r="6" ht="24" hidden="0" customHeight="1">
      <x:c r="A6" s="12" t="str">
        <x:v>S027</x:v>
      </x:c>
      <x:c r="B6" s="12" t="str">
        <x:v>Ultra-Broad Linear Range and Sensitive Flexible Piezoresistive Sensor Using Reversed Lattice Structure for Wearable Electronics.</x:v>
      </x:c>
      <x:c r="C6" s="12" t="n">
        <x:v>2023</x:v>
      </x:c>
      <x:c r="D6" s="12" t="str">
        <x:v>ACS applied materials &amp; interfaces</x:v>
      </x:c>
      <x:c r="E6" s="12" t="str">
        <x:v>10.1021/acsami.3c07554</x:v>
      </x:c>
      <x:c r="F6" s="12" t="str">
        <x:v>Sensing element or structure not fabricated by material extrusion</x:v>
      </x:c>
      <x:c r="G6" s="12" t="str">
        <x:v>FDM produced only a sacrificial ABS mould. The final PDMS/MWCNT sponge sensor was cast and the mould was dissolved.</x:v>
      </x:c>
      <x:c r="H6" s="12" t="str">
        <x:v>PDF pp. 1-4; Fig. 1</x:v>
      </x:c>
      <x:c r="I6" s="12" t="str">
        <x:v>2026-09-02</x:v>
      </x:c>
      <x:c r="J6" s="12" t="str">
        <x:v>Full extraction batch 02 using locked manual v1.1</x:v>
      </x:c>
    </x:row>
    <x:row r="7" ht="36" hidden="0" customHeight="1">
      <x:c r="A7" s="12" t="str">
        <x:v>S030</x:v>
      </x:c>
      <x:c r="B7" s="12" t="str">
        <x:v>A 3D-Printed Sensor for Monitoring Biosignals in Small Animals.</x:v>
      </x:c>
      <x:c r="C7" s="12" t="n">
        <x:v>2017</x:v>
      </x:c>
      <x:c r="D7" s="12" t="str">
        <x:v>Journal of healthcare engineering</x:v>
      </x:c>
      <x:c r="E7" s="12" t="str">
        <x:v>10.1155/2017/9053764</x:v>
      </x:c>
      <x:c r="F7" s="12" t="str">
        <x:v>No wearable or clearly wearable-relevant context</x:v>
      </x:c>
      <x:c r="G7" s="12" t="str">
        <x:v>The FDM-fabricated PLA/Ti/Au electrodes were used for EEG and ECG measurements from anesthetized zebrafish supported in water. The article did not present a body-worn assembly or a device specifically engineered and tested for wearable use.</x:v>
      </x:c>
      <x:c r="H7" s="12" t="str">
        <x:v>PDF pp. 1-9; Figs. 1-7</x:v>
      </x:c>
      <x:c r="I7" s="12" t="str">
        <x:v>2026-09-02</x:v>
      </x:c>
      <x:c r="J7" s="12" t="str">
        <x:v>Full extraction batch 03 using locked manual v1.1</x:v>
      </x:c>
    </x:row>
    <x:row r="8" ht="48" hidden="0" customHeight="1">
      <x:c r="A8" s="12" t="str">
        <x:v>S040</x:v>
      </x:c>
      <x:c r="B8" s="12" t="str">
        <x:v>Directly Printable Flexible Strain Sensors for Bending and Contact Feedback of Soft Actuators.</x:v>
      </x:c>
      <x:c r="C8" s="12" t="n">
        <x:v>2018</x:v>
      </x:c>
      <x:c r="D8" s="12" t="str">
        <x:v>Frontiers in robotics and AI</x:v>
      </x:c>
      <x:c r="E8" s="12" t="str">
        <x:v>10.3389/frobt.2018.00002</x:v>
      </x:c>
      <x:c r="F8" s="12" t="str">
        <x:v>No wearable or clearly wearable-relevant context</x:v>
      </x:c>
      <x:c r="G8" s="12" t="str">
        <x:v>The printed strain sensor was characterized only as part of a pneumatic soft actuator for bending and contact feedback. Wearables were mentioned as a possible application, but no body-worn assembly or device specifically engineered and tested for a wearable use case was evaluated.</x:v>
      </x:c>
      <x:c r="H8" s="12" t="str">
        <x:v>PDF pp. 1, 5–13; Figures 3–15</x:v>
      </x:c>
      <x:c r="I8" s="12" t="str">
        <x:v>2026-09-02</x:v>
      </x:c>
      <x:c r="J8" s="12" t="str">
        <x:v>Full-text extraction using locked manual v1.1</x:v>
      </x:c>
    </x:row>
    <x:row r="9" ht="24" hidden="0" customHeight="1">
      <x:c r="A9" s="12" t="str">
        <x:v>S041</x:v>
      </x:c>
      <x:c r="B9" s="12" t="str">
        <x:v>3D Printing of TPU-Liquid Metal Composite Inks for the Preparation of Flexible Sensing Electronics.</x:v>
      </x:c>
      <x:c r="C9" s="12" t="n">
        <x:v>2024</x:v>
      </x:c>
      <x:c r="D9" s="12" t="str">
        <x:v>ChemistryOpen</x:v>
      </x:c>
      <x:c r="E9" s="12" t="str">
        <x:v>10.1002/open.202300301</x:v>
      </x:c>
      <x:c r="F9" s="12" t="str">
        <x:v>No qualifying experimental sensor-response data or tested wearable context</x:v>
      </x:c>
      <x:c r="G9" s="12" t="str">
        <x:v>Reported experiments concern conductivity, Joule heating and mechanical properties; a controlled sensor-response protocol was not reconstructable.</x:v>
      </x:c>
      <x:c r="H9" s="12" t="str">
        <x:v>PDF pp. 5-6, Fig. 4</x:v>
      </x:c>
      <x:c r="I9" s="12" t="str">
        <x:v>2026-09-02</x:v>
      </x:c>
      <x:c r="J9" s="12" t="str">
        <x:v>Pilot extraction adjudication using locked manual v1.1</x:v>
      </x:c>
    </x:row>
    <x:row r="10" ht="36" hidden="0" customHeight="1">
      <x:c r="A10" s="12" t="str">
        <x:v>S042</x:v>
      </x:c>
      <x:c r="B10" s="12" t="str">
        <x:v>Piezoresistive Behaviour of Additively Manufactured Multi-Walled Carbon Nanotube/Thermoplastic Polyurethane Nanocomposites.</x:v>
      </x:c>
      <x:c r="C10" s="12" t="n">
        <x:v>2019</x:v>
      </x:c>
      <x:c r="D10" s="12" t="str">
        <x:v>Materials (Basel, Switzerland)</x:v>
      </x:c>
      <x:c r="E10" s="12" t="str">
        <x:v>10.3390/ma12162613</x:v>
      </x:c>
      <x:c r="F10" s="12" t="str">
        <x:v>No wearable or clearly wearable-relevant context</x:v>
      </x:c>
      <x:c r="G10" s="12" t="str">
        <x:v>The study examined generic printed tensile and compression specimens and modelling for pressure-sensor material development. It did not present a body-worn assembly or a device specifically designed and tested for a wearable use case.</x:v>
      </x:c>
      <x:c r="H10" s="12" t="str">
        <x:v>PDF pp. 1–12; Figures 1–11; Table 1</x:v>
      </x:c>
      <x:c r="I10" s="12" t="str">
        <x:v>2026-09-02</x:v>
      </x:c>
      <x:c r="J10" s="12" t="str">
        <x:v>Full-text extraction using locked manual v1.1</x:v>
      </x:c>
    </x:row>
    <x:row r="11" ht="24" hidden="0" customHeight="1">
      <x:c r="A11" s="12" t="str">
        <x:v>S045</x:v>
      </x:c>
      <x:c r="B11" s="12" t="str">
        <x:v>Three-Dimensional Printable Flexible Piezoelectric Composites with Energy Harvesting Features.</x:v>
      </x:c>
      <x:c r="C11" s="12" t="n">
        <x:v>2023</x:v>
      </x:c>
      <x:c r="D11" s="12" t="str">
        <x:v>Polymers</x:v>
      </x:c>
      <x:c r="E11" s="12" t="str">
        <x:v>10.3390/polym15112548</x:v>
      </x:c>
      <x:c r="F11" s="12" t="str">
        <x:v>No demonstrated wearable or clearly wearable-tested context</x:v>
      </x:c>
      <x:c r="G11" s="12" t="str">
        <x:v>Flexible piezoelectric energy-harvesting device was tested, but wearable use was proposed rather than experimentally demonstrated.</x:v>
      </x:c>
      <x:c r="H11" s="12" t="str">
        <x:v>PDF pp. 14-23</x:v>
      </x:c>
      <x:c r="I11" s="12" t="str">
        <x:v>2026-09-02</x:v>
      </x:c>
      <x:c r="J11" s="12" t="str">
        <x:v>Pilot extraction adjudication using locked manual v1.1</x:v>
      </x:c>
    </x:row>
    <x:row r="12" ht="36" hidden="0" customHeight="1">
      <x:c r="A12" s="12" t="str">
        <x:v>S049</x:v>
      </x:c>
      <x:c r="B12" s="12" t="str">
        <x:v>Fabrication of Piezo-Resistance Composites Containing Thermoplastic Polyurethane/Hybrid Filler Using 3D Printing.</x:v>
      </x:c>
      <x:c r="C12" s="12" t="n">
        <x:v>2021</x:v>
      </x:c>
      <x:c r="D12" s="12" t="str">
        <x:v>Sensors (Basel, Switzerland)</x:v>
      </x:c>
      <x:c r="E12" s="12" t="str">
        <x:v>10.3390/s21206813</x:v>
      </x:c>
      <x:c r="F12" s="12" t="str">
        <x:v>No wearable or clearly wearable-relevant context</x:v>
      </x:c>
      <x:c r="G12" s="12" t="str">
        <x:v>The article characterized generic printed composite compression specimens. Wearable technologies were discussed as potential applications, but no body-worn assembly or device specifically engineered and tested for wearable use was evaluated.</x:v>
      </x:c>
      <x:c r="H12" s="12" t="str">
        <x:v>PDF pp. 2–8; Figures 1 and 5–7; Table 1</x:v>
      </x:c>
      <x:c r="I12" s="12" t="str">
        <x:v>2026-09-02</x:v>
      </x:c>
      <x:c r="J12" s="12" t="str">
        <x:v>Full-text extraction using locked manual v1.1</x:v>
      </x:c>
    </x:row>
    <x:row r="13" ht="48" hidden="0" customHeight="1">
      <x:c r="A13" s="12" t="str">
        <x:v>S062</x:v>
      </x:c>
      <x:c r="B13" s="12" t="str">
        <x:v>A High-Sensitivity Wearable Sensor for Precision Recognition of Human Arm Joint Movements Using CNN</x:v>
      </x:c>
      <x:c r="C13" s="12" t="n">
        <x:v>2026</x:v>
      </x:c>
      <x:c r="D13" s="12" t="str">
        <x:v>Advanced Materials Technologies</x:v>
      </x:c>
      <x:c r="E13" s="12" t="str">
        <x:v>10.1002/admt.202502063</x:v>
      </x:c>
      <x:c r="F13" s="12" t="str">
        <x:v>Sensing element or essential sensing structure not fabricated by material extrusion</x:v>
      </x:c>
      <x:c r="G13" s="12" t="str">
        <x:v>Although the abstract uses the term FDM, the complete experimental section fabricates the P(VDF-TrFE)/BTO-OH sensing films by solution casting, drop coating, vacuum drying, annealing and thermal lamination. No thermoplastic-filament material-extrusion step for the sensing element or an essential sensing structure is reported.</x:v>
      </x:c>
      <x:c r="H13" s="12" t="str">
        <x:v>PDF pp. 2–4; Experimental Section; Figure 1</x:v>
      </x:c>
      <x:c r="I13" s="12" t="str">
        <x:v>2026-09-02</x:v>
      </x:c>
      <x:c r="J13" s="12" t="str">
        <x:v>Full-text extraction using locked manual v1.1</x:v>
      </x:c>
    </x:row>
    <x:row r="14" ht="60" hidden="0" customHeight="1">
      <x:c r="A14" s="12" t="str">
        <x:v>S072</x:v>
      </x:c>
      <x:c r="B14" s="12" t="str">
        <x:v>On the design and development of a thermoplastic polyurethane-cotton-lycra fiber-based wearable sensor using 3D printing</x:v>
      </x:c>
      <x:c r="C14" s="12" t="n">
        <x:v>2026</x:v>
      </x:c>
      <x:c r="D14" s="12" t="str">
        <x:v>Proceedings of the Institution of Mechanical Engineers, Part L: Journal of Materials: Design and Applications</x:v>
      </x:c>
      <x:c r="E14" s="12" t="str">
        <x:v>10.1177/14644207261456391</x:v>
      </x:c>
      <x:c r="F14" s="12" t="str">
        <x:v>No qualifying experimental sensor-response data</x:v>
      </x:c>
      <x:c r="G14" s="12" t="str">
        <x:v>The current study reports mechanical/dielectric characterization and one VNA resonance spectrum (2.47 GHz; S11 −20.03 dB), but it does not report a measured sensor-output change under an applied mechanical or physiological input. The under-load/deformation and on-body values in Table 8 are explicitly from a previous study.</x:v>
      </x:c>
      <x:c r="H14" s="12" t="str">
        <x:v>PDF pp. 10–11; Fig. 9; Table 8</x:v>
      </x:c>
      <x:c r="I14" s="12" t="str">
        <x:v>2026-09-02</x:v>
      </x:c>
      <x:c r="J14" s="12" t="str">
        <x:v>Batch 07 full-text extraction using locked manual v1.1</x:v>
      </x:c>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11.670000076293945" hidden="0" customWidth="1"/>
    <x:col min="3" max="3" width="23.329999923706055" hidden="0" customWidth="1"/>
    <x:col min="4" max="4" width="7.21999979019165" hidden="0" customWidth="1"/>
    <x:col min="5" max="5" width="7.21999979019165" hidden="0" customWidth="1"/>
    <x:col min="6" max="6" width="7.21999979019165" hidden="0" customWidth="1"/>
    <x:col min="7" max="7" width="7.21999979019165" hidden="0" customWidth="1"/>
    <x:col min="8" max="8" width="7.21999979019165" hidden="0" customWidth="1"/>
    <x:col min="9" max="9" width="7.21999979019165" hidden="0" customWidth="1"/>
    <x:col min="10" max="10" width="7.21999979019165" hidden="0" customWidth="1"/>
    <x:col min="11" max="11" width="7.21999979019165" hidden="0" customWidth="1"/>
    <x:col min="12" max="12" width="12.220000267028809" hidden="0" customWidth="1"/>
    <x:col min="13" max="13" width="12.220000267028809" hidden="0" customWidth="1"/>
    <x:col min="14" max="14" width="12.220000267028809" hidden="0" customWidth="1"/>
  </x:cols>
  <x:sheetData>
    <x:row r="1" ht="24" hidden="0" customHeight="1">
      <x:c r="A1" s="11" t="str">
        <x:v>Synthesis ID</x:v>
      </x:c>
      <x:c r="B1" s="11" t="str">
        <x:v>Stable Study ID</x:v>
      </x:c>
      <x:c r="C1" s="11" t="str">
        <x:v>Citation</x:v>
      </x:c>
      <x:c r="D1" s="11" t="str">
        <x:v>L1</x:v>
      </x:c>
      <x:c r="E1" s="11" t="str">
        <x:v>L2</x:v>
      </x:c>
      <x:c r="F1" s="11" t="str">
        <x:v>L3</x:v>
      </x:c>
      <x:c r="G1" s="11" t="str">
        <x:v>L4</x:v>
      </x:c>
      <x:c r="H1" s="11" t="str">
        <x:v>L5</x:v>
      </x:c>
      <x:c r="I1" s="11" t="str">
        <x:v>L6</x:v>
      </x:c>
      <x:c r="J1" s="11" t="str">
        <x:v>L7</x:v>
      </x:c>
      <x:c r="K1" s="11" t="str">
        <x:v>L8</x:v>
      </x:c>
      <x:c r="L1" s="11" t="str">
        <x:v>REB score R</x:v>
      </x:c>
      <x:c r="M1" s="11" t="str">
        <x:v>L5-L8 count</x:v>
      </x:c>
      <x:c r="N1" s="11" t="str">
        <x:v>Unresolved items</x:v>
      </x:c>
    </x:row>
    <x:row r="2" ht="15" hidden="0" customHeight="1">
      <x:c r="A2" s="12" t="n">
        <x:v>1</x:v>
      </x:c>
      <x:c r="B2" s="12" t="str">
        <x:v>S001</x:v>
      </x:c>
      <x:c r="C2" s="12" t="str">
        <x:v>Leal-Junior et al. (2025)</x:v>
      </x:c>
      <x:c r="D2" s="13" t="n">
        <x:v>0</x:v>
      </x:c>
      <x:c r="E2" s="13" t="n">
        <x:v>1</x:v>
      </x:c>
      <x:c r="F2" s="13" t="n">
        <x:v>1</x:v>
      </x:c>
      <x:c r="G2" s="13" t="n">
        <x:v>1</x:v>
      </x:c>
      <x:c r="H2" s="13" t="n">
        <x:v>1</x:v>
      </x:c>
      <x:c r="I2" s="13" t="n">
        <x:v>0</x:v>
      </x:c>
      <x:c r="J2" s="13" t="n">
        <x:v>1</x:v>
      </x:c>
      <x:c r="K2" s="13" t="n">
        <x:v>0</x:v>
      </x:c>
      <x:c r="L2" s="14" t="n">
        <x:v>0.625</x:v>
      </x:c>
      <x:c r="M2" s="13" t="n">
        <x:v>2</x:v>
      </x:c>
      <x:c r="N2" s="13" t="n">
        <x:v>0</x:v>
      </x:c>
    </x:row>
    <x:row r="3" ht="15" hidden="0" customHeight="1">
      <x:c r="A3" s="12" t="n">
        <x:v>2</x:v>
      </x:c>
      <x:c r="B3" s="12" t="str">
        <x:v>S002</x:v>
      </x:c>
      <x:c r="C3" s="12" t="str">
        <x:v>Koukouviti et al. (2022)</x:v>
      </x:c>
      <x:c r="D3" s="13" t="n">
        <x:v>0</x:v>
      </x:c>
      <x:c r="E3" s="13" t="n">
        <x:v>1</x:v>
      </x:c>
      <x:c r="F3" s="13" t="n">
        <x:v>1</x:v>
      </x:c>
      <x:c r="G3" s="13" t="n">
        <x:v>1</x:v>
      </x:c>
      <x:c r="H3" s="13" t="n">
        <x:v>1</x:v>
      </x:c>
      <x:c r="I3" s="13" t="n">
        <x:v>1</x:v>
      </x:c>
      <x:c r="J3" s="13" t="n">
        <x:v>0</x:v>
      </x:c>
      <x:c r="K3" s="13" t="n">
        <x:v>1</x:v>
      </x:c>
      <x:c r="L3" s="14" t="n">
        <x:v>0.75</x:v>
      </x:c>
      <x:c r="M3" s="13" t="n">
        <x:v>3</x:v>
      </x:c>
      <x:c r="N3" s="13" t="n">
        <x:v>0</x:v>
      </x:c>
    </x:row>
    <x:row r="4" ht="15" hidden="0" customHeight="1">
      <x:c r="A4" s="12" t="n">
        <x:v>3</x:v>
      </x:c>
      <x:c r="B4" s="12" t="str">
        <x:v>S004</x:v>
      </x:c>
      <x:c r="C4" s="12" t="str">
        <x:v>Farid et al. (2025)</x:v>
      </x:c>
      <x:c r="D4" s="13" t="n">
        <x:v>1</x:v>
      </x:c>
      <x:c r="E4" s="13" t="n">
        <x:v>1</x:v>
      </x:c>
      <x:c r="F4" s="13" t="n">
        <x:v>1</x:v>
      </x:c>
      <x:c r="G4" s="13" t="n">
        <x:v>1</x:v>
      </x:c>
      <x:c r="H4" s="13" t="n">
        <x:v>1</x:v>
      </x:c>
      <x:c r="I4" s="13" t="n">
        <x:v>1</x:v>
      </x:c>
      <x:c r="J4" s="13" t="n">
        <x:v>1</x:v>
      </x:c>
      <x:c r="K4" s="13" t="n">
        <x:v>0</x:v>
      </x:c>
      <x:c r="L4" s="14" t="n">
        <x:v>0.875</x:v>
      </x:c>
      <x:c r="M4" s="13" t="n">
        <x:v>3</x:v>
      </x:c>
      <x:c r="N4" s="13" t="n">
        <x:v>0</x:v>
      </x:c>
    </x:row>
    <x:row r="5" ht="15" hidden="0" customHeight="1">
      <x:c r="A5" s="12" t="n">
        <x:v>4</x:v>
      </x:c>
      <x:c r="B5" s="12" t="str">
        <x:v>S005</x:v>
      </x:c>
      <x:c r="C5" s="12" t="str">
        <x:v>Tavares et al. (2022)</x:v>
      </x:c>
      <x:c r="D5" s="13" t="n">
        <x:v>0</x:v>
      </x:c>
      <x:c r="E5" s="13" t="n">
        <x:v>1</x:v>
      </x:c>
      <x:c r="F5" s="13" t="n">
        <x:v>1</x:v>
      </x:c>
      <x:c r="G5" s="13" t="n">
        <x:v>1</x:v>
      </x:c>
      <x:c r="H5" s="13" t="n">
        <x:v>0</x:v>
      </x:c>
      <x:c r="I5" s="13" t="n">
        <x:v>0</x:v>
      </x:c>
      <x:c r="J5" s="13" t="n">
        <x:v>0</x:v>
      </x:c>
      <x:c r="K5" s="13" t="n">
        <x:v>0</x:v>
      </x:c>
      <x:c r="L5" s="14" t="n">
        <x:v>0.375</x:v>
      </x:c>
      <x:c r="M5" s="13" t="n">
        <x:v>0</x:v>
      </x:c>
      <x:c r="N5" s="13" t="n">
        <x:v>0</x:v>
      </x:c>
    </x:row>
    <x:row r="6" ht="15" hidden="0" customHeight="1">
      <x:c r="A6" s="12" t="n">
        <x:v>5</x:v>
      </x:c>
      <x:c r="B6" s="12" t="str">
        <x:v>S007</x:v>
      </x:c>
      <x:c r="C6" s="12" t="str">
        <x:v>Velcescu et al. (2019)</x:v>
      </x:c>
      <x:c r="D6" s="13" t="n">
        <x:v>1</x:v>
      </x:c>
      <x:c r="E6" s="13" t="n">
        <x:v>1</x:v>
      </x:c>
      <x:c r="F6" s="13" t="n">
        <x:v>1</x:v>
      </x:c>
      <x:c r="G6" s="13" t="n">
        <x:v>1</x:v>
      </x:c>
      <x:c r="H6" s="13" t="n">
        <x:v>0</x:v>
      </x:c>
      <x:c r="I6" s="13" t="n">
        <x:v>1</x:v>
      </x:c>
      <x:c r="J6" s="13" t="n">
        <x:v>0</x:v>
      </x:c>
      <x:c r="K6" s="13" t="n">
        <x:v>0</x:v>
      </x:c>
      <x:c r="L6" s="14" t="n">
        <x:v>0.625</x:v>
      </x:c>
      <x:c r="M6" s="13" t="n">
        <x:v>1</x:v>
      </x:c>
      <x:c r="N6" s="13" t="n">
        <x:v>0</x:v>
      </x:c>
    </x:row>
    <x:row r="7" ht="15" hidden="0" customHeight="1">
      <x:c r="A7" s="12" t="n">
        <x:v>6</x:v>
      </x:c>
      <x:c r="B7" s="12" t="str">
        <x:v>S008</x:v>
      </x:c>
      <x:c r="C7" s="12" t="str">
        <x:v>Kim et al. (2022)</x:v>
      </x:c>
      <x:c r="D7" s="13" t="n">
        <x:v>1</x:v>
      </x:c>
      <x:c r="E7" s="13" t="n">
        <x:v>1</x:v>
      </x:c>
      <x:c r="F7" s="13" t="n">
        <x:v>1</x:v>
      </x:c>
      <x:c r="G7" s="13" t="n">
        <x:v>1</x:v>
      </x:c>
      <x:c r="H7" s="13" t="n">
        <x:v>0</x:v>
      </x:c>
      <x:c r="I7" s="13" t="n">
        <x:v>0</x:v>
      </x:c>
      <x:c r="J7" s="13" t="n">
        <x:v>0</x:v>
      </x:c>
      <x:c r="K7" s="13" t="n">
        <x:v>0</x:v>
      </x:c>
      <x:c r="L7" s="14" t="n">
        <x:v>0.5</x:v>
      </x:c>
      <x:c r="M7" s="13" t="n">
        <x:v>0</x:v>
      </x:c>
      <x:c r="N7" s="13" t="n">
        <x:v>0</x:v>
      </x:c>
    </x:row>
    <x:row r="8" ht="15" hidden="0" customHeight="1">
      <x:c r="A8" s="12" t="n">
        <x:v>7</x:v>
      </x:c>
      <x:c r="B8" s="12" t="str">
        <x:v>S010</x:v>
      </x:c>
      <x:c r="C8" s="12" t="str">
        <x:v>Mutlu et al. (2023)</x:v>
      </x:c>
      <x:c r="D8" s="13" t="n">
        <x:v>1</x:v>
      </x:c>
      <x:c r="E8" s="13" t="n">
        <x:v>1</x:v>
      </x:c>
      <x:c r="F8" s="13" t="n">
        <x:v>1</x:v>
      </x:c>
      <x:c r="G8" s="13" t="n">
        <x:v>1</x:v>
      </x:c>
      <x:c r="H8" s="13" t="n">
        <x:v>1</x:v>
      </x:c>
      <x:c r="I8" s="13" t="n">
        <x:v>0</x:v>
      </x:c>
      <x:c r="J8" s="13" t="n">
        <x:v>0</x:v>
      </x:c>
      <x:c r="K8" s="13" t="n">
        <x:v>0</x:v>
      </x:c>
      <x:c r="L8" s="14" t="n">
        <x:v>0.625</x:v>
      </x:c>
      <x:c r="M8" s="13" t="n">
        <x:v>1</x:v>
      </x:c>
      <x:c r="N8" s="13" t="n">
        <x:v>0</x:v>
      </x:c>
    </x:row>
    <x:row r="9" ht="15" hidden="0" customHeight="1">
      <x:c r="A9" s="12" t="n">
        <x:v>8</x:v>
      </x:c>
      <x:c r="B9" s="12" t="str">
        <x:v>S011</x:v>
      </x:c>
      <x:c r="C9" s="12" t="str">
        <x:v>Samarentsis et al. (2022)</x:v>
      </x:c>
      <x:c r="D9" s="13" t="n">
        <x:v>1</x:v>
      </x:c>
      <x:c r="E9" s="13" t="n">
        <x:v>1</x:v>
      </x:c>
      <x:c r="F9" s="13" t="n">
        <x:v>1</x:v>
      </x:c>
      <x:c r="G9" s="13" t="n">
        <x:v>1</x:v>
      </x:c>
      <x:c r="H9" s="13" t="n">
        <x:v>1</x:v>
      </x:c>
      <x:c r="I9" s="13" t="n">
        <x:v>0</x:v>
      </x:c>
      <x:c r="J9" s="13" t="n">
        <x:v>0</x:v>
      </x:c>
      <x:c r="K9" s="13" t="n">
        <x:v>1</x:v>
      </x:c>
      <x:c r="L9" s="14" t="n">
        <x:v>0.75</x:v>
      </x:c>
      <x:c r="M9" s="13" t="n">
        <x:v>2</x:v>
      </x:c>
      <x:c r="N9" s="13" t="n">
        <x:v>0</x:v>
      </x:c>
    </x:row>
    <x:row r="10" ht="15" hidden="0" customHeight="1">
      <x:c r="A10" s="12" t="n">
        <x:v>9</x:v>
      </x:c>
      <x:c r="B10" s="12" t="str">
        <x:v>S012</x:v>
      </x:c>
      <x:c r="C10" s="12" t="str">
        <x:v>Wolterink et al. (2020)</x:v>
      </x:c>
      <x:c r="D10" s="13" t="n">
        <x:v>0</x:v>
      </x:c>
      <x:c r="E10" s="13" t="n">
        <x:v>1</x:v>
      </x:c>
      <x:c r="F10" s="13" t="n">
        <x:v>1</x:v>
      </x:c>
      <x:c r="G10" s="13" t="n">
        <x:v>1</x:v>
      </x:c>
      <x:c r="H10" s="13" t="n">
        <x:v>1</x:v>
      </x:c>
      <x:c r="I10" s="13" t="n">
        <x:v>1</x:v>
      </x:c>
      <x:c r="J10" s="13" t="n">
        <x:v>0</x:v>
      </x:c>
      <x:c r="K10" s="13" t="n">
        <x:v>0</x:v>
      </x:c>
      <x:c r="L10" s="14" t="n">
        <x:v>0.625</x:v>
      </x:c>
      <x:c r="M10" s="13" t="n">
        <x:v>2</x:v>
      </x:c>
      <x:c r="N10" s="13" t="n">
        <x:v>0</x:v>
      </x:c>
    </x:row>
    <x:row r="11" ht="15" hidden="0" customHeight="1">
      <x:c r="A11" s="12" t="n">
        <x:v>10</x:v>
      </x:c>
      <x:c r="B11" s="12" t="str">
        <x:v>S013</x:v>
      </x:c>
      <x:c r="C11" s="12" t="str">
        <x:v>Poulladofonou et al. (2022)</x:v>
      </x:c>
      <x:c r="D11" s="13" t="n">
        <x:v>0</x:v>
      </x:c>
      <x:c r="E11" s="13" t="n">
        <x:v>1</x:v>
      </x:c>
      <x:c r="F11" s="13" t="n">
        <x:v>1</x:v>
      </x:c>
      <x:c r="G11" s="13" t="n">
        <x:v>1</x:v>
      </x:c>
      <x:c r="H11" s="13" t="n">
        <x:v>1</x:v>
      </x:c>
      <x:c r="I11" s="13" t="n">
        <x:v>1</x:v>
      </x:c>
      <x:c r="J11" s="13" t="n">
        <x:v>0</x:v>
      </x:c>
      <x:c r="K11" s="13" t="n">
        <x:v>1</x:v>
      </x:c>
      <x:c r="L11" s="14" t="n">
        <x:v>0.75</x:v>
      </x:c>
      <x:c r="M11" s="13" t="n">
        <x:v>3</x:v>
      </x:c>
      <x:c r="N11" s="13" t="n">
        <x:v>0</x:v>
      </x:c>
    </x:row>
    <x:row r="12" ht="15" hidden="0" customHeight="1">
      <x:c r="A12" s="12" t="n">
        <x:v>11</x:v>
      </x:c>
      <x:c r="B12" s="12" t="str">
        <x:v>S014</x:v>
      </x:c>
      <x:c r="C12" s="12" t="str">
        <x:v>Dimo et al. (2025)</x:v>
      </x:c>
      <x:c r="D12" s="13" t="n">
        <x:v>0</x:v>
      </x:c>
      <x:c r="E12" s="13" t="n">
        <x:v>1</x:v>
      </x:c>
      <x:c r="F12" s="13" t="n">
        <x:v>1</x:v>
      </x:c>
      <x:c r="G12" s="13" t="n">
        <x:v>1</x:v>
      </x:c>
      <x:c r="H12" s="13" t="n">
        <x:v>1</x:v>
      </x:c>
      <x:c r="I12" s="13" t="n">
        <x:v>1</x:v>
      </x:c>
      <x:c r="J12" s="13" t="n">
        <x:v>1</x:v>
      </x:c>
      <x:c r="K12" s="13" t="n">
        <x:v>0</x:v>
      </x:c>
      <x:c r="L12" s="14" t="n">
        <x:v>0.75</x:v>
      </x:c>
      <x:c r="M12" s="13" t="n">
        <x:v>3</x:v>
      </x:c>
      <x:c r="N12" s="13" t="n">
        <x:v>0</x:v>
      </x:c>
    </x:row>
    <x:row r="13" ht="15" hidden="0" customHeight="1">
      <x:c r="A13" s="12" t="n">
        <x:v>12</x:v>
      </x:c>
      <x:c r="B13" s="12" t="str">
        <x:v>S015</x:v>
      </x:c>
      <x:c r="C13" s="12" t="str">
        <x:v>Farook et al. (2023)</x:v>
      </x:c>
      <x:c r="D13" s="13" t="n">
        <x:v>0</x:v>
      </x:c>
      <x:c r="E13" s="13" t="n">
        <x:v>1</x:v>
      </x:c>
      <x:c r="F13" s="13" t="n">
        <x:v>1</x:v>
      </x:c>
      <x:c r="G13" s="13" t="n">
        <x:v>1</x:v>
      </x:c>
      <x:c r="H13" s="13" t="n">
        <x:v>0</x:v>
      </x:c>
      <x:c r="I13" s="13" t="n">
        <x:v>0</x:v>
      </x:c>
      <x:c r="J13" s="13" t="n">
        <x:v>0</x:v>
      </x:c>
      <x:c r="K13" s="13" t="n">
        <x:v>0</x:v>
      </x:c>
      <x:c r="L13" s="14" t="n">
        <x:v>0.375</x:v>
      </x:c>
      <x:c r="M13" s="13" t="n">
        <x:v>0</x:v>
      </x:c>
      <x:c r="N13" s="13" t="n">
        <x:v>0</x:v>
      </x:c>
    </x:row>
    <x:row r="14" ht="15" hidden="0" customHeight="1">
      <x:c r="A14" s="12" t="n">
        <x:v>13</x:v>
      </x:c>
      <x:c r="B14" s="12" t="str">
        <x:v>S017</x:v>
      </x:c>
      <x:c r="C14" s="12" t="str">
        <x:v>Zhang and Ma (2025)</x:v>
      </x:c>
      <x:c r="D14" s="13" t="n">
        <x:v>0</x:v>
      </x:c>
      <x:c r="E14" s="13" t="n">
        <x:v>0</x:v>
      </x:c>
      <x:c r="F14" s="13" t="n">
        <x:v>1</x:v>
      </x:c>
      <x:c r="G14" s="13" t="n">
        <x:v>1</x:v>
      </x:c>
      <x:c r="H14" s="13" t="n">
        <x:v>1</x:v>
      </x:c>
      <x:c r="I14" s="13" t="n">
        <x:v>1</x:v>
      </x:c>
      <x:c r="J14" s="13" t="n">
        <x:v>0</x:v>
      </x:c>
      <x:c r="K14" s="13" t="n">
        <x:v>0</x:v>
      </x:c>
      <x:c r="L14" s="14" t="n">
        <x:v>0.5</x:v>
      </x:c>
      <x:c r="M14" s="13" t="n">
        <x:v>2</x:v>
      </x:c>
      <x:c r="N14" s="13" t="n">
        <x:v>0</x:v>
      </x:c>
    </x:row>
    <x:row r="15" ht="15" hidden="0" customHeight="1">
      <x:c r="A15" s="12" t="n">
        <x:v>14</x:v>
      </x:c>
      <x:c r="B15" s="12" t="str">
        <x:v>S018</x:v>
      </x:c>
      <x:c r="C15" s="12" t="str">
        <x:v>Vu et al. (2025)</x:v>
      </x:c>
      <x:c r="D15" s="13" t="n">
        <x:v>0</x:v>
      </x:c>
      <x:c r="E15" s="13" t="n">
        <x:v>1</x:v>
      </x:c>
      <x:c r="F15" s="13" t="n">
        <x:v>1</x:v>
      </x:c>
      <x:c r="G15" s="13" t="n">
        <x:v>1</x:v>
      </x:c>
      <x:c r="H15" s="13" t="n">
        <x:v>0</x:v>
      </x:c>
      <x:c r="I15" s="13" t="n">
        <x:v>0</x:v>
      </x:c>
      <x:c r="J15" s="13" t="n">
        <x:v>1</x:v>
      </x:c>
      <x:c r="K15" s="13" t="n">
        <x:v>0</x:v>
      </x:c>
      <x:c r="L15" s="14" t="n">
        <x:v>0.5</x:v>
      </x:c>
      <x:c r="M15" s="13" t="n">
        <x:v>1</x:v>
      </x:c>
      <x:c r="N15" s="13" t="n">
        <x:v>0</x:v>
      </x:c>
    </x:row>
    <x:row r="16" ht="15" hidden="0" customHeight="1">
      <x:c r="A16" s="12" t="n">
        <x:v>15</x:v>
      </x:c>
      <x:c r="B16" s="12" t="str">
        <x:v>S019</x:v>
      </x:c>
      <x:c r="C16" s="12" t="str">
        <x:v>Vu et al. (2021)</x:v>
      </x:c>
      <x:c r="D16" s="13" t="n">
        <x:v>1</x:v>
      </x:c>
      <x:c r="E16" s="13" t="n">
        <x:v>1</x:v>
      </x:c>
      <x:c r="F16" s="13" t="n">
        <x:v>1</x:v>
      </x:c>
      <x:c r="G16" s="13" t="n">
        <x:v>1</x:v>
      </x:c>
      <x:c r="H16" s="13" t="n">
        <x:v>1</x:v>
      </x:c>
      <x:c r="I16" s="13" t="n">
        <x:v>1</x:v>
      </x:c>
      <x:c r="J16" s="13" t="n">
        <x:v>0</x:v>
      </x:c>
      <x:c r="K16" s="13" t="n">
        <x:v>1</x:v>
      </x:c>
      <x:c r="L16" s="14" t="n">
        <x:v>0.875</x:v>
      </x:c>
      <x:c r="M16" s="13" t="n">
        <x:v>3</x:v>
      </x:c>
      <x:c r="N16" s="13" t="n">
        <x:v>0</x:v>
      </x:c>
    </x:row>
    <x:row r="17" ht="15" hidden="0" customHeight="1">
      <x:c r="A17" s="12" t="n">
        <x:v>16</x:v>
      </x:c>
      <x:c r="B17" s="12" t="str">
        <x:v>S020</x:v>
      </x:c>
      <x:c r="C17" s="12" t="str">
        <x:v>Langlois et al. (2021)</x:v>
      </x:c>
      <x:c r="D17" s="13" t="n">
        <x:v>0</x:v>
      </x:c>
      <x:c r="E17" s="13" t="n">
        <x:v>1</x:v>
      </x:c>
      <x:c r="F17" s="13" t="n">
        <x:v>1</x:v>
      </x:c>
      <x:c r="G17" s="13" t="n">
        <x:v>1</x:v>
      </x:c>
      <x:c r="H17" s="13" t="n">
        <x:v>1</x:v>
      </x:c>
      <x:c r="I17" s="13" t="n">
        <x:v>0</x:v>
      </x:c>
      <x:c r="J17" s="13" t="n">
        <x:v>0</x:v>
      </x:c>
      <x:c r="K17" s="13" t="n">
        <x:v>1</x:v>
      </x:c>
      <x:c r="L17" s="14" t="n">
        <x:v>0.625</x:v>
      </x:c>
      <x:c r="M17" s="13" t="n">
        <x:v>2</x:v>
      </x:c>
      <x:c r="N17" s="13" t="n">
        <x:v>0</x:v>
      </x:c>
    </x:row>
    <x:row r="18" ht="15" hidden="0" customHeight="1">
      <x:c r="A18" s="12" t="n">
        <x:v>17</x:v>
      </x:c>
      <x:c r="B18" s="12" t="str">
        <x:v>S021</x:v>
      </x:c>
      <x:c r="C18" s="12" t="str">
        <x:v>Li et al. (2026)</x:v>
      </x:c>
      <x:c r="D18" s="13" t="n">
        <x:v>0</x:v>
      </x:c>
      <x:c r="E18" s="13" t="n">
        <x:v>1</x:v>
      </x:c>
      <x:c r="F18" s="13" t="n">
        <x:v>1</x:v>
      </x:c>
      <x:c r="G18" s="13" t="n">
        <x:v>1</x:v>
      </x:c>
      <x:c r="H18" s="13" t="n">
        <x:v>0</x:v>
      </x:c>
      <x:c r="I18" s="13" t="n">
        <x:v>0</x:v>
      </x:c>
      <x:c r="J18" s="13" t="n">
        <x:v>1</x:v>
      </x:c>
      <x:c r="K18" s="13" t="n">
        <x:v>0</x:v>
      </x:c>
      <x:c r="L18" s="14" t="n">
        <x:v>0.5</x:v>
      </x:c>
      <x:c r="M18" s="13" t="n">
        <x:v>1</x:v>
      </x:c>
      <x:c r="N18" s="13" t="n">
        <x:v>0</x:v>
      </x:c>
    </x:row>
    <x:row r="19" ht="15" hidden="0" customHeight="1">
      <x:c r="A19" s="12" t="n">
        <x:v>18</x:v>
      </x:c>
      <x:c r="B19" s="12" t="str">
        <x:v>S022</x:v>
      </x:c>
      <x:c r="C19" s="12" t="str">
        <x:v>Yan et al. (2025)</x:v>
      </x:c>
      <x:c r="D19" s="13" t="n">
        <x:v>0</x:v>
      </x:c>
      <x:c r="E19" s="13" t="n">
        <x:v>1</x:v>
      </x:c>
      <x:c r="F19" s="13" t="n">
        <x:v>1</x:v>
      </x:c>
      <x:c r="G19" s="13" t="n">
        <x:v>1</x:v>
      </x:c>
      <x:c r="H19" s="13" t="n">
        <x:v>1</x:v>
      </x:c>
      <x:c r="I19" s="13" t="n">
        <x:v>1</x:v>
      </x:c>
      <x:c r="J19" s="13" t="n">
        <x:v>1</x:v>
      </x:c>
      <x:c r="K19" s="13" t="n">
        <x:v>0</x:v>
      </x:c>
      <x:c r="L19" s="14" t="n">
        <x:v>0.75</x:v>
      </x:c>
      <x:c r="M19" s="13" t="n">
        <x:v>3</x:v>
      </x:c>
      <x:c r="N19" s="13" t="n">
        <x:v>0</x:v>
      </x:c>
    </x:row>
    <x:row r="20" ht="15" hidden="0" customHeight="1">
      <x:c r="A20" s="12" t="n">
        <x:v>19</x:v>
      </x:c>
      <x:c r="B20" s="12" t="str">
        <x:v>S023</x:v>
      </x:c>
      <x:c r="C20" s="12" t="str">
        <x:v>Salo et al. (2022)</x:v>
      </x:c>
      <x:c r="D20" s="13" t="n">
        <x:v>1</x:v>
      </x:c>
      <x:c r="E20" s="13" t="n">
        <x:v>1</x:v>
      </x:c>
      <x:c r="F20" s="13" t="n">
        <x:v>1</x:v>
      </x:c>
      <x:c r="G20" s="13" t="n">
        <x:v>1</x:v>
      </x:c>
      <x:c r="H20" s="13" t="n">
        <x:v>1</x:v>
      </x:c>
      <x:c r="I20" s="13" t="n">
        <x:v>0</x:v>
      </x:c>
      <x:c r="J20" s="13" t="n">
        <x:v>0</x:v>
      </x:c>
      <x:c r="K20" s="13" t="n">
        <x:v>1</x:v>
      </x:c>
      <x:c r="L20" s="14" t="n">
        <x:v>0.75</x:v>
      </x:c>
      <x:c r="M20" s="13" t="n">
        <x:v>2</x:v>
      </x:c>
      <x:c r="N20" s="13" t="n">
        <x:v>0</x:v>
      </x:c>
    </x:row>
    <x:row r="21" ht="15" hidden="0" customHeight="1">
      <x:c r="A21" s="12" t="n">
        <x:v>20</x:v>
      </x:c>
      <x:c r="B21" s="12" t="str">
        <x:v>S024</x:v>
      </x:c>
      <x:c r="C21" s="12" t="str">
        <x:v>Han et al. (2026)</x:v>
      </x:c>
      <x:c r="D21" s="13" t="n">
        <x:v>0</x:v>
      </x:c>
      <x:c r="E21" s="13" t="n">
        <x:v>1</x:v>
      </x:c>
      <x:c r="F21" s="13" t="n">
        <x:v>1</x:v>
      </x:c>
      <x:c r="G21" s="13" t="n">
        <x:v>1</x:v>
      </x:c>
      <x:c r="H21" s="13" t="n">
        <x:v>1</x:v>
      </x:c>
      <x:c r="I21" s="13" t="n">
        <x:v>1</x:v>
      </x:c>
      <x:c r="J21" s="13" t="n">
        <x:v>1</x:v>
      </x:c>
      <x:c r="K21" s="13" t="n">
        <x:v>0</x:v>
      </x:c>
      <x:c r="L21" s="14" t="n">
        <x:v>0.75</x:v>
      </x:c>
      <x:c r="M21" s="13" t="n">
        <x:v>3</x:v>
      </x:c>
      <x:c r="N21" s="13" t="n">
        <x:v>0</x:v>
      </x:c>
    </x:row>
    <x:row r="22" ht="15" hidden="0" customHeight="1">
      <x:c r="A22" s="12" t="n">
        <x:v>21</x:v>
      </x:c>
      <x:c r="B22" s="12" t="str">
        <x:v>S025</x:v>
      </x:c>
      <x:c r="C22" s="12" t="str">
        <x:v>Wei et al. (2026)</x:v>
      </x:c>
      <x:c r="D22" s="13" t="n">
        <x:v>1</x:v>
      </x:c>
      <x:c r="E22" s="13" t="n">
        <x:v>1</x:v>
      </x:c>
      <x:c r="F22" s="13" t="n">
        <x:v>1</x:v>
      </x:c>
      <x:c r="G22" s="13" t="n">
        <x:v>1</x:v>
      </x:c>
      <x:c r="H22" s="13" t="n">
        <x:v>1</x:v>
      </x:c>
      <x:c r="I22" s="13" t="n">
        <x:v>1</x:v>
      </x:c>
      <x:c r="J22" s="13" t="n">
        <x:v>0</x:v>
      </x:c>
      <x:c r="K22" s="13" t="n">
        <x:v>1</x:v>
      </x:c>
      <x:c r="L22" s="14" t="n">
        <x:v>0.875</x:v>
      </x:c>
      <x:c r="M22" s="13" t="n">
        <x:v>3</x:v>
      </x:c>
      <x:c r="N22" s="13" t="n">
        <x:v>0</x:v>
      </x:c>
    </x:row>
    <x:row r="23" ht="15" hidden="0" customHeight="1">
      <x:c r="A23" s="12" t="n">
        <x:v>22</x:v>
      </x:c>
      <x:c r="B23" s="12" t="str">
        <x:v>S028</x:v>
      </x:c>
      <x:c r="C23" s="12" t="str">
        <x:v>Gothard et al. (2023)</x:v>
      </x:c>
      <x:c r="D23" s="13" t="n">
        <x:v>1</x:v>
      </x:c>
      <x:c r="E23" s="13" t="n">
        <x:v>1</x:v>
      </x:c>
      <x:c r="F23" s="13" t="n">
        <x:v>1</x:v>
      </x:c>
      <x:c r="G23" s="13" t="n">
        <x:v>1</x:v>
      </x:c>
      <x:c r="H23" s="13" t="n">
        <x:v>1</x:v>
      </x:c>
      <x:c r="I23" s="13" t="n">
        <x:v>0</x:v>
      </x:c>
      <x:c r="J23" s="13" t="n">
        <x:v>0</x:v>
      </x:c>
      <x:c r="K23" s="13" t="n">
        <x:v>1</x:v>
      </x:c>
      <x:c r="L23" s="14" t="n">
        <x:v>0.75</x:v>
      </x:c>
      <x:c r="M23" s="13" t="n">
        <x:v>2</x:v>
      </x:c>
      <x:c r="N23" s="13" t="n">
        <x:v>0</x:v>
      </x:c>
    </x:row>
    <x:row r="24" ht="15" hidden="0" customHeight="1">
      <x:c r="A24" s="12" t="n">
        <x:v>23</x:v>
      </x:c>
      <x:c r="B24" s="12" t="str">
        <x:v>S029</x:v>
      </x:c>
      <x:c r="C24" s="12" t="str">
        <x:v>Özkurt et al. (2026)</x:v>
      </x:c>
      <x:c r="D24" s="13" t="n">
        <x:v>1</x:v>
      </x:c>
      <x:c r="E24" s="13" t="n">
        <x:v>1</x:v>
      </x:c>
      <x:c r="F24" s="13" t="n">
        <x:v>1</x:v>
      </x:c>
      <x:c r="G24" s="13" t="n">
        <x:v>1</x:v>
      </x:c>
      <x:c r="H24" s="13" t="n">
        <x:v>1</x:v>
      </x:c>
      <x:c r="I24" s="13" t="n">
        <x:v>1</x:v>
      </x:c>
      <x:c r="J24" s="13" t="n">
        <x:v>0</x:v>
      </x:c>
      <x:c r="K24" s="13" t="n">
        <x:v>1</x:v>
      </x:c>
      <x:c r="L24" s="14" t="n">
        <x:v>0.875</x:v>
      </x:c>
      <x:c r="M24" s="13" t="n">
        <x:v>3</x:v>
      </x:c>
      <x:c r="N24" s="13" t="n">
        <x:v>0</x:v>
      </x:c>
    </x:row>
    <x:row r="25" ht="15" hidden="0" customHeight="1">
      <x:c r="A25" s="12" t="n">
        <x:v>24</x:v>
      </x:c>
      <x:c r="B25" s="12" t="str">
        <x:v>S031</x:v>
      </x:c>
      <x:c r="C25" s="12" t="str">
        <x:v>Rivera et al. (2022)</x:v>
      </x:c>
      <x:c r="D25" s="13" t="n">
        <x:v>0</x:v>
      </x:c>
      <x:c r="E25" s="13" t="n">
        <x:v>1</x:v>
      </x:c>
      <x:c r="F25" s="13" t="n">
        <x:v>1</x:v>
      </x:c>
      <x:c r="G25" s="13" t="n">
        <x:v>1</x:v>
      </x:c>
      <x:c r="H25" s="13" t="n">
        <x:v>0</x:v>
      </x:c>
      <x:c r="I25" s="13" t="n">
        <x:v>0</x:v>
      </x:c>
      <x:c r="J25" s="13" t="n">
        <x:v>0</x:v>
      </x:c>
      <x:c r="K25" s="13" t="n">
        <x:v>0</x:v>
      </x:c>
      <x:c r="L25" s="14" t="n">
        <x:v>0.375</x:v>
      </x:c>
      <x:c r="M25" s="13" t="n">
        <x:v>0</x:v>
      </x:c>
      <x:c r="N25" s="13" t="n">
        <x:v>0</x:v>
      </x:c>
    </x:row>
    <x:row r="26" ht="15" hidden="0" customHeight="1">
      <x:c r="A26" s="12" t="n">
        <x:v>25</x:v>
      </x:c>
      <x:c r="B26" s="12" t="str">
        <x:v>S032</x:v>
      </x:c>
      <x:c r="C26" s="12" t="str">
        <x:v>Liu et al. (2021)</x:v>
      </x:c>
      <x:c r="D26" s="13" t="n">
        <x:v>0</x:v>
      </x:c>
      <x:c r="E26" s="13" t="n">
        <x:v>1</x:v>
      </x:c>
      <x:c r="F26" s="13" t="n">
        <x:v>1</x:v>
      </x:c>
      <x:c r="G26" s="13" t="n">
        <x:v>1</x:v>
      </x:c>
      <x:c r="H26" s="13" t="n">
        <x:v>0</x:v>
      </x:c>
      <x:c r="I26" s="13" t="n">
        <x:v>0</x:v>
      </x:c>
      <x:c r="J26" s="13" t="n">
        <x:v>0</x:v>
      </x:c>
      <x:c r="K26" s="13" t="n">
        <x:v>0</x:v>
      </x:c>
      <x:c r="L26" s="14" t="n">
        <x:v>0.375</x:v>
      </x:c>
      <x:c r="M26" s="13" t="n">
        <x:v>0</x:v>
      </x:c>
      <x:c r="N26" s="13" t="n">
        <x:v>0</x:v>
      </x:c>
    </x:row>
    <x:row r="27" ht="15" hidden="0" customHeight="1">
      <x:c r="A27" s="12" t="n">
        <x:v>26</x:v>
      </x:c>
      <x:c r="B27" s="12" t="str">
        <x:v>S033</x:v>
      </x:c>
      <x:c r="C27" s="12" t="str">
        <x:v>Yu et al. (2020)</x:v>
      </x:c>
      <x:c r="D27" s="13" t="n">
        <x:v>0</x:v>
      </x:c>
      <x:c r="E27" s="13" t="n">
        <x:v>1</x:v>
      </x:c>
      <x:c r="F27" s="13" t="n">
        <x:v>1</x:v>
      </x:c>
      <x:c r="G27" s="13" t="n">
        <x:v>1</x:v>
      </x:c>
      <x:c r="H27" s="13" t="n">
        <x:v>1</x:v>
      </x:c>
      <x:c r="I27" s="13" t="n">
        <x:v>0</x:v>
      </x:c>
      <x:c r="J27" s="13" t="n">
        <x:v>0</x:v>
      </x:c>
      <x:c r="K27" s="13" t="n">
        <x:v>0</x:v>
      </x:c>
      <x:c r="L27" s="14" t="n">
        <x:v>0.5</x:v>
      </x:c>
      <x:c r="M27" s="13" t="n">
        <x:v>1</x:v>
      </x:c>
      <x:c r="N27" s="13" t="n">
        <x:v>0</x:v>
      </x:c>
    </x:row>
    <x:row r="28" ht="15" hidden="0" customHeight="1">
      <x:c r="A28" s="12" t="n">
        <x:v>27</x:v>
      </x:c>
      <x:c r="B28" s="12" t="str">
        <x:v>S034</x:v>
      </x:c>
      <x:c r="C28" s="12" t="str">
        <x:v>Zhang et al. (2026)</x:v>
      </x:c>
      <x:c r="D28" s="13" t="n">
        <x:v>0</x:v>
      </x:c>
      <x:c r="E28" s="13" t="n">
        <x:v>1</x:v>
      </x:c>
      <x:c r="F28" s="13" t="n">
        <x:v>1</x:v>
      </x:c>
      <x:c r="G28" s="13" t="n">
        <x:v>1</x:v>
      </x:c>
      <x:c r="H28" s="13" t="n">
        <x:v>1</x:v>
      </x:c>
      <x:c r="I28" s="13" t="n">
        <x:v>1</x:v>
      </x:c>
      <x:c r="J28" s="13" t="n">
        <x:v>0</x:v>
      </x:c>
      <x:c r="K28" s="13" t="n">
        <x:v>1</x:v>
      </x:c>
      <x:c r="L28" s="14" t="n">
        <x:v>0.75</x:v>
      </x:c>
      <x:c r="M28" s="13" t="n">
        <x:v>3</x:v>
      </x:c>
      <x:c r="N28" s="13" t="n">
        <x:v>0</x:v>
      </x:c>
    </x:row>
    <x:row r="29" ht="15" hidden="0" customHeight="1">
      <x:c r="A29" s="12" t="n">
        <x:v>28</x:v>
      </x:c>
      <x:c r="B29" s="12" t="str">
        <x:v>S035</x:v>
      </x:c>
      <x:c r="C29" s="12" t="str">
        <x:v>Katseli et al. (2021)</x:v>
      </x:c>
      <x:c r="D29" s="13" t="n">
        <x:v>0</x:v>
      </x:c>
      <x:c r="E29" s="13" t="n">
        <x:v>1</x:v>
      </x:c>
      <x:c r="F29" s="13" t="n">
        <x:v>1</x:v>
      </x:c>
      <x:c r="G29" s="13" t="n">
        <x:v>1</x:v>
      </x:c>
      <x:c r="H29" s="13" t="n">
        <x:v>1</x:v>
      </x:c>
      <x:c r="I29" s="13" t="n">
        <x:v>1</x:v>
      </x:c>
      <x:c r="J29" s="13" t="n">
        <x:v>0</x:v>
      </x:c>
      <x:c r="K29" s="13" t="n">
        <x:v>1</x:v>
      </x:c>
      <x:c r="L29" s="14" t="n">
        <x:v>0.75</x:v>
      </x:c>
      <x:c r="M29" s="13" t="n">
        <x:v>3</x:v>
      </x:c>
      <x:c r="N29" s="13" t="n">
        <x:v>0</x:v>
      </x:c>
    </x:row>
    <x:row r="30" ht="15" hidden="0" customHeight="1">
      <x:c r="A30" s="12" t="n">
        <x:v>29</x:v>
      </x:c>
      <x:c r="B30" s="12" t="str">
        <x:v>S036</x:v>
      </x:c>
      <x:c r="C30" s="12" t="str">
        <x:v>Xuan et al. (2026)</x:v>
      </x:c>
      <x:c r="D30" s="13" t="n">
        <x:v>0</x:v>
      </x:c>
      <x:c r="E30" s="13" t="n">
        <x:v>1</x:v>
      </x:c>
      <x:c r="F30" s="13" t="n">
        <x:v>1</x:v>
      </x:c>
      <x:c r="G30" s="13" t="n">
        <x:v>1</x:v>
      </x:c>
      <x:c r="H30" s="13" t="n">
        <x:v>1</x:v>
      </x:c>
      <x:c r="I30" s="13" t="n">
        <x:v>1</x:v>
      </x:c>
      <x:c r="J30" s="13" t="n">
        <x:v>1</x:v>
      </x:c>
      <x:c r="K30" s="13" t="n">
        <x:v>0</x:v>
      </x:c>
      <x:c r="L30" s="14" t="n">
        <x:v>0.75</x:v>
      </x:c>
      <x:c r="M30" s="13" t="n">
        <x:v>3</x:v>
      </x:c>
      <x:c r="N30" s="13" t="n">
        <x:v>0</x:v>
      </x:c>
    </x:row>
    <x:row r="31" ht="15" hidden="0" customHeight="1">
      <x:c r="A31" s="12" t="n">
        <x:v>30</x:v>
      </x:c>
      <x:c r="B31" s="12" t="str">
        <x:v>S037</x:v>
      </x:c>
      <x:c r="C31" s="12" t="str">
        <x:v>Wolterink et al. (2021)</x:v>
      </x:c>
      <x:c r="D31" s="13" t="n">
        <x:v>0</x:v>
      </x:c>
      <x:c r="E31" s="13" t="n">
        <x:v>1</x:v>
      </x:c>
      <x:c r="F31" s="13" t="n">
        <x:v>1</x:v>
      </x:c>
      <x:c r="G31" s="13" t="n">
        <x:v>1</x:v>
      </x:c>
      <x:c r="H31" s="13" t="n">
        <x:v>1</x:v>
      </x:c>
      <x:c r="I31" s="13" t="n">
        <x:v>0</x:v>
      </x:c>
      <x:c r="J31" s="13" t="n">
        <x:v>0</x:v>
      </x:c>
      <x:c r="K31" s="13" t="n">
        <x:v>0</x:v>
      </x:c>
      <x:c r="L31" s="14" t="n">
        <x:v>0.5</x:v>
      </x:c>
      <x:c r="M31" s="13" t="n">
        <x:v>1</x:v>
      </x:c>
      <x:c r="N31" s="13" t="n">
        <x:v>0</x:v>
      </x:c>
    </x:row>
    <x:row r="32" ht="15" hidden="0" customHeight="1">
      <x:c r="A32" s="12" t="n">
        <x:v>31</x:v>
      </x:c>
      <x:c r="B32" s="12" t="str">
        <x:v>S038</x:v>
      </x:c>
      <x:c r="C32" s="12" t="str">
        <x:v>Christ et al. (2018)</x:v>
      </x:c>
      <x:c r="D32" s="13" t="n">
        <x:v>1</x:v>
      </x:c>
      <x:c r="E32" s="13" t="n">
        <x:v>1</x:v>
      </x:c>
      <x:c r="F32" s="13" t="n">
        <x:v>1</x:v>
      </x:c>
      <x:c r="G32" s="13" t="n">
        <x:v>1</x:v>
      </x:c>
      <x:c r="H32" s="13" t="n">
        <x:v>1</x:v>
      </x:c>
      <x:c r="I32" s="13" t="n">
        <x:v>0</x:v>
      </x:c>
      <x:c r="J32" s="13" t="n">
        <x:v>1</x:v>
      </x:c>
      <x:c r="K32" s="13" t="n">
        <x:v>0</x:v>
      </x:c>
      <x:c r="L32" s="14" t="n">
        <x:v>0.75</x:v>
      </x:c>
      <x:c r="M32" s="13" t="n">
        <x:v>2</x:v>
      </x:c>
      <x:c r="N32" s="13" t="n">
        <x:v>0</x:v>
      </x:c>
    </x:row>
    <x:row r="33" ht="15" hidden="0" customHeight="1">
      <x:c r="A33" s="12" t="n">
        <x:v>32</x:v>
      </x:c>
      <x:c r="B33" s="12" t="str">
        <x:v>S039</x:v>
      </x:c>
      <x:c r="C33" s="12" t="str">
        <x:v>Shin et al. (2022)</x:v>
      </x:c>
      <x:c r="D33" s="13" t="n">
        <x:v>1</x:v>
      </x:c>
      <x:c r="E33" s="13" t="n">
        <x:v>1</x:v>
      </x:c>
      <x:c r="F33" s="13" t="n">
        <x:v>1</x:v>
      </x:c>
      <x:c r="G33" s="13" t="n">
        <x:v>1</x:v>
      </x:c>
      <x:c r="H33" s="13" t="n">
        <x:v>1</x:v>
      </x:c>
      <x:c r="I33" s="13" t="n">
        <x:v>0</x:v>
      </x:c>
      <x:c r="J33" s="13" t="n">
        <x:v>1</x:v>
      </x:c>
      <x:c r="K33" s="13" t="n">
        <x:v>1</x:v>
      </x:c>
      <x:c r="L33" s="14" t="n">
        <x:v>0.875</x:v>
      </x:c>
      <x:c r="M33" s="13" t="n">
        <x:v>3</x:v>
      </x:c>
      <x:c r="N33" s="13" t="n">
        <x:v>0</x:v>
      </x:c>
    </x:row>
    <x:row r="34" ht="15" hidden="0" customHeight="1">
      <x:c r="A34" s="12" t="n">
        <x:v>33</x:v>
      </x:c>
      <x:c r="B34" s="12" t="str">
        <x:v>S043</x:v>
      </x:c>
      <x:c r="C34" s="12" t="str">
        <x:v>Carvalho et al. (2025)</x:v>
      </x:c>
      <x:c r="D34" s="13" t="n">
        <x:v>1</x:v>
      </x:c>
      <x:c r="E34" s="13" t="n">
        <x:v>1</x:v>
      </x:c>
      <x:c r="F34" s="13" t="n">
        <x:v>1</x:v>
      </x:c>
      <x:c r="G34" s="13" t="n">
        <x:v>1</x:v>
      </x:c>
      <x:c r="H34" s="13" t="n">
        <x:v>0</x:v>
      </x:c>
      <x:c r="I34" s="13" t="n">
        <x:v>0</x:v>
      </x:c>
      <x:c r="J34" s="13" t="n">
        <x:v>0</x:v>
      </x:c>
      <x:c r="K34" s="13" t="n">
        <x:v>0</x:v>
      </x:c>
      <x:c r="L34" s="14" t="n">
        <x:v>0.5</x:v>
      </x:c>
      <x:c r="M34" s="13" t="n">
        <x:v>0</x:v>
      </x:c>
      <x:c r="N34" s="13" t="n">
        <x:v>0</x:v>
      </x:c>
    </x:row>
    <x:row r="35" ht="15" hidden="0" customHeight="1">
      <x:c r="A35" s="12" t="n">
        <x:v>34</x:v>
      </x:c>
      <x:c r="B35" s="12" t="str">
        <x:v>S044</x:v>
      </x:c>
      <x:c r="C35" s="12" t="str">
        <x:v>Li et al. (2021)</x:v>
      </x:c>
      <x:c r="D35" s="13" t="n">
        <x:v>1</x:v>
      </x:c>
      <x:c r="E35" s="13" t="n">
        <x:v>1</x:v>
      </x:c>
      <x:c r="F35" s="13" t="n">
        <x:v>1</x:v>
      </x:c>
      <x:c r="G35" s="13" t="n">
        <x:v>1</x:v>
      </x:c>
      <x:c r="H35" s="13" t="n">
        <x:v>1</x:v>
      </x:c>
      <x:c r="I35" s="13" t="n">
        <x:v>0</x:v>
      </x:c>
      <x:c r="J35" s="13" t="n">
        <x:v>0</x:v>
      </x:c>
      <x:c r="K35" s="13" t="n">
        <x:v>0</x:v>
      </x:c>
      <x:c r="L35" s="14" t="n">
        <x:v>0.625</x:v>
      </x:c>
      <x:c r="M35" s="13" t="n">
        <x:v>1</x:v>
      </x:c>
      <x:c r="N35" s="13" t="n">
        <x:v>0</x:v>
      </x:c>
    </x:row>
    <x:row r="36" ht="15" hidden="0" customHeight="1">
      <x:c r="A36" s="12" t="n">
        <x:v>35</x:v>
      </x:c>
      <x:c r="B36" s="12" t="str">
        <x:v>S046</x:v>
      </x:c>
      <x:c r="C36" s="12" t="str">
        <x:v>Zhou et al. (2024)</x:v>
      </x:c>
      <x:c r="D36" s="13" t="n">
        <x:v>0</x:v>
      </x:c>
      <x:c r="E36" s="13" t="n">
        <x:v>1</x:v>
      </x:c>
      <x:c r="F36" s="13" t="n">
        <x:v>1</x:v>
      </x:c>
      <x:c r="G36" s="13" t="n">
        <x:v>1</x:v>
      </x:c>
      <x:c r="H36" s="13" t="n">
        <x:v>0</x:v>
      </x:c>
      <x:c r="I36" s="13" t="n">
        <x:v>0</x:v>
      </x:c>
      <x:c r="J36" s="13" t="n">
        <x:v>1</x:v>
      </x:c>
      <x:c r="K36" s="13" t="n">
        <x:v>0</x:v>
      </x:c>
      <x:c r="L36" s="14" t="n">
        <x:v>0.5</x:v>
      </x:c>
      <x:c r="M36" s="13" t="n">
        <x:v>1</x:v>
      </x:c>
      <x:c r="N36" s="13" t="n">
        <x:v>0</x:v>
      </x:c>
    </x:row>
    <x:row r="37" ht="15" hidden="0" customHeight="1">
      <x:c r="A37" s="12" t="n">
        <x:v>36</x:v>
      </x:c>
      <x:c r="B37" s="12" t="str">
        <x:v>S047</x:v>
      </x:c>
      <x:c r="C37" s="12" t="str">
        <x:v>Shin et al. (2025)</x:v>
      </x:c>
      <x:c r="D37" s="13" t="n">
        <x:v>0</x:v>
      </x:c>
      <x:c r="E37" s="13" t="n">
        <x:v>1</x:v>
      </x:c>
      <x:c r="F37" s="13" t="n">
        <x:v>1</x:v>
      </x:c>
      <x:c r="G37" s="13" t="n">
        <x:v>1</x:v>
      </x:c>
      <x:c r="H37" s="13" t="n">
        <x:v>0</x:v>
      </x:c>
      <x:c r="I37" s="13" t="n">
        <x:v>0</x:v>
      </x:c>
      <x:c r="J37" s="13" t="n">
        <x:v>1</x:v>
      </x:c>
      <x:c r="K37" s="13" t="n">
        <x:v>0</x:v>
      </x:c>
      <x:c r="L37" s="14" t="n">
        <x:v>0.5</x:v>
      </x:c>
      <x:c r="M37" s="13" t="n">
        <x:v>1</x:v>
      </x:c>
      <x:c r="N37" s="13" t="n">
        <x:v>0</x:v>
      </x:c>
    </x:row>
    <x:row r="38" ht="15" hidden="0" customHeight="1">
      <x:c r="A38" s="12" t="n">
        <x:v>37</x:v>
      </x:c>
      <x:c r="B38" s="12" t="str">
        <x:v>S048</x:v>
      </x:c>
      <x:c r="C38" s="12" t="str">
        <x:v>Gunasekaran et al. (2022)</x:v>
      </x:c>
      <x:c r="D38" s="13" t="n">
        <x:v>1</x:v>
      </x:c>
      <x:c r="E38" s="13" t="n">
        <x:v>1</x:v>
      </x:c>
      <x:c r="F38" s="13" t="n">
        <x:v>1</x:v>
      </x:c>
      <x:c r="G38" s="13" t="n">
        <x:v>1</x:v>
      </x:c>
      <x:c r="H38" s="13" t="n">
        <x:v>1</x:v>
      </x:c>
      <x:c r="I38" s="13" t="n">
        <x:v>1</x:v>
      </x:c>
      <x:c r="J38" s="13" t="n">
        <x:v>0</x:v>
      </x:c>
      <x:c r="K38" s="13" t="n">
        <x:v>0</x:v>
      </x:c>
      <x:c r="L38" s="14" t="n">
        <x:v>0.75</x:v>
      </x:c>
      <x:c r="M38" s="13" t="n">
        <x:v>2</x:v>
      </x:c>
      <x:c r="N38" s="13" t="n">
        <x:v>0</x:v>
      </x:c>
    </x:row>
    <x:row r="39" ht="15" hidden="0" customHeight="1">
      <x:c r="A39" s="12" t="n">
        <x:v>38</x:v>
      </x:c>
      <x:c r="B39" s="12" t="str">
        <x:v>S050</x:v>
      </x:c>
      <x:c r="C39" s="12" t="str">
        <x:v>Leal-Junior et al. (2018)</x:v>
      </x:c>
      <x:c r="D39" s="13" t="n">
        <x:v>0</x:v>
      </x:c>
      <x:c r="E39" s="13" t="n">
        <x:v>1</x:v>
      </x:c>
      <x:c r="F39" s="13" t="n">
        <x:v>1</x:v>
      </x:c>
      <x:c r="G39" s="13" t="n">
        <x:v>1</x:v>
      </x:c>
      <x:c r="H39" s="13" t="n">
        <x:v>1</x:v>
      </x:c>
      <x:c r="I39" s="13" t="n">
        <x:v>1</x:v>
      </x:c>
      <x:c r="J39" s="13" t="n">
        <x:v>0</x:v>
      </x:c>
      <x:c r="K39" s="13" t="n">
        <x:v>0</x:v>
      </x:c>
      <x:c r="L39" s="14" t="n">
        <x:v>0.625</x:v>
      </x:c>
      <x:c r="M39" s="13" t="n">
        <x:v>2</x:v>
      </x:c>
      <x:c r="N39" s="13" t="n">
        <x:v>0</x:v>
      </x:c>
    </x:row>
    <x:row r="40" ht="15" hidden="0" customHeight="1">
      <x:c r="A40" s="12" t="n">
        <x:v>39</x:v>
      </x:c>
      <x:c r="B40" s="12" t="str">
        <x:v>S051</x:v>
      </x:c>
      <x:c r="C40" s="12" t="str">
        <x:v>Ota et al. (2017)</x:v>
      </x:c>
      <x:c r="D40" s="13" t="n">
        <x:v>1</x:v>
      </x:c>
      <x:c r="E40" s="13" t="n">
        <x:v>1</x:v>
      </x:c>
      <x:c r="F40" s="13" t="n">
        <x:v>1</x:v>
      </x:c>
      <x:c r="G40" s="13" t="n">
        <x:v>1</x:v>
      </x:c>
      <x:c r="H40" s="13" t="n">
        <x:v>0</x:v>
      </x:c>
      <x:c r="I40" s="13" t="n">
        <x:v>1</x:v>
      </x:c>
      <x:c r="J40" s="13" t="n">
        <x:v>0</x:v>
      </x:c>
      <x:c r="K40" s="13" t="n">
        <x:v>0</x:v>
      </x:c>
      <x:c r="L40" s="14" t="n">
        <x:v>0.625</x:v>
      </x:c>
      <x:c r="M40" s="13" t="n">
        <x:v>1</x:v>
      </x:c>
      <x:c r="N40" s="13" t="n">
        <x:v>0</x:v>
      </x:c>
    </x:row>
    <x:row r="41" ht="15" hidden="0" customHeight="1">
      <x:c r="A41" s="12" t="n">
        <x:v>40</x:v>
      </x:c>
      <x:c r="B41" s="12" t="str">
        <x:v>S052</x:v>
      </x:c>
      <x:c r="C41" s="12" t="str">
        <x:v>Li et al. (2026)</x:v>
      </x:c>
      <x:c r="D41" s="13" t="n">
        <x:v>0</x:v>
      </x:c>
      <x:c r="E41" s="13" t="n">
        <x:v>1</x:v>
      </x:c>
      <x:c r="F41" s="13" t="n">
        <x:v>1</x:v>
      </x:c>
      <x:c r="G41" s="13" t="n">
        <x:v>1</x:v>
      </x:c>
      <x:c r="H41" s="13" t="n">
        <x:v>1</x:v>
      </x:c>
      <x:c r="I41" s="13" t="n">
        <x:v>1</x:v>
      </x:c>
      <x:c r="J41" s="13" t="n">
        <x:v>1</x:v>
      </x:c>
      <x:c r="K41" s="13" t="n">
        <x:v>0</x:v>
      </x:c>
      <x:c r="L41" s="14" t="n">
        <x:v>0.75</x:v>
      </x:c>
      <x:c r="M41" s="13" t="n">
        <x:v>3</x:v>
      </x:c>
      <x:c r="N41" s="13" t="n">
        <x:v>0</x:v>
      </x:c>
    </x:row>
    <x:row r="42" ht="15" hidden="0" customHeight="1">
      <x:c r="A42" s="12" t="n">
        <x:v>41</x:v>
      </x:c>
      <x:c r="B42" s="12" t="str">
        <x:v>S053</x:v>
      </x:c>
      <x:c r="C42" s="12" t="str">
        <x:v>Li et al. (2023)</x:v>
      </x:c>
      <x:c r="D42" s="13" t="n">
        <x:v>0</x:v>
      </x:c>
      <x:c r="E42" s="13" t="n">
        <x:v>1</x:v>
      </x:c>
      <x:c r="F42" s="13" t="n">
        <x:v>1</x:v>
      </x:c>
      <x:c r="G42" s="13" t="n">
        <x:v>1</x:v>
      </x:c>
      <x:c r="H42" s="13" t="n">
        <x:v>1</x:v>
      </x:c>
      <x:c r="I42" s="13" t="n">
        <x:v>0</x:v>
      </x:c>
      <x:c r="J42" s="13" t="n">
        <x:v>0</x:v>
      </x:c>
      <x:c r="K42" s="13" t="n">
        <x:v>0</x:v>
      </x:c>
      <x:c r="L42" s="14" t="n">
        <x:v>0.5</x:v>
      </x:c>
      <x:c r="M42" s="13" t="n">
        <x:v>1</x:v>
      </x:c>
      <x:c r="N42" s="13" t="n">
        <x:v>0</x:v>
      </x:c>
    </x:row>
    <x:row r="43" ht="15" hidden="0" customHeight="1">
      <x:c r="A43" s="12" t="n">
        <x:v>42</x:v>
      </x:c>
      <x:c r="B43" s="12" t="str">
        <x:v>S054</x:v>
      </x:c>
      <x:c r="C43" s="12" t="str">
        <x:v>Chatzistergos et al. (2021)</x:v>
      </x:c>
      <x:c r="D43" s="13" t="n">
        <x:v>0</x:v>
      </x:c>
      <x:c r="E43" s="13" t="n">
        <x:v>1</x:v>
      </x:c>
      <x:c r="F43" s="13" t="n">
        <x:v>1</x:v>
      </x:c>
      <x:c r="G43" s="13" t="n">
        <x:v>1</x:v>
      </x:c>
      <x:c r="H43" s="13" t="n">
        <x:v>1</x:v>
      </x:c>
      <x:c r="I43" s="13" t="n">
        <x:v>0</x:v>
      </x:c>
      <x:c r="J43" s="13" t="n">
        <x:v>0</x:v>
      </x:c>
      <x:c r="K43" s="13" t="n">
        <x:v>1</x:v>
      </x:c>
      <x:c r="L43" s="14" t="n">
        <x:v>0.625</x:v>
      </x:c>
      <x:c r="M43" s="13" t="n">
        <x:v>2</x:v>
      </x:c>
      <x:c r="N43" s="13" t="n">
        <x:v>0</x:v>
      </x:c>
    </x:row>
    <x:row r="44" ht="15" hidden="0" customHeight="1">
      <x:c r="A44" s="12" t="n">
        <x:v>43</x:v>
      </x:c>
      <x:c r="B44" s="12" t="str">
        <x:v>S055</x:v>
      </x:c>
      <x:c r="C44" s="12" t="str">
        <x:v>Ben Harrath et al. (2026)</x:v>
      </x:c>
      <x:c r="D44" s="13" t="n">
        <x:v>1</x:v>
      </x:c>
      <x:c r="E44" s="13" t="n">
        <x:v>1</x:v>
      </x:c>
      <x:c r="F44" s="13" t="n">
        <x:v>1</x:v>
      </x:c>
      <x:c r="G44" s="13" t="n">
        <x:v>1</x:v>
      </x:c>
      <x:c r="H44" s="13" t="n">
        <x:v>1</x:v>
      </x:c>
      <x:c r="I44" s="13" t="n">
        <x:v>0</x:v>
      </x:c>
      <x:c r="J44" s="13" t="n">
        <x:v>1</x:v>
      </x:c>
      <x:c r="K44" s="13" t="n">
        <x:v>0</x:v>
      </x:c>
      <x:c r="L44" s="14" t="n">
        <x:v>0.75</x:v>
      </x:c>
      <x:c r="M44" s="13" t="n">
        <x:v>2</x:v>
      </x:c>
      <x:c r="N44" s="13" t="n">
        <x:v>0</x:v>
      </x:c>
    </x:row>
    <x:row r="45" ht="15" hidden="0" customHeight="1">
      <x:c r="A45" s="12" t="n">
        <x:v>44</x:v>
      </x:c>
      <x:c r="B45" s="12" t="str">
        <x:v>S056</x:v>
      </x:c>
      <x:c r="C45" s="12" t="str">
        <x:v>Wei et al. (2026)</x:v>
      </x:c>
      <x:c r="D45" s="13" t="n">
        <x:v>1</x:v>
      </x:c>
      <x:c r="E45" s="13" t="n">
        <x:v>1</x:v>
      </x:c>
      <x:c r="F45" s="13" t="n">
        <x:v>1</x:v>
      </x:c>
      <x:c r="G45" s="13" t="n">
        <x:v>1</x:v>
      </x:c>
      <x:c r="H45" s="13" t="n">
        <x:v>1</x:v>
      </x:c>
      <x:c r="I45" s="13" t="n">
        <x:v>1</x:v>
      </x:c>
      <x:c r="J45" s="13" t="n">
        <x:v>1</x:v>
      </x:c>
      <x:c r="K45" s="13" t="n">
        <x:v>0</x:v>
      </x:c>
      <x:c r="L45" s="14" t="n">
        <x:v>0.875</x:v>
      </x:c>
      <x:c r="M45" s="13" t="n">
        <x:v>3</x:v>
      </x:c>
      <x:c r="N45" s="13" t="n">
        <x:v>0</x:v>
      </x:c>
    </x:row>
    <x:row r="46" ht="15" hidden="0" customHeight="1">
      <x:c r="A46" s="12" t="n">
        <x:v>45</x:v>
      </x:c>
      <x:c r="B46" s="12" t="str">
        <x:v>S057</x:v>
      </x:c>
      <x:c r="C46" s="12" t="str">
        <x:v>Wei et al. (2026)</x:v>
      </x:c>
      <x:c r="D46" s="13" t="n">
        <x:v>1</x:v>
      </x:c>
      <x:c r="E46" s="13" t="n">
        <x:v>1</x:v>
      </x:c>
      <x:c r="F46" s="13" t="n">
        <x:v>1</x:v>
      </x:c>
      <x:c r="G46" s="13" t="n">
        <x:v>1</x:v>
      </x:c>
      <x:c r="H46" s="13" t="n">
        <x:v>1</x:v>
      </x:c>
      <x:c r="I46" s="13" t="n">
        <x:v>0</x:v>
      </x:c>
      <x:c r="J46" s="13" t="n">
        <x:v>1</x:v>
      </x:c>
      <x:c r="K46" s="13" t="n">
        <x:v>0</x:v>
      </x:c>
      <x:c r="L46" s="14" t="n">
        <x:v>0.75</x:v>
      </x:c>
      <x:c r="M46" s="13" t="n">
        <x:v>2</x:v>
      </x:c>
      <x:c r="N46" s="13" t="n">
        <x:v>0</x:v>
      </x:c>
    </x:row>
    <x:row r="47" ht="15" hidden="0" customHeight="1">
      <x:c r="A47" s="12" t="n">
        <x:v>46</x:v>
      </x:c>
      <x:c r="B47" s="12" t="str">
        <x:v>S058</x:v>
      </x:c>
      <x:c r="C47" s="12" t="str">
        <x:v>Yang et al. (2026)</x:v>
      </x:c>
      <x:c r="D47" s="13" t="n">
        <x:v>1</x:v>
      </x:c>
      <x:c r="E47" s="13" t="n">
        <x:v>1</x:v>
      </x:c>
      <x:c r="F47" s="13" t="n">
        <x:v>1</x:v>
      </x:c>
      <x:c r="G47" s="13" t="n">
        <x:v>1</x:v>
      </x:c>
      <x:c r="H47" s="13" t="n">
        <x:v>1</x:v>
      </x:c>
      <x:c r="I47" s="13" t="n">
        <x:v>1</x:v>
      </x:c>
      <x:c r="J47" s="13" t="n">
        <x:v>1</x:v>
      </x:c>
      <x:c r="K47" s="13" t="n">
        <x:v>1</x:v>
      </x:c>
      <x:c r="L47" s="14" t="n">
        <x:v>1</x:v>
      </x:c>
      <x:c r="M47" s="13" t="n">
        <x:v>4</x:v>
      </x:c>
      <x:c r="N47" s="13" t="n">
        <x:v>0</x:v>
      </x:c>
    </x:row>
    <x:row r="48" ht="15" hidden="0" customHeight="1">
      <x:c r="A48" s="12" t="n">
        <x:v>47</x:v>
      </x:c>
      <x:c r="B48" s="12" t="str">
        <x:v>S059</x:v>
      </x:c>
      <x:c r="C48" s="12" t="str">
        <x:v>Saroli et al. (2026)</x:v>
      </x:c>
      <x:c r="D48" s="13" t="n">
        <x:v>1</x:v>
      </x:c>
      <x:c r="E48" s="13" t="n">
        <x:v>1</x:v>
      </x:c>
      <x:c r="F48" s="13" t="n">
        <x:v>1</x:v>
      </x:c>
      <x:c r="G48" s="13" t="n">
        <x:v>1</x:v>
      </x:c>
      <x:c r="H48" s="13" t="n">
        <x:v>1</x:v>
      </x:c>
      <x:c r="I48" s="13" t="n">
        <x:v>1</x:v>
      </x:c>
      <x:c r="J48" s="13" t="n">
        <x:v>0</x:v>
      </x:c>
      <x:c r="K48" s="13" t="n">
        <x:v>0</x:v>
      </x:c>
      <x:c r="L48" s="14" t="n">
        <x:v>0.75</x:v>
      </x:c>
      <x:c r="M48" s="13" t="n">
        <x:v>2</x:v>
      </x:c>
      <x:c r="N48" s="13" t="n">
        <x:v>0</x:v>
      </x:c>
    </x:row>
    <x:row r="49" ht="15" hidden="0" customHeight="1">
      <x:c r="A49" s="12" t="n">
        <x:v>48</x:v>
      </x:c>
      <x:c r="B49" s="12" t="str">
        <x:v>S060</x:v>
      </x:c>
      <x:c r="C49" s="12" t="str">
        <x:v>Porfyrakis et al. (2026)</x:v>
      </x:c>
      <x:c r="D49" s="13" t="n">
        <x:v>1</x:v>
      </x:c>
      <x:c r="E49" s="13" t="n">
        <x:v>1</x:v>
      </x:c>
      <x:c r="F49" s="13" t="n">
        <x:v>1</x:v>
      </x:c>
      <x:c r="G49" s="13" t="n">
        <x:v>1</x:v>
      </x:c>
      <x:c r="H49" s="13" t="n">
        <x:v>1</x:v>
      </x:c>
      <x:c r="I49" s="13" t="n">
        <x:v>0</x:v>
      </x:c>
      <x:c r="J49" s="13" t="n">
        <x:v>0</x:v>
      </x:c>
      <x:c r="K49" s="13" t="n">
        <x:v>0</x:v>
      </x:c>
      <x:c r="L49" s="14" t="n">
        <x:v>0.625</x:v>
      </x:c>
      <x:c r="M49" s="13" t="n">
        <x:v>1</x:v>
      </x:c>
      <x:c r="N49" s="13" t="n">
        <x:v>0</x:v>
      </x:c>
    </x:row>
    <x:row r="50" ht="15" hidden="0" customHeight="1">
      <x:c r="A50" s="12" t="n">
        <x:v>49</x:v>
      </x:c>
      <x:c r="B50" s="12" t="str">
        <x:v>S061</x:v>
      </x:c>
      <x:c r="C50" s="12" t="str">
        <x:v>Kumar et al. (2026)</x:v>
      </x:c>
      <x:c r="D50" s="13" t="n">
        <x:v>0</x:v>
      </x:c>
      <x:c r="E50" s="13" t="n">
        <x:v>1</x:v>
      </x:c>
      <x:c r="F50" s="13" t="n">
        <x:v>1</x:v>
      </x:c>
      <x:c r="G50" s="13" t="n">
        <x:v>1</x:v>
      </x:c>
      <x:c r="H50" s="13" t="n">
        <x:v>0</x:v>
      </x:c>
      <x:c r="I50" s="13" t="n">
        <x:v>1</x:v>
      </x:c>
      <x:c r="J50" s="13" t="n">
        <x:v>0</x:v>
      </x:c>
      <x:c r="K50" s="13" t="n">
        <x:v>0</x:v>
      </x:c>
      <x:c r="L50" s="14" t="n">
        <x:v>0.5</x:v>
      </x:c>
      <x:c r="M50" s="13" t="n">
        <x:v>1</x:v>
      </x:c>
      <x:c r="N50" s="13" t="n">
        <x:v>0</x:v>
      </x:c>
    </x:row>
    <x:row r="51" ht="15" hidden="0" customHeight="1">
      <x:c r="A51" s="12" t="n">
        <x:v>50</x:v>
      </x:c>
      <x:c r="B51" s="12" t="str">
        <x:v>S063</x:v>
      </x:c>
      <x:c r="C51" s="12" t="str">
        <x:v>Wu et al. (2026)</x:v>
      </x:c>
      <x:c r="D51" s="13" t="n">
        <x:v>1</x:v>
      </x:c>
      <x:c r="E51" s="13" t="n">
        <x:v>1</x:v>
      </x:c>
      <x:c r="F51" s="13" t="n">
        <x:v>1</x:v>
      </x:c>
      <x:c r="G51" s="13" t="n">
        <x:v>1</x:v>
      </x:c>
      <x:c r="H51" s="13" t="n">
        <x:v>1</x:v>
      </x:c>
      <x:c r="I51" s="13" t="n">
        <x:v>0</x:v>
      </x:c>
      <x:c r="J51" s="13" t="n">
        <x:v>0</x:v>
      </x:c>
      <x:c r="K51" s="13" t="n">
        <x:v>0</x:v>
      </x:c>
      <x:c r="L51" s="14" t="n">
        <x:v>0.625</x:v>
      </x:c>
      <x:c r="M51" s="13" t="n">
        <x:v>1</x:v>
      </x:c>
      <x:c r="N51" s="13" t="n">
        <x:v>0</x:v>
      </x:c>
    </x:row>
    <x:row r="52" ht="15" hidden="0" customHeight="1">
      <x:c r="A52" s="12" t="n">
        <x:v>51</x:v>
      </x:c>
      <x:c r="B52" s="12" t="str">
        <x:v>S064</x:v>
      </x:c>
      <x:c r="C52" s="12" t="str">
        <x:v>Tao et al. (2026)</x:v>
      </x:c>
      <x:c r="D52" s="13" t="n">
        <x:v>1</x:v>
      </x:c>
      <x:c r="E52" s="13" t="n">
        <x:v>1</x:v>
      </x:c>
      <x:c r="F52" s="13" t="n">
        <x:v>1</x:v>
      </x:c>
      <x:c r="G52" s="13" t="n">
        <x:v>1</x:v>
      </x:c>
      <x:c r="H52" s="13" t="n">
        <x:v>1</x:v>
      </x:c>
      <x:c r="I52" s="13" t="n">
        <x:v>0</x:v>
      </x:c>
      <x:c r="J52" s="13" t="n">
        <x:v>0</x:v>
      </x:c>
      <x:c r="K52" s="13" t="n">
        <x:v>0</x:v>
      </x:c>
      <x:c r="L52" s="14" t="n">
        <x:v>0.625</x:v>
      </x:c>
      <x:c r="M52" s="13" t="n">
        <x:v>1</x:v>
      </x:c>
      <x:c r="N52" s="13" t="n">
        <x:v>0</x:v>
      </x:c>
    </x:row>
    <x:row r="53" ht="15" hidden="0" customHeight="1">
      <x:c r="A53" s="12" t="n">
        <x:v>52</x:v>
      </x:c>
      <x:c r="B53" s="12" t="str">
        <x:v>S065</x:v>
      </x:c>
      <x:c r="C53" s="12" t="str">
        <x:v>Han et al. (2026)</x:v>
      </x:c>
      <x:c r="D53" s="13" t="n">
        <x:v>0</x:v>
      </x:c>
      <x:c r="E53" s="13" t="n">
        <x:v>1</x:v>
      </x:c>
      <x:c r="F53" s="13" t="n">
        <x:v>1</x:v>
      </x:c>
      <x:c r="G53" s="13" t="n">
        <x:v>1</x:v>
      </x:c>
      <x:c r="H53" s="13" t="n">
        <x:v>1</x:v>
      </x:c>
      <x:c r="I53" s="13" t="n">
        <x:v>0</x:v>
      </x:c>
      <x:c r="J53" s="13" t="n">
        <x:v>1</x:v>
      </x:c>
      <x:c r="K53" s="13" t="n">
        <x:v>1</x:v>
      </x:c>
      <x:c r="L53" s="14" t="n">
        <x:v>0.75</x:v>
      </x:c>
      <x:c r="M53" s="13" t="n">
        <x:v>3</x:v>
      </x:c>
      <x:c r="N53" s="13" t="n">
        <x:v>0</x:v>
      </x:c>
    </x:row>
    <x:row r="54" ht="15" hidden="0" customHeight="1">
      <x:c r="A54" s="12" t="n">
        <x:v>53</x:v>
      </x:c>
      <x:c r="B54" s="12" t="str">
        <x:v>S066</x:v>
      </x:c>
      <x:c r="C54" s="12" t="str">
        <x:v>Saroli et al. (2026)</x:v>
      </x:c>
      <x:c r="D54" s="13" t="n">
        <x:v>0</x:v>
      </x:c>
      <x:c r="E54" s="13" t="n">
        <x:v>1</x:v>
      </x:c>
      <x:c r="F54" s="13" t="n">
        <x:v>1</x:v>
      </x:c>
      <x:c r="G54" s="13" t="n">
        <x:v>1</x:v>
      </x:c>
      <x:c r="H54" s="13" t="n">
        <x:v>1</x:v>
      </x:c>
      <x:c r="I54" s="13" t="n">
        <x:v>1</x:v>
      </x:c>
      <x:c r="J54" s="13" t="n">
        <x:v>1</x:v>
      </x:c>
      <x:c r="K54" s="13" t="n">
        <x:v>0</x:v>
      </x:c>
      <x:c r="L54" s="14" t="n">
        <x:v>0.75</x:v>
      </x:c>
      <x:c r="M54" s="13" t="n">
        <x:v>3</x:v>
      </x:c>
      <x:c r="N54" s="13" t="n">
        <x:v>0</x:v>
      </x:c>
    </x:row>
    <x:row r="55" ht="15" hidden="0" customHeight="1">
      <x:c r="A55" s="12" t="n">
        <x:v>54</x:v>
      </x:c>
      <x:c r="B55" s="12" t="str">
        <x:v>S067</x:v>
      </x:c>
      <x:c r="C55" s="12" t="str">
        <x:v>Yang et al. (2026)</x:v>
      </x:c>
      <x:c r="D55" s="13" t="n">
        <x:v>0</x:v>
      </x:c>
      <x:c r="E55" s="13" t="n">
        <x:v>1</x:v>
      </x:c>
      <x:c r="F55" s="13" t="n">
        <x:v>1</x:v>
      </x:c>
      <x:c r="G55" s="13" t="n">
        <x:v>1</x:v>
      </x:c>
      <x:c r="H55" s="13" t="n">
        <x:v>1</x:v>
      </x:c>
      <x:c r="I55" s="13" t="n">
        <x:v>1</x:v>
      </x:c>
      <x:c r="J55" s="13" t="n">
        <x:v>1</x:v>
      </x:c>
      <x:c r="K55" s="13" t="n">
        <x:v>0</x:v>
      </x:c>
      <x:c r="L55" s="14" t="n">
        <x:v>0.75</x:v>
      </x:c>
      <x:c r="M55" s="13" t="n">
        <x:v>3</x:v>
      </x:c>
      <x:c r="N55" s="13" t="n">
        <x:v>0</x:v>
      </x:c>
    </x:row>
    <x:row r="56" ht="15" hidden="0" customHeight="1">
      <x:c r="A56" s="12" t="n">
        <x:v>55</x:v>
      </x:c>
      <x:c r="B56" s="12" t="str">
        <x:v>S068</x:v>
      </x:c>
      <x:c r="C56" s="12" t="str">
        <x:v>Sánchez et al. (2025)</x:v>
      </x:c>
      <x:c r="D56" s="13" t="n">
        <x:v>1</x:v>
      </x:c>
      <x:c r="E56" s="13" t="n">
        <x:v>1</x:v>
      </x:c>
      <x:c r="F56" s="13" t="n">
        <x:v>1</x:v>
      </x:c>
      <x:c r="G56" s="13" t="n">
        <x:v>1</x:v>
      </x:c>
      <x:c r="H56" s="13" t="n">
        <x:v>1</x:v>
      </x:c>
      <x:c r="I56" s="13" t="n">
        <x:v>0</x:v>
      </x:c>
      <x:c r="J56" s="13" t="n">
        <x:v>1</x:v>
      </x:c>
      <x:c r="K56" s="13" t="n">
        <x:v>0</x:v>
      </x:c>
      <x:c r="L56" s="14" t="n">
        <x:v>0.75</x:v>
      </x:c>
      <x:c r="M56" s="13" t="n">
        <x:v>2</x:v>
      </x:c>
      <x:c r="N56" s="13" t="n">
        <x:v>0</x:v>
      </x:c>
    </x:row>
    <x:row r="57" ht="15" hidden="0" customHeight="1">
      <x:c r="A57" s="12" t="n">
        <x:v>56</x:v>
      </x:c>
      <x:c r="B57" s="12" t="str">
        <x:v>S069</x:v>
      </x:c>
      <x:c r="C57" s="12" t="str">
        <x:v>Babu et al. (2025)</x:v>
      </x:c>
      <x:c r="D57" s="13" t="n">
        <x:v>1</x:v>
      </x:c>
      <x:c r="E57" s="13" t="n">
        <x:v>1</x:v>
      </x:c>
      <x:c r="F57" s="13" t="n">
        <x:v>1</x:v>
      </x:c>
      <x:c r="G57" s="13" t="n">
        <x:v>1</x:v>
      </x:c>
      <x:c r="H57" s="13" t="n">
        <x:v>1</x:v>
      </x:c>
      <x:c r="I57" s="13" t="n">
        <x:v>1</x:v>
      </x:c>
      <x:c r="J57" s="13" t="n">
        <x:v>0</x:v>
      </x:c>
      <x:c r="K57" s="13" t="n">
        <x:v>0</x:v>
      </x:c>
      <x:c r="L57" s="14" t="n">
        <x:v>0.75</x:v>
      </x:c>
      <x:c r="M57" s="13" t="n">
        <x:v>2</x:v>
      </x:c>
      <x:c r="N57" s="13" t="n">
        <x:v>0</x:v>
      </x:c>
    </x:row>
    <x:row r="58" ht="15" hidden="0" customHeight="1">
      <x:c r="A58" s="12" t="n">
        <x:v>57</x:v>
      </x:c>
      <x:c r="B58" s="12" t="str">
        <x:v>S070</x:v>
      </x:c>
      <x:c r="C58" s="12" t="str">
        <x:v>Dimo et al. (2026)</x:v>
      </x:c>
      <x:c r="D58" s="13" t="n">
        <x:v>1</x:v>
      </x:c>
      <x:c r="E58" s="13" t="n">
        <x:v>1</x:v>
      </x:c>
      <x:c r="F58" s="13" t="n">
        <x:v>1</x:v>
      </x:c>
      <x:c r="G58" s="13" t="n">
        <x:v>1</x:v>
      </x:c>
      <x:c r="H58" s="13" t="n">
        <x:v>1</x:v>
      </x:c>
      <x:c r="I58" s="13" t="n">
        <x:v>1</x:v>
      </x:c>
      <x:c r="J58" s="13" t="n">
        <x:v>1</x:v>
      </x:c>
      <x:c r="K58" s="13" t="n">
        <x:v>0</x:v>
      </x:c>
      <x:c r="L58" s="14" t="n">
        <x:v>0.875</x:v>
      </x:c>
      <x:c r="M58" s="13" t="n">
        <x:v>3</x:v>
      </x:c>
      <x:c r="N58" s="13" t="n">
        <x:v>0</x:v>
      </x:c>
    </x:row>
    <x:row r="59" ht="15" hidden="0" customHeight="1">
      <x:c r="A59" s="12" t="n">
        <x:v>58</x:v>
      </x:c>
      <x:c r="B59" s="12" t="str">
        <x:v>S071</x:v>
      </x:c>
      <x:c r="C59" s="12" t="str">
        <x:v>Luo et al. (2025)</x:v>
      </x:c>
      <x:c r="D59" s="13" t="n">
        <x:v>0</x:v>
      </x:c>
      <x:c r="E59" s="13" t="n">
        <x:v>1</x:v>
      </x:c>
      <x:c r="F59" s="13" t="n">
        <x:v>1</x:v>
      </x:c>
      <x:c r="G59" s="13" t="n">
        <x:v>1</x:v>
      </x:c>
      <x:c r="H59" s="13" t="n">
        <x:v>1</x:v>
      </x:c>
      <x:c r="I59" s="13" t="n">
        <x:v>0</x:v>
      </x:c>
      <x:c r="J59" s="13" t="n">
        <x:v>1</x:v>
      </x:c>
      <x:c r="K59" s="13" t="n">
        <x:v>0</x:v>
      </x:c>
      <x:c r="L59" s="14" t="n">
        <x:v>0.625</x:v>
      </x:c>
      <x:c r="M59" s="13" t="n">
        <x:v>2</x:v>
      </x:c>
      <x:c r="N59" s="13" t="n">
        <x:v>0</x:v>
      </x:c>
    </x:row>
    <x:row r="60" ht="15" hidden="0" customHeight="1">
      <x:c r="A60" s="12" t="n">
        <x:v>59</x:v>
      </x:c>
      <x:c r="B60" s="12" t="str">
        <x:v>S073</x:v>
      </x:c>
      <x:c r="C60" s="12" t="str">
        <x:v>Han et al. (2025)</x:v>
      </x:c>
      <x:c r="D60" s="13" t="n">
        <x:v>0</x:v>
      </x:c>
      <x:c r="E60" s="13" t="n">
        <x:v>1</x:v>
      </x:c>
      <x:c r="F60" s="13" t="n">
        <x:v>1</x:v>
      </x:c>
      <x:c r="G60" s="13" t="n">
        <x:v>1</x:v>
      </x:c>
      <x:c r="H60" s="13" t="n">
        <x:v>1</x:v>
      </x:c>
      <x:c r="I60" s="13" t="n">
        <x:v>0</x:v>
      </x:c>
      <x:c r="J60" s="13" t="n">
        <x:v>1</x:v>
      </x:c>
      <x:c r="K60" s="13" t="n">
        <x:v>0</x:v>
      </x:c>
      <x:c r="L60" s="14" t="n">
        <x:v>0.625</x:v>
      </x:c>
      <x:c r="M60" s="13" t="n">
        <x:v>2</x:v>
      </x:c>
      <x:c r="N60" s="13" t="n">
        <x:v>0</x:v>
      </x:c>
    </x:row>
    <x:row r="61" ht="15" hidden="0" customHeight="1">
      <x:c r="A61" s="12" t="n">
        <x:v>60</x:v>
      </x:c>
      <x:c r="B61" s="12" t="str">
        <x:v>S074</x:v>
      </x:c>
      <x:c r="C61" s="12" t="str">
        <x:v>Lavorgna et al. (2025)</x:v>
      </x:c>
      <x:c r="D61" s="13" t="n">
        <x:v>0</x:v>
      </x:c>
      <x:c r="E61" s="13" t="n">
        <x:v>1</x:v>
      </x:c>
      <x:c r="F61" s="13" t="n">
        <x:v>1</x:v>
      </x:c>
      <x:c r="G61" s="13" t="n">
        <x:v>1</x:v>
      </x:c>
      <x:c r="H61" s="13" t="n">
        <x:v>1</x:v>
      </x:c>
      <x:c r="I61" s="13" t="n">
        <x:v>1</x:v>
      </x:c>
      <x:c r="J61" s="13" t="n">
        <x:v>0</x:v>
      </x:c>
      <x:c r="K61" s="13" t="n">
        <x:v>0</x:v>
      </x:c>
      <x:c r="L61" s="14" t="n">
        <x:v>0.625</x:v>
      </x:c>
      <x:c r="M61" s="13" t="n">
        <x:v>2</x:v>
      </x:c>
      <x:c r="N61" s="13" t="n">
        <x:v>0</x:v>
      </x:c>
    </x:row>
    <x:row r="62" ht="15" hidden="0" customHeight="1">
      <x:c r="A62" s="12" t="n">
        <x:v>61</x:v>
      </x:c>
      <x:c r="B62" s="12" t="str">
        <x:v>S075</x:v>
      </x:c>
      <x:c r="C62" s="12" t="str">
        <x:v>Saroli et al. (2025)</x:v>
      </x:c>
      <x:c r="D62" s="13" t="n">
        <x:v>1</x:v>
      </x:c>
      <x:c r="E62" s="13" t="n">
        <x:v>1</x:v>
      </x:c>
      <x:c r="F62" s="13" t="n">
        <x:v>1</x:v>
      </x:c>
      <x:c r="G62" s="13" t="n">
        <x:v>1</x:v>
      </x:c>
      <x:c r="H62" s="13" t="n">
        <x:v>1</x:v>
      </x:c>
      <x:c r="I62" s="13" t="n">
        <x:v>1</x:v>
      </x:c>
      <x:c r="J62" s="13" t="n">
        <x:v>1</x:v>
      </x:c>
      <x:c r="K62" s="13" t="n">
        <x:v>0</x:v>
      </x:c>
      <x:c r="L62" s="14" t="n">
        <x:v>0.875</x:v>
      </x:c>
      <x:c r="M62" s="13" t="n">
        <x:v>3</x:v>
      </x:c>
      <x:c r="N62" s="13" t="n">
        <x:v>0</x:v>
      </x:c>
    </x:row>
    <x:row r="63" ht="15" hidden="0" customHeight="1">
      <x:c r="A63" s="12" t="n">
        <x:v>62</x:v>
      </x:c>
      <x:c r="B63" s="12" t="str">
        <x:v>S076</x:v>
      </x:c>
      <x:c r="C63" s="12" t="str">
        <x:v>Meena et al. (2025)</x:v>
      </x:c>
      <x:c r="D63" s="13" t="n">
        <x:v>1</x:v>
      </x:c>
      <x:c r="E63" s="13" t="n">
        <x:v>1</x:v>
      </x:c>
      <x:c r="F63" s="13" t="n">
        <x:v>1</x:v>
      </x:c>
      <x:c r="G63" s="13" t="n">
        <x:v>1</x:v>
      </x:c>
      <x:c r="H63" s="13" t="n">
        <x:v>1</x:v>
      </x:c>
      <x:c r="I63" s="13" t="n">
        <x:v>0</x:v>
      </x:c>
      <x:c r="J63" s="13" t="n">
        <x:v>0</x:v>
      </x:c>
      <x:c r="K63" s="13" t="n">
        <x:v>0</x:v>
      </x:c>
      <x:c r="L63" s="14" t="n">
        <x:v>0.625</x:v>
      </x:c>
      <x:c r="M63" s="13" t="n">
        <x:v>1</x:v>
      </x:c>
      <x:c r="N63" s="13" t="n">
        <x:v>0</x:v>
      </x:c>
    </x:row>
    <x:row r="64" ht="15" hidden="0" customHeight="1">
      <x:c r="A64" s="12" t="n">
        <x:v>63</x:v>
      </x:c>
      <x:c r="B64" s="12" t="str">
        <x:v>S077</x:v>
      </x:c>
      <x:c r="C64" s="12" t="str">
        <x:v>Farid et al. (2025)</x:v>
      </x:c>
      <x:c r="D64" s="13" t="n">
        <x:v>0</x:v>
      </x:c>
      <x:c r="E64" s="13" t="n">
        <x:v>1</x:v>
      </x:c>
      <x:c r="F64" s="13" t="n">
        <x:v>1</x:v>
      </x:c>
      <x:c r="G64" s="13" t="n">
        <x:v>1</x:v>
      </x:c>
      <x:c r="H64" s="13" t="n">
        <x:v>1</x:v>
      </x:c>
      <x:c r="I64" s="13" t="n">
        <x:v>0</x:v>
      </x:c>
      <x:c r="J64" s="13" t="n">
        <x:v>1</x:v>
      </x:c>
      <x:c r="K64" s="13" t="n">
        <x:v>0</x:v>
      </x:c>
      <x:c r="L64" s="14" t="n">
        <x:v>0.625</x:v>
      </x:c>
      <x:c r="M64" s="13" t="n">
        <x:v>2</x:v>
      </x:c>
      <x:c r="N64" s="13" t="n">
        <x:v>0</x:v>
      </x:c>
    </x:row>
    <x:row r="65" ht="15" hidden="0" customHeight="1">
      <x:c r="A65" s="12" t="n">
        <x:v>64</x:v>
      </x:c>
      <x:c r="B65" s="12" t="str">
        <x:v>S078</x:v>
      </x:c>
      <x:c r="C65" s="12" t="str">
        <x:v>Hu et al. (2024)</x:v>
      </x:c>
      <x:c r="D65" s="13" t="n">
        <x:v>1</x:v>
      </x:c>
      <x:c r="E65" s="13" t="n">
        <x:v>1</x:v>
      </x:c>
      <x:c r="F65" s="13" t="n">
        <x:v>1</x:v>
      </x:c>
      <x:c r="G65" s="13" t="n">
        <x:v>1</x:v>
      </x:c>
      <x:c r="H65" s="13" t="n">
        <x:v>1</x:v>
      </x:c>
      <x:c r="I65" s="13" t="n">
        <x:v>0</x:v>
      </x:c>
      <x:c r="J65" s="13" t="n">
        <x:v>1</x:v>
      </x:c>
      <x:c r="K65" s="13" t="n">
        <x:v>0</x:v>
      </x:c>
      <x:c r="L65" s="14" t="n">
        <x:v>0.75</x:v>
      </x:c>
      <x:c r="M65" s="13" t="n">
        <x:v>2</x:v>
      </x:c>
      <x:c r="N65" s="13" t="n">
        <x:v>0</x:v>
      </x:c>
    </x:row>
    <x:row r="66" ht="15" hidden="0" customHeight="1">
      <x:c r="A66" s="12" t="n">
        <x:v>65</x:v>
      </x:c>
      <x:c r="B66" s="12" t="str">
        <x:v>S079</x:v>
      </x:c>
      <x:c r="C66" s="12" t="str">
        <x:v>Han et al. (2024)</x:v>
      </x:c>
      <x:c r="D66" s="13" t="n">
        <x:v>0</x:v>
      </x:c>
      <x:c r="E66" s="13" t="n">
        <x:v>1</x:v>
      </x:c>
      <x:c r="F66" s="13" t="n">
        <x:v>1</x:v>
      </x:c>
      <x:c r="G66" s="13" t="n">
        <x:v>1</x:v>
      </x:c>
      <x:c r="H66" s="13" t="n">
        <x:v>1</x:v>
      </x:c>
      <x:c r="I66" s="13" t="n">
        <x:v>1</x:v>
      </x:c>
      <x:c r="J66" s="13" t="n">
        <x:v>1</x:v>
      </x:c>
      <x:c r="K66" s="13" t="n">
        <x:v>0</x:v>
      </x:c>
      <x:c r="L66" s="14" t="n">
        <x:v>0.75</x:v>
      </x:c>
      <x:c r="M66" s="13" t="n">
        <x:v>3</x:v>
      </x:c>
      <x:c r="N66" s="13" t="n">
        <x:v>0</x:v>
      </x:c>
    </x:row>
    <x:row r="67" ht="15" hidden="0" customHeight="1">
      <x:c r="A67" s="12" t="n">
        <x:v>66</x:v>
      </x:c>
      <x:c r="B67" s="12" t="str">
        <x:v>S080</x:v>
      </x:c>
      <x:c r="C67" s="12" t="str">
        <x:v>Imanian et al. (2023)</x:v>
      </x:c>
      <x:c r="D67" s="13" t="n">
        <x:v>0</x:v>
      </x:c>
      <x:c r="E67" s="13" t="n">
        <x:v>1</x:v>
      </x:c>
      <x:c r="F67" s="13" t="n">
        <x:v>1</x:v>
      </x:c>
      <x:c r="G67" s="13" t="n">
        <x:v>1</x:v>
      </x:c>
      <x:c r="H67" s="13" t="n">
        <x:v>1</x:v>
      </x:c>
      <x:c r="I67" s="13" t="n">
        <x:v>0</x:v>
      </x:c>
      <x:c r="J67" s="13" t="n">
        <x:v>0</x:v>
      </x:c>
      <x:c r="K67" s="13" t="n">
        <x:v>0</x:v>
      </x:c>
      <x:c r="L67" s="14" t="n">
        <x:v>0.5</x:v>
      </x:c>
      <x:c r="M67" s="13" t="n">
        <x:v>1</x:v>
      </x:c>
      <x:c r="N67" s="13" t="n">
        <x:v>0</x:v>
      </x:c>
    </x:row>
    <x:row r="68" ht="15" hidden="0" customHeight="1">
      <x:c r="A68" s="12" t="n">
        <x:v>67</x:v>
      </x:c>
      <x:c r="B68" s="12" t="str">
        <x:v>S081</x:v>
      </x:c>
      <x:c r="C68" s="12" t="str">
        <x:v>De Tommasi et al. (2023)</x:v>
      </x:c>
      <x:c r="D68" s="13" t="n">
        <x:v>0</x:v>
      </x:c>
      <x:c r="E68" s="13" t="n">
        <x:v>1</x:v>
      </x:c>
      <x:c r="F68" s="13" t="n">
        <x:v>1</x:v>
      </x:c>
      <x:c r="G68" s="13" t="n">
        <x:v>1</x:v>
      </x:c>
      <x:c r="H68" s="13" t="n">
        <x:v>1</x:v>
      </x:c>
      <x:c r="I68" s="13" t="n">
        <x:v>0</x:v>
      </x:c>
      <x:c r="J68" s="13" t="n">
        <x:v>0</x:v>
      </x:c>
      <x:c r="K68" s="13" t="n">
        <x:v>0</x:v>
      </x:c>
      <x:c r="L68" s="14" t="n">
        <x:v>0.5</x:v>
      </x:c>
      <x:c r="M68" s="13" t="n">
        <x:v>1</x:v>
      </x:c>
      <x:c r="N68" s="13" t="n">
        <x:v>0</x:v>
      </x:c>
    </x:row>
    <x:row r="69" ht="15" hidden="0" customHeight="1">
      <x:c r="A69" s="12" t="n">
        <x:v>68</x:v>
      </x:c>
      <x:c r="B69" s="12" t="str">
        <x:v>S082</x:v>
      </x:c>
      <x:c r="C69" s="12" t="str">
        <x:v>Xiang et al. (2023)</x:v>
      </x:c>
      <x:c r="D69" s="13" t="n">
        <x:v>0</x:v>
      </x:c>
      <x:c r="E69" s="13" t="n">
        <x:v>1</x:v>
      </x:c>
      <x:c r="F69" s="13" t="n">
        <x:v>1</x:v>
      </x:c>
      <x:c r="G69" s="13" t="n">
        <x:v>1</x:v>
      </x:c>
      <x:c r="H69" s="13" t="n">
        <x:v>1</x:v>
      </x:c>
      <x:c r="I69" s="13" t="n">
        <x:v>0</x:v>
      </x:c>
      <x:c r="J69" s="13" t="n">
        <x:v>0</x:v>
      </x:c>
      <x:c r="K69" s="13" t="n">
        <x:v>0</x:v>
      </x:c>
      <x:c r="L69" s="14" t="n">
        <x:v>0.5</x:v>
      </x:c>
      <x:c r="M69" s="13" t="n">
        <x:v>1</x:v>
      </x:c>
      <x:c r="N69" s="13" t="n">
        <x:v>0</x:v>
      </x:c>
    </x:row>
    <x:row r="70" ht="15" hidden="0" customHeight="1">
      <x:c r="A70" s="12" t="n">
        <x:v>69</x:v>
      </x:c>
      <x:c r="B70" s="12" t="str">
        <x:v>S084</x:v>
      </x:c>
      <x:c r="C70" s="12" t="str">
        <x:v>Liu et al. (2023)</x:v>
      </x:c>
      <x:c r="D70" s="13" t="n">
        <x:v>0</x:v>
      </x:c>
      <x:c r="E70" s="13" t="n">
        <x:v>1</x:v>
      </x:c>
      <x:c r="F70" s="13" t="n">
        <x:v>1</x:v>
      </x:c>
      <x:c r="G70" s="13" t="n">
        <x:v>1</x:v>
      </x:c>
      <x:c r="H70" s="13" t="n">
        <x:v>1</x:v>
      </x:c>
      <x:c r="I70" s="13" t="n">
        <x:v>0</x:v>
      </x:c>
      <x:c r="J70" s="13" t="n">
        <x:v>0</x:v>
      </x:c>
      <x:c r="K70" s="13" t="n">
        <x:v>0</x:v>
      </x:c>
      <x:c r="L70" s="14" t="n">
        <x:v>0.5</x:v>
      </x:c>
      <x:c r="M70" s="13" t="n">
        <x:v>1</x:v>
      </x:c>
      <x:c r="N70" s="13" t="n">
        <x:v>0</x:v>
      </x:c>
    </x:row>
    <x:row r="71" ht="15" hidden="0" customHeight="1">
      <x:c r="A71" s="12" t="n">
        <x:v>70</x:v>
      </x:c>
      <x:c r="B71" s="12" t="str">
        <x:v>S085</x:v>
      </x:c>
      <x:c r="C71" s="12" t="str">
        <x:v>Li et al. (2022)</x:v>
      </x:c>
      <x:c r="D71" s="13" t="n">
        <x:v>1</x:v>
      </x:c>
      <x:c r="E71" s="13" t="n">
        <x:v>1</x:v>
      </x:c>
      <x:c r="F71" s="13" t="n">
        <x:v>1</x:v>
      </x:c>
      <x:c r="G71" s="13" t="n">
        <x:v>1</x:v>
      </x:c>
      <x:c r="H71" s="13" t="n">
        <x:v>1</x:v>
      </x:c>
      <x:c r="I71" s="13" t="n">
        <x:v>0</x:v>
      </x:c>
      <x:c r="J71" s="13" t="n">
        <x:v>0</x:v>
      </x:c>
      <x:c r="K71" s="13" t="n">
        <x:v>0</x:v>
      </x:c>
      <x:c r="L71" s="14" t="n">
        <x:v>0.625</x:v>
      </x:c>
      <x:c r="M71" s="13" t="n">
        <x:v>1</x:v>
      </x:c>
      <x:c r="N71" s="13" t="n">
        <x:v>0</x:v>
      </x:c>
    </x:row>
    <x:row r="72" ht="15" hidden="0" customHeight="1">
      <x:c r="A72" s="12" t="n">
        <x:v>71</x:v>
      </x:c>
      <x:c r="B72" s="12" t="str">
        <x:v>S086</x:v>
      </x:c>
      <x:c r="C72" s="12" t="str">
        <x:v>Li et al. (2022)</x:v>
      </x:c>
      <x:c r="D72" s="13" t="n">
        <x:v>0</x:v>
      </x:c>
      <x:c r="E72" s="13" t="n">
        <x:v>1</x:v>
      </x:c>
      <x:c r="F72" s="13" t="n">
        <x:v>1</x:v>
      </x:c>
      <x:c r="G72" s="13" t="n">
        <x:v>1</x:v>
      </x:c>
      <x:c r="H72" s="13" t="n">
        <x:v>1</x:v>
      </x:c>
      <x:c r="I72" s="13" t="n">
        <x:v>0</x:v>
      </x:c>
      <x:c r="J72" s="13" t="n">
        <x:v>0</x:v>
      </x:c>
      <x:c r="K72" s="13" t="n">
        <x:v>0</x:v>
      </x:c>
      <x:c r="L72" s="14" t="n">
        <x:v>0.5</x:v>
      </x:c>
      <x:c r="M72" s="13" t="n">
        <x:v>1</x:v>
      </x:c>
      <x:c r="N72" s="13" t="n">
        <x:v>0</x:v>
      </x:c>
    </x:row>
    <x:row r="73" ht="15" hidden="0" customHeight="1">
      <x:c r="A73" s="12" t="n">
        <x:v>72</x:v>
      </x:c>
      <x:c r="B73" s="12" t="str">
        <x:v>S087</x:v>
      </x:c>
      <x:c r="C73" s="12" t="str">
        <x:v>Ma et al. (2021)</x:v>
      </x:c>
      <x:c r="D73" s="13" t="n">
        <x:v>0</x:v>
      </x:c>
      <x:c r="E73" s="13" t="n">
        <x:v>1</x:v>
      </x:c>
      <x:c r="F73" s="13" t="n">
        <x:v>1</x:v>
      </x:c>
      <x:c r="G73" s="13" t="n">
        <x:v>1</x:v>
      </x:c>
      <x:c r="H73" s="13" t="n">
        <x:v>1</x:v>
      </x:c>
      <x:c r="I73" s="13" t="n">
        <x:v>0</x:v>
      </x:c>
      <x:c r="J73" s="13" t="n">
        <x:v>0</x:v>
      </x:c>
      <x:c r="K73" s="13" t="n">
        <x:v>0</x:v>
      </x:c>
      <x:c r="L73" s="14" t="n">
        <x:v>0.5</x:v>
      </x:c>
      <x:c r="M73" s="13" t="n">
        <x:v>1</x:v>
      </x:c>
      <x:c r="N73" s="13" t="n">
        <x:v>0</x:v>
      </x:c>
    </x:row>
    <x:row r="74" ht="15" hidden="0" customHeight="1">
      <x:c r="A74" s="12" t="n">
        <x:v>73</x:v>
      </x:c>
      <x:c r="B74" s="12" t="str">
        <x:v>S088</x:v>
      </x:c>
      <x:c r="C74" s="12" t="str">
        <x:v>Cheng-Yu et al. (2021)</x:v>
      </x:c>
      <x:c r="D74" s="13" t="n">
        <x:v>0</x:v>
      </x:c>
      <x:c r="E74" s="13" t="n">
        <x:v>1</x:v>
      </x:c>
      <x:c r="F74" s="13" t="n">
        <x:v>1</x:v>
      </x:c>
      <x:c r="G74" s="13" t="n">
        <x:v>1</x:v>
      </x:c>
      <x:c r="H74" s="13" t="n">
        <x:v>1</x:v>
      </x:c>
      <x:c r="I74" s="13" t="n">
        <x:v>0</x:v>
      </x:c>
      <x:c r="J74" s="13" t="n">
        <x:v>1</x:v>
      </x:c>
      <x:c r="K74" s="13" t="n">
        <x:v>0</x:v>
      </x:c>
      <x:c r="L74" s="14" t="n">
        <x:v>0.625</x:v>
      </x:c>
      <x:c r="M74" s="13" t="n">
        <x:v>2</x:v>
      </x:c>
      <x:c r="N74" s="13" t="n">
        <x:v>0</x:v>
      </x:c>
    </x:row>
    <x:row r="75" ht="15" hidden="0" customHeight="1">
      <x:c r="A75" s="12" t="n">
        <x:v>74</x:v>
      </x:c>
      <x:c r="B75" s="12" t="str">
        <x:v>S089</x:v>
      </x:c>
      <x:c r="C75" s="12" t="str">
        <x:v>Xiang et al. (2020)</x:v>
      </x:c>
      <x:c r="D75" s="13" t="n">
        <x:v>1</x:v>
      </x:c>
      <x:c r="E75" s="13" t="n">
        <x:v>1</x:v>
      </x:c>
      <x:c r="F75" s="13" t="n">
        <x:v>1</x:v>
      </x:c>
      <x:c r="G75" s="13" t="n">
        <x:v>1</x:v>
      </x:c>
      <x:c r="H75" s="13" t="n">
        <x:v>1</x:v>
      </x:c>
      <x:c r="I75" s="13" t="n">
        <x:v>1</x:v>
      </x:c>
      <x:c r="J75" s="13" t="n">
        <x:v>0</x:v>
      </x:c>
      <x:c r="K75" s="13" t="n">
        <x:v>0</x:v>
      </x:c>
      <x:c r="L75" s="14" t="n">
        <x:v>0.75</x:v>
      </x:c>
      <x:c r="M75" s="13" t="n">
        <x:v>2</x:v>
      </x:c>
      <x:c r="N75" s="13" t="n">
        <x:v>0</x:v>
      </x:c>
    </x:row>
    <x:row r="76" ht="15" hidden="0" customHeight="1">
      <x:c r="A76" s="12" t="n">
        <x:v>75</x:v>
      </x:c>
      <x:c r="B76" s="12" t="str">
        <x:v>S090</x:v>
      </x:c>
      <x:c r="C76" s="12" t="str">
        <x:v>Fan et al. (2019)</x:v>
      </x:c>
      <x:c r="D76" s="13" t="n">
        <x:v>0</x:v>
      </x:c>
      <x:c r="E76" s="13" t="n">
        <x:v>1</x:v>
      </x:c>
      <x:c r="F76" s="13" t="n">
        <x:v>1</x:v>
      </x:c>
      <x:c r="G76" s="13" t="n">
        <x:v>1</x:v>
      </x:c>
      <x:c r="H76" s="13" t="n">
        <x:v>0</x:v>
      </x:c>
      <x:c r="I76" s="13" t="n">
        <x:v>0</x:v>
      </x:c>
      <x:c r="J76" s="13" t="n">
        <x:v>0</x:v>
      </x:c>
      <x:c r="K76" s="13" t="n">
        <x:v>1</x:v>
      </x:c>
      <x:c r="L76" s="14" t="n">
        <x:v>0.5</x:v>
      </x:c>
      <x:c r="M76" s="13" t="n">
        <x:v>1</x:v>
      </x:c>
      <x:c r="N76" s="13" t="n">
        <x:v>0</x:v>
      </x:c>
    </x:row>
    <x:row r="77" ht="15" hidden="0" customHeight="1">
      <x:c r="A77" s="12" t="n">
        <x:v>76</x:v>
      </x:c>
      <x:c r="B77" s="12" t="str">
        <x:v>S091</x:v>
      </x:c>
      <x:c r="C77" s="12" t="str">
        <x:v>Kennedy et al. (2017)</x:v>
      </x:c>
      <x:c r="D77" s="13" t="n">
        <x:v>1</x:v>
      </x:c>
      <x:c r="E77" s="13" t="n">
        <x:v>1</x:v>
      </x:c>
      <x:c r="F77" s="13" t="n">
        <x:v>1</x:v>
      </x:c>
      <x:c r="G77" s="13" t="n">
        <x:v>1</x:v>
      </x:c>
      <x:c r="H77" s="13" t="n">
        <x:v>1</x:v>
      </x:c>
      <x:c r="I77" s="13" t="n">
        <x:v>0</x:v>
      </x:c>
      <x:c r="J77" s="13" t="n">
        <x:v>0</x:v>
      </x:c>
      <x:c r="K77" s="13" t="n">
        <x:v>1</x:v>
      </x:c>
      <x:c r="L77" s="14" t="n">
        <x:v>0.75</x:v>
      </x:c>
      <x:c r="M77" s="13" t="n">
        <x:v>2</x:v>
      </x:c>
      <x:c r="N77" s="13" t="n">
        <x:v>0</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11.670000076293945" hidden="0" customWidth="1"/>
    <x:col min="3" max="3" width="12.220000267028809" hidden="0" customWidth="1"/>
    <x:col min="4" max="4" width="10" hidden="0" customWidth="1"/>
    <x:col min="5" max="5" width="10" hidden="0" customWidth="1"/>
    <x:col min="6" max="6" width="11.109999656677246" hidden="0" customWidth="1"/>
    <x:col min="7" max="7" width="10" hidden="0" customWidth="1"/>
    <x:col min="8" max="8" width="10" hidden="0" customWidth="1"/>
    <x:col min="9" max="9" width="11.109999656677246" hidden="0" customWidth="1"/>
    <x:col min="10" max="10" width="13.329999923706055" hidden="0" customWidth="1"/>
    <x:col min="11" max="11" width="11.109999656677246" hidden="0" customWidth="1"/>
  </x:cols>
  <x:sheetData>
    <x:row r="1" ht="15" hidden="0" customHeight="1">
      <x:c r="A1" s="11" t="str">
        <x:v>Synthesis ID</x:v>
      </x:c>
      <x:c r="B1" s="11" t="str">
        <x:v>Stable Study ID</x:v>
      </x:c>
      <x:c r="C1" s="11" t="str">
        <x:v>Configurations</x:v>
      </x:c>
      <x:c r="D1" s="11" t="str">
        <x:v>Materials</x:v>
      </x:c>
      <x:c r="E1" s="11" t="str">
        <x:v>Printing</x:v>
      </x:c>
      <x:c r="F1" s="11" t="str">
        <x:v>Experiments</x:v>
      </x:c>
      <x:c r="G1" s="11" t="str">
        <x:v>Outcomes</x:v>
      </x:c>
      <x:c r="H1" s="11" t="str">
        <x:v>REB items</x:v>
      </x:c>
      <x:c r="I1" s="11" t="str">
        <x:v>Assessment domains</x:v>
      </x:c>
      <x:c r="J1" s="11" t="str">
        <x:v>Ambiguity entries</x:v>
      </x:c>
      <x:c r="K1" s="11" t="str">
        <x:v>Status</x:v>
      </x:c>
    </x:row>
    <x:row r="2" ht="15" hidden="0" customHeight="1">
      <x:c r="A2" s="13" t="n">
        <x:v>1</x:v>
      </x:c>
      <x:c r="B2" s="13" t="str">
        <x:v>S001</x:v>
      </x:c>
      <x:c r="C2" s="13" t="n">
        <x:v>1</x:v>
      </x:c>
      <x:c r="D2" s="13" t="n">
        <x:v>1</x:v>
      </x:c>
      <x:c r="E2" s="13" t="n">
        <x:v>1</x:v>
      </x:c>
      <x:c r="F2" s="13" t="n">
        <x:v>2</x:v>
      </x:c>
      <x:c r="G2" s="13" t="n">
        <x:v>5</x:v>
      </x:c>
      <x:c r="H2" s="13" t="n">
        <x:v>8</x:v>
      </x:c>
      <x:c r="I2" s="13" t="n">
        <x:v>8</x:v>
      </x:c>
      <x:c r="J2" s="13" t="n">
        <x:v>1</x:v>
      </x:c>
      <x:c r="K2" s="12" t="str">
        <x:f>IF(AND(C2&gt;=1,D2&gt;=1,E2&gt;=1,F2&gt;=1,G2&gt;=1,H2=8,I2=8),IF('Study REB Profile'!N2=0,"Complete","Pending REB source"),"Check")</x:f>
        <x:v>Complete</x:v>
      </x:c>
    </x:row>
    <x:row r="3" ht="15" hidden="0" customHeight="1">
      <x:c r="A3" s="13" t="n">
        <x:v>2</x:v>
      </x:c>
      <x:c r="B3" s="13" t="str">
        <x:v>S002</x:v>
      </x:c>
      <x:c r="C3" s="13" t="n">
        <x:v>1</x:v>
      </x:c>
      <x:c r="D3" s="13" t="n">
        <x:v>1</x:v>
      </x:c>
      <x:c r="E3" s="13" t="n">
        <x:v>1</x:v>
      </x:c>
      <x:c r="F3" s="13" t="n">
        <x:v>4</x:v>
      </x:c>
      <x:c r="G3" s="13" t="n">
        <x:v>5</x:v>
      </x:c>
      <x:c r="H3" s="13" t="n">
        <x:v>8</x:v>
      </x:c>
      <x:c r="I3" s="13" t="n">
        <x:v>8</x:v>
      </x:c>
      <x:c r="J3" s="13" t="n">
        <x:v>0</x:v>
      </x:c>
      <x:c r="K3" s="12" t="str">
        <x:f>IF(AND(C3&gt;=1,D3&gt;=1,E3&gt;=1,F3&gt;=1,G3&gt;=1,H3=8,I3=8),IF('Study REB Profile'!N3=0,"Complete","Pending REB source"),"Check")</x:f>
        <x:v>Complete</x:v>
      </x:c>
    </x:row>
    <x:row r="4" ht="15" hidden="0" customHeight="1">
      <x:c r="A4" s="13" t="n">
        <x:v>3</x:v>
      </x:c>
      <x:c r="B4" s="13" t="str">
        <x:v>S004</x:v>
      </x:c>
      <x:c r="C4" s="13" t="n">
        <x:v>1</x:v>
      </x:c>
      <x:c r="D4" s="13" t="n">
        <x:v>1</x:v>
      </x:c>
      <x:c r="E4" s="13" t="n">
        <x:v>1</x:v>
      </x:c>
      <x:c r="F4" s="13" t="n">
        <x:v>2</x:v>
      </x:c>
      <x:c r="G4" s="13" t="n">
        <x:v>2</x:v>
      </x:c>
      <x:c r="H4" s="13" t="n">
        <x:v>8</x:v>
      </x:c>
      <x:c r="I4" s="13" t="n">
        <x:v>8</x:v>
      </x:c>
      <x:c r="J4" s="13" t="n">
        <x:v>1</x:v>
      </x:c>
      <x:c r="K4" s="12" t="str">
        <x:f>IF(AND(C4&gt;=1,D4&gt;=1,E4&gt;=1,F4&gt;=1,G4&gt;=1,H4=8,I4=8),IF('Study REB Profile'!N4=0,"Complete","Pending REB source"),"Check")</x:f>
        <x:v>Complete</x:v>
      </x:c>
    </x:row>
    <x:row r="5" ht="15" hidden="0" customHeight="1">
      <x:c r="A5" s="13" t="n">
        <x:v>4</x:v>
      </x:c>
      <x:c r="B5" s="13" t="str">
        <x:v>S005</x:v>
      </x:c>
      <x:c r="C5" s="13" t="n">
        <x:v>1</x:v>
      </x:c>
      <x:c r="D5" s="13" t="n">
        <x:v>1</x:v>
      </x:c>
      <x:c r="E5" s="13" t="n">
        <x:v>1</x:v>
      </x:c>
      <x:c r="F5" s="13" t="n">
        <x:v>2</x:v>
      </x:c>
      <x:c r="G5" s="13" t="n">
        <x:v>2</x:v>
      </x:c>
      <x:c r="H5" s="13" t="n">
        <x:v>8</x:v>
      </x:c>
      <x:c r="I5" s="13" t="n">
        <x:v>8</x:v>
      </x:c>
      <x:c r="J5" s="13" t="n">
        <x:v>0</x:v>
      </x:c>
      <x:c r="K5" s="12" t="str">
        <x:f>IF(AND(C5&gt;=1,D5&gt;=1,E5&gt;=1,F5&gt;=1,G5&gt;=1,H5=8,I5=8),IF('Study REB Profile'!N5=0,"Complete","Pending REB source"),"Check")</x:f>
        <x:v>Complete</x:v>
      </x:c>
    </x:row>
    <x:row r="6" ht="15" hidden="0" customHeight="1">
      <x:c r="A6" s="13" t="n">
        <x:v>5</x:v>
      </x:c>
      <x:c r="B6" s="13" t="str">
        <x:v>S007</x:v>
      </x:c>
      <x:c r="C6" s="13" t="n">
        <x:v>1</x:v>
      </x:c>
      <x:c r="D6" s="13" t="n">
        <x:v>1</x:v>
      </x:c>
      <x:c r="E6" s="13" t="n">
        <x:v>1</x:v>
      </x:c>
      <x:c r="F6" s="13" t="n">
        <x:v>3</x:v>
      </x:c>
      <x:c r="G6" s="13" t="n">
        <x:v>4</x:v>
      </x:c>
      <x:c r="H6" s="13" t="n">
        <x:v>8</x:v>
      </x:c>
      <x:c r="I6" s="13" t="n">
        <x:v>8</x:v>
      </x:c>
      <x:c r="J6" s="13" t="n">
        <x:v>2</x:v>
      </x:c>
      <x:c r="K6" s="12" t="str">
        <x:f>IF(AND(C6&gt;=1,D6&gt;=1,E6&gt;=1,F6&gt;=1,G6&gt;=1,H6=8,I6=8),IF('Study REB Profile'!N6=0,"Complete","Pending REB source"),"Check")</x:f>
        <x:v>Complete</x:v>
      </x:c>
    </x:row>
    <x:row r="7" ht="15" hidden="0" customHeight="1">
      <x:c r="A7" s="13" t="n">
        <x:v>6</x:v>
      </x:c>
      <x:c r="B7" s="13" t="str">
        <x:v>S008</x:v>
      </x:c>
      <x:c r="C7" s="13" t="n">
        <x:v>1</x:v>
      </x:c>
      <x:c r="D7" s="13" t="n">
        <x:v>1</x:v>
      </x:c>
      <x:c r="E7" s="13" t="n">
        <x:v>1</x:v>
      </x:c>
      <x:c r="F7" s="13" t="n">
        <x:v>2</x:v>
      </x:c>
      <x:c r="G7" s="13" t="n">
        <x:v>2</x:v>
      </x:c>
      <x:c r="H7" s="13" t="n">
        <x:v>8</x:v>
      </x:c>
      <x:c r="I7" s="13" t="n">
        <x:v>8</x:v>
      </x:c>
      <x:c r="J7" s="13" t="n">
        <x:v>1</x:v>
      </x:c>
      <x:c r="K7" s="12" t="str">
        <x:f>IF(AND(C7&gt;=1,D7&gt;=1,E7&gt;=1,F7&gt;=1,G7&gt;=1,H7=8,I7=8),IF('Study REB Profile'!N7=0,"Complete","Pending REB source"),"Check")</x:f>
        <x:v>Complete</x:v>
      </x:c>
    </x:row>
    <x:row r="8" ht="15" hidden="0" customHeight="1">
      <x:c r="A8" s="13" t="n">
        <x:v>7</x:v>
      </x:c>
      <x:c r="B8" s="13" t="str">
        <x:v>S010</x:v>
      </x:c>
      <x:c r="C8" s="13" t="n">
        <x:v>1</x:v>
      </x:c>
      <x:c r="D8" s="13" t="n">
        <x:v>1</x:v>
      </x:c>
      <x:c r="E8" s="13" t="n">
        <x:v>1</x:v>
      </x:c>
      <x:c r="F8" s="13" t="n">
        <x:v>2</x:v>
      </x:c>
      <x:c r="G8" s="13" t="n">
        <x:v>3</x:v>
      </x:c>
      <x:c r="H8" s="13" t="n">
        <x:v>8</x:v>
      </x:c>
      <x:c r="I8" s="13" t="n">
        <x:v>8</x:v>
      </x:c>
      <x:c r="J8" s="13" t="n">
        <x:v>0</x:v>
      </x:c>
      <x:c r="K8" s="12" t="str">
        <x:f>IF(AND(C8&gt;=1,D8&gt;=1,E8&gt;=1,F8&gt;=1,G8&gt;=1,H8=8,I8=8),IF('Study REB Profile'!N8=0,"Complete","Pending REB source"),"Check")</x:f>
        <x:v>Complete</x:v>
      </x:c>
    </x:row>
    <x:row r="9" ht="15" hidden="0" customHeight="1">
      <x:c r="A9" s="13" t="n">
        <x:v>8</x:v>
      </x:c>
      <x:c r="B9" s="13" t="str">
        <x:v>S011</x:v>
      </x:c>
      <x:c r="C9" s="13" t="n">
        <x:v>1</x:v>
      </x:c>
      <x:c r="D9" s="13" t="n">
        <x:v>1</x:v>
      </x:c>
      <x:c r="E9" s="13" t="n">
        <x:v>1</x:v>
      </x:c>
      <x:c r="F9" s="13" t="n">
        <x:v>4</x:v>
      </x:c>
      <x:c r="G9" s="13" t="n">
        <x:v>6</x:v>
      </x:c>
      <x:c r="H9" s="13" t="n">
        <x:v>8</x:v>
      </x:c>
      <x:c r="I9" s="13" t="n">
        <x:v>8</x:v>
      </x:c>
      <x:c r="J9" s="13" t="n">
        <x:v>1</x:v>
      </x:c>
      <x:c r="K9" s="12" t="str">
        <x:f>IF(AND(C9&gt;=1,D9&gt;=1,E9&gt;=1,F9&gt;=1,G9&gt;=1,H9=8,I9=8),IF('Study REB Profile'!N9=0,"Complete","Pending REB source"),"Check")</x:f>
        <x:v>Complete</x:v>
      </x:c>
    </x:row>
    <x:row r="10" ht="15" hidden="0" customHeight="1">
      <x:c r="A10" s="13" t="n">
        <x:v>9</x:v>
      </x:c>
      <x:c r="B10" s="13" t="str">
        <x:v>S012</x:v>
      </x:c>
      <x:c r="C10" s="13" t="n">
        <x:v>1</x:v>
      </x:c>
      <x:c r="D10" s="13" t="n">
        <x:v>1</x:v>
      </x:c>
      <x:c r="E10" s="13" t="n">
        <x:v>1</x:v>
      </x:c>
      <x:c r="F10" s="13" t="n">
        <x:v>3</x:v>
      </x:c>
      <x:c r="G10" s="13" t="n">
        <x:v>2</x:v>
      </x:c>
      <x:c r="H10" s="13" t="n">
        <x:v>8</x:v>
      </x:c>
      <x:c r="I10" s="13" t="n">
        <x:v>8</x:v>
      </x:c>
      <x:c r="J10" s="13" t="n">
        <x:v>1</x:v>
      </x:c>
      <x:c r="K10" s="12" t="str">
        <x:f>IF(AND(C10&gt;=1,D10&gt;=1,E10&gt;=1,F10&gt;=1,G10&gt;=1,H10=8,I10=8),IF('Study REB Profile'!N10=0,"Complete","Pending REB source"),"Check")</x:f>
        <x:v>Complete</x:v>
      </x:c>
    </x:row>
    <x:row r="11" ht="15" hidden="0" customHeight="1">
      <x:c r="A11" s="13" t="n">
        <x:v>10</x:v>
      </x:c>
      <x:c r="B11" s="13" t="str">
        <x:v>S013</x:v>
      </x:c>
      <x:c r="C11" s="13" t="n">
        <x:v>1</x:v>
      </x:c>
      <x:c r="D11" s="13" t="n">
        <x:v>1</x:v>
      </x:c>
      <x:c r="E11" s="13" t="n">
        <x:v>1</x:v>
      </x:c>
      <x:c r="F11" s="13" t="n">
        <x:v>2</x:v>
      </x:c>
      <x:c r="G11" s="13" t="n">
        <x:v>2</x:v>
      </x:c>
      <x:c r="H11" s="13" t="n">
        <x:v>8</x:v>
      </x:c>
      <x:c r="I11" s="13" t="n">
        <x:v>8</x:v>
      </x:c>
      <x:c r="J11" s="13" t="n">
        <x:v>0</x:v>
      </x:c>
      <x:c r="K11" s="12" t="str">
        <x:f>IF(AND(C11&gt;=1,D11&gt;=1,E11&gt;=1,F11&gt;=1,G11&gt;=1,H11=8,I11=8),IF('Study REB Profile'!N11=0,"Complete","Pending REB source"),"Check")</x:f>
        <x:v>Complete</x:v>
      </x:c>
    </x:row>
    <x:row r="12" ht="15" hidden="0" customHeight="1">
      <x:c r="A12" s="13" t="n">
        <x:v>11</x:v>
      </x:c>
      <x:c r="B12" s="13" t="str">
        <x:v>S014</x:v>
      </x:c>
      <x:c r="C12" s="13" t="n">
        <x:v>1</x:v>
      </x:c>
      <x:c r="D12" s="13" t="n">
        <x:v>1</x:v>
      </x:c>
      <x:c r="E12" s="13" t="n">
        <x:v>1</x:v>
      </x:c>
      <x:c r="F12" s="13" t="n">
        <x:v>3</x:v>
      </x:c>
      <x:c r="G12" s="13" t="n">
        <x:v>3</x:v>
      </x:c>
      <x:c r="H12" s="13" t="n">
        <x:v>8</x:v>
      </x:c>
      <x:c r="I12" s="13" t="n">
        <x:v>8</x:v>
      </x:c>
      <x:c r="J12" s="13" t="n">
        <x:v>1</x:v>
      </x:c>
      <x:c r="K12" s="12" t="str">
        <x:f>IF(AND(C12&gt;=1,D12&gt;=1,E12&gt;=1,F12&gt;=1,G12&gt;=1,H12=8,I12=8),IF('Study REB Profile'!N12=0,"Complete","Pending REB source"),"Check")</x:f>
        <x:v>Complete</x:v>
      </x:c>
    </x:row>
    <x:row r="13" ht="15" hidden="0" customHeight="1">
      <x:c r="A13" s="13" t="n">
        <x:v>12</x:v>
      </x:c>
      <x:c r="B13" s="13" t="str">
        <x:v>S015</x:v>
      </x:c>
      <x:c r="C13" s="13" t="n">
        <x:v>1</x:v>
      </x:c>
      <x:c r="D13" s="13" t="n">
        <x:v>1</x:v>
      </x:c>
      <x:c r="E13" s="13" t="n">
        <x:v>1</x:v>
      </x:c>
      <x:c r="F13" s="13" t="n">
        <x:v>2</x:v>
      </x:c>
      <x:c r="G13" s="13" t="n">
        <x:v>3</x:v>
      </x:c>
      <x:c r="H13" s="13" t="n">
        <x:v>8</x:v>
      </x:c>
      <x:c r="I13" s="13" t="n">
        <x:v>8</x:v>
      </x:c>
      <x:c r="J13" s="13" t="n">
        <x:v>1</x:v>
      </x:c>
      <x:c r="K13" s="12" t="str">
        <x:f>IF(AND(C13&gt;=1,D13&gt;=1,E13&gt;=1,F13&gt;=1,G13&gt;=1,H13=8,I13=8),IF('Study REB Profile'!N13=0,"Complete","Pending REB source"),"Check")</x:f>
        <x:v>Complete</x:v>
      </x:c>
    </x:row>
    <x:row r="14" ht="15" hidden="0" customHeight="1">
      <x:c r="A14" s="13" t="n">
        <x:v>13</x:v>
      </x:c>
      <x:c r="B14" s="13" t="str">
        <x:v>S017</x:v>
      </x:c>
      <x:c r="C14" s="13" t="n">
        <x:v>1</x:v>
      </x:c>
      <x:c r="D14" s="13" t="n">
        <x:v>1</x:v>
      </x:c>
      <x:c r="E14" s="13" t="n">
        <x:v>1</x:v>
      </x:c>
      <x:c r="F14" s="13" t="n">
        <x:v>4</x:v>
      </x:c>
      <x:c r="G14" s="13" t="n">
        <x:v>4</x:v>
      </x:c>
      <x:c r="H14" s="13" t="n">
        <x:v>8</x:v>
      </x:c>
      <x:c r="I14" s="13" t="n">
        <x:v>8</x:v>
      </x:c>
      <x:c r="J14" s="13" t="n">
        <x:v>1</x:v>
      </x:c>
      <x:c r="K14" s="12" t="str">
        <x:f>IF(AND(C14&gt;=1,D14&gt;=1,E14&gt;=1,F14&gt;=1,G14&gt;=1,H14=8,I14=8),IF('Study REB Profile'!N14=0,"Complete","Pending REB source"),"Check")</x:f>
        <x:v>Complete</x:v>
      </x:c>
    </x:row>
    <x:row r="15" ht="15" hidden="0" customHeight="1">
      <x:c r="A15" s="13" t="n">
        <x:v>14</x:v>
      </x:c>
      <x:c r="B15" s="13" t="str">
        <x:v>S018</x:v>
      </x:c>
      <x:c r="C15" s="13" t="n">
        <x:v>1</x:v>
      </x:c>
      <x:c r="D15" s="13" t="n">
        <x:v>1</x:v>
      </x:c>
      <x:c r="E15" s="13" t="n">
        <x:v>1</x:v>
      </x:c>
      <x:c r="F15" s="13" t="n">
        <x:v>1</x:v>
      </x:c>
      <x:c r="G15" s="13" t="n">
        <x:v>2</x:v>
      </x:c>
      <x:c r="H15" s="13" t="n">
        <x:v>8</x:v>
      </x:c>
      <x:c r="I15" s="13" t="n">
        <x:v>8</x:v>
      </x:c>
      <x:c r="J15" s="13" t="n">
        <x:v>0</x:v>
      </x:c>
      <x:c r="K15" s="12" t="str">
        <x:f>IF(AND(C15&gt;=1,D15&gt;=1,E15&gt;=1,F15&gt;=1,G15&gt;=1,H15=8,I15=8),IF('Study REB Profile'!N15=0,"Complete","Pending REB source"),"Check")</x:f>
        <x:v>Complete</x:v>
      </x:c>
    </x:row>
    <x:row r="16" ht="15" hidden="0" customHeight="1">
      <x:c r="A16" s="13" t="n">
        <x:v>15</x:v>
      </x:c>
      <x:c r="B16" s="13" t="str">
        <x:v>S019</x:v>
      </x:c>
      <x:c r="C16" s="13" t="n">
        <x:v>1</x:v>
      </x:c>
      <x:c r="D16" s="13" t="n">
        <x:v>1</x:v>
      </x:c>
      <x:c r="E16" s="13" t="n">
        <x:v>1</x:v>
      </x:c>
      <x:c r="F16" s="13" t="n">
        <x:v>2</x:v>
      </x:c>
      <x:c r="G16" s="13" t="n">
        <x:v>2</x:v>
      </x:c>
      <x:c r="H16" s="13" t="n">
        <x:v>8</x:v>
      </x:c>
      <x:c r="I16" s="13" t="n">
        <x:v>8</x:v>
      </x:c>
      <x:c r="J16" s="13" t="n">
        <x:v>0</x:v>
      </x:c>
      <x:c r="K16" s="12" t="str">
        <x:f>IF(AND(C16&gt;=1,D16&gt;=1,E16&gt;=1,F16&gt;=1,G16&gt;=1,H16=8,I16=8),IF('Study REB Profile'!N16=0,"Complete","Pending REB source"),"Check")</x:f>
        <x:v>Complete</x:v>
      </x:c>
    </x:row>
    <x:row r="17" ht="15" hidden="0" customHeight="1">
      <x:c r="A17" s="13" t="n">
        <x:v>16</x:v>
      </x:c>
      <x:c r="B17" s="13" t="str">
        <x:v>S020</x:v>
      </x:c>
      <x:c r="C17" s="13" t="n">
        <x:v>1</x:v>
      </x:c>
      <x:c r="D17" s="13" t="n">
        <x:v>1</x:v>
      </x:c>
      <x:c r="E17" s="13" t="n">
        <x:v>1</x:v>
      </x:c>
      <x:c r="F17" s="13" t="n">
        <x:v>2</x:v>
      </x:c>
      <x:c r="G17" s="13" t="n">
        <x:v>2</x:v>
      </x:c>
      <x:c r="H17" s="13" t="n">
        <x:v>8</x:v>
      </x:c>
      <x:c r="I17" s="13" t="n">
        <x:v>8</x:v>
      </x:c>
      <x:c r="J17" s="13" t="n">
        <x:v>0</x:v>
      </x:c>
      <x:c r="K17" s="12" t="str">
        <x:f>IF(AND(C17&gt;=1,D17&gt;=1,E17&gt;=1,F17&gt;=1,G17&gt;=1,H17=8,I17=8),IF('Study REB Profile'!N17=0,"Complete","Pending REB source"),"Check")</x:f>
        <x:v>Complete</x:v>
      </x:c>
    </x:row>
    <x:row r="18" ht="15" hidden="0" customHeight="1">
      <x:c r="A18" s="13" t="n">
        <x:v>17</x:v>
      </x:c>
      <x:c r="B18" s="13" t="str">
        <x:v>S021</x:v>
      </x:c>
      <x:c r="C18" s="13" t="n">
        <x:v>1</x:v>
      </x:c>
      <x:c r="D18" s="13" t="n">
        <x:v>1</x:v>
      </x:c>
      <x:c r="E18" s="13" t="n">
        <x:v>1</x:v>
      </x:c>
      <x:c r="F18" s="13" t="n">
        <x:v>1</x:v>
      </x:c>
      <x:c r="G18" s="13" t="n">
        <x:v>1</x:v>
      </x:c>
      <x:c r="H18" s="13" t="n">
        <x:v>8</x:v>
      </x:c>
      <x:c r="I18" s="13" t="n">
        <x:v>8</x:v>
      </x:c>
      <x:c r="J18" s="13" t="n">
        <x:v>1</x:v>
      </x:c>
      <x:c r="K18" s="12" t="str">
        <x:f>IF(AND(C18&gt;=1,D18&gt;=1,E18&gt;=1,F18&gt;=1,G18&gt;=1,H18=8,I18=8),IF('Study REB Profile'!N18=0,"Complete","Pending REB source"),"Check")</x:f>
        <x:v>Complete</x:v>
      </x:c>
    </x:row>
    <x:row r="19" ht="15" hidden="0" customHeight="1">
      <x:c r="A19" s="13" t="n">
        <x:v>18</x:v>
      </x:c>
      <x:c r="B19" s="13" t="str">
        <x:v>S022</x:v>
      </x:c>
      <x:c r="C19" s="13" t="n">
        <x:v>1</x:v>
      </x:c>
      <x:c r="D19" s="13" t="n">
        <x:v>1</x:v>
      </x:c>
      <x:c r="E19" s="13" t="n">
        <x:v>1</x:v>
      </x:c>
      <x:c r="F19" s="13" t="n">
        <x:v>2</x:v>
      </x:c>
      <x:c r="G19" s="13" t="n">
        <x:v>1</x:v>
      </x:c>
      <x:c r="H19" s="13" t="n">
        <x:v>8</x:v>
      </x:c>
      <x:c r="I19" s="13" t="n">
        <x:v>8</x:v>
      </x:c>
      <x:c r="J19" s="13" t="n">
        <x:v>1</x:v>
      </x:c>
      <x:c r="K19" s="12" t="str">
        <x:f>IF(AND(C19&gt;=1,D19&gt;=1,E19&gt;=1,F19&gt;=1,G19&gt;=1,H19=8,I19=8),IF('Study REB Profile'!N19=0,"Complete","Pending REB source"),"Check")</x:f>
        <x:v>Complete</x:v>
      </x:c>
    </x:row>
    <x:row r="20" ht="15" hidden="0" customHeight="1">
      <x:c r="A20" s="13" t="n">
        <x:v>19</x:v>
      </x:c>
      <x:c r="B20" s="13" t="str">
        <x:v>S023</x:v>
      </x:c>
      <x:c r="C20" s="13" t="n">
        <x:v>1</x:v>
      </x:c>
      <x:c r="D20" s="13" t="n">
        <x:v>1</x:v>
      </x:c>
      <x:c r="E20" s="13" t="n">
        <x:v>1</x:v>
      </x:c>
      <x:c r="F20" s="13" t="n">
        <x:v>2</x:v>
      </x:c>
      <x:c r="G20" s="13" t="n">
        <x:v>2</x:v>
      </x:c>
      <x:c r="H20" s="13" t="n">
        <x:v>8</x:v>
      </x:c>
      <x:c r="I20" s="13" t="n">
        <x:v>8</x:v>
      </x:c>
      <x:c r="J20" s="13" t="n">
        <x:v>1</x:v>
      </x:c>
      <x:c r="K20" s="12" t="str">
        <x:f>IF(AND(C20&gt;=1,D20&gt;=1,E20&gt;=1,F20&gt;=1,G20&gt;=1,H20=8,I20=8),IF('Study REB Profile'!N20=0,"Complete","Pending REB source"),"Check")</x:f>
        <x:v>Complete</x:v>
      </x:c>
    </x:row>
    <x:row r="21" ht="15" hidden="0" customHeight="1">
      <x:c r="A21" s="13" t="n">
        <x:v>20</x:v>
      </x:c>
      <x:c r="B21" s="13" t="str">
        <x:v>S024</x:v>
      </x:c>
      <x:c r="C21" s="13" t="n">
        <x:v>1</x:v>
      </x:c>
      <x:c r="D21" s="13" t="n">
        <x:v>1</x:v>
      </x:c>
      <x:c r="E21" s="13" t="n">
        <x:v>1</x:v>
      </x:c>
      <x:c r="F21" s="13" t="n">
        <x:v>2</x:v>
      </x:c>
      <x:c r="G21" s="13" t="n">
        <x:v>3</x:v>
      </x:c>
      <x:c r="H21" s="13" t="n">
        <x:v>8</x:v>
      </x:c>
      <x:c r="I21" s="13" t="n">
        <x:v>8</x:v>
      </x:c>
      <x:c r="J21" s="13" t="n">
        <x:v>1</x:v>
      </x:c>
      <x:c r="K21" s="12" t="str">
        <x:f>IF(AND(C21&gt;=1,D21&gt;=1,E21&gt;=1,F21&gt;=1,G21&gt;=1,H21=8,I21=8),IF('Study REB Profile'!N21=0,"Complete","Pending REB source"),"Check")</x:f>
        <x:v>Complete</x:v>
      </x:c>
    </x:row>
    <x:row r="22" ht="15" hidden="0" customHeight="1">
      <x:c r="A22" s="13" t="n">
        <x:v>21</x:v>
      </x:c>
      <x:c r="B22" s="13" t="str">
        <x:v>S025</x:v>
      </x:c>
      <x:c r="C22" s="13" t="n">
        <x:v>1</x:v>
      </x:c>
      <x:c r="D22" s="13" t="n">
        <x:v>1</x:v>
      </x:c>
      <x:c r="E22" s="13" t="n">
        <x:v>1</x:v>
      </x:c>
      <x:c r="F22" s="13" t="n">
        <x:v>2</x:v>
      </x:c>
      <x:c r="G22" s="13" t="n">
        <x:v>2</x:v>
      </x:c>
      <x:c r="H22" s="13" t="n">
        <x:v>8</x:v>
      </x:c>
      <x:c r="I22" s="13" t="n">
        <x:v>8</x:v>
      </x:c>
      <x:c r="J22" s="13" t="n">
        <x:v>1</x:v>
      </x:c>
      <x:c r="K22" s="12" t="str">
        <x:f>IF(AND(C22&gt;=1,D22&gt;=1,E22&gt;=1,F22&gt;=1,G22&gt;=1,H22=8,I22=8),IF('Study REB Profile'!N22=0,"Complete","Pending REB source"),"Check")</x:f>
        <x:v>Complete</x:v>
      </x:c>
    </x:row>
    <x:row r="23" ht="15" hidden="0" customHeight="1">
      <x:c r="A23" s="13" t="n">
        <x:v>22</x:v>
      </x:c>
      <x:c r="B23" s="13" t="str">
        <x:v>S028</x:v>
      </x:c>
      <x:c r="C23" s="13" t="n">
        <x:v>1</x:v>
      </x:c>
      <x:c r="D23" s="13" t="n">
        <x:v>1</x:v>
      </x:c>
      <x:c r="E23" s="13" t="n">
        <x:v>1</x:v>
      </x:c>
      <x:c r="F23" s="13" t="n">
        <x:v>1</x:v>
      </x:c>
      <x:c r="G23" s="13" t="n">
        <x:v>2</x:v>
      </x:c>
      <x:c r="H23" s="13" t="n">
        <x:v>8</x:v>
      </x:c>
      <x:c r="I23" s="13" t="n">
        <x:v>8</x:v>
      </x:c>
      <x:c r="J23" s="13" t="n">
        <x:v>0</x:v>
      </x:c>
      <x:c r="K23" s="12" t="str">
        <x:f>IF(AND(C23&gt;=1,D23&gt;=1,E23&gt;=1,F23&gt;=1,G23&gt;=1,H23=8,I23=8),IF('Study REB Profile'!N23=0,"Complete","Pending REB source"),"Check")</x:f>
        <x:v>Complete</x:v>
      </x:c>
    </x:row>
    <x:row r="24" ht="15" hidden="0" customHeight="1">
      <x:c r="A24" s="13" t="n">
        <x:v>23</x:v>
      </x:c>
      <x:c r="B24" s="13" t="str">
        <x:v>S029</x:v>
      </x:c>
      <x:c r="C24" s="13" t="n">
        <x:v>1</x:v>
      </x:c>
      <x:c r="D24" s="13" t="n">
        <x:v>1</x:v>
      </x:c>
      <x:c r="E24" s="13" t="n">
        <x:v>1</x:v>
      </x:c>
      <x:c r="F24" s="13" t="n">
        <x:v>3</x:v>
      </x:c>
      <x:c r="G24" s="13" t="n">
        <x:v>2</x:v>
      </x:c>
      <x:c r="H24" s="13" t="n">
        <x:v>8</x:v>
      </x:c>
      <x:c r="I24" s="13" t="n">
        <x:v>8</x:v>
      </x:c>
      <x:c r="J24" s="13" t="n">
        <x:v>0</x:v>
      </x:c>
      <x:c r="K24" s="12" t="str">
        <x:f>IF(AND(C24&gt;=1,D24&gt;=1,E24&gt;=1,F24&gt;=1,G24&gt;=1,H24=8,I24=8),IF('Study REB Profile'!N24=0,"Complete","Pending REB source"),"Check")</x:f>
        <x:v>Complete</x:v>
      </x:c>
    </x:row>
    <x:row r="25" ht="15" hidden="0" customHeight="1">
      <x:c r="A25" s="13" t="n">
        <x:v>24</x:v>
      </x:c>
      <x:c r="B25" s="13" t="str">
        <x:v>S031</x:v>
      </x:c>
      <x:c r="C25" s="13" t="n">
        <x:v>1</x:v>
      </x:c>
      <x:c r="D25" s="13" t="n">
        <x:v>1</x:v>
      </x:c>
      <x:c r="E25" s="13" t="n">
        <x:v>1</x:v>
      </x:c>
      <x:c r="F25" s="13" t="n">
        <x:v>2</x:v>
      </x:c>
      <x:c r="G25" s="13" t="n">
        <x:v>2</x:v>
      </x:c>
      <x:c r="H25" s="13" t="n">
        <x:v>8</x:v>
      </x:c>
      <x:c r="I25" s="13" t="n">
        <x:v>8</x:v>
      </x:c>
      <x:c r="J25" s="13" t="n">
        <x:v>1</x:v>
      </x:c>
      <x:c r="K25" s="12" t="str">
        <x:f>IF(AND(C25&gt;=1,D25&gt;=1,E25&gt;=1,F25&gt;=1,G25&gt;=1,H25=8,I25=8),IF('Study REB Profile'!N25=0,"Complete","Pending REB source"),"Check")</x:f>
        <x:v>Complete</x:v>
      </x:c>
    </x:row>
    <x:row r="26" ht="15" hidden="0" customHeight="1">
      <x:c r="A26" s="13" t="n">
        <x:v>25</x:v>
      </x:c>
      <x:c r="B26" s="13" t="str">
        <x:v>S032</x:v>
      </x:c>
      <x:c r="C26" s="13" t="n">
        <x:v>1</x:v>
      </x:c>
      <x:c r="D26" s="13" t="n">
        <x:v>1</x:v>
      </x:c>
      <x:c r="E26" s="13" t="n">
        <x:v>1</x:v>
      </x:c>
      <x:c r="F26" s="13" t="n">
        <x:v>2</x:v>
      </x:c>
      <x:c r="G26" s="13" t="n">
        <x:v>2</x:v>
      </x:c>
      <x:c r="H26" s="13" t="n">
        <x:v>8</x:v>
      </x:c>
      <x:c r="I26" s="13" t="n">
        <x:v>8</x:v>
      </x:c>
      <x:c r="J26" s="13" t="n">
        <x:v>1</x:v>
      </x:c>
      <x:c r="K26" s="12" t="str">
        <x:f>IF(AND(C26&gt;=1,D26&gt;=1,E26&gt;=1,F26&gt;=1,G26&gt;=1,H26=8,I26=8),IF('Study REB Profile'!N26=0,"Complete","Pending REB source"),"Check")</x:f>
        <x:v>Complete</x:v>
      </x:c>
    </x:row>
    <x:row r="27" ht="15" hidden="0" customHeight="1">
      <x:c r="A27" s="13" t="n">
        <x:v>26</x:v>
      </x:c>
      <x:c r="B27" s="13" t="str">
        <x:v>S033</x:v>
      </x:c>
      <x:c r="C27" s="13" t="n">
        <x:v>1</x:v>
      </x:c>
      <x:c r="D27" s="13" t="n">
        <x:v>1</x:v>
      </x:c>
      <x:c r="E27" s="13" t="n">
        <x:v>1</x:v>
      </x:c>
      <x:c r="F27" s="13" t="n">
        <x:v>2</x:v>
      </x:c>
      <x:c r="G27" s="13" t="n">
        <x:v>3</x:v>
      </x:c>
      <x:c r="H27" s="13" t="n">
        <x:v>8</x:v>
      </x:c>
      <x:c r="I27" s="13" t="n">
        <x:v>8</x:v>
      </x:c>
      <x:c r="J27" s="13" t="n">
        <x:v>1</x:v>
      </x:c>
      <x:c r="K27" s="12" t="str">
        <x:f>IF(AND(C27&gt;=1,D27&gt;=1,E27&gt;=1,F27&gt;=1,G27&gt;=1,H27=8,I27=8),IF('Study REB Profile'!N27=0,"Complete","Pending REB source"),"Check")</x:f>
        <x:v>Complete</x:v>
      </x:c>
    </x:row>
    <x:row r="28" ht="15" hidden="0" customHeight="1">
      <x:c r="A28" s="13" t="n">
        <x:v>27</x:v>
      </x:c>
      <x:c r="B28" s="13" t="str">
        <x:v>S034</x:v>
      </x:c>
      <x:c r="C28" s="13" t="n">
        <x:v>1</x:v>
      </x:c>
      <x:c r="D28" s="13" t="n">
        <x:v>1</x:v>
      </x:c>
      <x:c r="E28" s="13" t="n">
        <x:v>1</x:v>
      </x:c>
      <x:c r="F28" s="13" t="n">
        <x:v>2</x:v>
      </x:c>
      <x:c r="G28" s="13" t="n">
        <x:v>2</x:v>
      </x:c>
      <x:c r="H28" s="13" t="n">
        <x:v>8</x:v>
      </x:c>
      <x:c r="I28" s="13" t="n">
        <x:v>8</x:v>
      </x:c>
      <x:c r="J28" s="13" t="n">
        <x:v>1</x:v>
      </x:c>
      <x:c r="K28" s="12" t="str">
        <x:f>IF(AND(C28&gt;=1,D28&gt;=1,E28&gt;=1,F28&gt;=1,G28&gt;=1,H28=8,I28=8),IF('Study REB Profile'!N28=0,"Complete","Pending REB source"),"Check")</x:f>
        <x:v>Complete</x:v>
      </x:c>
    </x:row>
    <x:row r="29" ht="15" hidden="0" customHeight="1">
      <x:c r="A29" s="13" t="n">
        <x:v>28</x:v>
      </x:c>
      <x:c r="B29" s="13" t="str">
        <x:v>S035</x:v>
      </x:c>
      <x:c r="C29" s="13" t="n">
        <x:v>1</x:v>
      </x:c>
      <x:c r="D29" s="13" t="n">
        <x:v>1</x:v>
      </x:c>
      <x:c r="E29" s="13" t="n">
        <x:v>1</x:v>
      </x:c>
      <x:c r="F29" s="13" t="n">
        <x:v>2</x:v>
      </x:c>
      <x:c r="G29" s="13" t="n">
        <x:v>2</x:v>
      </x:c>
      <x:c r="H29" s="13" t="n">
        <x:v>8</x:v>
      </x:c>
      <x:c r="I29" s="13" t="n">
        <x:v>8</x:v>
      </x:c>
      <x:c r="J29" s="13" t="n">
        <x:v>0</x:v>
      </x:c>
      <x:c r="K29" s="12" t="str">
        <x:f>IF(AND(C29&gt;=1,D29&gt;=1,E29&gt;=1,F29&gt;=1,G29&gt;=1,H29=8,I29=8),IF('Study REB Profile'!N29=0,"Complete","Pending REB source"),"Check")</x:f>
        <x:v>Complete</x:v>
      </x:c>
    </x:row>
    <x:row r="30" ht="15" hidden="0" customHeight="1">
      <x:c r="A30" s="13" t="n">
        <x:v>29</x:v>
      </x:c>
      <x:c r="B30" s="13" t="str">
        <x:v>S036</x:v>
      </x:c>
      <x:c r="C30" s="13" t="n">
        <x:v>1</x:v>
      </x:c>
      <x:c r="D30" s="13" t="n">
        <x:v>1</x:v>
      </x:c>
      <x:c r="E30" s="13" t="n">
        <x:v>1</x:v>
      </x:c>
      <x:c r="F30" s="13" t="n">
        <x:v>2</x:v>
      </x:c>
      <x:c r="G30" s="13" t="n">
        <x:v>2</x:v>
      </x:c>
      <x:c r="H30" s="13" t="n">
        <x:v>8</x:v>
      </x:c>
      <x:c r="I30" s="13" t="n">
        <x:v>8</x:v>
      </x:c>
      <x:c r="J30" s="13" t="n">
        <x:v>1</x:v>
      </x:c>
      <x:c r="K30" s="12" t="str">
        <x:f>IF(AND(C30&gt;=1,D30&gt;=1,E30&gt;=1,F30&gt;=1,G30&gt;=1,H30=8,I30=8),IF('Study REB Profile'!N30=0,"Complete","Pending REB source"),"Check")</x:f>
        <x:v>Complete</x:v>
      </x:c>
    </x:row>
    <x:row r="31" ht="15" hidden="0" customHeight="1">
      <x:c r="A31" s="13" t="n">
        <x:v>30</x:v>
      </x:c>
      <x:c r="B31" s="13" t="str">
        <x:v>S037</x:v>
      </x:c>
      <x:c r="C31" s="13" t="n">
        <x:v>1</x:v>
      </x:c>
      <x:c r="D31" s="13" t="n">
        <x:v>1</x:v>
      </x:c>
      <x:c r="E31" s="13" t="n">
        <x:v>1</x:v>
      </x:c>
      <x:c r="F31" s="13" t="n">
        <x:v>2</x:v>
      </x:c>
      <x:c r="G31" s="13" t="n">
        <x:v>2</x:v>
      </x:c>
      <x:c r="H31" s="13" t="n">
        <x:v>8</x:v>
      </x:c>
      <x:c r="I31" s="13" t="n">
        <x:v>8</x:v>
      </x:c>
      <x:c r="J31" s="13" t="n">
        <x:v>1</x:v>
      </x:c>
      <x:c r="K31" s="12" t="str">
        <x:f>IF(AND(C31&gt;=1,D31&gt;=1,E31&gt;=1,F31&gt;=1,G31&gt;=1,H31=8,I31=8),IF('Study REB Profile'!N31=0,"Complete","Pending REB source"),"Check")</x:f>
        <x:v>Complete</x:v>
      </x:c>
    </x:row>
    <x:row r="32" ht="15" hidden="0" customHeight="1">
      <x:c r="A32" s="13" t="n">
        <x:v>31</x:v>
      </x:c>
      <x:c r="B32" s="13" t="str">
        <x:v>S038</x:v>
      </x:c>
      <x:c r="C32" s="13" t="n">
        <x:v>1</x:v>
      </x:c>
      <x:c r="D32" s="13" t="n">
        <x:v>1</x:v>
      </x:c>
      <x:c r="E32" s="13" t="n">
        <x:v>1</x:v>
      </x:c>
      <x:c r="F32" s="13" t="n">
        <x:v>2</x:v>
      </x:c>
      <x:c r="G32" s="13" t="n">
        <x:v>2</x:v>
      </x:c>
      <x:c r="H32" s="13" t="n">
        <x:v>8</x:v>
      </x:c>
      <x:c r="I32" s="13" t="n">
        <x:v>8</x:v>
      </x:c>
      <x:c r="J32" s="13" t="n">
        <x:v>1</x:v>
      </x:c>
      <x:c r="K32" s="12" t="str">
        <x:f>IF(AND(C32&gt;=1,D32&gt;=1,E32&gt;=1,F32&gt;=1,G32&gt;=1,H32=8,I32=8),IF('Study REB Profile'!N32=0,"Complete","Pending REB source"),"Check")</x:f>
        <x:v>Complete</x:v>
      </x:c>
    </x:row>
    <x:row r="33" ht="15" hidden="0" customHeight="1">
      <x:c r="A33" s="13" t="n">
        <x:v>32</x:v>
      </x:c>
      <x:c r="B33" s="13" t="str">
        <x:v>S039</x:v>
      </x:c>
      <x:c r="C33" s="13" t="n">
        <x:v>1</x:v>
      </x:c>
      <x:c r="D33" s="13" t="n">
        <x:v>1</x:v>
      </x:c>
      <x:c r="E33" s="13" t="n">
        <x:v>1</x:v>
      </x:c>
      <x:c r="F33" s="13" t="n">
        <x:v>2</x:v>
      </x:c>
      <x:c r="G33" s="13" t="n">
        <x:v>2</x:v>
      </x:c>
      <x:c r="H33" s="13" t="n">
        <x:v>8</x:v>
      </x:c>
      <x:c r="I33" s="13" t="n">
        <x:v>8</x:v>
      </x:c>
      <x:c r="J33" s="13" t="n">
        <x:v>0</x:v>
      </x:c>
      <x:c r="K33" s="12" t="str">
        <x:f>IF(AND(C33&gt;=1,D33&gt;=1,E33&gt;=1,F33&gt;=1,G33&gt;=1,H33=8,I33=8),IF('Study REB Profile'!N33=0,"Complete","Pending REB source"),"Check")</x:f>
        <x:v>Complete</x:v>
      </x:c>
    </x:row>
    <x:row r="34" ht="15" hidden="0" customHeight="1">
      <x:c r="A34" s="13" t="n">
        <x:v>33</x:v>
      </x:c>
      <x:c r="B34" s="13" t="str">
        <x:v>S043</x:v>
      </x:c>
      <x:c r="C34" s="13" t="n">
        <x:v>1</x:v>
      </x:c>
      <x:c r="D34" s="13" t="n">
        <x:v>1</x:v>
      </x:c>
      <x:c r="E34" s="13" t="n">
        <x:v>1</x:v>
      </x:c>
      <x:c r="F34" s="13" t="n">
        <x:v>2</x:v>
      </x:c>
      <x:c r="G34" s="13" t="n">
        <x:v>2</x:v>
      </x:c>
      <x:c r="H34" s="13" t="n">
        <x:v>8</x:v>
      </x:c>
      <x:c r="I34" s="13" t="n">
        <x:v>8</x:v>
      </x:c>
      <x:c r="J34" s="13" t="n">
        <x:v>1</x:v>
      </x:c>
      <x:c r="K34" s="12" t="str">
        <x:f>IF(AND(C34&gt;=1,D34&gt;=1,E34&gt;=1,F34&gt;=1,G34&gt;=1,H34=8,I34=8),IF('Study REB Profile'!N34=0,"Complete","Pending REB source"),"Check")</x:f>
        <x:v>Complete</x:v>
      </x:c>
    </x:row>
    <x:row r="35" ht="15" hidden="0" customHeight="1">
      <x:c r="A35" s="13" t="n">
        <x:v>34</x:v>
      </x:c>
      <x:c r="B35" s="13" t="str">
        <x:v>S044</x:v>
      </x:c>
      <x:c r="C35" s="13" t="n">
        <x:v>1</x:v>
      </x:c>
      <x:c r="D35" s="13" t="n">
        <x:v>1</x:v>
      </x:c>
      <x:c r="E35" s="13" t="n">
        <x:v>1</x:v>
      </x:c>
      <x:c r="F35" s="13" t="n">
        <x:v>2</x:v>
      </x:c>
      <x:c r="G35" s="13" t="n">
        <x:v>2</x:v>
      </x:c>
      <x:c r="H35" s="13" t="n">
        <x:v>8</x:v>
      </x:c>
      <x:c r="I35" s="13" t="n">
        <x:v>8</x:v>
      </x:c>
      <x:c r="J35" s="13" t="n">
        <x:v>0</x:v>
      </x:c>
      <x:c r="K35" s="12" t="str">
        <x:f>IF(AND(C35&gt;=1,D35&gt;=1,E35&gt;=1,F35&gt;=1,G35&gt;=1,H35=8,I35=8),IF('Study REB Profile'!N35=0,"Complete","Pending REB source"),"Check")</x:f>
        <x:v>Complete</x:v>
      </x:c>
    </x:row>
    <x:row r="36" ht="15" hidden="0" customHeight="1">
      <x:c r="A36" s="13" t="n">
        <x:v>35</x:v>
      </x:c>
      <x:c r="B36" s="13" t="str">
        <x:v>S046</x:v>
      </x:c>
      <x:c r="C36" s="13" t="n">
        <x:v>2</x:v>
      </x:c>
      <x:c r="D36" s="13" t="n">
        <x:v>1</x:v>
      </x:c>
      <x:c r="E36" s="13" t="n">
        <x:v>1</x:v>
      </x:c>
      <x:c r="F36" s="13" t="n">
        <x:v>2</x:v>
      </x:c>
      <x:c r="G36" s="13" t="n">
        <x:v>2</x:v>
      </x:c>
      <x:c r="H36" s="13" t="n">
        <x:v>8</x:v>
      </x:c>
      <x:c r="I36" s="13" t="n">
        <x:v>8</x:v>
      </x:c>
      <x:c r="J36" s="13" t="n">
        <x:v>1</x:v>
      </x:c>
      <x:c r="K36" s="12" t="str">
        <x:f>IF(AND(C36&gt;=1,D36&gt;=1,E36&gt;=1,F36&gt;=1,G36&gt;=1,H36=8,I36=8),IF('Study REB Profile'!N36=0,"Complete","Pending REB source"),"Check")</x:f>
        <x:v>Complete</x:v>
      </x:c>
    </x:row>
    <x:row r="37" ht="15" hidden="0" customHeight="1">
      <x:c r="A37" s="13" t="n">
        <x:v>36</x:v>
      </x:c>
      <x:c r="B37" s="13" t="str">
        <x:v>S047</x:v>
      </x:c>
      <x:c r="C37" s="13" t="n">
        <x:v>1</x:v>
      </x:c>
      <x:c r="D37" s="13" t="n">
        <x:v>1</x:v>
      </x:c>
      <x:c r="E37" s="13" t="n">
        <x:v>1</x:v>
      </x:c>
      <x:c r="F37" s="13" t="n">
        <x:v>2</x:v>
      </x:c>
      <x:c r="G37" s="13" t="n">
        <x:v>2</x:v>
      </x:c>
      <x:c r="H37" s="13" t="n">
        <x:v>8</x:v>
      </x:c>
      <x:c r="I37" s="13" t="n">
        <x:v>8</x:v>
      </x:c>
      <x:c r="J37" s="13" t="n">
        <x:v>2</x:v>
      </x:c>
      <x:c r="K37" s="12" t="str">
        <x:f>IF(AND(C37&gt;=1,D37&gt;=1,E37&gt;=1,F37&gt;=1,G37&gt;=1,H37=8,I37=8),IF('Study REB Profile'!N37=0,"Complete","Pending REB source"),"Check")</x:f>
        <x:v>Complete</x:v>
      </x:c>
    </x:row>
    <x:row r="38" ht="15" hidden="0" customHeight="1">
      <x:c r="A38" s="13" t="n">
        <x:v>37</x:v>
      </x:c>
      <x:c r="B38" s="13" t="str">
        <x:v>S048</x:v>
      </x:c>
      <x:c r="C38" s="13" t="n">
        <x:v>1</x:v>
      </x:c>
      <x:c r="D38" s="13" t="n">
        <x:v>1</x:v>
      </x:c>
      <x:c r="E38" s="13" t="n">
        <x:v>1</x:v>
      </x:c>
      <x:c r="F38" s="13" t="n">
        <x:v>3</x:v>
      </x:c>
      <x:c r="G38" s="13" t="n">
        <x:v>2</x:v>
      </x:c>
      <x:c r="H38" s="13" t="n">
        <x:v>8</x:v>
      </x:c>
      <x:c r="I38" s="13" t="n">
        <x:v>8</x:v>
      </x:c>
      <x:c r="J38" s="13" t="n">
        <x:v>0</x:v>
      </x:c>
      <x:c r="K38" s="12" t="str">
        <x:f>IF(AND(C38&gt;=1,D38&gt;=1,E38&gt;=1,F38&gt;=1,G38&gt;=1,H38=8,I38=8),IF('Study REB Profile'!N38=0,"Complete","Pending REB source"),"Check")</x:f>
        <x:v>Complete</x:v>
      </x:c>
    </x:row>
    <x:row r="39" ht="15" hidden="0" customHeight="1">
      <x:c r="A39" s="13" t="n">
        <x:v>38</x:v>
      </x:c>
      <x:c r="B39" s="13" t="str">
        <x:v>S050</x:v>
      </x:c>
      <x:c r="C39" s="13" t="n">
        <x:v>1</x:v>
      </x:c>
      <x:c r="D39" s="13" t="n">
        <x:v>1</x:v>
      </x:c>
      <x:c r="E39" s="13" t="n">
        <x:v>1</x:v>
      </x:c>
      <x:c r="F39" s="13" t="n">
        <x:v>2</x:v>
      </x:c>
      <x:c r="G39" s="13" t="n">
        <x:v>2</x:v>
      </x:c>
      <x:c r="H39" s="13" t="n">
        <x:v>8</x:v>
      </x:c>
      <x:c r="I39" s="13" t="n">
        <x:v>8</x:v>
      </x:c>
      <x:c r="J39" s="13" t="n">
        <x:v>0</x:v>
      </x:c>
      <x:c r="K39" s="12" t="str">
        <x:f>IF(AND(C39&gt;=1,D39&gt;=1,E39&gt;=1,F39&gt;=1,G39&gt;=1,H39=8,I39=8),IF('Study REB Profile'!N39=0,"Complete","Pending REB source"),"Check")</x:f>
        <x:v>Complete</x:v>
      </x:c>
    </x:row>
    <x:row r="40" ht="15" hidden="0" customHeight="1">
      <x:c r="A40" s="13" t="n">
        <x:v>39</x:v>
      </x:c>
      <x:c r="B40" s="13" t="str">
        <x:v>S051</x:v>
      </x:c>
      <x:c r="C40" s="13" t="n">
        <x:v>1</x:v>
      </x:c>
      <x:c r="D40" s="13" t="n">
        <x:v>1</x:v>
      </x:c>
      <x:c r="E40" s="13" t="n">
        <x:v>1</x:v>
      </x:c>
      <x:c r="F40" s="13" t="n">
        <x:v>1</x:v>
      </x:c>
      <x:c r="G40" s="13" t="n">
        <x:v>2</x:v>
      </x:c>
      <x:c r="H40" s="13" t="n">
        <x:v>8</x:v>
      </x:c>
      <x:c r="I40" s="13" t="n">
        <x:v>8</x:v>
      </x:c>
      <x:c r="J40" s="13" t="n">
        <x:v>1</x:v>
      </x:c>
      <x:c r="K40" s="12" t="str">
        <x:f>IF(AND(C40&gt;=1,D40&gt;=1,E40&gt;=1,F40&gt;=1,G40&gt;=1,H40=8,I40=8),IF('Study REB Profile'!N40=0,"Complete","Pending REB source"),"Check")</x:f>
        <x:v>Complete</x:v>
      </x:c>
    </x:row>
    <x:row r="41" ht="15" hidden="0" customHeight="1">
      <x:c r="A41" s="13" t="n">
        <x:v>40</x:v>
      </x:c>
      <x:c r="B41" s="13" t="str">
        <x:v>S052</x:v>
      </x:c>
      <x:c r="C41" s="13" t="n">
        <x:v>1</x:v>
      </x:c>
      <x:c r="D41" s="13" t="n">
        <x:v>1</x:v>
      </x:c>
      <x:c r="E41" s="13" t="n">
        <x:v>1</x:v>
      </x:c>
      <x:c r="F41" s="13" t="n">
        <x:v>2</x:v>
      </x:c>
      <x:c r="G41" s="13" t="n">
        <x:v>3</x:v>
      </x:c>
      <x:c r="H41" s="13" t="n">
        <x:v>8</x:v>
      </x:c>
      <x:c r="I41" s="13" t="n">
        <x:v>8</x:v>
      </x:c>
      <x:c r="J41" s="13" t="n">
        <x:v>2</x:v>
      </x:c>
      <x:c r="K41" s="12" t="str">
        <x:f>IF(AND(C41&gt;=1,D41&gt;=1,E41&gt;=1,F41&gt;=1,G41&gt;=1,H41=8,I41=8),IF('Study REB Profile'!N41=0,"Complete","Pending REB source"),"Check")</x:f>
        <x:v>Complete</x:v>
      </x:c>
    </x:row>
    <x:row r="42" ht="15" hidden="0" customHeight="1">
      <x:c r="A42" s="13" t="n">
        <x:v>41</x:v>
      </x:c>
      <x:c r="B42" s="13" t="str">
        <x:v>S053</x:v>
      </x:c>
      <x:c r="C42" s="13" t="n">
        <x:v>1</x:v>
      </x:c>
      <x:c r="D42" s="13" t="n">
        <x:v>1</x:v>
      </x:c>
      <x:c r="E42" s="13" t="n">
        <x:v>1</x:v>
      </x:c>
      <x:c r="F42" s="13" t="n">
        <x:v>2</x:v>
      </x:c>
      <x:c r="G42" s="13" t="n">
        <x:v>2</x:v>
      </x:c>
      <x:c r="H42" s="13" t="n">
        <x:v>8</x:v>
      </x:c>
      <x:c r="I42" s="13" t="n">
        <x:v>8</x:v>
      </x:c>
      <x:c r="J42" s="13" t="n">
        <x:v>0</x:v>
      </x:c>
      <x:c r="K42" s="12" t="str">
        <x:f>IF(AND(C42&gt;=1,D42&gt;=1,E42&gt;=1,F42&gt;=1,G42&gt;=1,H42=8,I42=8),IF('Study REB Profile'!N42=0,"Complete","Pending REB source"),"Check")</x:f>
        <x:v>Complete</x:v>
      </x:c>
    </x:row>
    <x:row r="43" ht="15" hidden="0" customHeight="1">
      <x:c r="A43" s="13" t="n">
        <x:v>42</x:v>
      </x:c>
      <x:c r="B43" s="13" t="str">
        <x:v>S054</x:v>
      </x:c>
      <x:c r="C43" s="13" t="n">
        <x:v>1</x:v>
      </x:c>
      <x:c r="D43" s="13" t="n">
        <x:v>1</x:v>
      </x:c>
      <x:c r="E43" s="13" t="n">
        <x:v>1</x:v>
      </x:c>
      <x:c r="F43" s="13" t="n">
        <x:v>1</x:v>
      </x:c>
      <x:c r="G43" s="13" t="n">
        <x:v>1</x:v>
      </x:c>
      <x:c r="H43" s="13" t="n">
        <x:v>8</x:v>
      </x:c>
      <x:c r="I43" s="13" t="n">
        <x:v>8</x:v>
      </x:c>
      <x:c r="J43" s="13" t="n">
        <x:v>1</x:v>
      </x:c>
      <x:c r="K43" s="12" t="str">
        <x:f>IF(AND(C43&gt;=1,D43&gt;=1,E43&gt;=1,F43&gt;=1,G43&gt;=1,H43=8,I43=8),IF('Study REB Profile'!N43=0,"Complete","Pending REB source"),"Check")</x:f>
        <x:v>Complete</x:v>
      </x:c>
    </x:row>
    <x:row r="44" ht="15" hidden="0" customHeight="1">
      <x:c r="A44" s="13" t="n">
        <x:v>43</x:v>
      </x:c>
      <x:c r="B44" s="13" t="str">
        <x:v>S055</x:v>
      </x:c>
      <x:c r="C44" s="13" t="n">
        <x:v>1</x:v>
      </x:c>
      <x:c r="D44" s="13" t="n">
        <x:v>1</x:v>
      </x:c>
      <x:c r="E44" s="13" t="n">
        <x:v>1</x:v>
      </x:c>
      <x:c r="F44" s="13" t="n">
        <x:v>2</x:v>
      </x:c>
      <x:c r="G44" s="13" t="n">
        <x:v>2</x:v>
      </x:c>
      <x:c r="H44" s="13" t="n">
        <x:v>8</x:v>
      </x:c>
      <x:c r="I44" s="13" t="n">
        <x:v>8</x:v>
      </x:c>
      <x:c r="J44" s="13" t="n">
        <x:v>0</x:v>
      </x:c>
      <x:c r="K44" s="12" t="str">
        <x:f>IF(AND(C44&gt;=1,D44&gt;=1,E44&gt;=1,F44&gt;=1,G44&gt;=1,H44=8,I44=8),IF('Study REB Profile'!N44=0,"Complete","Pending REB source"),"Check")</x:f>
        <x:v>Complete</x:v>
      </x:c>
    </x:row>
    <x:row r="45" ht="15" hidden="0" customHeight="1">
      <x:c r="A45" s="13" t="n">
        <x:v>44</x:v>
      </x:c>
      <x:c r="B45" s="13" t="str">
        <x:v>S056</x:v>
      </x:c>
      <x:c r="C45" s="13" t="n">
        <x:v>1</x:v>
      </x:c>
      <x:c r="D45" s="13" t="n">
        <x:v>1</x:v>
      </x:c>
      <x:c r="E45" s="13" t="n">
        <x:v>1</x:v>
      </x:c>
      <x:c r="F45" s="13" t="n">
        <x:v>2</x:v>
      </x:c>
      <x:c r="G45" s="13" t="n">
        <x:v>2</x:v>
      </x:c>
      <x:c r="H45" s="13" t="n">
        <x:v>8</x:v>
      </x:c>
      <x:c r="I45" s="13" t="n">
        <x:v>8</x:v>
      </x:c>
      <x:c r="J45" s="13" t="n">
        <x:v>0</x:v>
      </x:c>
      <x:c r="K45" s="12" t="str">
        <x:f>IF(AND(C45&gt;=1,D45&gt;=1,E45&gt;=1,F45&gt;=1,G45&gt;=1,H45=8,I45=8),IF('Study REB Profile'!N45=0,"Complete","Pending REB source"),"Check")</x:f>
        <x:v>Complete</x:v>
      </x:c>
    </x:row>
    <x:row r="46" ht="15" hidden="0" customHeight="1">
      <x:c r="A46" s="13" t="n">
        <x:v>45</x:v>
      </x:c>
      <x:c r="B46" s="13" t="str">
        <x:v>S057</x:v>
      </x:c>
      <x:c r="C46" s="13" t="n">
        <x:v>1</x:v>
      </x:c>
      <x:c r="D46" s="13" t="n">
        <x:v>1</x:v>
      </x:c>
      <x:c r="E46" s="13" t="n">
        <x:v>1</x:v>
      </x:c>
      <x:c r="F46" s="13" t="n">
        <x:v>2</x:v>
      </x:c>
      <x:c r="G46" s="13" t="n">
        <x:v>2</x:v>
      </x:c>
      <x:c r="H46" s="13" t="n">
        <x:v>8</x:v>
      </x:c>
      <x:c r="I46" s="13" t="n">
        <x:v>8</x:v>
      </x:c>
      <x:c r="J46" s="13" t="n">
        <x:v>0</x:v>
      </x:c>
      <x:c r="K46" s="12" t="str">
        <x:f>IF(AND(C46&gt;=1,D46&gt;=1,E46&gt;=1,F46&gt;=1,G46&gt;=1,H46=8,I46=8),IF('Study REB Profile'!N46=0,"Complete","Pending REB source"),"Check")</x:f>
        <x:v>Complete</x:v>
      </x:c>
    </x:row>
    <x:row r="47" ht="15" hidden="0" customHeight="1">
      <x:c r="A47" s="13" t="n">
        <x:v>46</x:v>
      </x:c>
      <x:c r="B47" s="13" t="str">
        <x:v>S058</x:v>
      </x:c>
      <x:c r="C47" s="13" t="n">
        <x:v>1</x:v>
      </x:c>
      <x:c r="D47" s="13" t="n">
        <x:v>1</x:v>
      </x:c>
      <x:c r="E47" s="13" t="n">
        <x:v>1</x:v>
      </x:c>
      <x:c r="F47" s="13" t="n">
        <x:v>2</x:v>
      </x:c>
      <x:c r="G47" s="13" t="n">
        <x:v>2</x:v>
      </x:c>
      <x:c r="H47" s="13" t="n">
        <x:v>8</x:v>
      </x:c>
      <x:c r="I47" s="13" t="n">
        <x:v>8</x:v>
      </x:c>
      <x:c r="J47" s="13" t="n">
        <x:v>1</x:v>
      </x:c>
      <x:c r="K47" s="12" t="str">
        <x:f>IF(AND(C47&gt;=1,D47&gt;=1,E47&gt;=1,F47&gt;=1,G47&gt;=1,H47=8,I47=8),IF('Study REB Profile'!N47=0,"Complete","Pending REB source"),"Check")</x:f>
        <x:v>Complete</x:v>
      </x:c>
    </x:row>
    <x:row r="48" ht="15" hidden="0" customHeight="1">
      <x:c r="A48" s="13" t="n">
        <x:v>47</x:v>
      </x:c>
      <x:c r="B48" s="13" t="str">
        <x:v>S059</x:v>
      </x:c>
      <x:c r="C48" s="13" t="n">
        <x:v>1</x:v>
      </x:c>
      <x:c r="D48" s="13" t="n">
        <x:v>1</x:v>
      </x:c>
      <x:c r="E48" s="13" t="n">
        <x:v>1</x:v>
      </x:c>
      <x:c r="F48" s="13" t="n">
        <x:v>2</x:v>
      </x:c>
      <x:c r="G48" s="13" t="n">
        <x:v>2</x:v>
      </x:c>
      <x:c r="H48" s="13" t="n">
        <x:v>8</x:v>
      </x:c>
      <x:c r="I48" s="13" t="n">
        <x:v>8</x:v>
      </x:c>
      <x:c r="J48" s="13" t="n">
        <x:v>1</x:v>
      </x:c>
      <x:c r="K48" s="12" t="str">
        <x:f>IF(AND(C48&gt;=1,D48&gt;=1,E48&gt;=1,F48&gt;=1,G48&gt;=1,H48=8,I48=8),IF('Study REB Profile'!N48=0,"Complete","Pending REB source"),"Check")</x:f>
        <x:v>Complete</x:v>
      </x:c>
    </x:row>
    <x:row r="49" ht="15" hidden="0" customHeight="1">
      <x:c r="A49" s="13" t="n">
        <x:v>48</x:v>
      </x:c>
      <x:c r="B49" s="13" t="str">
        <x:v>S060</x:v>
      </x:c>
      <x:c r="C49" s="13" t="n">
        <x:v>1</x:v>
      </x:c>
      <x:c r="D49" s="13" t="n">
        <x:v>1</x:v>
      </x:c>
      <x:c r="E49" s="13" t="n">
        <x:v>1</x:v>
      </x:c>
      <x:c r="F49" s="13" t="n">
        <x:v>2</x:v>
      </x:c>
      <x:c r="G49" s="13" t="n">
        <x:v>1</x:v>
      </x:c>
      <x:c r="H49" s="13" t="n">
        <x:v>8</x:v>
      </x:c>
      <x:c r="I49" s="13" t="n">
        <x:v>8</x:v>
      </x:c>
      <x:c r="J49" s="13" t="n">
        <x:v>0</x:v>
      </x:c>
      <x:c r="K49" s="12" t="str">
        <x:f>IF(AND(C49&gt;=1,D49&gt;=1,E49&gt;=1,F49&gt;=1,G49&gt;=1,H49=8,I49=8),IF('Study REB Profile'!N49=0,"Complete","Pending REB source"),"Check")</x:f>
        <x:v>Complete</x:v>
      </x:c>
    </x:row>
    <x:row r="50" ht="15" hidden="0" customHeight="1">
      <x:c r="A50" s="13" t="n">
        <x:v>49</x:v>
      </x:c>
      <x:c r="B50" s="13" t="str">
        <x:v>S061</x:v>
      </x:c>
      <x:c r="C50" s="13" t="n">
        <x:v>1</x:v>
      </x:c>
      <x:c r="D50" s="13" t="n">
        <x:v>1</x:v>
      </x:c>
      <x:c r="E50" s="13" t="n">
        <x:v>1</x:v>
      </x:c>
      <x:c r="F50" s="13" t="n">
        <x:v>2</x:v>
      </x:c>
      <x:c r="G50" s="13" t="n">
        <x:v>2</x:v>
      </x:c>
      <x:c r="H50" s="13" t="n">
        <x:v>8</x:v>
      </x:c>
      <x:c r="I50" s="13" t="n">
        <x:v>8</x:v>
      </x:c>
      <x:c r="J50" s="13" t="n">
        <x:v>1</x:v>
      </x:c>
      <x:c r="K50" s="12" t="str">
        <x:f>IF(AND(C50&gt;=1,D50&gt;=1,E50&gt;=1,F50&gt;=1,G50&gt;=1,H50=8,I50=8),IF('Study REB Profile'!N50=0,"Complete","Pending REB source"),"Check")</x:f>
        <x:v>Complete</x:v>
      </x:c>
    </x:row>
    <x:row r="51" ht="15" hidden="0" customHeight="1">
      <x:c r="A51" s="13" t="n">
        <x:v>50</x:v>
      </x:c>
      <x:c r="B51" s="13" t="str">
        <x:v>S063</x:v>
      </x:c>
      <x:c r="C51" s="13" t="n">
        <x:v>1</x:v>
      </x:c>
      <x:c r="D51" s="13" t="n">
        <x:v>1</x:v>
      </x:c>
      <x:c r="E51" s="13" t="n">
        <x:v>1</x:v>
      </x:c>
      <x:c r="F51" s="13" t="n">
        <x:v>2</x:v>
      </x:c>
      <x:c r="G51" s="13" t="n">
        <x:v>2</x:v>
      </x:c>
      <x:c r="H51" s="13" t="n">
        <x:v>8</x:v>
      </x:c>
      <x:c r="I51" s="13" t="n">
        <x:v>8</x:v>
      </x:c>
      <x:c r="J51" s="13" t="n">
        <x:v>0</x:v>
      </x:c>
      <x:c r="K51" s="12" t="str">
        <x:f>IF(AND(C51&gt;=1,D51&gt;=1,E51&gt;=1,F51&gt;=1,G51&gt;=1,H51=8,I51=8),IF('Study REB Profile'!N51=0,"Complete","Pending REB source"),"Check")</x:f>
        <x:v>Complete</x:v>
      </x:c>
    </x:row>
    <x:row r="52" ht="15" hidden="0" customHeight="1">
      <x:c r="A52" s="13" t="n">
        <x:v>51</x:v>
      </x:c>
      <x:c r="B52" s="13" t="str">
        <x:v>S064</x:v>
      </x:c>
      <x:c r="C52" s="13" t="n">
        <x:v>1</x:v>
      </x:c>
      <x:c r="D52" s="13" t="n">
        <x:v>1</x:v>
      </x:c>
      <x:c r="E52" s="13" t="n">
        <x:v>1</x:v>
      </x:c>
      <x:c r="F52" s="13" t="n">
        <x:v>2</x:v>
      </x:c>
      <x:c r="G52" s="13" t="n">
        <x:v>1</x:v>
      </x:c>
      <x:c r="H52" s="13" t="n">
        <x:v>8</x:v>
      </x:c>
      <x:c r="I52" s="13" t="n">
        <x:v>8</x:v>
      </x:c>
      <x:c r="J52" s="13" t="n">
        <x:v>1</x:v>
      </x:c>
      <x:c r="K52" s="12" t="str">
        <x:f>IF(AND(C52&gt;=1,D52&gt;=1,E52&gt;=1,F52&gt;=1,G52&gt;=1,H52=8,I52=8),IF('Study REB Profile'!N52=0,"Complete","Pending REB source"),"Check")</x:f>
        <x:v>Complete</x:v>
      </x:c>
    </x:row>
    <x:row r="53" ht="15" hidden="0" customHeight="1">
      <x:c r="A53" s="13" t="n">
        <x:v>52</x:v>
      </x:c>
      <x:c r="B53" s="13" t="str">
        <x:v>S065</x:v>
      </x:c>
      <x:c r="C53" s="13" t="n">
        <x:v>1</x:v>
      </x:c>
      <x:c r="D53" s="13" t="n">
        <x:v>1</x:v>
      </x:c>
      <x:c r="E53" s="13" t="n">
        <x:v>1</x:v>
      </x:c>
      <x:c r="F53" s="13" t="n">
        <x:v>2</x:v>
      </x:c>
      <x:c r="G53" s="13" t="n">
        <x:v>2</x:v>
      </x:c>
      <x:c r="H53" s="13" t="n">
        <x:v>8</x:v>
      </x:c>
      <x:c r="I53" s="13" t="n">
        <x:v>8</x:v>
      </x:c>
      <x:c r="J53" s="13" t="n">
        <x:v>0</x:v>
      </x:c>
      <x:c r="K53" s="12" t="str">
        <x:f>IF(AND(C53&gt;=1,D53&gt;=1,E53&gt;=1,F53&gt;=1,G53&gt;=1,H53=8,I53=8),IF('Study REB Profile'!N53=0,"Complete","Pending REB source"),"Check")</x:f>
        <x:v>Complete</x:v>
      </x:c>
    </x:row>
    <x:row r="54" ht="15" hidden="0" customHeight="1">
      <x:c r="A54" s="13" t="n">
        <x:v>53</x:v>
      </x:c>
      <x:c r="B54" s="13" t="str">
        <x:v>S066</x:v>
      </x:c>
      <x:c r="C54" s="13" t="n">
        <x:v>1</x:v>
      </x:c>
      <x:c r="D54" s="13" t="n">
        <x:v>1</x:v>
      </x:c>
      <x:c r="E54" s="13" t="n">
        <x:v>1</x:v>
      </x:c>
      <x:c r="F54" s="13" t="n">
        <x:v>2</x:v>
      </x:c>
      <x:c r="G54" s="13" t="n">
        <x:v>1</x:v>
      </x:c>
      <x:c r="H54" s="13" t="n">
        <x:v>8</x:v>
      </x:c>
      <x:c r="I54" s="13" t="n">
        <x:v>8</x:v>
      </x:c>
      <x:c r="J54" s="13" t="n">
        <x:v>0</x:v>
      </x:c>
      <x:c r="K54" s="12" t="str">
        <x:f>IF(AND(C54&gt;=1,D54&gt;=1,E54&gt;=1,F54&gt;=1,G54&gt;=1,H54=8,I54=8),IF('Study REB Profile'!N54=0,"Complete","Pending REB source"),"Check")</x:f>
        <x:v>Complete</x:v>
      </x:c>
    </x:row>
    <x:row r="55" ht="15" hidden="0" customHeight="1">
      <x:c r="A55" s="13" t="n">
        <x:v>54</x:v>
      </x:c>
      <x:c r="B55" s="13" t="str">
        <x:v>S067</x:v>
      </x:c>
      <x:c r="C55" s="13" t="n">
        <x:v>1</x:v>
      </x:c>
      <x:c r="D55" s="13" t="n">
        <x:v>1</x:v>
      </x:c>
      <x:c r="E55" s="13" t="n">
        <x:v>1</x:v>
      </x:c>
      <x:c r="F55" s="13" t="n">
        <x:v>2</x:v>
      </x:c>
      <x:c r="G55" s="13" t="n">
        <x:v>2</x:v>
      </x:c>
      <x:c r="H55" s="13" t="n">
        <x:v>8</x:v>
      </x:c>
      <x:c r="I55" s="13" t="n">
        <x:v>8</x:v>
      </x:c>
      <x:c r="J55" s="13" t="n">
        <x:v>0</x:v>
      </x:c>
      <x:c r="K55" s="12" t="str">
        <x:f>IF(AND(C55&gt;=1,D55&gt;=1,E55&gt;=1,F55&gt;=1,G55&gt;=1,H55=8,I55=8),IF('Study REB Profile'!N55=0,"Complete","Pending REB source"),"Check")</x:f>
        <x:v>Complete</x:v>
      </x:c>
    </x:row>
    <x:row r="56" ht="15" hidden="0" customHeight="1">
      <x:c r="A56" s="13" t="n">
        <x:v>55</x:v>
      </x:c>
      <x:c r="B56" s="13" t="str">
        <x:v>S068</x:v>
      </x:c>
      <x:c r="C56" s="13" t="n">
        <x:v>1</x:v>
      </x:c>
      <x:c r="D56" s="13" t="n">
        <x:v>1</x:v>
      </x:c>
      <x:c r="E56" s="13" t="n">
        <x:v>1</x:v>
      </x:c>
      <x:c r="F56" s="13" t="n">
        <x:v>2</x:v>
      </x:c>
      <x:c r="G56" s="13" t="n">
        <x:v>2</x:v>
      </x:c>
      <x:c r="H56" s="13" t="n">
        <x:v>8</x:v>
      </x:c>
      <x:c r="I56" s="13" t="n">
        <x:v>8</x:v>
      </x:c>
      <x:c r="J56" s="13" t="n">
        <x:v>1</x:v>
      </x:c>
      <x:c r="K56" s="12" t="str">
        <x:f>IF(AND(C56&gt;=1,D56&gt;=1,E56&gt;=1,F56&gt;=1,G56&gt;=1,H56=8,I56=8),IF('Study REB Profile'!N56=0,"Complete","Pending REB source"),"Check")</x:f>
        <x:v>Complete</x:v>
      </x:c>
    </x:row>
    <x:row r="57" ht="15" hidden="0" customHeight="1">
      <x:c r="A57" s="13" t="n">
        <x:v>56</x:v>
      </x:c>
      <x:c r="B57" s="13" t="str">
        <x:v>S069</x:v>
      </x:c>
      <x:c r="C57" s="13" t="n">
        <x:v>1</x:v>
      </x:c>
      <x:c r="D57" s="13" t="n">
        <x:v>1</x:v>
      </x:c>
      <x:c r="E57" s="13" t="n">
        <x:v>1</x:v>
      </x:c>
      <x:c r="F57" s="13" t="n">
        <x:v>2</x:v>
      </x:c>
      <x:c r="G57" s="13" t="n">
        <x:v>2</x:v>
      </x:c>
      <x:c r="H57" s="13" t="n">
        <x:v>8</x:v>
      </x:c>
      <x:c r="I57" s="13" t="n">
        <x:v>8</x:v>
      </x:c>
      <x:c r="J57" s="13" t="n">
        <x:v>1</x:v>
      </x:c>
      <x:c r="K57" s="12" t="str">
        <x:f>IF(AND(C57&gt;=1,D57&gt;=1,E57&gt;=1,F57&gt;=1,G57&gt;=1,H57=8,I57=8),IF('Study REB Profile'!N57=0,"Complete","Pending REB source"),"Check")</x:f>
        <x:v>Complete</x:v>
      </x:c>
    </x:row>
    <x:row r="58" ht="15" hidden="0" customHeight="1">
      <x:c r="A58" s="13" t="n">
        <x:v>57</x:v>
      </x:c>
      <x:c r="B58" s="13" t="str">
        <x:v>S070</x:v>
      </x:c>
      <x:c r="C58" s="13" t="n">
        <x:v>1</x:v>
      </x:c>
      <x:c r="D58" s="13" t="n">
        <x:v>1</x:v>
      </x:c>
      <x:c r="E58" s="13" t="n">
        <x:v>1</x:v>
      </x:c>
      <x:c r="F58" s="13" t="n">
        <x:v>2</x:v>
      </x:c>
      <x:c r="G58" s="13" t="n">
        <x:v>2</x:v>
      </x:c>
      <x:c r="H58" s="13" t="n">
        <x:v>8</x:v>
      </x:c>
      <x:c r="I58" s="13" t="n">
        <x:v>8</x:v>
      </x:c>
      <x:c r="J58" s="13" t="n">
        <x:v>0</x:v>
      </x:c>
      <x:c r="K58" s="12" t="str">
        <x:f>IF(AND(C58&gt;=1,D58&gt;=1,E58&gt;=1,F58&gt;=1,G58&gt;=1,H58=8,I58=8),IF('Study REB Profile'!N58=0,"Complete","Pending REB source"),"Check")</x:f>
        <x:v>Complete</x:v>
      </x:c>
    </x:row>
    <x:row r="59" ht="15" hidden="0" customHeight="1">
      <x:c r="A59" s="13" t="n">
        <x:v>58</x:v>
      </x:c>
      <x:c r="B59" s="13" t="str">
        <x:v>S071</x:v>
      </x:c>
      <x:c r="C59" s="13" t="n">
        <x:v>1</x:v>
      </x:c>
      <x:c r="D59" s="13" t="n">
        <x:v>1</x:v>
      </x:c>
      <x:c r="E59" s="13" t="n">
        <x:v>1</x:v>
      </x:c>
      <x:c r="F59" s="13" t="n">
        <x:v>2</x:v>
      </x:c>
      <x:c r="G59" s="13" t="n">
        <x:v>2</x:v>
      </x:c>
      <x:c r="H59" s="13" t="n">
        <x:v>8</x:v>
      </x:c>
      <x:c r="I59" s="13" t="n">
        <x:v>8</x:v>
      </x:c>
      <x:c r="J59" s="13" t="n">
        <x:v>1</x:v>
      </x:c>
      <x:c r="K59" s="12" t="str">
        <x:f>IF(AND(C59&gt;=1,D59&gt;=1,E59&gt;=1,F59&gt;=1,G59&gt;=1,H59=8,I59=8),IF('Study REB Profile'!N59=0,"Complete","Pending REB source"),"Check")</x:f>
        <x:v>Complete</x:v>
      </x:c>
    </x:row>
    <x:row r="60" ht="15" hidden="0" customHeight="1">
      <x:c r="A60" s="13" t="n">
        <x:v>59</x:v>
      </x:c>
      <x:c r="B60" s="13" t="str">
        <x:v>S073</x:v>
      </x:c>
      <x:c r="C60" s="13" t="n">
        <x:v>1</x:v>
      </x:c>
      <x:c r="D60" s="13" t="n">
        <x:v>1</x:v>
      </x:c>
      <x:c r="E60" s="13" t="n">
        <x:v>1</x:v>
      </x:c>
      <x:c r="F60" s="13" t="n">
        <x:v>2</x:v>
      </x:c>
      <x:c r="G60" s="13" t="n">
        <x:v>1</x:v>
      </x:c>
      <x:c r="H60" s="13" t="n">
        <x:v>8</x:v>
      </x:c>
      <x:c r="I60" s="13" t="n">
        <x:v>8</x:v>
      </x:c>
      <x:c r="J60" s="13" t="n">
        <x:v>0</x:v>
      </x:c>
      <x:c r="K60" s="12" t="str">
        <x:f>IF(AND(C60&gt;=1,D60&gt;=1,E60&gt;=1,F60&gt;=1,G60&gt;=1,H60=8,I60=8),IF('Study REB Profile'!N60=0,"Complete","Pending REB source"),"Check")</x:f>
        <x:v>Complete</x:v>
      </x:c>
    </x:row>
    <x:row r="61" ht="15" hidden="0" customHeight="1">
      <x:c r="A61" s="13" t="n">
        <x:v>60</x:v>
      </x:c>
      <x:c r="B61" s="13" t="str">
        <x:v>S074</x:v>
      </x:c>
      <x:c r="C61" s="13" t="n">
        <x:v>1</x:v>
      </x:c>
      <x:c r="D61" s="13" t="n">
        <x:v>1</x:v>
      </x:c>
      <x:c r="E61" s="13" t="n">
        <x:v>1</x:v>
      </x:c>
      <x:c r="F61" s="13" t="n">
        <x:v>2</x:v>
      </x:c>
      <x:c r="G61" s="13" t="n">
        <x:v>2</x:v>
      </x:c>
      <x:c r="H61" s="13" t="n">
        <x:v>8</x:v>
      </x:c>
      <x:c r="I61" s="13" t="n">
        <x:v>8</x:v>
      </x:c>
      <x:c r="J61" s="13" t="n">
        <x:v>0</x:v>
      </x:c>
      <x:c r="K61" s="12" t="str">
        <x:f>IF(AND(C61&gt;=1,D61&gt;=1,E61&gt;=1,F61&gt;=1,G61&gt;=1,H61=8,I61=8),IF('Study REB Profile'!N61=0,"Complete","Pending REB source"),"Check")</x:f>
        <x:v>Complete</x:v>
      </x:c>
    </x:row>
    <x:row r="62" ht="15" hidden="0" customHeight="1">
      <x:c r="A62" s="13" t="n">
        <x:v>61</x:v>
      </x:c>
      <x:c r="B62" s="13" t="str">
        <x:v>S075</x:v>
      </x:c>
      <x:c r="C62" s="13" t="n">
        <x:v>3</x:v>
      </x:c>
      <x:c r="D62" s="13" t="n">
        <x:v>1</x:v>
      </x:c>
      <x:c r="E62" s="13" t="n">
        <x:v>1</x:v>
      </x:c>
      <x:c r="F62" s="13" t="n">
        <x:v>3</x:v>
      </x:c>
      <x:c r="G62" s="13" t="n">
        <x:v>2</x:v>
      </x:c>
      <x:c r="H62" s="13" t="n">
        <x:v>8</x:v>
      </x:c>
      <x:c r="I62" s="13" t="n">
        <x:v>8</x:v>
      </x:c>
      <x:c r="J62" s="13" t="n">
        <x:v>1</x:v>
      </x:c>
      <x:c r="K62" s="12" t="str">
        <x:f>IF(AND(C62&gt;=1,D62&gt;=1,E62&gt;=1,F62&gt;=1,G62&gt;=1,H62=8,I62=8),IF('Study REB Profile'!N62=0,"Complete","Pending REB source"),"Check")</x:f>
        <x:v>Complete</x:v>
      </x:c>
    </x:row>
    <x:row r="63" ht="15" hidden="0" customHeight="1">
      <x:c r="A63" s="13" t="n">
        <x:v>62</x:v>
      </x:c>
      <x:c r="B63" s="13" t="str">
        <x:v>S076</x:v>
      </x:c>
      <x:c r="C63" s="13" t="n">
        <x:v>1</x:v>
      </x:c>
      <x:c r="D63" s="13" t="n">
        <x:v>1</x:v>
      </x:c>
      <x:c r="E63" s="13" t="n">
        <x:v>1</x:v>
      </x:c>
      <x:c r="F63" s="13" t="n">
        <x:v>2</x:v>
      </x:c>
      <x:c r="G63" s="13" t="n">
        <x:v>2</x:v>
      </x:c>
      <x:c r="H63" s="13" t="n">
        <x:v>8</x:v>
      </x:c>
      <x:c r="I63" s="13" t="n">
        <x:v>8</x:v>
      </x:c>
      <x:c r="J63" s="13" t="n">
        <x:v>2</x:v>
      </x:c>
      <x:c r="K63" s="12" t="str">
        <x:f>IF(AND(C63&gt;=1,D63&gt;=1,E63&gt;=1,F63&gt;=1,G63&gt;=1,H63=8,I63=8),IF('Study REB Profile'!N63=0,"Complete","Pending REB source"),"Check")</x:f>
        <x:v>Complete</x:v>
      </x:c>
    </x:row>
    <x:row r="64" ht="15" hidden="0" customHeight="1">
      <x:c r="A64" s="13" t="n">
        <x:v>63</x:v>
      </x:c>
      <x:c r="B64" s="13" t="str">
        <x:v>S077</x:v>
      </x:c>
      <x:c r="C64" s="13" t="n">
        <x:v>1</x:v>
      </x:c>
      <x:c r="D64" s="13" t="n">
        <x:v>1</x:v>
      </x:c>
      <x:c r="E64" s="13" t="n">
        <x:v>1</x:v>
      </x:c>
      <x:c r="F64" s="13" t="n">
        <x:v>2</x:v>
      </x:c>
      <x:c r="G64" s="13" t="n">
        <x:v>2</x:v>
      </x:c>
      <x:c r="H64" s="13" t="n">
        <x:v>8</x:v>
      </x:c>
      <x:c r="I64" s="13" t="n">
        <x:v>8</x:v>
      </x:c>
      <x:c r="J64" s="13" t="n">
        <x:v>2</x:v>
      </x:c>
      <x:c r="K64" s="12" t="str">
        <x:f>IF(AND(C64&gt;=1,D64&gt;=1,E64&gt;=1,F64&gt;=1,G64&gt;=1,H64=8,I64=8),IF('Study REB Profile'!N64=0,"Complete","Pending REB source"),"Check")</x:f>
        <x:v>Complete</x:v>
      </x:c>
    </x:row>
    <x:row r="65" ht="15" hidden="0" customHeight="1">
      <x:c r="A65" s="13" t="n">
        <x:v>64</x:v>
      </x:c>
      <x:c r="B65" s="13" t="str">
        <x:v>S078</x:v>
      </x:c>
      <x:c r="C65" s="13" t="n">
        <x:v>1</x:v>
      </x:c>
      <x:c r="D65" s="13" t="n">
        <x:v>1</x:v>
      </x:c>
      <x:c r="E65" s="13" t="n">
        <x:v>1</x:v>
      </x:c>
      <x:c r="F65" s="13" t="n">
        <x:v>2</x:v>
      </x:c>
      <x:c r="G65" s="13" t="n">
        <x:v>2</x:v>
      </x:c>
      <x:c r="H65" s="13" t="n">
        <x:v>8</x:v>
      </x:c>
      <x:c r="I65" s="13" t="n">
        <x:v>8</x:v>
      </x:c>
      <x:c r="J65" s="13" t="n">
        <x:v>1</x:v>
      </x:c>
      <x:c r="K65" s="12" t="str">
        <x:f>IF(AND(C65&gt;=1,D65&gt;=1,E65&gt;=1,F65&gt;=1,G65&gt;=1,H65=8,I65=8),IF('Study REB Profile'!N65=0,"Complete","Pending REB source"),"Check")</x:f>
        <x:v>Complete</x:v>
      </x:c>
    </x:row>
    <x:row r="66" ht="15" hidden="0" customHeight="1">
      <x:c r="A66" s="13" t="n">
        <x:v>65</x:v>
      </x:c>
      <x:c r="B66" s="13" t="str">
        <x:v>S079</x:v>
      </x:c>
      <x:c r="C66" s="13" t="n">
        <x:v>1</x:v>
      </x:c>
      <x:c r="D66" s="13" t="n">
        <x:v>1</x:v>
      </x:c>
      <x:c r="E66" s="13" t="n">
        <x:v>1</x:v>
      </x:c>
      <x:c r="F66" s="13" t="n">
        <x:v>2</x:v>
      </x:c>
      <x:c r="G66" s="13" t="n">
        <x:v>2</x:v>
      </x:c>
      <x:c r="H66" s="13" t="n">
        <x:v>8</x:v>
      </x:c>
      <x:c r="I66" s="13" t="n">
        <x:v>8</x:v>
      </x:c>
      <x:c r="J66" s="13" t="n">
        <x:v>2</x:v>
      </x:c>
      <x:c r="K66" s="12" t="str">
        <x:f>IF(AND(C66&gt;=1,D66&gt;=1,E66&gt;=1,F66&gt;=1,G66&gt;=1,H66=8,I66=8),IF('Study REB Profile'!N66=0,"Complete","Pending REB source"),"Check")</x:f>
        <x:v>Complete</x:v>
      </x:c>
    </x:row>
    <x:row r="67" ht="15" hidden="0" customHeight="1">
      <x:c r="A67" s="13" t="n">
        <x:v>66</x:v>
      </x:c>
      <x:c r="B67" s="13" t="str">
        <x:v>S080</x:v>
      </x:c>
      <x:c r="C67" s="13" t="n">
        <x:v>1</x:v>
      </x:c>
      <x:c r="D67" s="13" t="n">
        <x:v>1</x:v>
      </x:c>
      <x:c r="E67" s="13" t="n">
        <x:v>1</x:v>
      </x:c>
      <x:c r="F67" s="13" t="n">
        <x:v>2</x:v>
      </x:c>
      <x:c r="G67" s="13" t="n">
        <x:v>3</x:v>
      </x:c>
      <x:c r="H67" s="13" t="n">
        <x:v>8</x:v>
      </x:c>
      <x:c r="I67" s="13" t="n">
        <x:v>8</x:v>
      </x:c>
      <x:c r="J67" s="13" t="n">
        <x:v>0</x:v>
      </x:c>
      <x:c r="K67" s="12" t="str">
        <x:f>IF(AND(C67&gt;=1,D67&gt;=1,E67&gt;=1,F67&gt;=1,G67&gt;=1,H67=8,I67=8),IF('Study REB Profile'!N67=0,"Complete","Pending REB source"),"Check")</x:f>
        <x:v>Complete</x:v>
      </x:c>
    </x:row>
    <x:row r="68" ht="15" hidden="0" customHeight="1">
      <x:c r="A68" s="13" t="n">
        <x:v>67</x:v>
      </x:c>
      <x:c r="B68" s="13" t="str">
        <x:v>S081</x:v>
      </x:c>
      <x:c r="C68" s="13" t="n">
        <x:v>1</x:v>
      </x:c>
      <x:c r="D68" s="13" t="n">
        <x:v>1</x:v>
      </x:c>
      <x:c r="E68" s="13" t="n">
        <x:v>1</x:v>
      </x:c>
      <x:c r="F68" s="13" t="n">
        <x:v>2</x:v>
      </x:c>
      <x:c r="G68" s="13" t="n">
        <x:v>3</x:v>
      </x:c>
      <x:c r="H68" s="13" t="n">
        <x:v>8</x:v>
      </x:c>
      <x:c r="I68" s="13" t="n">
        <x:v>8</x:v>
      </x:c>
      <x:c r="J68" s="13" t="n">
        <x:v>2</x:v>
      </x:c>
      <x:c r="K68" s="12" t="str">
        <x:f>IF(AND(C68&gt;=1,D68&gt;=1,E68&gt;=1,F68&gt;=1,G68&gt;=1,H68=8,I68=8),IF('Study REB Profile'!N68=0,"Complete","Pending REB source"),"Check")</x:f>
        <x:v>Complete</x:v>
      </x:c>
    </x:row>
    <x:row r="69" ht="15" hidden="0" customHeight="1">
      <x:c r="A69" s="13" t="n">
        <x:v>68</x:v>
      </x:c>
      <x:c r="B69" s="13" t="str">
        <x:v>S082</x:v>
      </x:c>
      <x:c r="C69" s="13" t="n">
        <x:v>1</x:v>
      </x:c>
      <x:c r="D69" s="13" t="n">
        <x:v>1</x:v>
      </x:c>
      <x:c r="E69" s="13" t="n">
        <x:v>1</x:v>
      </x:c>
      <x:c r="F69" s="13" t="n">
        <x:v>2</x:v>
      </x:c>
      <x:c r="G69" s="13" t="n">
        <x:v>2</x:v>
      </x:c>
      <x:c r="H69" s="13" t="n">
        <x:v>8</x:v>
      </x:c>
      <x:c r="I69" s="13" t="n">
        <x:v>8</x:v>
      </x:c>
      <x:c r="J69" s="13" t="n">
        <x:v>0</x:v>
      </x:c>
      <x:c r="K69" s="12" t="str">
        <x:f>IF(AND(C69&gt;=1,D69&gt;=1,E69&gt;=1,F69&gt;=1,G69&gt;=1,H69=8,I69=8),IF('Study REB Profile'!N69=0,"Complete","Pending REB source"),"Check")</x:f>
        <x:v>Complete</x:v>
      </x:c>
    </x:row>
    <x:row r="70" ht="15" hidden="0" customHeight="1">
      <x:c r="A70" s="13" t="n">
        <x:v>69</x:v>
      </x:c>
      <x:c r="B70" s="13" t="str">
        <x:v>S084</x:v>
      </x:c>
      <x:c r="C70" s="13" t="n">
        <x:v>1</x:v>
      </x:c>
      <x:c r="D70" s="13" t="n">
        <x:v>1</x:v>
      </x:c>
      <x:c r="E70" s="13" t="n">
        <x:v>1</x:v>
      </x:c>
      <x:c r="F70" s="13" t="n">
        <x:v>2</x:v>
      </x:c>
      <x:c r="G70" s="13" t="n">
        <x:v>2</x:v>
      </x:c>
      <x:c r="H70" s="13" t="n">
        <x:v>8</x:v>
      </x:c>
      <x:c r="I70" s="13" t="n">
        <x:v>8</x:v>
      </x:c>
      <x:c r="J70" s="13" t="n">
        <x:v>0</x:v>
      </x:c>
      <x:c r="K70" s="12" t="str">
        <x:f>IF(AND(C70&gt;=1,D70&gt;=1,E70&gt;=1,F70&gt;=1,G70&gt;=1,H70=8,I70=8),IF('Study REB Profile'!N70=0,"Complete","Pending REB source"),"Check")</x:f>
        <x:v>Complete</x:v>
      </x:c>
    </x:row>
    <x:row r="71" ht="15" hidden="0" customHeight="1">
      <x:c r="A71" s="13" t="n">
        <x:v>70</x:v>
      </x:c>
      <x:c r="B71" s="13" t="str">
        <x:v>S085</x:v>
      </x:c>
      <x:c r="C71" s="13" t="n">
        <x:v>1</x:v>
      </x:c>
      <x:c r="D71" s="13" t="n">
        <x:v>1</x:v>
      </x:c>
      <x:c r="E71" s="13" t="n">
        <x:v>1</x:v>
      </x:c>
      <x:c r="F71" s="13" t="n">
        <x:v>2</x:v>
      </x:c>
      <x:c r="G71" s="13" t="n">
        <x:v>3</x:v>
      </x:c>
      <x:c r="H71" s="13" t="n">
        <x:v>8</x:v>
      </x:c>
      <x:c r="I71" s="13" t="n">
        <x:v>8</x:v>
      </x:c>
      <x:c r="J71" s="13" t="n">
        <x:v>1</x:v>
      </x:c>
      <x:c r="K71" s="12" t="str">
        <x:f>IF(AND(C71&gt;=1,D71&gt;=1,E71&gt;=1,F71&gt;=1,G71&gt;=1,H71=8,I71=8),IF('Study REB Profile'!N71=0,"Complete","Pending REB source"),"Check")</x:f>
        <x:v>Complete</x:v>
      </x:c>
    </x:row>
    <x:row r="72" ht="15" hidden="0" customHeight="1">
      <x:c r="A72" s="13" t="n">
        <x:v>71</x:v>
      </x:c>
      <x:c r="B72" s="13" t="str">
        <x:v>S086</x:v>
      </x:c>
      <x:c r="C72" s="13" t="n">
        <x:v>1</x:v>
      </x:c>
      <x:c r="D72" s="13" t="n">
        <x:v>1</x:v>
      </x:c>
      <x:c r="E72" s="13" t="n">
        <x:v>1</x:v>
      </x:c>
      <x:c r="F72" s="13" t="n">
        <x:v>2</x:v>
      </x:c>
      <x:c r="G72" s="13" t="n">
        <x:v>2</x:v>
      </x:c>
      <x:c r="H72" s="13" t="n">
        <x:v>8</x:v>
      </x:c>
      <x:c r="I72" s="13" t="n">
        <x:v>8</x:v>
      </x:c>
      <x:c r="J72" s="13" t="n">
        <x:v>1</x:v>
      </x:c>
      <x:c r="K72" s="12" t="str">
        <x:f>IF(AND(C72&gt;=1,D72&gt;=1,E72&gt;=1,F72&gt;=1,G72&gt;=1,H72=8,I72=8),IF('Study REB Profile'!N72=0,"Complete","Pending REB source"),"Check")</x:f>
        <x:v>Complete</x:v>
      </x:c>
    </x:row>
    <x:row r="73" ht="15" hidden="0" customHeight="1">
      <x:c r="A73" s="13" t="n">
        <x:v>72</x:v>
      </x:c>
      <x:c r="B73" s="13" t="str">
        <x:v>S087</x:v>
      </x:c>
      <x:c r="C73" s="13" t="n">
        <x:v>1</x:v>
      </x:c>
      <x:c r="D73" s="13" t="n">
        <x:v>1</x:v>
      </x:c>
      <x:c r="E73" s="13" t="n">
        <x:v>1</x:v>
      </x:c>
      <x:c r="F73" s="13" t="n">
        <x:v>2</x:v>
      </x:c>
      <x:c r="G73" s="13" t="n">
        <x:v>2</x:v>
      </x:c>
      <x:c r="H73" s="13" t="n">
        <x:v>8</x:v>
      </x:c>
      <x:c r="I73" s="13" t="n">
        <x:v>8</x:v>
      </x:c>
      <x:c r="J73" s="13" t="n">
        <x:v>1</x:v>
      </x:c>
      <x:c r="K73" s="12" t="str">
        <x:f>IF(AND(C73&gt;=1,D73&gt;=1,E73&gt;=1,F73&gt;=1,G73&gt;=1,H73=8,I73=8),IF('Study REB Profile'!N73=0,"Complete","Pending REB source"),"Check")</x:f>
        <x:v>Complete</x:v>
      </x:c>
    </x:row>
    <x:row r="74" ht="15" hidden="0" customHeight="1">
      <x:c r="A74" s="13" t="n">
        <x:v>73</x:v>
      </x:c>
      <x:c r="B74" s="13" t="str">
        <x:v>S088</x:v>
      </x:c>
      <x:c r="C74" s="13" t="n">
        <x:v>2</x:v>
      </x:c>
      <x:c r="D74" s="13" t="n">
        <x:v>1</x:v>
      </x:c>
      <x:c r="E74" s="13" t="n">
        <x:v>1</x:v>
      </x:c>
      <x:c r="F74" s="13" t="n">
        <x:v>2</x:v>
      </x:c>
      <x:c r="G74" s="13" t="n">
        <x:v>2</x:v>
      </x:c>
      <x:c r="H74" s="13" t="n">
        <x:v>8</x:v>
      </x:c>
      <x:c r="I74" s="13" t="n">
        <x:v>8</x:v>
      </x:c>
      <x:c r="J74" s="13" t="n">
        <x:v>1</x:v>
      </x:c>
      <x:c r="K74" s="12" t="str">
        <x:f>IF(AND(C74&gt;=1,D74&gt;=1,E74&gt;=1,F74&gt;=1,G74&gt;=1,H74=8,I74=8),IF('Study REB Profile'!N74=0,"Complete","Pending REB source"),"Check")</x:f>
        <x:v>Complete</x:v>
      </x:c>
    </x:row>
    <x:row r="75" ht="15" hidden="0" customHeight="1">
      <x:c r="A75" s="13" t="n">
        <x:v>74</x:v>
      </x:c>
      <x:c r="B75" s="13" t="str">
        <x:v>S089</x:v>
      </x:c>
      <x:c r="C75" s="13" t="n">
        <x:v>1</x:v>
      </x:c>
      <x:c r="D75" s="13" t="n">
        <x:v>1</x:v>
      </x:c>
      <x:c r="E75" s="13" t="n">
        <x:v>1</x:v>
      </x:c>
      <x:c r="F75" s="13" t="n">
        <x:v>2</x:v>
      </x:c>
      <x:c r="G75" s="13" t="n">
        <x:v>3</x:v>
      </x:c>
      <x:c r="H75" s="13" t="n">
        <x:v>8</x:v>
      </x:c>
      <x:c r="I75" s="13" t="n">
        <x:v>8</x:v>
      </x:c>
      <x:c r="J75" s="13" t="n">
        <x:v>1</x:v>
      </x:c>
      <x:c r="K75" s="12" t="str">
        <x:f>IF(AND(C75&gt;=1,D75&gt;=1,E75&gt;=1,F75&gt;=1,G75&gt;=1,H75=8,I75=8),IF('Study REB Profile'!N75=0,"Complete","Pending REB source"),"Check")</x:f>
        <x:v>Complete</x:v>
      </x:c>
    </x:row>
    <x:row r="76" ht="15" hidden="0" customHeight="1">
      <x:c r="A76" s="13" t="n">
        <x:v>75</x:v>
      </x:c>
      <x:c r="B76" s="13" t="str">
        <x:v>S090</x:v>
      </x:c>
      <x:c r="C76" s="13" t="n">
        <x:v>2</x:v>
      </x:c>
      <x:c r="D76" s="13" t="n">
        <x:v>1</x:v>
      </x:c>
      <x:c r="E76" s="13" t="n">
        <x:v>1</x:v>
      </x:c>
      <x:c r="F76" s="13" t="n">
        <x:v>2</x:v>
      </x:c>
      <x:c r="G76" s="13" t="n">
        <x:v>4</x:v>
      </x:c>
      <x:c r="H76" s="13" t="n">
        <x:v>8</x:v>
      </x:c>
      <x:c r="I76" s="13" t="n">
        <x:v>8</x:v>
      </x:c>
      <x:c r="J76" s="13" t="n">
        <x:v>3</x:v>
      </x:c>
      <x:c r="K76" s="12" t="str">
        <x:f>IF(AND(C76&gt;=1,D76&gt;=1,E76&gt;=1,F76&gt;=1,G76&gt;=1,H76=8,I76=8),IF('Study REB Profile'!N76=0,"Complete","Pending REB source"),"Check")</x:f>
        <x:v>Complete</x:v>
      </x:c>
    </x:row>
    <x:row r="77" ht="15" hidden="0" customHeight="1">
      <x:c r="A77" s="13" t="n">
        <x:v>76</x:v>
      </x:c>
      <x:c r="B77" s="13" t="str">
        <x:v>S091</x:v>
      </x:c>
      <x:c r="C77" s="13" t="n">
        <x:v>1</x:v>
      </x:c>
      <x:c r="D77" s="13" t="n">
        <x:v>1</x:v>
      </x:c>
      <x:c r="E77" s="13" t="n">
        <x:v>1</x:v>
      </x:c>
      <x:c r="F77" s="13" t="n">
        <x:v>3</x:v>
      </x:c>
      <x:c r="G77" s="13" t="n">
        <x:v>4</x:v>
      </x:c>
      <x:c r="H77" s="13" t="n">
        <x:v>8</x:v>
      </x:c>
      <x:c r="I77" s="13" t="n">
        <x:v>8</x:v>
      </x:c>
      <x:c r="J77" s="13" t="n">
        <x:v>3</x:v>
      </x:c>
      <x:c r="K77" s="12" t="str">
        <x:f>IF(AND(C77&gt;=1,D77&gt;=1,E77&gt;=1,F77&gt;=1,G77&gt;=1,H77=8,I77=8),IF('Study REB Profile'!N77=0,"Complete","Pending REB source"),"Check")</x:f>
        <x:v>Complete</x:v>
      </x:c>
    </x:row>
  </x:sheetData>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24.440000534057617" hidden="0" customWidth="1"/>
    <x:col min="2" max="2" width="14.4399995803833" hidden="0" customWidth="1"/>
    <x:col min="3" max="3" width="14.4399995803833" hidden="0" customWidth="1"/>
    <x:col min="4" max="4" width="12.220000267028809" hidden="0" customWidth="1"/>
    <x:col min="5" max="5" width="24.440000534057617" hidden="0" customWidth="1"/>
    <x:col min="6" max="6" width="14.4399995803833" hidden="0" customWidth="1"/>
    <x:col min="7" max="7" width="14.4399995803833" hidden="0" customWidth="1"/>
    <x:col min="8" max="8" width="14.4399995803833" hidden="0" customWidth="1"/>
  </x:cols>
  <x:sheetData>
    <x:row r="1">
      <x:c r="A1" s="11" t="str">
        <x:v>REB dimension</x:v>
      </x:c>
      <x:c r="B1" s="11" t="str">
        <x:v>Count scored 1</x:v>
      </x:c>
      <x:c r="C1" s="11" t="str">
        <x:v>Percentage of 76 studies</x:v>
      </x:c>
      <x:c r="D1" s="11" t="str">
        <x:v>Unresolved items</x:v>
      </x:c>
      <x:c r="E1" s="11" t="str">
        <x:v>Assessment domain</x:v>
      </x:c>
      <x:c r="F1" s="11" t="str">
        <x:v>Low concern</x:v>
      </x:c>
      <x:c r="G1" s="11" t="str">
        <x:v>Some concern</x:v>
      </x:c>
      <x:c r="H1" s="11" t="str">
        <x:v>High concern</x:v>
      </x:c>
    </x:row>
    <x:row r="2">
      <x:c r="A2" s="12" t="str">
        <x:v>L1</x:v>
      </x:c>
      <x:c r="B2" s="13" t="n">
        <x:f>COUNTIF('Study REB Profile'!D2:D77,1)</x:f>
        <x:v>33</x:v>
      </x:c>
      <x:c r="C2" s="17" t="n">
        <x:f>B2/76</x:f>
        <x:v>0.4342105263157895</x:v>
      </x:c>
      <x:c r="D2" s="13" t="n">
        <x:f>COUNTIF('Study REB Profile'!D2:D77,"U")</x:f>
        <x:v>0</x:v>
      </x:c>
      <x:c r="E2" s="12" t="str">
        <x:v>D1</x:v>
      </x:c>
      <x:c r="F2" s="13" t="n">
        <x:v>3</x:v>
      </x:c>
      <x:c r="G2" s="13" t="n">
        <x:v>41</x:v>
      </x:c>
      <x:c r="H2" s="13" t="n">
        <x:v>32</x:v>
      </x:c>
    </x:row>
    <x:row r="3">
      <x:c r="A3" s="12" t="str">
        <x:v>L2</x:v>
      </x:c>
      <x:c r="B3" s="13" t="n">
        <x:f>COUNTIF('Study REB Profile'!E2:E77,1)</x:f>
        <x:v>75</x:v>
      </x:c>
      <x:c r="C3" s="17" t="n">
        <x:f>B3/76</x:f>
        <x:v>0.9868421052631579</x:v>
      </x:c>
      <x:c r="D3" s="13" t="n">
        <x:f>COUNTIF('Study REB Profile'!E2:E77,"U")</x:f>
        <x:v>0</x:v>
      </x:c>
      <x:c r="E3" s="12" t="str">
        <x:v>D2</x:v>
      </x:c>
      <x:c r="F3" s="13" t="n">
        <x:v>14</x:v>
      </x:c>
      <x:c r="G3" s="13" t="n">
        <x:v>57</x:v>
      </x:c>
      <x:c r="H3" s="13" t="n">
        <x:v>5</x:v>
      </x:c>
    </x:row>
    <x:row r="4">
      <x:c r="A4" s="12" t="str">
        <x:v>L3</x:v>
      </x:c>
      <x:c r="B4" s="13" t="n">
        <x:f>COUNTIF('Study REB Profile'!F2:F77,1)</x:f>
        <x:v>76</x:v>
      </x:c>
      <x:c r="C4" s="17" t="n">
        <x:f>B4/76</x:f>
        <x:v>1</x:v>
      </x:c>
      <x:c r="D4" s="13" t="n">
        <x:f>COUNTIF('Study REB Profile'!F2:F77,"U")</x:f>
        <x:v>0</x:v>
      </x:c>
      <x:c r="E4" s="12" t="str">
        <x:v>D3</x:v>
      </x:c>
      <x:c r="F4" s="13" t="n">
        <x:v>68</x:v>
      </x:c>
      <x:c r="G4" s="13" t="n">
        <x:v>8</x:v>
      </x:c>
      <x:c r="H4" s="13" t="n">
        <x:v>0</x:v>
      </x:c>
    </x:row>
    <x:row r="5">
      <x:c r="A5" s="12" t="str">
        <x:v>L4</x:v>
      </x:c>
      <x:c r="B5" s="13" t="n">
        <x:f>COUNTIF('Study REB Profile'!G2:G77,1)</x:f>
        <x:v>76</x:v>
      </x:c>
      <x:c r="C5" s="17" t="n">
        <x:f>B5/76</x:f>
        <x:v>1</x:v>
      </x:c>
      <x:c r="D5" s="13" t="n">
        <x:f>COUNTIF('Study REB Profile'!G2:G77,"U")</x:f>
        <x:v>0</x:v>
      </x:c>
      <x:c r="E5" s="12" t="str">
        <x:v>D4</x:v>
      </x:c>
      <x:c r="F5" s="13" t="n">
        <x:v>70</x:v>
      </x:c>
      <x:c r="G5" s="13" t="n">
        <x:v>6</x:v>
      </x:c>
      <x:c r="H5" s="13" t="n">
        <x:v>0</x:v>
      </x:c>
    </x:row>
    <x:row r="6">
      <x:c r="A6" s="12" t="str">
        <x:v>L5</x:v>
      </x:c>
      <x:c r="B6" s="13" t="n">
        <x:f>COUNTIF('Study REB Profile'!H2:H77,1)</x:f>
        <x:v>62</x:v>
      </x:c>
      <x:c r="C6" s="17" t="n">
        <x:f>B6/76</x:f>
        <x:v>0.8157894736842105</x:v>
      </x:c>
      <x:c r="D6" s="13" t="n">
        <x:f>COUNTIF('Study REB Profile'!H2:H77,"U")</x:f>
        <x:v>0</x:v>
      </x:c>
      <x:c r="E6" s="12" t="str">
        <x:v>D5</x:v>
      </x:c>
      <x:c r="F6" s="13" t="n">
        <x:v>40</x:v>
      </x:c>
      <x:c r="G6" s="13" t="n">
        <x:v>32</x:v>
      </x:c>
      <x:c r="H6" s="13" t="n">
        <x:v>4</x:v>
      </x:c>
    </x:row>
    <x:row r="7">
      <x:c r="A7" s="12" t="str">
        <x:v>L6</x:v>
      </x:c>
      <x:c r="B7" s="13" t="n">
        <x:f>COUNTIF('Study REB Profile'!I2:I77,1)</x:f>
        <x:v>31</x:v>
      </x:c>
      <x:c r="C7" s="17" t="n">
        <x:f>B7/76</x:f>
        <x:v>0.40789473684210525</x:v>
      </x:c>
      <x:c r="D7" s="13" t="n">
        <x:f>COUNTIF('Study REB Profile'!I2:I77,"U")</x:f>
        <x:v>0</x:v>
      </x:c>
      <x:c r="E7" s="12" t="str">
        <x:v>D6</x:v>
      </x:c>
      <x:c r="F7" s="13" t="n">
        <x:v>16</x:v>
      </x:c>
      <x:c r="G7" s="13" t="n">
        <x:v>1</x:v>
      </x:c>
      <x:c r="H7" s="13" t="n">
        <x:v>59</x:v>
      </x:c>
    </x:row>
    <x:row r="8">
      <x:c r="A8" s="12" t="str">
        <x:v>L7</x:v>
      </x:c>
      <x:c r="B8" s="13" t="n">
        <x:f>COUNTIF('Study REB Profile'!J2:J77,1)</x:f>
        <x:v>29</x:v>
      </x:c>
      <x:c r="C8" s="17" t="n">
        <x:f>B8/76</x:f>
        <x:v>0.3815789473684211</x:v>
      </x:c>
      <x:c r="D8" s="13" t="n">
        <x:f>COUNTIF('Study REB Profile'!J2:J77,"U")</x:f>
        <x:v>0</x:v>
      </x:c>
      <x:c r="E8" s="12" t="str">
        <x:v>D7</x:v>
      </x:c>
      <x:c r="F8" s="13" t="n">
        <x:v>57</x:v>
      </x:c>
      <x:c r="G8" s="13" t="n">
        <x:v>19</x:v>
      </x:c>
      <x:c r="H8" s="13" t="n">
        <x:v>0</x:v>
      </x:c>
    </x:row>
    <x:row r="9">
      <x:c r="A9" s="12" t="str">
        <x:v>L8</x:v>
      </x:c>
      <x:c r="B9" s="13" t="n">
        <x:f>COUNTIF('Study REB Profile'!K2:K77,1)</x:f>
        <x:v>17</x:v>
      </x:c>
      <x:c r="C9" s="17" t="n">
        <x:f>B9/76</x:f>
        <x:v>0.2236842105263158</x:v>
      </x:c>
      <x:c r="D9" s="13" t="n">
        <x:f>COUNTIF('Study REB Profile'!K2:K77,"U")</x:f>
        <x:v>0</x:v>
      </x:c>
      <x:c r="E9" s="12" t="str">
        <x:v>D8</x:v>
      </x:c>
      <x:c r="F9" s="13" t="n">
        <x:v>14</x:v>
      </x:c>
      <x:c r="G9" s="13" t="n">
        <x:v>57</x:v>
      </x:c>
      <x:c r="H9" s="13" t="n">
        <x:v>5</x:v>
      </x:c>
    </x:row>
    <x:row r="10">
      <x:c r="A10" s="12"/>
      <x:c r="B10" s="12"/>
      <x:c r="C10" s="12"/>
      <x:c r="D10" s="12"/>
      <x:c r="E10" s="12"/>
      <x:c r="F10" s="12"/>
      <x:c r="G10" s="12"/>
      <x:c r="H10" s="12"/>
    </x:row>
    <x:row r="11">
      <x:c r="A11" s="12"/>
      <x:c r="B11" s="12"/>
      <x:c r="C11" s="12"/>
      <x:c r="D11" s="12"/>
      <x:c r="E11" s="12"/>
      <x:c r="F11" s="12"/>
      <x:c r="G11" s="12"/>
      <x:c r="H11" s="12"/>
    </x:row>
    <x:row r="12">
      <x:c r="A12" s="11" t="str">
        <x:v>REB profile statistic</x:v>
      </x:c>
      <x:c r="B12" s="11" t="str">
        <x:v>Value</x:v>
      </x:c>
      <x:c r="C12" s="12"/>
      <x:c r="D12" s="12"/>
      <x:c r="E12" s="12"/>
      <x:c r="F12" s="12"/>
      <x:c r="G12" s="12"/>
      <x:c r="H12" s="12"/>
    </x:row>
    <x:row r="13">
      <x:c r="A13" s="12" t="str">
        <x:v>Mean R</x:v>
      </x:c>
      <x:c r="B13" s="14" t="n">
        <x:f>AVERAGE('Study REB Profile'!L2:L77)</x:f>
        <x:v>0.65625</x:v>
      </x:c>
      <x:c r="C13" s="12"/>
      <x:c r="D13" s="12"/>
      <x:c r="E13" s="12"/>
      <x:c r="F13" s="12"/>
      <x:c r="G13" s="12"/>
      <x:c r="H13" s="12"/>
    </x:row>
    <x:row r="14">
      <x:c r="A14" s="12" t="str">
        <x:v>Minimum R</x:v>
      </x:c>
      <x:c r="B14" s="14" t="n">
        <x:f>MIN('Study REB Profile'!L2:L77)</x:f>
        <x:v>0.375</x:v>
      </x:c>
      <x:c r="C14" s="12"/>
      <x:c r="D14" s="12"/>
      <x:c r="E14" s="12"/>
      <x:c r="F14" s="12"/>
      <x:c r="G14" s="12"/>
      <x:c r="H14" s="12"/>
    </x:row>
    <x:row r="15">
      <x:c r="A15" s="12" t="str">
        <x:v>Maximum R</x:v>
      </x:c>
      <x:c r="B15" s="14" t="n">
        <x:f>MAX('Study REB Profile'!L2:L77)</x:f>
        <x:v>1</x:v>
      </x:c>
      <x:c r="C15" s="12"/>
      <x:c r="D15" s="12"/>
      <x:c r="E15" s="12"/>
      <x:c r="F15" s="12"/>
      <x:c r="G15" s="12"/>
      <x:c r="H15" s="12"/>
    </x:row>
    <x:row r="16">
      <x:c r="A16" s="12" t="str">
        <x:v>Studies</x:v>
      </x:c>
      <x:c r="B16" s="13" t="n">
        <x:f>COUNTA('Study REB Profile'!B2:B77)</x:f>
        <x:v>76</x:v>
      </x:c>
      <x:c r="C16" s="12"/>
      <x:c r="D16" s="12"/>
      <x:c r="E16" s="12"/>
      <x:c r="F16" s="12"/>
      <x:c r="G16" s="12"/>
      <x:c r="H16" s="12"/>
    </x:row>
    <x:row r="17">
      <x:c r="A17" s="12" t="str">
        <x:v>Profiles with final R</x:v>
      </x:c>
      <x:c r="B17" s="13" t="n">
        <x:f>COUNT('Study REB Profile'!L2:L77)</x:f>
        <x:v>76</x:v>
      </x:c>
      <x:c r="C17" s="12"/>
      <x:c r="D17" s="12"/>
      <x:c r="E17" s="12"/>
      <x:c r="F17" s="12"/>
      <x:c r="G17" s="12"/>
      <x:c r="H17" s="12"/>
    </x:row>
    <x:row r="18">
      <x:c r="A18" s="12" t="str">
        <x:v>Unresolved REB items</x:v>
      </x:c>
      <x:c r="B18" s="13" t="n">
        <x:f>SUM('Study REB Profile'!N2:N77)</x:f>
        <x:v>0</x:v>
      </x:c>
      <x:c r="C18" s="12"/>
      <x:c r="D18" s="12"/>
      <x:c r="E18" s="12"/>
      <x:c r="F18" s="12"/>
      <x:c r="G18" s="12"/>
      <x:c r="H18" s="12"/>
    </x:row>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26.670000076293945" hidden="0" customWidth="1"/>
    <x:col min="2" max="2" width="14.4399995803833" hidden="0" customWidth="1"/>
    <x:col min="3" max="3" width="16.670000076293945" hidden="0" customWidth="1"/>
    <x:col min="4" max="4" width="68.88999938964844" hidden="0" customWidth="1"/>
    <x:col min="5" max="5" width="72.22000122070312" hidden="0" customWidth="1"/>
  </x:cols>
  <x:sheetData>
    <x:row r="1" ht="15" hidden="0" customHeight="1">
      <x:c r="A1" s="11" t="str">
        <x:v>Finding type</x:v>
      </x:c>
      <x:c r="B1" s="11" t="str">
        <x:v>Study ID(s)</x:v>
      </x:c>
      <x:c r="C1" s="11" t="str">
        <x:v>Status</x:v>
      </x:c>
      <x:c r="D1" s="11" t="str">
        <x:v>Finding</x:v>
      </x:c>
      <x:c r="E1" s="11" t="str">
        <x:v>Required handling</x:v>
      </x:c>
    </x:row>
    <x:row r="2" ht="36" hidden="0" customHeight="1">
      <x:c r="A2" s="12" t="str">
        <x:v>Supplementary verification</x:v>
      </x:c>
      <x:c r="B2" s="12" t="str">
        <x:v>S022; S024; S025; S033; S046; S052; S058; S059; S078</x:v>
      </x:c>
      <x:c r="C2" s="12" t="str">
        <x:v>Resolved</x:v>
      </x:c>
      <x:c r="D2" s="12" t="str">
        <x:v>All nine named supplementary sources required for the initial REB decisions were obtained and reviewed.</x:v>
      </x:c>
      <x:c r="E2" s="12" t="str">
        <x:v>Seven decisions were finalized as 1; S046-L1 and S052-L1 were finalized as 0 because required fabrication conditions remain incompletely reported.</x:v>
      </x:c>
    </x:row>
    <x:row r="3" ht="15" hidden="0" customHeight="1">
      <x:c r="A3" s="12" t="str">
        <x:v>Source precedence</x:v>
      </x:c>
      <x:c r="B3" s="12" t="str">
        <x:v>S050; S069</x:v>
      </x:c>
      <x:c r="C3" s="12" t="str">
        <x:v>Resolved</x:v>
      </x:c>
      <x:c r="D3" s="12" t="str">
        <x:v>These records appeared in both the pilot and later batch workbooks.</x:v>
      </x:c>
      <x:c r="E3" s="12" t="str">
        <x:v>Later batch records retained as authoritative; pilot versions not double counted.</x:v>
      </x:c>
    </x:row>
    <x:row r="4" ht="15" hidden="0" customHeight="1">
      <x:c r="A4" s="12" t="str">
        <x:v>Potential report non-independence</x:v>
      </x:c>
      <x:c r="B4" s="12" t="str">
        <x:v>S082; S084</x:v>
      </x:c>
      <x:c r="C4" s="12" t="str">
        <x:v>Synthesis caution</x:v>
      </x:c>
      <x:c r="D4" s="12" t="str">
        <x:v>The two reports share authors, materials, an optimum configuration and several outcomes.</x:v>
      </x:c>
      <x:c r="E4" s="12" t="str">
        <x:v>Retain both reports but avoid treating overlapping evidence as independent in any pooled claim.</x:v>
      </x:c>
    </x:row>
    <x:row r="5" ht="15" hidden="0" customHeight="1">
      <x:c r="A5" s="12" t="str">
        <x:v>Configuration-specific attribution</x:v>
      </x:c>
      <x:c r="B5" s="12" t="str">
        <x:v>S090</x:v>
      </x:c>
      <x:c r="C5" s="12" t="str">
        <x:v>Synthesis caution</x:v>
      </x:c>
      <x:c r="D5" s="12" t="str">
        <x:v>Ion and pH sensing used the direct-written PDMS configuration, not the FDM soft-PLA configuration.</x:v>
      </x:c>
      <x:c r="E5" s="12" t="str">
        <x:v>Keep these outcomes configuration-specific in tables and narrative.</x:v>
      </x:c>
    </x:row>
    <x:row r="6" ht="15" hidden="0" customHeight="1">
      <x:c r="A6" s="12" t="str">
        <x:v>Missing cited source</x:v>
      </x:c>
      <x:c r="B6" s="12" t="str">
        <x:v>S091</x:v>
      </x:c>
      <x:c r="C6" s="12" t="str">
        <x:v>Recommended retrieval</x:v>
      </x:c>
      <x:c r="D6" s="12" t="str">
        <x:v>The main article cites ESI Table S1 and Fig. S5, but the ESI is not present in the available archive.</x:v>
      </x:c>
      <x:c r="E6" s="12" t="str">
        <x:v>Retrieve the ESI if possible before final synthesis; current coding uses only explicit main-text statements.</x:v>
      </x:c>
    </x:row>
    <x:row r="7" ht="15" hidden="0" customHeight="1">
      <x:c r="A7" s="12" t="str">
        <x:v>Stable ID gaps</x:v>
      </x:c>
      <x:c r="B7" s="12" t="str">
        <x:v>All studies</x:v>
      </x:c>
      <x:c r="C7" s="12" t="str">
        <x:v>Resolved</x:v>
      </x:c>
      <x:c r="D7" s="12" t="str">
        <x:v>Stable IDs are non-consecutive because 13 candidates were excluded during extraction.</x:v>
      </x:c>
      <x:c r="E7" s="12" t="str">
        <x:v>Use Synthesis ID 1–76 for presentation and retain Stable Study ID for audit traceability.</x:v>
      </x:c>
    </x:row>
    <x:row r="8" ht="36" hidden="0" customHeight="1">
      <x:c r="A8" s="12" t="str">
        <x:v>Missing cited source</x:v>
      </x:c>
      <x:c r="B8" s="12" t="str">
        <x:v>S069</x:v>
      </x:c>
      <x:c r="C8" s="12" t="str">
        <x:v>Review before synthesis</x:v>
      </x:c>
      <x:c r="D8" s="12" t="str">
        <x:v>Printing speed and filament-specific thermal settings are assigned to Supplementary Tables S1–S2, but the main article reports the printer, PP, nozzle, extrusion/bed temperature, layer height, geometry and Z offset.</x:v>
      </x:c>
      <x:c r="E8" s="12" t="str">
        <x:v>Code L1=1 because the locked core fields and application-relevant settings are reported in the main article; preserve the SI locator.</x:v>
      </x:c>
    </x:row>
  </x:sheetData>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42.220001220703125" hidden="0" customWidth="1"/>
    <x:col min="2" max="2" width="12.220000267028809" hidden="0" customWidth="1"/>
    <x:col min="3" max="3" width="12.220000267028809" hidden="0" customWidth="1"/>
    <x:col min="4" max="4" width="10" hidden="0" customWidth="1"/>
    <x:col min="5" max="5" width="68.88999938964844" hidden="0" customWidth="1"/>
  </x:cols>
  <x:sheetData>
    <x:row r="1" ht="15" hidden="0" customHeight="1">
      <x:c r="A1" s="11" t="str">
        <x:v>Check</x:v>
      </x:c>
      <x:c r="B1" s="11" t="str">
        <x:v>Observed</x:v>
      </x:c>
      <x:c r="C1" s="11" t="str">
        <x:v>Expected</x:v>
      </x:c>
      <x:c r="D1" s="11" t="str">
        <x:v>Result</x:v>
      </x:c>
      <x:c r="E1" s="11" t="str">
        <x:v>Notes</x:v>
      </x:c>
    </x:row>
    <x:row r="2" ht="15" hidden="0" customHeight="1">
      <x:c r="A2" s="12" t="str">
        <x:v>Eligible study rows</x:v>
      </x:c>
      <x:c r="B2" s="12" t="n">
        <x:v>76</x:v>
      </x:c>
      <x:c r="C2" s="12" t="n">
        <x:v>76</x:v>
      </x:c>
      <x:c r="D2" s="12" t="str">
        <x:v>Pass</x:v>
      </x:c>
      <x:c r="E2" s="12" t="str"/>
    </x:row>
    <x:row r="3" ht="15" hidden="0" customHeight="1">
      <x:c r="A3" s="12" t="str">
        <x:v>Unique eligible Study IDs</x:v>
      </x:c>
      <x:c r="B3" s="12" t="n">
        <x:v>76</x:v>
      </x:c>
      <x:c r="C3" s="12" t="n">
        <x:v>76</x:v>
      </x:c>
      <x:c r="D3" s="12" t="str">
        <x:v>Pass</x:v>
      </x:c>
      <x:c r="E3" s="12" t="str"/>
    </x:row>
    <x:row r="4" ht="15" hidden="0" customHeight="1">
      <x:c r="A4" s="12" t="str">
        <x:v>Eligibility rows</x:v>
      </x:c>
      <x:c r="B4" s="12" t="n">
        <x:v>76</x:v>
      </x:c>
      <x:c r="C4" s="12" t="n">
        <x:v>76</x:v>
      </x:c>
      <x:c r="D4" s="12" t="str">
        <x:v>Pass</x:v>
      </x:c>
      <x:c r="E4" s="12" t="str"/>
    </x:row>
    <x:row r="5" ht="15" hidden="0" customHeight="1">
      <x:c r="A5" s="12" t="str">
        <x:v>REB decision rows</x:v>
      </x:c>
      <x:c r="B5" s="12" t="n">
        <x:v>608</x:v>
      </x:c>
      <x:c r="C5" s="12" t="n">
        <x:v>608</x:v>
      </x:c>
      <x:c r="D5" s="12" t="str">
        <x:v>Pass</x:v>
      </x:c>
      <x:c r="E5" s="12" t="str"/>
    </x:row>
    <x:row r="6" ht="15" hidden="0" customHeight="1">
      <x:c r="A6" s="12" t="str">
        <x:v>Assessment judgment rows</x:v>
      </x:c>
      <x:c r="B6" s="12" t="n">
        <x:v>608</x:v>
      </x:c>
      <x:c r="C6" s="12" t="n">
        <x:v>608</x:v>
      </x:c>
      <x:c r="D6" s="12" t="str">
        <x:v>Pass</x:v>
      </x:c>
      <x:c r="E6" s="12" t="str"/>
    </x:row>
    <x:row r="7" ht="15" hidden="0" customHeight="1">
      <x:c r="A7" s="12" t="str">
        <x:v>Extraction-stage exclusion rows</x:v>
      </x:c>
      <x:c r="B7" s="12" t="n">
        <x:v>13</x:v>
      </x:c>
      <x:c r="C7" s="12" t="n">
        <x:v>13</x:v>
      </x:c>
      <x:c r="D7" s="12" t="str">
        <x:v>Pass</x:v>
      </x:c>
      <x:c r="E7" s="12" t="str"/>
    </x:row>
    <x:row r="8" ht="15" hidden="0" customHeight="1">
      <x:c r="A8" s="12" t="str">
        <x:v>Studies with at least one configuration</x:v>
      </x:c>
      <x:c r="B8" s="12" t="n">
        <x:v>76</x:v>
      </x:c>
      <x:c r="C8" s="12" t="n">
        <x:v>76</x:v>
      </x:c>
      <x:c r="D8" s="12" t="str">
        <x:v>Pass</x:v>
      </x:c>
      <x:c r="E8" s="12" t="str"/>
    </x:row>
    <x:row r="9" ht="15" hidden="0" customHeight="1">
      <x:c r="A9" s="12" t="str">
        <x:v>Studies with at least one material record</x:v>
      </x:c>
      <x:c r="B9" s="12" t="n">
        <x:v>76</x:v>
      </x:c>
      <x:c r="C9" s="12" t="n">
        <x:v>76</x:v>
      </x:c>
      <x:c r="D9" s="12" t="str">
        <x:v>Pass</x:v>
      </x:c>
      <x:c r="E9" s="12" t="str"/>
    </x:row>
    <x:row r="10" ht="15" hidden="0" customHeight="1">
      <x:c r="A10" s="12" t="str">
        <x:v>Studies with at least one printing record</x:v>
      </x:c>
      <x:c r="B10" s="12" t="n">
        <x:v>76</x:v>
      </x:c>
      <x:c r="C10" s="12" t="n">
        <x:v>76</x:v>
      </x:c>
      <x:c r="D10" s="12" t="str">
        <x:v>Pass</x:v>
      </x:c>
      <x:c r="E10" s="12" t="str"/>
    </x:row>
    <x:row r="11" ht="15" hidden="0" customHeight="1">
      <x:c r="A11" s="12" t="str">
        <x:v>Studies with at least one experiment</x:v>
      </x:c>
      <x:c r="B11" s="12" t="n">
        <x:v>76</x:v>
      </x:c>
      <x:c r="C11" s="12" t="n">
        <x:v>76</x:v>
      </x:c>
      <x:c r="D11" s="12" t="str">
        <x:v>Pass</x:v>
      </x:c>
      <x:c r="E11" s="12" t="str"/>
    </x:row>
    <x:row r="12" ht="15" hidden="0" customHeight="1">
      <x:c r="A12" s="12" t="str">
        <x:v>Studies with at least one quantitative outcome</x:v>
      </x:c>
      <x:c r="B12" s="12" t="n">
        <x:v>76</x:v>
      </x:c>
      <x:c r="C12" s="12" t="n">
        <x:v>76</x:v>
      </x:c>
      <x:c r="D12" s="12" t="str">
        <x:v>Pass</x:v>
      </x:c>
      <x:c r="E12" s="12" t="str"/>
    </x:row>
    <x:row r="13" ht="15" hidden="0" customHeight="1">
      <x:c r="A13" s="12" t="str">
        <x:v>Invalid REB decision values</x:v>
      </x:c>
      <x:c r="B13" s="12" t="n">
        <x:v>0</x:v>
      </x:c>
      <x:c r="C13" s="12" t="n">
        <x:v>0</x:v>
      </x:c>
      <x:c r="D13" s="12" t="str">
        <x:v>Pass</x:v>
      </x:c>
      <x:c r="E13" s="12" t="str"/>
    </x:row>
    <x:row r="14" ht="15" hidden="0" customHeight="1">
      <x:c r="A14" s="12" t="str">
        <x:v>Unresolved REB decisions requiring named sources</x:v>
      </x:c>
      <x:c r="B14" s="12" t="n">
        <x:v>0</x:v>
      </x:c>
      <x:c r="C14" s="12" t="n">
        <x:v>0</x:v>
      </x:c>
      <x:c r="D14" s="12" t="str">
        <x:v>Pass</x:v>
      </x:c>
      <x:c r="E14" s="12" t="str"/>
    </x:row>
    <x:row r="15" ht="15" hidden="0" customHeight="1">
      <x:c r="A15" s="12" t="str">
        <x:v>Studies without exactly eight REB items</x:v>
      </x:c>
      <x:c r="B15" s="12" t="n">
        <x:v>0</x:v>
      </x:c>
      <x:c r="C15" s="12" t="n">
        <x:v>0</x:v>
      </x:c>
      <x:c r="D15" s="12" t="str">
        <x:v>Pass</x:v>
      </x:c>
      <x:c r="E15" s="12" t="str"/>
    </x:row>
    <x:row r="16" ht="15" hidden="0" customHeight="1">
      <x:c r="A16" s="12" t="str">
        <x:v>Studies without exactly eight assessment domains</x:v>
      </x:c>
      <x:c r="B16" s="12" t="n">
        <x:v>0</x:v>
      </x:c>
      <x:c r="C16" s="12" t="n">
        <x:v>0</x:v>
      </x:c>
      <x:c r="D16" s="12" t="str">
        <x:v>Pass</x:v>
      </x:c>
      <x:c r="E16" s="12" t="str"/>
    </x:row>
    <x:row r="17" ht="15" hidden="0" customHeight="1">
      <x:c r="A17" s="12" t="str">
        <x:v>Invalid assessment judgments</x:v>
      </x:c>
      <x:c r="B17" s="12" t="n">
        <x:v>0</x:v>
      </x:c>
      <x:c r="C17" s="12" t="n">
        <x:v>0</x:v>
      </x:c>
      <x:c r="D17" s="12" t="str">
        <x:v>Pass</x:v>
      </x:c>
      <x:c r="E17" s="12" t="str"/>
    </x:row>
    <x:row r="18" ht="15" hidden="0" customHeight="1">
      <x:c r="A18" s="12" t="str">
        <x:v>Supplement-dependent decisions with verification records</x:v>
      </x:c>
      <x:c r="B18" s="12" t="n">
        <x:v>9</x:v>
      </x:c>
      <x:c r="C18" s="12" t="n">
        <x:v>9</x:v>
      </x:c>
      <x:c r="D18" s="12" t="str">
        <x:v>Pass</x:v>
      </x:c>
      <x:c r="E18" s="12" t="str"/>
    </x:row>
    <x:row r="19" ht="15" hidden="0" customHeight="1">
      <x:c r="A19" s="12" t="str">
        <x:v>Duplicate DOI pairs</x:v>
      </x:c>
      <x:c r="B19" s="12" t="n">
        <x:v>0</x:v>
      </x:c>
      <x:c r="C19" s="12" t="n">
        <x:v>0</x:v>
      </x:c>
      <x:c r="D19" s="12" t="str">
        <x:v>Pass</x:v>
      </x:c>
      <x:c r="E19" s="12" t="str"/>
    </x:row>
    <x:row r="20" ht="15" hidden="0" customHeight="1">
      <x:c r="A20" s="12" t="str">
        <x:v>Eligible IDs missing from consolidated register</x:v>
      </x:c>
      <x:c r="B20" s="12" t="n">
        <x:v>0</x:v>
      </x:c>
      <x:c r="C20" s="12" t="n">
        <x:v>0</x:v>
      </x:c>
      <x:c r="D20" s="12" t="str">
        <x:v>Pass</x:v>
      </x:c>
      <x:c r="E20" s="12" t="str"/>
    </x:row>
  </x:sheetData>
  <x:pageMargins left="0.7" right="0.7" top="0.75" bottom="0.75" header="0.3" footer="0.3"/>
</x:worksheet>
</file>