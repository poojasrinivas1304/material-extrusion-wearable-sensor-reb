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ee3ca4042f4cd4" /></Relationships>
</file>

<file path=xl/workbook.xml><?xml version="1.0" encoding="utf-8"?>
<x:workbook xmlns:x="http://schemas.openxmlformats.org/spreadsheetml/2006/main">
  <x:sheets>
    <x:sheet xmlns:r="http://schemas.openxmlformats.org/officeDocument/2006/relationships" name="README" sheetId="1" r:id="R0f872b37603f4d86"/>
    <x:sheet xmlns:r="http://schemas.openxmlformats.org/officeDocument/2006/relationships" name="Final REB matrix" sheetId="2" r:id="R8587b85a1e954251"/>
    <x:sheet xmlns:r="http://schemas.openxmlformats.org/officeDocument/2006/relationships" name="Agreement" sheetId="3" r:id="Re931a8074d9f4228"/>
    <x:sheet xmlns:r="http://schemas.openxmlformats.org/officeDocument/2006/relationships" name="Adjudication" sheetId="4" r:id="R38a0f487ee4d4b82"/>
    <x:sheet xmlns:r="http://schemas.openxmlformats.org/officeDocument/2006/relationships" name="Raw ratings" sheetId="5" r:id="Rc772c470e6d24fc7"/>
    <x:sheet xmlns:r="http://schemas.openxmlformats.org/officeDocument/2006/relationships" name="Evidence log" sheetId="6" r:id="R0c11eab3f6eb4b5c"/>
    <x:sheet xmlns:r="http://schemas.openxmlformats.org/officeDocument/2006/relationships" name="Coding rules" sheetId="7" r:id="Rd09c86d02a1f431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0%"/>
  </x:numFmts>
  <x:fonts count="4">
    <x:font>
      <x:sz val="11"/>
      <x:name val="Carlito"/>
    </x:font>
    <x:font>
      <x:b/>
      <x:sz val="10"/>
      <x:color rgb="FFFFFFFF"/>
      <x:name val="Carlito"/>
    </x:font>
    <x:font>
      <x:sz val="10"/>
      <x:color rgb="FF222222"/>
      <x:name val="Carlito"/>
    </x:font>
    <x:font>
      <x:b/>
      <x:sz val="10"/>
      <x:color rgb="FF222222"/>
      <x:name val="Carlito"/>
    </x:font>
  </x:fonts>
  <x:fills count="4">
    <x:fill>
      <x:patternFill patternType="none"/>
    </x:fill>
    <x:fill>
      <x:patternFill patternType="gray125"/>
    </x:fill>
    <x:fill>
      <x:patternFill patternType="solid">
        <x:fgColor rgb="FF3F4650"/>
      </x:patternFill>
    </x:fill>
    <x:fill>
      <x:patternFill patternType="solid">
        <x:fgColor rgb="FFF2F3F5"/>
      </x:patternFill>
    </x:fill>
  </x:fills>
  <x:borders count="5">
    <x:border/>
    <x:border>
      <x:left style="thin">
        <x:color rgb="FFD3D6DA"/>
      </x:left>
      <x:right style="thin">
        <x:color rgb="FFD3D6DA"/>
      </x:right>
      <x:top style="thin">
        <x:color rgb="FFD3D6DA"/>
      </x:top>
      <x:bottom style="thin">
        <x:color rgb="FFD3D6DA"/>
      </x:bottom>
    </x:border>
    <x:border>
      <x:bottom style="thin">
        <x:color rgb="FFD3D6DA"/>
      </x:bottom>
    </x:border>
    <x:border>
      <x:top style="thin">
        <x:color rgb="FFD3D6DA"/>
      </x:top>
      <x:bottom style="thin">
        <x:color rgb="FFD3D6DA"/>
      </x:bottom>
    </x:border>
    <x:border>
      <x:top style="thin">
        <x:color rgb="FFD3D6DA"/>
      </x:top>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2" xfId="0" applyNumberFormat="1" applyFont="1" applyFill="1" applyBorder="1" applyAlignment="1">
      <x:alignment vertical="top"/>
    </x:xf>
    <x:xf numFmtId="0" fontId="2" fillId="0" borderId="3" xfId="0" applyNumberFormat="1" applyFont="1" applyFill="1" applyBorder="1" applyAlignment="1">
      <x:alignment vertical="top"/>
    </x:xf>
    <x:xf numFmtId="0" fontId="2" fillId="0" borderId="4" xfId="0" applyNumberFormat="1" applyFont="1" applyFill="1" applyBorder="1" applyAlignment="1">
      <x:alignment vertical="top"/>
    </x:xf>
    <x:xf numFmtId="0" fontId="3" fillId="0" borderId="2" xfId="0" applyNumberFormat="1" applyFont="1" applyFill="1" applyBorder="1" applyAlignment="1">
      <x:alignment vertical="top"/>
    </x:xf>
    <x:xf numFmtId="0" fontId="3" fillId="0" borderId="3" xfId="0" applyNumberFormat="1" applyFont="1" applyFill="1" applyBorder="1" applyAlignment="1">
      <x:alignment vertical="top"/>
    </x:xf>
    <x:xf numFmtId="0" fontId="3" fillId="0" borderId="4" xfId="0" applyNumberFormat="1" applyFont="1" applyFill="1" applyBorder="1" applyAlignment="1">
      <x:alignment vertical="top"/>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200" fontId="0" fillId="0" borderId="0" xfId="0" applyNumberFormat="1" applyFont="1" applyFill="1" applyBorder="1"/>
    <x:xf numFmtId="200" fontId="2" fillId="0" borderId="0" xfId="0" applyNumberFormat="1" applyFont="1" applyFill="1" applyBorder="1"/>
    <x:xf numFmtId="200" fontId="2" fillId="0" borderId="0" xfId="0" applyNumberFormat="1" applyFont="1" applyFill="1" applyBorder="1" applyAlignment="1">
      <x:alignment vertical="top"/>
    </x:xf>
    <x:xf numFmtId="200" fontId="2" fillId="0" borderId="2" xfId="0" applyNumberFormat="1" applyFont="1" applyFill="1" applyBorder="1" applyAlignment="1">
      <x:alignment vertical="top"/>
    </x:xf>
    <x:xf numFmtId="200" fontId="2" fillId="0" borderId="3" xfId="0" applyNumberFormat="1" applyFont="1" applyFill="1" applyBorder="1" applyAlignment="1">
      <x:alignment vertical="top"/>
    </x:xf>
    <x:xf numFmtId="200" fontId="2" fillId="0" borderId="4" xfId="0" applyNumberFormat="1" applyFont="1" applyFill="1" applyBorder="1" applyAlignment="1">
      <x:alignment vertical="top"/>
    </x:xf>
    <x:xf numFmtId="0" fontId="2" fillId="3" borderId="3" xfId="0" applyNumberFormat="1" applyFont="1" applyFill="1" applyBorder="1" applyAlignment="1">
      <x:alignment vertical="top"/>
    </x:xf>
    <x:xf numFmtId="200" fontId="2" fillId="3" borderId="3" xfId="0" applyNumberFormat="1" applyFont="1" applyFill="1" applyBorder="1" applyAlignment="1">
      <x:alignment vertical="top"/>
    </x:xf>
    <x:xf numFmtId="0" fontId="2" fillId="0" borderId="2" xfId="0" applyNumberFormat="1" applyFont="1" applyFill="1" applyBorder="1" applyAlignment="1">
      <x:alignment horizontal="center" vertical="top"/>
    </x:xf>
    <x:xf numFmtId="0" fontId="2" fillId="3" borderId="3" xfId="0" applyNumberFormat="1" applyFont="1" applyFill="1" applyBorder="1" applyAlignment="1">
      <x:alignment horizontal="center" vertical="top"/>
    </x:xf>
    <x:xf numFmtId="0" fontId="2" fillId="0" borderId="3" xfId="0" applyNumberFormat="1" applyFont="1" applyFill="1" applyBorder="1" applyAlignment="1">
      <x:alignment horizontal="center" vertical="top"/>
    </x:xf>
    <x:xf numFmtId="0" fontId="2" fillId="0" borderId="4" xfId="0" applyNumberFormat="1" applyFont="1" applyFill="1" applyBorder="1" applyAlignment="1">
      <x:alignment horizontal="center" vertical="top"/>
    </x:xf>
    <x:xf numFmtId="200" fontId="2" fillId="0" borderId="2" xfId="0" applyNumberFormat="1" applyFont="1" applyFill="1" applyBorder="1" applyAlignment="1">
      <x:alignment horizontal="center" vertical="top"/>
    </x:xf>
    <x:xf numFmtId="200" fontId="2" fillId="3" borderId="3" xfId="0" applyNumberFormat="1" applyFont="1" applyFill="1" applyBorder="1" applyAlignment="1">
      <x:alignment horizontal="center" vertical="top"/>
    </x:xf>
    <x:xf numFmtId="200" fontId="2" fillId="0" borderId="3" xfId="0" applyNumberFormat="1" applyFont="1" applyFill="1" applyBorder="1" applyAlignment="1">
      <x:alignment horizontal="center" vertical="top"/>
    </x:xf>
    <x:xf numFmtId="200" fontId="2" fillId="0" borderId="4" xfId="0" applyNumberFormat="1" applyFont="1" applyFill="1" applyBorder="1" applyAlignment="1">
      <x:alignment horizontal="center" vertical="top"/>
    </x:xf>
    <x:xf numFmtId="0" fontId="2" fillId="3" borderId="4" xfId="0" applyNumberFormat="1" applyFont="1" applyFill="1" applyBorder="1" applyAlignment="1">
      <x:alignment vertical="top"/>
    </x:xf>
    <x:xf numFmtId="201" fontId="0" fillId="0" borderId="0" xfId="0" applyNumberFormat="1" applyFont="1" applyFill="1" applyBorder="1"/>
    <x:xf numFmtId="201" fontId="2" fillId="0" borderId="0" xfId="0" applyNumberFormat="1" applyFont="1" applyFill="1" applyBorder="1"/>
    <x:xf numFmtId="201" fontId="2" fillId="0" borderId="0" xfId="0" applyNumberFormat="1" applyFont="1" applyFill="1" applyBorder="1" applyAlignment="1">
      <x:alignment vertical="top"/>
    </x:xf>
    <x:xf numFmtId="201" fontId="2" fillId="0" borderId="2" xfId="0" applyNumberFormat="1" applyFont="1" applyFill="1" applyBorder="1" applyAlignment="1">
      <x:alignment vertical="top"/>
    </x:xf>
    <x:xf numFmtId="201" fontId="2" fillId="0" borderId="3" xfId="0" applyNumberFormat="1" applyFont="1" applyFill="1" applyBorder="1" applyAlignment="1">
      <x:alignment vertical="top"/>
    </x:xf>
    <x:xf numFmtId="201" fontId="2" fillId="0" borderId="4" xfId="0" applyNumberFormat="1" applyFont="1" applyFill="1" applyBorder="1" applyAlignment="1">
      <x:alignment vertical="top"/>
    </x:xf>
    <x:xf numFmtId="201" fontId="2" fillId="3" borderId="3" xfId="0" applyNumberFormat="1" applyFont="1" applyFill="1" applyBorder="1" applyAlignment="1">
      <x:alignment vertical="top"/>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8c2dbd68d740b9" /><Relationship Type="http://schemas.openxmlformats.org/officeDocument/2006/relationships/theme" Target="/xl/theme/theme1.xml" Id="R556b287acae742e0" /><Relationship Type="http://schemas.openxmlformats.org/officeDocument/2006/relationships/sharedStrings" Target="/xl/sharedStrings.xml" Id="Rcffb3c7fedd547d5" /><Relationship Type="http://schemas.openxmlformats.org/officeDocument/2006/relationships/worksheet" Target="/xl/worksheets/sheet1.xml" Id="R0f872b37603f4d86" /><Relationship Type="http://schemas.openxmlformats.org/officeDocument/2006/relationships/worksheet" Target="/xl/worksheets/sheet2.xml" Id="R8587b85a1e954251" /><Relationship Type="http://schemas.openxmlformats.org/officeDocument/2006/relationships/worksheet" Target="/xl/worksheets/sheet3.xml" Id="Re931a8074d9f4228" /><Relationship Type="http://schemas.openxmlformats.org/officeDocument/2006/relationships/worksheet" Target="/xl/worksheets/sheet4.xml" Id="R38a0f487ee4d4b82" /><Relationship Type="http://schemas.openxmlformats.org/officeDocument/2006/relationships/worksheet" Target="/xl/worksheets/sheet5.xml" Id="Rc772c470e6d24fc7" /><Relationship Type="http://schemas.openxmlformats.org/officeDocument/2006/relationships/worksheet" Target="/xl/worksheets/sheet6.xml" Id="R0c11eab3f6eb4b5c" /><Relationship Type="http://schemas.openxmlformats.org/officeDocument/2006/relationships/worksheet" Target="/xl/worksheets/sheet7.xml" Id="Rd09c86d02a1f431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95" hidden="0" customWidth="1"/>
  </x:cols>
  <x:sheetData>
    <x:row r="1" ht="32" customHeight="1">
      <x:c r="A1" s="5" t="str">
        <x:v>Supplementary Data 1</x:v>
      </x:c>
      <x:c r="B1" s="5" t="str">
        <x:v>REB coding, agreement, and adjudication record</x:v>
      </x:c>
    </x:row>
    <x:row r="3" ht="42" customHeight="1">
      <x:c r="A3" s="11" t="str">
        <x:v>Included studies</x:v>
      </x:c>
      <x:c r="B3" s="14" t="n">
        <x:v>29</x:v>
      </x:c>
    </x:row>
    <x:row r="4" ht="42" customHeight="1">
      <x:c r="A4" s="12" t="str">
        <x:v>REB dimensions</x:v>
      </x:c>
      <x:c r="B4" s="15" t="str">
        <x:v>L1–L8</x:v>
      </x:c>
    </x:row>
    <x:row r="5" ht="42" customHeight="1">
      <x:c r="A5" s="12" t="str">
        <x:v>Paired pre-consensus decisions</x:v>
      </x:c>
      <x:c r="B5" s="15" t="n">
        <x:v>232</x:v>
      </x:c>
    </x:row>
    <x:row r="6" ht="42" customHeight="1">
      <x:c r="A6" s="12" t="str">
        <x:v>Reviewers</x:v>
      </x:c>
      <x:c r="B6" s="15" t="str">
        <x:v>Pooja Gurram and Swarubini P.J.</x:v>
      </x:c>
    </x:row>
    <x:row r="7" ht="42" customHeight="1">
      <x:c r="A7" s="12" t="str">
        <x:v>Coding process</x:v>
      </x:c>
      <x:c r="B7" s="15" t="str">
        <x:v>Each reviewer independently applied the predefined binary rules to all 29 studies before comparison.</x:v>
      </x:c>
    </x:row>
    <x:row r="8" ht="42" customHeight="1">
      <x:c r="A8" s="12" t="str">
        <x:v>Agreement analysis</x:v>
      </x:c>
      <x:c r="B8" s="15" t="str">
        <x:v>Percentage agreement and unweighted Cohen’s kappa were calculated from the pre-consensus ratings. PABAK and Gwet’s AC1 are sensitivity statistics.</x:v>
      </x:c>
    </x:row>
    <x:row r="9" ht="42" customHeight="1">
      <x:c r="A9" s="12" t="str">
        <x:v>Adjudication</x:v>
      </x:c>
      <x:c r="B9" s="15" t="str">
        <x:v>Seven disagreements were resolved jointly by returning to the coding rule and the located article evidence. The original ratings remain unchanged in this workbook.</x:v>
      </x:c>
    </x:row>
    <x:row r="10" ht="42" customHeight="1">
      <x:c r="A10" s="12" t="str">
        <x:v>Final audit</x:v>
      </x:c>
      <x:c r="B10" s="15" t="str">
        <x:v>The consensus matrix is used for the manuscript counts, study-level R values, and Figures 6–8.</x:v>
      </x:c>
    </x:row>
    <x:row r="11" ht="42" customHeight="1">
      <x:c r="A11" s="12" t="str">
        <x:v>Important distinction</x:v>
      </x:c>
      <x:c r="B11" s="15" t="str">
        <x:v>Independent-device reproducibility (L8), reviewer coding agreement, interlaboratory reproducibility, and repeated-measurement stability are different constructs.</x:v>
      </x:c>
    </x:row>
    <x:row r="12" ht="42" customHeight="1">
      <x:c r="A12" s="13" t="str">
        <x:v>Date finalized</x:v>
      </x:c>
      <x:c r="B12" s="16" t="str">
        <x:v>2026-08-30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31" hidden="0" customWidth="1"/>
    <x:col min="3" max="3" width="8" hidden="0" customWidth="1"/>
    <x:col min="4" max="4" width="8" hidden="0" customWidth="1"/>
    <x:col min="5" max="5" width="8" hidden="0" customWidth="1"/>
    <x:col min="6" max="6" width="8" hidden="0" customWidth="1"/>
    <x:col min="7" max="7" width="8" hidden="0" customWidth="1"/>
    <x:col min="8" max="8" width="8" hidden="0" customWidth="1"/>
    <x:col min="9" max="9" width="8" hidden="0" customWidth="1"/>
    <x:col min="10" max="10" width="8" hidden="0" customWidth="1"/>
    <x:col min="11" max="11" width="14" hidden="0" customWidth="1"/>
    <x:col min="12" max="12" width="14" hidden="0" customWidth="1"/>
  </x:cols>
  <x:sheetData>
    <x:row r="1" ht="32" customHeight="1">
      <x:c r="A1" s="5" t="str">
        <x:v>Study ID</x:v>
      </x:c>
      <x:c r="B1" s="5" t="str">
        <x:v>Study</x:v>
      </x:c>
      <x:c r="C1" s="5" t="str">
        <x:v>L1</x:v>
      </x:c>
      <x:c r="D1" s="5" t="str">
        <x:v>L2</x:v>
      </x:c>
      <x:c r="E1" s="5" t="str">
        <x:v>L3</x:v>
      </x:c>
      <x:c r="F1" s="5" t="str">
        <x:v>L4</x:v>
      </x:c>
      <x:c r="G1" s="5" t="str">
        <x:v>L5</x:v>
      </x:c>
      <x:c r="H1" s="5" t="str">
        <x:v>L6</x:v>
      </x:c>
      <x:c r="I1" s="5" t="str">
        <x:v>L7</x:v>
      </x:c>
      <x:c r="J1" s="5" t="str">
        <x:v>L8</x:v>
      </x:c>
      <x:c r="K1" s="5" t="str">
        <x:v>R</x:v>
      </x:c>
      <x:c r="L1" s="5" t="str">
        <x:v>L5–L8 count</x:v>
      </x:c>
    </x:row>
    <x:row r="2">
      <x:c r="A2" s="25" t="n">
        <x:v>1</x:v>
      </x:c>
      <x:c r="B2" s="8" t="str">
        <x:v>Saroli et al. (2025)</x:v>
      </x:c>
      <x:c r="C2" s="25" t="n">
        <x:v>1</x:v>
      </x:c>
      <x:c r="D2" s="25" t="n">
        <x:v>1</x:v>
      </x:c>
      <x:c r="E2" s="25" t="n">
        <x:v>1</x:v>
      </x:c>
      <x:c r="F2" s="25" t="n">
        <x:v>1</x:v>
      </x:c>
      <x:c r="G2" s="25" t="n">
        <x:v>1</x:v>
      </x:c>
      <x:c r="H2" s="25" t="n">
        <x:v>1</x:v>
      </x:c>
      <x:c r="I2" s="25" t="n">
        <x:v>1</x:v>
      </x:c>
      <x:c r="J2" s="25" t="n">
        <x:v>0</x:v>
      </x:c>
      <x:c r="K2" s="29" t="n">
        <x:f>AVERAGE(C2:J2)</x:f>
        <x:v>0.875</x:v>
      </x:c>
      <x:c r="L2" s="25" t="n">
        <x:f>SUM(G2:J2)</x:f>
        <x:v>3</x:v>
      </x:c>
    </x:row>
    <x:row r="3">
      <x:c r="A3" s="26" t="n">
        <x:v>2</x:v>
      </x:c>
      <x:c r="B3" s="23" t="str">
        <x:v>Suppelt et al. (2025)</x:v>
      </x:c>
      <x:c r="C3" s="26" t="n">
        <x:v>0</x:v>
      </x:c>
      <x:c r="D3" s="26" t="n">
        <x:v>1</x:v>
      </x:c>
      <x:c r="E3" s="26" t="n">
        <x:v>1</x:v>
      </x:c>
      <x:c r="F3" s="26" t="n">
        <x:v>1</x:v>
      </x:c>
      <x:c r="G3" s="26" t="n">
        <x:v>0</x:v>
      </x:c>
      <x:c r="H3" s="26" t="n">
        <x:v>1</x:v>
      </x:c>
      <x:c r="I3" s="26" t="n">
        <x:v>1</x:v>
      </x:c>
      <x:c r="J3" s="26" t="n">
        <x:v>1</x:v>
      </x:c>
      <x:c r="K3" s="30" t="n">
        <x:f>AVERAGE(C3:J3)</x:f>
        <x:v>0.75</x:v>
      </x:c>
      <x:c r="L3" s="26" t="n">
        <x:f>SUM(G3:J3)</x:f>
        <x:v>3</x:v>
      </x:c>
    </x:row>
    <x:row r="4">
      <x:c r="A4" s="27" t="n">
        <x:v>3</x:v>
      </x:c>
      <x:c r="B4" s="9" t="str">
        <x:v>Michalec and Faller (2024)</x:v>
      </x:c>
      <x:c r="C4" s="27" t="n">
        <x:v>1</x:v>
      </x:c>
      <x:c r="D4" s="27" t="n">
        <x:v>1</x:v>
      </x:c>
      <x:c r="E4" s="27" t="n">
        <x:v>1</x:v>
      </x:c>
      <x:c r="F4" s="27" t="n">
        <x:v>1</x:v>
      </x:c>
      <x:c r="G4" s="27" t="n">
        <x:v>1</x:v>
      </x:c>
      <x:c r="H4" s="27" t="n">
        <x:v>1</x:v>
      </x:c>
      <x:c r="I4" s="27" t="n">
        <x:v>1</x:v>
      </x:c>
      <x:c r="J4" s="27" t="n">
        <x:v>1</x:v>
      </x:c>
      <x:c r="K4" s="31" t="n">
        <x:f>AVERAGE(C4:J4)</x:f>
        <x:v>1</x:v>
      </x:c>
      <x:c r="L4" s="27" t="n">
        <x:f>SUM(G4:J4)</x:f>
        <x:v>4</x:v>
      </x:c>
    </x:row>
    <x:row r="5">
      <x:c r="A5" s="26" t="n">
        <x:v>4</x:v>
      </x:c>
      <x:c r="B5" s="23" t="str">
        <x:v>Dimo et al. (May 2024)</x:v>
      </x:c>
      <x:c r="C5" s="26" t="n">
        <x:v>0</x:v>
      </x:c>
      <x:c r="D5" s="26" t="n">
        <x:v>1</x:v>
      </x:c>
      <x:c r="E5" s="26" t="n">
        <x:v>1</x:v>
      </x:c>
      <x:c r="F5" s="26" t="n">
        <x:v>1</x:v>
      </x:c>
      <x:c r="G5" s="26" t="n">
        <x:v>1</x:v>
      </x:c>
      <x:c r="H5" s="26" t="n">
        <x:v>1</x:v>
      </x:c>
      <x:c r="I5" s="26" t="n">
        <x:v>1</x:v>
      </x:c>
      <x:c r="J5" s="26" t="n">
        <x:v>0</x:v>
      </x:c>
      <x:c r="K5" s="30" t="n">
        <x:f>AVERAGE(C5:J5)</x:f>
        <x:v>0.75</x:v>
      </x:c>
      <x:c r="L5" s="26" t="n">
        <x:f>SUM(G5:J5)</x:f>
        <x:v>3</x:v>
      </x:c>
    </x:row>
    <x:row r="6">
      <x:c r="A6" s="27" t="n">
        <x:v>5</x:v>
      </x:c>
      <x:c r="B6" s="9" t="str">
        <x:v>Dimo et al. (Nov 2024)</x:v>
      </x:c>
      <x:c r="C6" s="27" t="n">
        <x:v>0</x:v>
      </x:c>
      <x:c r="D6" s="27" t="n">
        <x:v>1</x:v>
      </x:c>
      <x:c r="E6" s="27" t="n">
        <x:v>1</x:v>
      </x:c>
      <x:c r="F6" s="27" t="n">
        <x:v>1</x:v>
      </x:c>
      <x:c r="G6" s="27" t="n">
        <x:v>1</x:v>
      </x:c>
      <x:c r="H6" s="27" t="n">
        <x:v>0</x:v>
      </x:c>
      <x:c r="I6" s="27" t="n">
        <x:v>0</x:v>
      </x:c>
      <x:c r="J6" s="27" t="n">
        <x:v>0</x:v>
      </x:c>
      <x:c r="K6" s="31" t="n">
        <x:f>AVERAGE(C6:J6)</x:f>
        <x:v>0.5</x:v>
      </x:c>
      <x:c r="L6" s="27" t="n">
        <x:f>SUM(G6:J6)</x:f>
        <x:v>1</x:v>
      </x:c>
    </x:row>
    <x:row r="7">
      <x:c r="A7" s="26" t="n">
        <x:v>6</x:v>
      </x:c>
      <x:c r="B7" s="23" t="str">
        <x:v>Lo Presti et al. (2022)</x:v>
      </x:c>
      <x:c r="C7" s="26" t="n">
        <x:v>0</x:v>
      </x:c>
      <x:c r="D7" s="26" t="n">
        <x:v>1</x:v>
      </x:c>
      <x:c r="E7" s="26" t="n">
        <x:v>1</x:v>
      </x:c>
      <x:c r="F7" s="26" t="n">
        <x:v>1</x:v>
      </x:c>
      <x:c r="G7" s="26" t="n">
        <x:v>1</x:v>
      </x:c>
      <x:c r="H7" s="26" t="n">
        <x:v>1</x:v>
      </x:c>
      <x:c r="I7" s="26" t="n">
        <x:v>1</x:v>
      </x:c>
      <x:c r="J7" s="26" t="n">
        <x:v>0</x:v>
      </x:c>
      <x:c r="K7" s="30" t="n">
        <x:f>AVERAGE(C7:J7)</x:f>
        <x:v>0.75</x:v>
      </x:c>
      <x:c r="L7" s="26" t="n">
        <x:f>SUM(G7:J7)</x:f>
        <x:v>3</x:v>
      </x:c>
    </x:row>
    <x:row r="8">
      <x:c r="A8" s="27" t="n">
        <x:v>7</x:v>
      </x:c>
      <x:c r="B8" s="9" t="str">
        <x:v>Aros Taglioni et al. (2024)</x:v>
      </x:c>
      <x:c r="C8" s="27" t="n">
        <x:v>0</x:v>
      </x:c>
      <x:c r="D8" s="27" t="n">
        <x:v>1</x:v>
      </x:c>
      <x:c r="E8" s="27" t="n">
        <x:v>1</x:v>
      </x:c>
      <x:c r="F8" s="27" t="n">
        <x:v>1</x:v>
      </x:c>
      <x:c r="G8" s="27" t="n">
        <x:v>1</x:v>
      </x:c>
      <x:c r="H8" s="27" t="n">
        <x:v>0</x:v>
      </x:c>
      <x:c r="I8" s="27" t="n">
        <x:v>1</x:v>
      </x:c>
      <x:c r="J8" s="27" t="n">
        <x:v>0</x:v>
      </x:c>
      <x:c r="K8" s="31" t="n">
        <x:f>AVERAGE(C8:J8)</x:f>
        <x:v>0.625</x:v>
      </x:c>
      <x:c r="L8" s="27" t="n">
        <x:f>SUM(G8:J8)</x:f>
        <x:v>2</x:v>
      </x:c>
    </x:row>
    <x:row r="9">
      <x:c r="A9" s="26" t="n">
        <x:v>8</x:v>
      </x:c>
      <x:c r="B9" s="23" t="str">
        <x:v>Imranuddin et al. (2025)</x:v>
      </x:c>
      <x:c r="C9" s="26" t="n">
        <x:v>1</x:v>
      </x:c>
      <x:c r="D9" s="26" t="n">
        <x:v>1</x:v>
      </x:c>
      <x:c r="E9" s="26" t="n">
        <x:v>1</x:v>
      </x:c>
      <x:c r="F9" s="26" t="n">
        <x:v>1</x:v>
      </x:c>
      <x:c r="G9" s="26" t="n">
        <x:v>1</x:v>
      </x:c>
      <x:c r="H9" s="26" t="n">
        <x:v>1</x:v>
      </x:c>
      <x:c r="I9" s="26" t="n">
        <x:v>1</x:v>
      </x:c>
      <x:c r="J9" s="26" t="n">
        <x:v>1</x:v>
      </x:c>
      <x:c r="K9" s="30" t="n">
        <x:f>AVERAGE(C9:J9)</x:f>
        <x:v>1</x:v>
      </x:c>
      <x:c r="L9" s="26" t="n">
        <x:f>SUM(G9:J9)</x:f>
        <x:v>4</x:v>
      </x:c>
    </x:row>
    <x:row r="10">
      <x:c r="A10" s="27" t="n">
        <x:v>9</x:v>
      </x:c>
      <x:c r="B10" s="9" t="str">
        <x:v>Wang et al. (2024)</x:v>
      </x:c>
      <x:c r="C10" s="27" t="n">
        <x:v>0</x:v>
      </x:c>
      <x:c r="D10" s="27" t="n">
        <x:v>1</x:v>
      </x:c>
      <x:c r="E10" s="27" t="n">
        <x:v>1</x:v>
      </x:c>
      <x:c r="F10" s="27" t="n">
        <x:v>1</x:v>
      </x:c>
      <x:c r="G10" s="27" t="n">
        <x:v>1</x:v>
      </x:c>
      <x:c r="H10" s="27" t="n">
        <x:v>0</x:v>
      </x:c>
      <x:c r="I10" s="27" t="n">
        <x:v>1</x:v>
      </x:c>
      <x:c r="J10" s="27" t="n">
        <x:v>0</x:v>
      </x:c>
      <x:c r="K10" s="31" t="n">
        <x:f>AVERAGE(C10:J10)</x:f>
        <x:v>0.625</x:v>
      </x:c>
      <x:c r="L10" s="27" t="n">
        <x:f>SUM(G10:J10)</x:f>
        <x:v>2</x:v>
      </x:c>
    </x:row>
    <x:row r="11">
      <x:c r="A11" s="26" t="n">
        <x:v>10</x:v>
      </x:c>
      <x:c r="B11" s="23" t="str">
        <x:v>Moscol Albanil et al. (2026)</x:v>
      </x:c>
      <x:c r="C11" s="26" t="n">
        <x:v>0</x:v>
      </x:c>
      <x:c r="D11" s="26" t="n">
        <x:v>1</x:v>
      </x:c>
      <x:c r="E11" s="26" t="n">
        <x:v>1</x:v>
      </x:c>
      <x:c r="F11" s="26" t="n">
        <x:v>1</x:v>
      </x:c>
      <x:c r="G11" s="26" t="n">
        <x:v>1</x:v>
      </x:c>
      <x:c r="H11" s="26" t="n">
        <x:v>1</x:v>
      </x:c>
      <x:c r="I11" s="26" t="n">
        <x:v>1</x:v>
      </x:c>
      <x:c r="J11" s="26" t="n">
        <x:v>0</x:v>
      </x:c>
      <x:c r="K11" s="30" t="n">
        <x:f>AVERAGE(C11:J11)</x:f>
        <x:v>0.75</x:v>
      </x:c>
      <x:c r="L11" s="26" t="n">
        <x:f>SUM(G11:J11)</x:f>
        <x:v>3</x:v>
      </x:c>
    </x:row>
    <x:row r="12">
      <x:c r="A12" s="27" t="n">
        <x:v>11</x:v>
      </x:c>
      <x:c r="B12" s="9" t="str">
        <x:v>Farid et al. (2025)</x:v>
      </x:c>
      <x:c r="C12" s="27" t="n">
        <x:v>1</x:v>
      </x:c>
      <x:c r="D12" s="27" t="n">
        <x:v>1</x:v>
      </x:c>
      <x:c r="E12" s="27" t="n">
        <x:v>1</x:v>
      </x:c>
      <x:c r="F12" s="27" t="n">
        <x:v>1</x:v>
      </x:c>
      <x:c r="G12" s="27" t="n">
        <x:v>1</x:v>
      </x:c>
      <x:c r="H12" s="27" t="n">
        <x:v>1</x:v>
      </x:c>
      <x:c r="I12" s="27" t="n">
        <x:v>1</x:v>
      </x:c>
      <x:c r="J12" s="27" t="n">
        <x:v>0</x:v>
      </x:c>
      <x:c r="K12" s="31" t="n">
        <x:f>AVERAGE(C12:J12)</x:f>
        <x:v>0.875</x:v>
      </x:c>
      <x:c r="L12" s="27" t="n">
        <x:f>SUM(G12:J12)</x:f>
        <x:v>3</x:v>
      </x:c>
    </x:row>
    <x:row r="13">
      <x:c r="A13" s="26" t="n">
        <x:v>12</x:v>
      </x:c>
      <x:c r="B13" s="23" t="str">
        <x:v>Xu et al. (2025)</x:v>
      </x:c>
      <x:c r="C13" s="26" t="n">
        <x:v>1</x:v>
      </x:c>
      <x:c r="D13" s="26" t="n">
        <x:v>1</x:v>
      </x:c>
      <x:c r="E13" s="26" t="n">
        <x:v>1</x:v>
      </x:c>
      <x:c r="F13" s="26" t="n">
        <x:v>1</x:v>
      </x:c>
      <x:c r="G13" s="26" t="n">
        <x:v>1</x:v>
      </x:c>
      <x:c r="H13" s="26" t="n">
        <x:v>1</x:v>
      </x:c>
      <x:c r="I13" s="26" t="n">
        <x:v>0</x:v>
      </x:c>
      <x:c r="J13" s="26" t="n">
        <x:v>0</x:v>
      </x:c>
      <x:c r="K13" s="30" t="n">
        <x:f>AVERAGE(C13:J13)</x:f>
        <x:v>0.75</x:v>
      </x:c>
      <x:c r="L13" s="26" t="n">
        <x:f>SUM(G13:J13)</x:f>
        <x:v>2</x:v>
      </x:c>
    </x:row>
    <x:row r="14">
      <x:c r="A14" s="27" t="n">
        <x:v>13</x:v>
      </x:c>
      <x:c r="B14" s="9" t="str">
        <x:v>Babu et al. (2025)</x:v>
      </x:c>
      <x:c r="C14" s="27" t="n">
        <x:v>1</x:v>
      </x:c>
      <x:c r="D14" s="27" t="n">
        <x:v>1</x:v>
      </x:c>
      <x:c r="E14" s="27" t="n">
        <x:v>1</x:v>
      </x:c>
      <x:c r="F14" s="27" t="n">
        <x:v>1</x:v>
      </x:c>
      <x:c r="G14" s="27" t="n">
        <x:v>1</x:v>
      </x:c>
      <x:c r="H14" s="27" t="n">
        <x:v>1</x:v>
      </x:c>
      <x:c r="I14" s="27" t="n">
        <x:v>1</x:v>
      </x:c>
      <x:c r="J14" s="27" t="n">
        <x:v>0</x:v>
      </x:c>
      <x:c r="K14" s="31" t="n">
        <x:f>AVERAGE(C14:J14)</x:f>
        <x:v>0.875</x:v>
      </x:c>
      <x:c r="L14" s="27" t="n">
        <x:f>SUM(G14:J14)</x:f>
        <x:v>3</x:v>
      </x:c>
    </x:row>
    <x:row r="15">
      <x:c r="A15" s="26" t="n">
        <x:v>14</x:v>
      </x:c>
      <x:c r="B15" s="23" t="str">
        <x:v>Lavorgna et al. (2025)</x:v>
      </x:c>
      <x:c r="C15" s="26" t="n">
        <x:v>1</x:v>
      </x:c>
      <x:c r="D15" s="26" t="n">
        <x:v>1</x:v>
      </x:c>
      <x:c r="E15" s="26" t="n">
        <x:v>1</x:v>
      </x:c>
      <x:c r="F15" s="26" t="n">
        <x:v>1</x:v>
      </x:c>
      <x:c r="G15" s="26" t="n">
        <x:v>1</x:v>
      </x:c>
      <x:c r="H15" s="26" t="n">
        <x:v>1</x:v>
      </x:c>
      <x:c r="I15" s="26" t="n">
        <x:v>1</x:v>
      </x:c>
      <x:c r="J15" s="26" t="n">
        <x:v>0</x:v>
      </x:c>
      <x:c r="K15" s="30" t="n">
        <x:f>AVERAGE(C15:J15)</x:f>
        <x:v>0.875</x:v>
      </x:c>
      <x:c r="L15" s="26" t="n">
        <x:f>SUM(G15:J15)</x:f>
        <x:v>3</x:v>
      </x:c>
    </x:row>
    <x:row r="16">
      <x:c r="A16" s="27" t="n">
        <x:v>15</x:v>
      </x:c>
      <x:c r="B16" s="9" t="str">
        <x:v>Cheng-Yu et al. (2021)</x:v>
      </x:c>
      <x:c r="C16" s="27" t="n">
        <x:v>0</x:v>
      </x:c>
      <x:c r="D16" s="27" t="n">
        <x:v>1</x:v>
      </x:c>
      <x:c r="E16" s="27" t="n">
        <x:v>1</x:v>
      </x:c>
      <x:c r="F16" s="27" t="n">
        <x:v>1</x:v>
      </x:c>
      <x:c r="G16" s="27" t="n">
        <x:v>1</x:v>
      </x:c>
      <x:c r="H16" s="27" t="n">
        <x:v>0</x:v>
      </x:c>
      <x:c r="I16" s="27" t="n">
        <x:v>1</x:v>
      </x:c>
      <x:c r="J16" s="27" t="n">
        <x:v>0</x:v>
      </x:c>
      <x:c r="K16" s="31" t="n">
        <x:f>AVERAGE(C16:J16)</x:f>
        <x:v>0.625</x:v>
      </x:c>
      <x:c r="L16" s="27" t="n">
        <x:f>SUM(G16:J16)</x:f>
        <x:v>2</x:v>
      </x:c>
    </x:row>
    <x:row r="17">
      <x:c r="A17" s="26" t="n">
        <x:v>16</x:v>
      </x:c>
      <x:c r="B17" s="23" t="str">
        <x:v>Kumar et al. (2023)</x:v>
      </x:c>
      <x:c r="C17" s="26" t="n">
        <x:v>1</x:v>
      </x:c>
      <x:c r="D17" s="26" t="n">
        <x:v>1</x:v>
      </x:c>
      <x:c r="E17" s="26" t="n">
        <x:v>1</x:v>
      </x:c>
      <x:c r="F17" s="26" t="n">
        <x:v>1</x:v>
      </x:c>
      <x:c r="G17" s="26" t="n">
        <x:v>1</x:v>
      </x:c>
      <x:c r="H17" s="26" t="n">
        <x:v>1</x:v>
      </x:c>
      <x:c r="I17" s="26" t="n">
        <x:v>1</x:v>
      </x:c>
      <x:c r="J17" s="26" t="n">
        <x:v>0</x:v>
      </x:c>
      <x:c r="K17" s="30" t="n">
        <x:f>AVERAGE(C17:J17)</x:f>
        <x:v>0.875</x:v>
      </x:c>
      <x:c r="L17" s="26" t="n">
        <x:f>SUM(G17:J17)</x:f>
        <x:v>3</x:v>
      </x:c>
    </x:row>
    <x:row r="18">
      <x:c r="A18" s="27" t="n">
        <x:v>17</x:v>
      </x:c>
      <x:c r="B18" s="9" t="str">
        <x:v>Kim et al. (2019)</x:v>
      </x:c>
      <x:c r="C18" s="27" t="n">
        <x:v>0</x:v>
      </x:c>
      <x:c r="D18" s="27" t="n">
        <x:v>1</x:v>
      </x:c>
      <x:c r="E18" s="27" t="n">
        <x:v>1</x:v>
      </x:c>
      <x:c r="F18" s="27" t="n">
        <x:v>1</x:v>
      </x:c>
      <x:c r="G18" s="27" t="n">
        <x:v>1</x:v>
      </x:c>
      <x:c r="H18" s="27" t="n">
        <x:v>1</x:v>
      </x:c>
      <x:c r="I18" s="27" t="n">
        <x:v>1</x:v>
      </x:c>
      <x:c r="J18" s="27" t="n">
        <x:v>1</x:v>
      </x:c>
      <x:c r="K18" s="31" t="n">
        <x:f>AVERAGE(C18:J18)</x:f>
        <x:v>0.875</x:v>
      </x:c>
      <x:c r="L18" s="27" t="n">
        <x:f>SUM(G18:J18)</x:f>
        <x:v>4</x:v>
      </x:c>
    </x:row>
    <x:row r="19">
      <x:c r="A19" s="26" t="n">
        <x:v>18</x:v>
      </x:c>
      <x:c r="B19" s="23" t="str">
        <x:v>Imanian et al. (2023)</x:v>
      </x:c>
      <x:c r="C19" s="26" t="n">
        <x:v>1</x:v>
      </x:c>
      <x:c r="D19" s="26" t="n">
        <x:v>1</x:v>
      </x:c>
      <x:c r="E19" s="26" t="n">
        <x:v>1</x:v>
      </x:c>
      <x:c r="F19" s="26" t="n">
        <x:v>1</x:v>
      </x:c>
      <x:c r="G19" s="26" t="n">
        <x:v>1</x:v>
      </x:c>
      <x:c r="H19" s="26" t="n">
        <x:v>0</x:v>
      </x:c>
      <x:c r="I19" s="26" t="n">
        <x:v>1</x:v>
      </x:c>
      <x:c r="J19" s="26" t="n">
        <x:v>0</x:v>
      </x:c>
      <x:c r="K19" s="30" t="n">
        <x:f>AVERAGE(C19:J19)</x:f>
        <x:v>0.75</x:v>
      </x:c>
      <x:c r="L19" s="26" t="n">
        <x:f>SUM(G19:J19)</x:f>
        <x:v>2</x:v>
      </x:c>
    </x:row>
    <x:row r="20">
      <x:c r="A20" s="27" t="n">
        <x:v>19</x:v>
      </x:c>
      <x:c r="B20" s="9" t="str">
        <x:v>Lo Presti et al. (2024)</x:v>
      </x:c>
      <x:c r="C20" s="27" t="n">
        <x:v>1</x:v>
      </x:c>
      <x:c r="D20" s="27" t="n">
        <x:v>1</x:v>
      </x:c>
      <x:c r="E20" s="27" t="n">
        <x:v>1</x:v>
      </x:c>
      <x:c r="F20" s="27" t="n">
        <x:v>1</x:v>
      </x:c>
      <x:c r="G20" s="27" t="n">
        <x:v>1</x:v>
      </x:c>
      <x:c r="H20" s="27" t="n">
        <x:v>1</x:v>
      </x:c>
      <x:c r="I20" s="27" t="n">
        <x:v>1</x:v>
      </x:c>
      <x:c r="J20" s="27" t="n">
        <x:v>0</x:v>
      </x:c>
      <x:c r="K20" s="31" t="n">
        <x:f>AVERAGE(C20:J20)</x:f>
        <x:v>0.875</x:v>
      </x:c>
      <x:c r="L20" s="27" t="n">
        <x:f>SUM(G20:J20)</x:f>
        <x:v>3</x:v>
      </x:c>
    </x:row>
    <x:row r="21">
      <x:c r="A21" s="26" t="n">
        <x:v>20</x:v>
      </x:c>
      <x:c r="B21" s="23" t="str">
        <x:v>Sobianin et al. (2024)</x:v>
      </x:c>
      <x:c r="C21" s="26" t="n">
        <x:v>1</x:v>
      </x:c>
      <x:c r="D21" s="26" t="n">
        <x:v>1</x:v>
      </x:c>
      <x:c r="E21" s="26" t="n">
        <x:v>0</x:v>
      </x:c>
      <x:c r="F21" s="26" t="n">
        <x:v>1</x:v>
      </x:c>
      <x:c r="G21" s="26" t="n">
        <x:v>0</x:v>
      </x:c>
      <x:c r="H21" s="26" t="n">
        <x:v>1</x:v>
      </x:c>
      <x:c r="I21" s="26" t="n">
        <x:v>1</x:v>
      </x:c>
      <x:c r="J21" s="26" t="n">
        <x:v>0</x:v>
      </x:c>
      <x:c r="K21" s="30" t="n">
        <x:f>AVERAGE(C21:J21)</x:f>
        <x:v>0.625</x:v>
      </x:c>
      <x:c r="L21" s="26" t="n">
        <x:f>SUM(G21:J21)</x:f>
        <x:v>2</x:v>
      </x:c>
    </x:row>
    <x:row r="22">
      <x:c r="A22" s="27" t="n">
        <x:v>21</x:v>
      </x:c>
      <x:c r="B22" s="9" t="str">
        <x:v>Christ et al. (2017)</x:v>
      </x:c>
      <x:c r="C22" s="27" t="n">
        <x:v>1</x:v>
      </x:c>
      <x:c r="D22" s="27" t="n">
        <x:v>1</x:v>
      </x:c>
      <x:c r="E22" s="27" t="n">
        <x:v>1</x:v>
      </x:c>
      <x:c r="F22" s="27" t="n">
        <x:v>1</x:v>
      </x:c>
      <x:c r="G22" s="27" t="n">
        <x:v>1</x:v>
      </x:c>
      <x:c r="H22" s="27" t="n">
        <x:v>0</x:v>
      </x:c>
      <x:c r="I22" s="27" t="n">
        <x:v>0</x:v>
      </x:c>
      <x:c r="J22" s="27" t="n">
        <x:v>0</x:v>
      </x:c>
      <x:c r="K22" s="31" t="n">
        <x:f>AVERAGE(C22:J22)</x:f>
        <x:v>0.625</x:v>
      </x:c>
      <x:c r="L22" s="27" t="n">
        <x:f>SUM(G22:J22)</x:f>
        <x:v>1</x:v>
      </x:c>
    </x:row>
    <x:row r="23">
      <x:c r="A23" s="26" t="n">
        <x:v>22</x:v>
      </x:c>
      <x:c r="B23" s="23" t="str">
        <x:v>Xiang et al. (2020)</x:v>
      </x:c>
      <x:c r="C23" s="26" t="n">
        <x:v>1</x:v>
      </x:c>
      <x:c r="D23" s="26" t="n">
        <x:v>1</x:v>
      </x:c>
      <x:c r="E23" s="26" t="n">
        <x:v>1</x:v>
      </x:c>
      <x:c r="F23" s="26" t="n">
        <x:v>1</x:v>
      </x:c>
      <x:c r="G23" s="26" t="n">
        <x:v>1</x:v>
      </x:c>
      <x:c r="H23" s="26" t="n">
        <x:v>0</x:v>
      </x:c>
      <x:c r="I23" s="26" t="n">
        <x:v>1</x:v>
      </x:c>
      <x:c r="J23" s="26" t="n">
        <x:v>0</x:v>
      </x:c>
      <x:c r="K23" s="30" t="n">
        <x:f>AVERAGE(C23:J23)</x:f>
        <x:v>0.75</x:v>
      </x:c>
      <x:c r="L23" s="26" t="n">
        <x:f>SUM(G23:J23)</x:f>
        <x:v>2</x:v>
      </x:c>
    </x:row>
    <x:row r="24">
      <x:c r="A24" s="27" t="n">
        <x:v>23</x:v>
      </x:c>
      <x:c r="B24" s="9" t="str">
        <x:v>Loh et al. (2021)</x:v>
      </x:c>
      <x:c r="C24" s="27" t="n">
        <x:v>1</x:v>
      </x:c>
      <x:c r="D24" s="27" t="n">
        <x:v>1</x:v>
      </x:c>
      <x:c r="E24" s="27" t="n">
        <x:v>1</x:v>
      </x:c>
      <x:c r="F24" s="27" t="n">
        <x:v>1</x:v>
      </x:c>
      <x:c r="G24" s="27" t="n">
        <x:v>0</x:v>
      </x:c>
      <x:c r="H24" s="27" t="n">
        <x:v>1</x:v>
      </x:c>
      <x:c r="I24" s="27" t="n">
        <x:v>1</x:v>
      </x:c>
      <x:c r="J24" s="27" t="n">
        <x:v>0</x:v>
      </x:c>
      <x:c r="K24" s="31" t="n">
        <x:f>AVERAGE(C24:J24)</x:f>
        <x:v>0.75</x:v>
      </x:c>
      <x:c r="L24" s="27" t="n">
        <x:f>SUM(G24:J24)</x:f>
        <x:v>2</x:v>
      </x:c>
    </x:row>
    <x:row r="25">
      <x:c r="A25" s="26" t="n">
        <x:v>24</x:v>
      </x:c>
      <x:c r="B25" s="23" t="str">
        <x:v>Jain et al. (2023)</x:v>
      </x:c>
      <x:c r="C25" s="26" t="n">
        <x:v>1</x:v>
      </x:c>
      <x:c r="D25" s="26" t="n">
        <x:v>1</x:v>
      </x:c>
      <x:c r="E25" s="26" t="n">
        <x:v>1</x:v>
      </x:c>
      <x:c r="F25" s="26" t="n">
        <x:v>1</x:v>
      </x:c>
      <x:c r="G25" s="26" t="n">
        <x:v>0</x:v>
      </x:c>
      <x:c r="H25" s="26" t="n">
        <x:v>1</x:v>
      </x:c>
      <x:c r="I25" s="26" t="n">
        <x:v>1</x:v>
      </x:c>
      <x:c r="J25" s="26" t="n">
        <x:v>0</x:v>
      </x:c>
      <x:c r="K25" s="30" t="n">
        <x:f>AVERAGE(C25:J25)</x:f>
        <x:v>0.75</x:v>
      </x:c>
      <x:c r="L25" s="26" t="n">
        <x:f>SUM(G25:J25)</x:f>
        <x:v>2</x:v>
      </x:c>
    </x:row>
    <x:row r="26">
      <x:c r="A26" s="27" t="n">
        <x:v>25</x:v>
      </x:c>
      <x:c r="B26" s="9" t="str">
        <x:v>Bang et al. (2023)</x:v>
      </x:c>
      <x:c r="C26" s="27" t="n">
        <x:v>1</x:v>
      </x:c>
      <x:c r="D26" s="27" t="n">
        <x:v>1</x:v>
      </x:c>
      <x:c r="E26" s="27" t="n">
        <x:v>1</x:v>
      </x:c>
      <x:c r="F26" s="27" t="n">
        <x:v>1</x:v>
      </x:c>
      <x:c r="G26" s="27" t="n">
        <x:v>1</x:v>
      </x:c>
      <x:c r="H26" s="27" t="n">
        <x:v>0</x:v>
      </x:c>
      <x:c r="I26" s="27" t="n">
        <x:v>1</x:v>
      </x:c>
      <x:c r="J26" s="27" t="n">
        <x:v>0</x:v>
      </x:c>
      <x:c r="K26" s="31" t="n">
        <x:f>AVERAGE(C26:J26)</x:f>
        <x:v>0.75</x:v>
      </x:c>
      <x:c r="L26" s="27" t="n">
        <x:f>SUM(G26:J26)</x:f>
        <x:v>2</x:v>
      </x:c>
    </x:row>
    <x:row r="27">
      <x:c r="A27" s="26" t="n">
        <x:v>26</x:v>
      </x:c>
      <x:c r="B27" s="23" t="str">
        <x:v>Kai et al. (2023)</x:v>
      </x:c>
      <x:c r="C27" s="26" t="n">
        <x:v>1</x:v>
      </x:c>
      <x:c r="D27" s="26" t="n">
        <x:v>1</x:v>
      </x:c>
      <x:c r="E27" s="26" t="n">
        <x:v>1</x:v>
      </x:c>
      <x:c r="F27" s="26" t="n">
        <x:v>1</x:v>
      </x:c>
      <x:c r="G27" s="26" t="n">
        <x:v>0</x:v>
      </x:c>
      <x:c r="H27" s="26" t="n">
        <x:v>0</x:v>
      </x:c>
      <x:c r="I27" s="26" t="n">
        <x:v>0</x:v>
      </x:c>
      <x:c r="J27" s="26" t="n">
        <x:v>0</x:v>
      </x:c>
      <x:c r="K27" s="30" t="n">
        <x:f>AVERAGE(C27:J27)</x:f>
        <x:v>0.5</x:v>
      </x:c>
      <x:c r="L27" s="26" t="n">
        <x:f>SUM(G27:J27)</x:f>
        <x:v>0</x:v>
      </x:c>
    </x:row>
    <x:row r="28">
      <x:c r="A28" s="27" t="n">
        <x:v>27</x:v>
      </x:c>
      <x:c r="B28" s="9" t="str">
        <x:v>Guo et al. (2023)</x:v>
      </x:c>
      <x:c r="C28" s="27" t="n">
        <x:v>0</x:v>
      </x:c>
      <x:c r="D28" s="27" t="n">
        <x:v>1</x:v>
      </x:c>
      <x:c r="E28" s="27" t="n">
        <x:v>1</x:v>
      </x:c>
      <x:c r="F28" s="27" t="n">
        <x:v>1</x:v>
      </x:c>
      <x:c r="G28" s="27" t="n">
        <x:v>1</x:v>
      </x:c>
      <x:c r="H28" s="27" t="n">
        <x:v>0</x:v>
      </x:c>
      <x:c r="I28" s="27" t="n">
        <x:v>1</x:v>
      </x:c>
      <x:c r="J28" s="27" t="n">
        <x:v>0</x:v>
      </x:c>
      <x:c r="K28" s="31" t="n">
        <x:f>AVERAGE(C28:J28)</x:f>
        <x:v>0.625</x:v>
      </x:c>
      <x:c r="L28" s="27" t="n">
        <x:f>SUM(G28:J28)</x:f>
        <x:v>2</x:v>
      </x:c>
    </x:row>
    <x:row r="29">
      <x:c r="A29" s="26" t="n">
        <x:v>28</x:v>
      </x:c>
      <x:c r="B29" s="23" t="str">
        <x:v>Davoodi et al. (2020)</x:v>
      </x:c>
      <x:c r="C29" s="26" t="n">
        <x:v>1</x:v>
      </x:c>
      <x:c r="D29" s="26" t="n">
        <x:v>1</x:v>
      </x:c>
      <x:c r="E29" s="26" t="n">
        <x:v>1</x:v>
      </x:c>
      <x:c r="F29" s="26" t="n">
        <x:v>1</x:v>
      </x:c>
      <x:c r="G29" s="26" t="n">
        <x:v>1</x:v>
      </x:c>
      <x:c r="H29" s="26" t="n">
        <x:v>1</x:v>
      </x:c>
      <x:c r="I29" s="26" t="n">
        <x:v>1</x:v>
      </x:c>
      <x:c r="J29" s="26" t="n">
        <x:v>0</x:v>
      </x:c>
      <x:c r="K29" s="30" t="n">
        <x:f>AVERAGE(C29:J29)</x:f>
        <x:v>0.875</x:v>
      </x:c>
      <x:c r="L29" s="26" t="n">
        <x:f>SUM(G29:J29)</x:f>
        <x:v>3</x:v>
      </x:c>
    </x:row>
    <x:row r="30">
      <x:c r="A30" s="28" t="n">
        <x:v>29</x:v>
      </x:c>
      <x:c r="B30" s="10" t="str">
        <x:v>Christ et al. (2019)</x:v>
      </x:c>
      <x:c r="C30" s="28" t="n">
        <x:v>1</x:v>
      </x:c>
      <x:c r="D30" s="28" t="n">
        <x:v>1</x:v>
      </x:c>
      <x:c r="E30" s="28" t="n">
        <x:v>1</x:v>
      </x:c>
      <x:c r="F30" s="28" t="n">
        <x:v>1</x:v>
      </x:c>
      <x:c r="G30" s="28" t="n">
        <x:v>1</x:v>
      </x:c>
      <x:c r="H30" s="28" t="n">
        <x:v>0</x:v>
      </x:c>
      <x:c r="I30" s="28" t="n">
        <x:v>1</x:v>
      </x:c>
      <x:c r="J30" s="28" t="n">
        <x:v>0</x:v>
      </x:c>
      <x:c r="K30" s="32" t="n">
        <x:f>AVERAGE(C30:J30)</x:f>
        <x:v>0.75</x:v>
      </x:c>
      <x:c r="L30" s="28" t="n">
        <x:f>SUM(G30:J30)</x:f>
        <x:v>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15" hidden="0" customWidth="1"/>
    <x:col min="4" max="4" width="15" hidden="0" customWidth="1"/>
    <x:col min="5" max="5" width="15" hidden="0" customWidth="1"/>
    <x:col min="6" max="6" width="15" hidden="0" customWidth="1"/>
    <x:col min="7" max="7" width="15" hidden="0" customWidth="1"/>
    <x:col min="8" max="8" width="21" hidden="0" customWidth="1"/>
    <x:col min="9" max="9" width="21"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58" hidden="0" customWidth="1"/>
  </x:cols>
  <x:sheetData>
    <x:row r="1" ht="32" customHeight="1">
      <x:c r="A1" s="5" t="str">
        <x:v>REB item</x:v>
      </x:c>
      <x:c r="B1" s="5" t="str">
        <x:v>Evidence dimension</x:v>
      </x:c>
      <x:c r="C1" s="5" t="str">
        <x:v>N</x:v>
      </x:c>
      <x:c r="D1" s="5" t="str">
        <x:v>Agreements</x:v>
      </x:c>
      <x:c r="E1" s="5" t="str">
        <x:v>Agreement</x:v>
      </x:c>
      <x:c r="F1" s="5" t="str">
        <x:v>Both 1</x:v>
      </x:c>
      <x:c r="G1" s="5" t="str">
        <x:v>Both 0</x:v>
      </x:c>
      <x:c r="H1" s="5" t="str">
        <x:v>Pooja 1 / Swarubini 0</x:v>
      </x:c>
      <x:c r="I1" s="5" t="str">
        <x:v>Pooja 0 / Swarubini 1</x:v>
      </x:c>
      <x:c r="J1" s="5" t="str">
        <x:v>Expected agreement</x:v>
      </x:c>
      <x:c r="K1" s="5" t="str">
        <x:v>Cohen’s κ</x:v>
      </x:c>
      <x:c r="L1" s="5" t="str">
        <x:v>PABAK</x:v>
      </x:c>
      <x:c r="M1" s="5" t="str">
        <x:v>Gwet’s AC1</x:v>
      </x:c>
      <x:c r="N1" s="5" t="str">
        <x:v>Pooled positive proportion</x:v>
      </x:c>
      <x:c r="O1" s="5" t="str">
        <x:v>AC1 expected agreement</x:v>
      </x:c>
      <x:c r="P1" s="5" t="str">
        <x:v>Note</x:v>
      </x:c>
    </x:row>
    <x:row r="2">
      <x:c r="A2" s="8" t="str">
        <x:v>L1</x:v>
      </x:c>
      <x:c r="B2" s="8" t="str">
        <x:v>Fabrication parameters</x:v>
      </x:c>
      <x:c r="C2" s="8" t="n">
        <x:f>COUNTIF('Raw ratings'!C2:C233,$A2)</x:f>
        <x:v>29</x:v>
      </x:c>
      <x:c r="D2" s="8" t="n">
        <x:f>COUNTIFS('Raw ratings'!$C$2:$C$233,$A2,'Raw ratings'!$F$2:$F$233,1)</x:f>
        <x:v>29</x:v>
      </x:c>
      <x:c r="E2" s="37" t="n">
        <x:f>D2/C2</x:f>
        <x:v>1</x:v>
      </x:c>
      <x:c r="F2" s="8" t="n">
        <x:f>COUNTIFS('Raw ratings'!$C$2:$C$233,$A2,'Raw ratings'!$D$2:$D$233,1,'Raw ratings'!$E$2:$E$233,1)</x:f>
        <x:v>19</x:v>
      </x:c>
      <x:c r="G2" s="8" t="n">
        <x:f>COUNTIFS('Raw ratings'!$C$2:$C$233,$A2,'Raw ratings'!$D$2:$D$233,0,'Raw ratings'!$E$2:$E$233,0)</x:f>
        <x:v>10</x:v>
      </x:c>
      <x:c r="H2" s="8" t="n">
        <x:f>COUNTIFS('Raw ratings'!$C$2:$C$233,$A2,'Raw ratings'!$D$2:$D$233,1,'Raw ratings'!$E$2:$E$233,0)</x:f>
        <x:v>0</x:v>
      </x:c>
      <x:c r="I2" s="8" t="n">
        <x:f>COUNTIFS('Raw ratings'!$C$2:$C$233,$A2,'Raw ratings'!$D$2:$D$233,0,'Raw ratings'!$E$2:$E$233,1)</x:f>
        <x:v>0</x:v>
      </x:c>
      <x:c r="J2" s="20" t="n">
        <x:f>((F2+H2)/C2)*((F2+I2)/C2)+((G2+I2)/C2)*((G2+H2)/C2)</x:f>
        <x:v>0.5481569560047562</x:v>
      </x:c>
      <x:c r="K2" s="20" t="n">
        <x:f>IF(1-J2=0,"",(E2-J2)/(1-J2))</x:f>
        <x:v>1</x:v>
      </x:c>
      <x:c r="L2" s="20" t="n">
        <x:f>2*E2-1</x:f>
        <x:v>1</x:v>
      </x:c>
      <x:c r="M2" s="20" t="n">
        <x:f>(E2-O2)/(1-O2)</x:f>
        <x:v>1</x:v>
      </x:c>
      <x:c r="N2" s="20" t="n">
        <x:f>(2*F2+H2+I2)/(2*C2)</x:f>
        <x:v>0.6551724137931034</x:v>
      </x:c>
      <x:c r="O2" s="20" t="n">
        <x:f>2*N2*(1-N2)</x:f>
        <x:v>0.4518430439952438</x:v>
      </x:c>
      <x:c r="P2" s="14" t="str"/>
    </x:row>
    <x:row r="3">
      <x:c r="A3" s="23" t="str">
        <x:v>L2</x:v>
      </x:c>
      <x:c r="B3" s="23" t="str">
        <x:v>Material composition</x:v>
      </x:c>
      <x:c r="C3" s="23" t="n">
        <x:f>COUNTIF('Raw ratings'!C2:C233,$A3)</x:f>
        <x:v>29</x:v>
      </x:c>
      <x:c r="D3" s="23" t="n">
        <x:f>COUNTIFS('Raw ratings'!$C$2:$C$233,$A3,'Raw ratings'!$F$2:$F$233,1)</x:f>
        <x:v>29</x:v>
      </x:c>
      <x:c r="E3" s="40" t="n">
        <x:f>D3/C3</x:f>
        <x:v>1</x:v>
      </x:c>
      <x:c r="F3" s="23" t="n">
        <x:f>COUNTIFS('Raw ratings'!$C$2:$C$233,$A3,'Raw ratings'!$D$2:$D$233,1,'Raw ratings'!$E$2:$E$233,1)</x:f>
        <x:v>29</x:v>
      </x:c>
      <x:c r="G3" s="23" t="n">
        <x:f>COUNTIFS('Raw ratings'!$C$2:$C$233,$A3,'Raw ratings'!$D$2:$D$233,0,'Raw ratings'!$E$2:$E$233,0)</x:f>
        <x:v>0</x:v>
      </x:c>
      <x:c r="H3" s="23" t="n">
        <x:f>COUNTIFS('Raw ratings'!$C$2:$C$233,$A3,'Raw ratings'!$D$2:$D$233,1,'Raw ratings'!$E$2:$E$233,0)</x:f>
        <x:v>0</x:v>
      </x:c>
      <x:c r="I3" s="23" t="n">
        <x:f>COUNTIFS('Raw ratings'!$C$2:$C$233,$A3,'Raw ratings'!$D$2:$D$233,0,'Raw ratings'!$E$2:$E$233,1)</x:f>
        <x:v>0</x:v>
      </x:c>
      <x:c r="J3" s="24" t="n">
        <x:f>((F3+H3)/C3)*((F3+I3)/C3)+((G3+I3)/C3)*((G3+H3)/C3)</x:f>
        <x:v>1</x:v>
      </x:c>
      <x:c r="K3" s="24" t="str">
        <x:f>IF(1-J3=0,"",(E3-J3)/(1-J3))</x:f>
      </x:c>
      <x:c r="L3" s="24" t="n">
        <x:f>2*E3-1</x:f>
        <x:v>1</x:v>
      </x:c>
      <x:c r="M3" s="24" t="n">
        <x:f>(E3-O3)/(1-O3)</x:f>
        <x:v>1</x:v>
      </x:c>
      <x:c r="N3" s="24" t="n">
        <x:f>(2*F3+H3+I3)/(2*C3)</x:f>
        <x:v>1</x:v>
      </x:c>
      <x:c r="O3" s="24" t="n">
        <x:f>2*N3*(1-N3)</x:f>
        <x:v>0</x:v>
      </x:c>
      <x:c r="P3" s="41" t="str">
        <x:v>Cohen’s κ is not estimable because both reviewers assigned 1 to every study; agreement, PABAK, and AC1 are 1.000.</x:v>
      </x:c>
    </x:row>
    <x:row r="4">
      <x:c r="A4" s="9" t="str">
        <x:v>L3</x:v>
      </x:c>
      <x:c r="B4" s="9" t="str">
        <x:v>Calibration/reference method</x:v>
      </x:c>
      <x:c r="C4" s="9" t="n">
        <x:f>COUNTIF('Raw ratings'!C2:C233,$A4)</x:f>
        <x:v>29</x:v>
      </x:c>
      <x:c r="D4" s="9" t="n">
        <x:f>COUNTIFS('Raw ratings'!$C$2:$C$233,$A4,'Raw ratings'!$F$2:$F$233,1)</x:f>
        <x:v>28</x:v>
      </x:c>
      <x:c r="E4" s="38" t="n">
        <x:f>D4/C4</x:f>
        <x:v>0.9655172413793104</x:v>
      </x:c>
      <x:c r="F4" s="9" t="n">
        <x:f>COUNTIFS('Raw ratings'!$C$2:$C$233,$A4,'Raw ratings'!$D$2:$D$233,1,'Raw ratings'!$E$2:$E$233,1)</x:f>
        <x:v>27</x:v>
      </x:c>
      <x:c r="G4" s="9" t="n">
        <x:f>COUNTIFS('Raw ratings'!$C$2:$C$233,$A4,'Raw ratings'!$D$2:$D$233,0,'Raw ratings'!$E$2:$E$233,0)</x:f>
        <x:v>1</x:v>
      </x:c>
      <x:c r="H4" s="9" t="n">
        <x:f>COUNTIFS('Raw ratings'!$C$2:$C$233,$A4,'Raw ratings'!$D$2:$D$233,1,'Raw ratings'!$E$2:$E$233,0)</x:f>
        <x:v>1</x:v>
      </x:c>
      <x:c r="I4" s="9" t="n">
        <x:f>COUNTIFS('Raw ratings'!$C$2:$C$233,$A4,'Raw ratings'!$D$2:$D$233,0,'Raw ratings'!$E$2:$E$233,1)</x:f>
        <x:v>0</x:v>
      </x:c>
      <x:c r="J4" s="21" t="n">
        <x:f>((F4+H4)/C4)*((F4+I4)/C4)+((G4+I4)/C4)*((G4+H4)/C4)</x:f>
        <x:v>0.901307966706302</x:v>
      </x:c>
      <x:c r="K4" s="21" t="n">
        <x:f>IF(1-J4=0,"",(E4-J4)/(1-J4))</x:f>
        <x:v>0.6506024096385548</x:v>
      </x:c>
      <x:c r="L4" s="21" t="n">
        <x:f>2*E4-1</x:f>
        <x:v>0.9310344827586208</x:v>
      </x:c>
      <x:c r="M4" s="21" t="n">
        <x:f>(E4-O4)/(1-O4)</x:f>
        <x:v>0.9617666446934741</x:v>
      </x:c>
      <x:c r="N4" s="21" t="n">
        <x:f>(2*F4+H4+I4)/(2*C4)</x:f>
        <x:v>0.9482758620689655</x:v>
      </x:c>
      <x:c r="O4" s="21" t="n">
        <x:f>2*N4*(1-N4)</x:f>
        <x:v>0.09809750297265159</x:v>
      </x:c>
      <x:c r="P4" s="15" t="str"/>
    </x:row>
    <x:row r="5">
      <x:c r="A5" s="23" t="str">
        <x:v>L4</x:v>
      </x:c>
      <x:c r="B5" s="23" t="str">
        <x:v>Quantitative response metric</x:v>
      </x:c>
      <x:c r="C5" s="23" t="n">
        <x:f>COUNTIF('Raw ratings'!C2:C233,$A5)</x:f>
        <x:v>29</x:v>
      </x:c>
      <x:c r="D5" s="23" t="n">
        <x:f>COUNTIFS('Raw ratings'!$C$2:$C$233,$A5,'Raw ratings'!$F$2:$F$233,1)</x:f>
        <x:v>29</x:v>
      </x:c>
      <x:c r="E5" s="40" t="n">
        <x:f>D5/C5</x:f>
        <x:v>1</x:v>
      </x:c>
      <x:c r="F5" s="23" t="n">
        <x:f>COUNTIFS('Raw ratings'!$C$2:$C$233,$A5,'Raw ratings'!$D$2:$D$233,1,'Raw ratings'!$E$2:$E$233,1)</x:f>
        <x:v>29</x:v>
      </x:c>
      <x:c r="G5" s="23" t="n">
        <x:f>COUNTIFS('Raw ratings'!$C$2:$C$233,$A5,'Raw ratings'!$D$2:$D$233,0,'Raw ratings'!$E$2:$E$233,0)</x:f>
        <x:v>0</x:v>
      </x:c>
      <x:c r="H5" s="23" t="n">
        <x:f>COUNTIFS('Raw ratings'!$C$2:$C$233,$A5,'Raw ratings'!$D$2:$D$233,1,'Raw ratings'!$E$2:$E$233,0)</x:f>
        <x:v>0</x:v>
      </x:c>
      <x:c r="I5" s="23" t="n">
        <x:f>COUNTIFS('Raw ratings'!$C$2:$C$233,$A5,'Raw ratings'!$D$2:$D$233,0,'Raw ratings'!$E$2:$E$233,1)</x:f>
        <x:v>0</x:v>
      </x:c>
      <x:c r="J5" s="24" t="n">
        <x:f>((F5+H5)/C5)*((F5+I5)/C5)+((G5+I5)/C5)*((G5+H5)/C5)</x:f>
        <x:v>1</x:v>
      </x:c>
      <x:c r="K5" s="24" t="str">
        <x:f>IF(1-J5=0,"",(E5-J5)/(1-J5))</x:f>
      </x:c>
      <x:c r="L5" s="24" t="n">
        <x:f>2*E5-1</x:f>
        <x:v>1</x:v>
      </x:c>
      <x:c r="M5" s="24" t="n">
        <x:f>(E5-O5)/(1-O5)</x:f>
        <x:v>1</x:v>
      </x:c>
      <x:c r="N5" s="24" t="n">
        <x:f>(2*F5+H5+I5)/(2*C5)</x:f>
        <x:v>1</x:v>
      </x:c>
      <x:c r="O5" s="24" t="n">
        <x:f>2*N5*(1-N5)</x:f>
        <x:v>0</x:v>
      </x:c>
      <x:c r="P5" s="41" t="str">
        <x:v>Cohen’s κ is not estimable because both reviewers assigned 1 to every study; agreement, PABAK, and AC1 are 1.000.</x:v>
      </x:c>
    </x:row>
    <x:row r="6">
      <x:c r="A6" s="9" t="str">
        <x:v>L5</x:v>
      </x:c>
      <x:c r="B6" s="9" t="str">
        <x:v>Cyclic/electromechanical stability</x:v>
      </x:c>
      <x:c r="C6" s="9" t="n">
        <x:f>COUNTIF('Raw ratings'!C2:C233,$A6)</x:f>
        <x:v>29</x:v>
      </x:c>
      <x:c r="D6" s="9" t="n">
        <x:f>COUNTIFS('Raw ratings'!$C$2:$C$233,$A6,'Raw ratings'!$F$2:$F$233,1)</x:f>
        <x:v>28</x:v>
      </x:c>
      <x:c r="E6" s="38" t="n">
        <x:f>D6/C6</x:f>
        <x:v>0.9655172413793104</x:v>
      </x:c>
      <x:c r="F6" s="9" t="n">
        <x:f>COUNTIFS('Raw ratings'!$C$2:$C$233,$A6,'Raw ratings'!$D$2:$D$233,1,'Raw ratings'!$E$2:$E$233,1)</x:f>
        <x:v>23</x:v>
      </x:c>
      <x:c r="G6" s="9" t="n">
        <x:f>COUNTIFS('Raw ratings'!$C$2:$C$233,$A6,'Raw ratings'!$D$2:$D$233,0,'Raw ratings'!$E$2:$E$233,0)</x:f>
        <x:v>5</x:v>
      </x:c>
      <x:c r="H6" s="9" t="n">
        <x:f>COUNTIFS('Raw ratings'!$C$2:$C$233,$A6,'Raw ratings'!$D$2:$D$233,1,'Raw ratings'!$E$2:$E$233,0)</x:f>
        <x:v>0</x:v>
      </x:c>
      <x:c r="I6" s="9" t="n">
        <x:f>COUNTIFS('Raw ratings'!$C$2:$C$233,$A6,'Raw ratings'!$D$2:$D$233,0,'Raw ratings'!$E$2:$E$233,1)</x:f>
        <x:v>1</x:v>
      </x:c>
      <x:c r="J6" s="21" t="n">
        <x:f>((F6+H6)/C6)*((F6+I6)/C6)+((G6+I6)/C6)*((G6+H6)/C6)</x:f>
        <x:v>0.6920332936979786</x:v>
      </x:c>
      <x:c r="K6" s="21" t="n">
        <x:f>IF(1-J6=0,"",(E6-J6)/(1-J6))</x:f>
        <x:v>0.8880308880308881</x:v>
      </x:c>
      <x:c r="L6" s="21" t="n">
        <x:f>2*E6-1</x:f>
        <x:v>0.9310344827586208</x:v>
      </x:c>
      <x:c r="M6" s="21" t="n">
        <x:f>(E6-O6)/(1-O6)</x:f>
        <x:v>0.9502145922746782</x:v>
      </x:c>
      <x:c r="N6" s="21" t="n">
        <x:f>(2*F6+H6+I6)/(2*C6)</x:f>
        <x:v>0.8103448275862069</x:v>
      </x:c>
      <x:c r="O6" s="21" t="n">
        <x:f>2*N6*(1-N6)</x:f>
        <x:v>0.3073721759809751</x:v>
      </x:c>
      <x:c r="P6" s="15" t="str"/>
    </x:row>
    <x:row r="7">
      <x:c r="A7" s="23" t="str">
        <x:v>L6</x:v>
      </x:c>
      <x:c r="B7" s="23" t="str">
        <x:v>Environmental/use-condition stability</x:v>
      </x:c>
      <x:c r="C7" s="23" t="n">
        <x:f>COUNTIF('Raw ratings'!C2:C233,$A7)</x:f>
        <x:v>29</x:v>
      </x:c>
      <x:c r="D7" s="23" t="n">
        <x:f>COUNTIFS('Raw ratings'!$C$2:$C$233,$A7,'Raw ratings'!$F$2:$F$233,1)</x:f>
        <x:v>26</x:v>
      </x:c>
      <x:c r="E7" s="40" t="n">
        <x:f>D7/C7</x:f>
        <x:v>0.896551724137931</x:v>
      </x:c>
      <x:c r="F7" s="23" t="n">
        <x:f>COUNTIFS('Raw ratings'!$C$2:$C$233,$A7,'Raw ratings'!$D$2:$D$233,1,'Raw ratings'!$E$2:$E$233,1)</x:f>
        <x:v>15</x:v>
      </x:c>
      <x:c r="G7" s="23" t="n">
        <x:f>COUNTIFS('Raw ratings'!$C$2:$C$233,$A7,'Raw ratings'!$D$2:$D$233,0,'Raw ratings'!$E$2:$E$233,0)</x:f>
        <x:v>11</x:v>
      </x:c>
      <x:c r="H7" s="23" t="n">
        <x:f>COUNTIFS('Raw ratings'!$C$2:$C$233,$A7,'Raw ratings'!$D$2:$D$233,1,'Raw ratings'!$E$2:$E$233,0)</x:f>
        <x:v>0</x:v>
      </x:c>
      <x:c r="I7" s="23" t="n">
        <x:f>COUNTIFS('Raw ratings'!$C$2:$C$233,$A7,'Raw ratings'!$D$2:$D$233,0,'Raw ratings'!$E$2:$E$233,1)</x:f>
        <x:v>3</x:v>
      </x:c>
      <x:c r="J7" s="24" t="n">
        <x:f>((F7+H7)/C7)*((F7+I7)/C7)+((G7+I7)/C7)*((G7+H7)/C7)</x:f>
        <x:v>0.5041617122473246</x:v>
      </x:c>
      <x:c r="K7" s="24" t="n">
        <x:f>IF(1-J7=0,"",(E7-J7)/(1-J7))</x:f>
        <x:v>0.7913669064748201</x:v>
      </x:c>
      <x:c r="L7" s="24" t="n">
        <x:f>2*E7-1</x:f>
        <x:v>0.7931034482758621</x:v>
      </x:c>
      <x:c r="M7" s="24" t="n">
        <x:f>(E7-O7)/(1-O7)</x:f>
        <x:v>0.7969661610268378</x:v>
      </x:c>
      <x:c r="N7" s="24" t="n">
        <x:f>(2*F7+H7+I7)/(2*C7)</x:f>
        <x:v>0.5689655172413793</x:v>
      </x:c>
      <x:c r="O7" s="24" t="n">
        <x:f>2*N7*(1-N7)</x:f>
        <x:v>0.49048751486325803</x:v>
      </x:c>
      <x:c r="P7" s="41" t="str"/>
    </x:row>
    <x:row r="8">
      <x:c r="A8" s="9" t="str">
        <x:v>L7</x:v>
      </x:c>
      <x:c r="B8" s="9" t="str">
        <x:v>Integration/interface integrity</x:v>
      </x:c>
      <x:c r="C8" s="9" t="n">
        <x:f>COUNTIF('Raw ratings'!C2:C233,$A8)</x:f>
        <x:v>29</x:v>
      </x:c>
      <x:c r="D8" s="9" t="n">
        <x:f>COUNTIFS('Raw ratings'!$C$2:$C$233,$A8,'Raw ratings'!$F$2:$F$233,1)</x:f>
        <x:v>27</x:v>
      </x:c>
      <x:c r="E8" s="38" t="n">
        <x:f>D8/C8</x:f>
        <x:v>0.9310344827586207</x:v>
      </x:c>
      <x:c r="F8" s="9" t="n">
        <x:f>COUNTIFS('Raw ratings'!$C$2:$C$233,$A8,'Raw ratings'!$D$2:$D$233,1,'Raw ratings'!$E$2:$E$233,1)</x:f>
        <x:v>23</x:v>
      </x:c>
      <x:c r="G8" s="9" t="n">
        <x:f>COUNTIFS('Raw ratings'!$C$2:$C$233,$A8,'Raw ratings'!$D$2:$D$233,0,'Raw ratings'!$E$2:$E$233,0)</x:f>
        <x:v>4</x:v>
      </x:c>
      <x:c r="H8" s="9" t="n">
        <x:f>COUNTIFS('Raw ratings'!$C$2:$C$233,$A8,'Raw ratings'!$D$2:$D$233,1,'Raw ratings'!$E$2:$E$233,0)</x:f>
        <x:v>0</x:v>
      </x:c>
      <x:c r="I8" s="9" t="n">
        <x:f>COUNTIFS('Raw ratings'!$C$2:$C$233,$A8,'Raw ratings'!$D$2:$D$233,0,'Raw ratings'!$E$2:$E$233,1)</x:f>
        <x:v>2</x:v>
      </x:c>
      <x:c r="J8" s="21" t="n">
        <x:f>((F8+H8)/C8)*((F8+I8)/C8)+((G8+I8)/C8)*((G8+H8)/C8)</x:f>
        <x:v>0.7122473246135552</x:v>
      </x:c>
      <x:c r="K8" s="21" t="n">
        <x:f>IF(1-J8=0,"",(E8-J8)/(1-J8))</x:f>
        <x:v>0.7603305785123966</x:v>
      </x:c>
      <x:c r="L8" s="21" t="n">
        <x:f>2*E8-1</x:f>
        <x:v>0.8620689655172413</x:v>
      </x:c>
      <x:c r="M8" s="21" t="n">
        <x:f>(E8-O8)/(1-O8)</x:f>
        <x:v>0.9034941763727121</x:v>
      </x:c>
      <x:c r="N8" s="21" t="n">
        <x:f>(2*F8+H8+I8)/(2*C8)</x:f>
        <x:v>0.8275862068965517</x:v>
      </x:c>
      <x:c r="O8" s="21" t="n">
        <x:f>2*N8*(1-N8)</x:f>
        <x:v>0.2853745541022592</x:v>
      </x:c>
      <x:c r="P8" s="15" t="str"/>
    </x:row>
    <x:row r="9">
      <x:c r="A9" s="23" t="str">
        <x:v>L8</x:v>
      </x:c>
      <x:c r="B9" s="23" t="str">
        <x:v>Independent-device reproducibility</x:v>
      </x:c>
      <x:c r="C9" s="23" t="n">
        <x:f>COUNTIF('Raw ratings'!C2:C233,$A9)</x:f>
        <x:v>29</x:v>
      </x:c>
      <x:c r="D9" s="23" t="n">
        <x:f>COUNTIFS('Raw ratings'!$C$2:$C$233,$A9,'Raw ratings'!$F$2:$F$233,1)</x:f>
        <x:v>29</x:v>
      </x:c>
      <x:c r="E9" s="40" t="n">
        <x:f>D9/C9</x:f>
        <x:v>1</x:v>
      </x:c>
      <x:c r="F9" s="23" t="n">
        <x:f>COUNTIFS('Raw ratings'!$C$2:$C$233,$A9,'Raw ratings'!$D$2:$D$233,1,'Raw ratings'!$E$2:$E$233,1)</x:f>
        <x:v>4</x:v>
      </x:c>
      <x:c r="G9" s="23" t="n">
        <x:f>COUNTIFS('Raw ratings'!$C$2:$C$233,$A9,'Raw ratings'!$D$2:$D$233,0,'Raw ratings'!$E$2:$E$233,0)</x:f>
        <x:v>25</x:v>
      </x:c>
      <x:c r="H9" s="23" t="n">
        <x:f>COUNTIFS('Raw ratings'!$C$2:$C$233,$A9,'Raw ratings'!$D$2:$D$233,1,'Raw ratings'!$E$2:$E$233,0)</x:f>
        <x:v>0</x:v>
      </x:c>
      <x:c r="I9" s="23" t="n">
        <x:f>COUNTIFS('Raw ratings'!$C$2:$C$233,$A9,'Raw ratings'!$D$2:$D$233,0,'Raw ratings'!$E$2:$E$233,1)</x:f>
        <x:v>0</x:v>
      </x:c>
      <x:c r="J9" s="24" t="n">
        <x:f>((F9+H9)/C9)*((F9+I9)/C9)+((G9+I9)/C9)*((G9+H9)/C9)</x:f>
        <x:v>0.7621878715814505</x:v>
      </x:c>
      <x:c r="K9" s="24" t="n">
        <x:f>IF(1-J9=0,"",(E9-J9)/(1-J9))</x:f>
        <x:v>1</x:v>
      </x:c>
      <x:c r="L9" s="24" t="n">
        <x:f>2*E9-1</x:f>
        <x:v>1</x:v>
      </x:c>
      <x:c r="M9" s="24" t="n">
        <x:f>(E9-O9)/(1-O9)</x:f>
        <x:v>1</x:v>
      </x:c>
      <x:c r="N9" s="24" t="n">
        <x:f>(2*F9+H9+I9)/(2*C9)</x:f>
        <x:v>0.13793103448275862</x:v>
      </x:c>
      <x:c r="O9" s="24" t="n">
        <x:f>2*N9*(1-N9)</x:f>
        <x:v>0.23781212841854932</x:v>
      </x:c>
      <x:c r="P9" s="41" t="str"/>
    </x:row>
    <x:row r="10">
      <x:c r="A10" s="10" t="str">
        <x:v>Overall</x:v>
      </x:c>
      <x:c r="B10" s="10" t="str">
        <x:v>All 232 study–dimension decisions</x:v>
      </x:c>
      <x:c r="C10" s="10" t="n">
        <x:f>COUNT('Raw ratings'!D2:D233)</x:f>
        <x:v>232</x:v>
      </x:c>
      <x:c r="D10" s="10" t="n">
        <x:f>COUNTIF('Raw ratings'!F2:F233,1)</x:f>
        <x:v>225</x:v>
      </x:c>
      <x:c r="E10" s="39" t="n">
        <x:f>D10/C10</x:f>
        <x:v>0.9698275862068966</x:v>
      </x:c>
      <x:c r="F10" s="10" t="n">
        <x:f>COUNTIFS('Raw ratings'!$D$2:$D$233,1,'Raw ratings'!$E$2:$E$233,1)</x:f>
        <x:v>169</x:v>
      </x:c>
      <x:c r="G10" s="10" t="n">
        <x:f>COUNTIFS('Raw ratings'!$D$2:$D$233,0,'Raw ratings'!$E$2:$E$233,0)</x:f>
        <x:v>56</x:v>
      </x:c>
      <x:c r="H10" s="10" t="n">
        <x:f>COUNTIFS('Raw ratings'!$D$2:$D$233,1,'Raw ratings'!$E$2:$E$233,0)</x:f>
        <x:v>1</x:v>
      </x:c>
      <x:c r="I10" s="10" t="n">
        <x:f>COUNTIFS('Raw ratings'!$D$2:$D$233,0,'Raw ratings'!$E$2:$E$233,1)</x:f>
        <x:v>6</x:v>
      </x:c>
      <x:c r="J10" s="22" t="n">
        <x:f>((F10+H10)/C10)*((F10+I10)/C10)+((G10+I10)/C10)*((G10+H10)/C10)</x:f>
        <x:v>0.618385850178359</x:v>
      </x:c>
      <x:c r="K10" s="22" t="n">
        <x:f>IF(1-J10=0,"",(E10-J10)/(1-J10))</x:f>
        <x:v>0.9209347614410907</x:v>
      </x:c>
      <x:c r="L10" s="22" t="n">
        <x:f>2*E10-1</x:f>
        <x:v>0.9396551724137931</x:v>
      </x:c>
      <x:c r="M10" s="22" t="n">
        <x:f>(E10-O10)/(1-O10)</x:f>
        <x:v>0.9512261048458547</x:v>
      </x:c>
      <x:c r="N10" s="22" t="n">
        <x:f>(2*F10+H10+I10)/(2*C10)</x:f>
        <x:v>0.7435344827586207</x:v>
      </x:c>
      <x:c r="O10" s="22" t="n">
        <x:f>2*N10*(1-N10)</x:f>
        <x:v>0.3813819114149822</x:v>
      </x:c>
      <x:c r="P10" s="16" t="str">
        <x:v>Overall metrics pool all 232 pre-consensus binary decisions.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9" hidden="0" customWidth="1"/>
    <x:col min="3" max="3" width="16" hidden="0" customWidth="1"/>
    <x:col min="4" max="4" width="16" hidden="0" customWidth="1"/>
    <x:col min="5" max="5" width="16" hidden="0" customWidth="1"/>
    <x:col min="6" max="6" width="64" hidden="0" customWidth="1"/>
    <x:col min="7" max="7" width="64" hidden="0" customWidth="1"/>
    <x:col min="8" max="8" width="14" hidden="0" customWidth="1"/>
    <x:col min="9" max="9" width="72" hidden="0" customWidth="1"/>
    <x:col min="10" max="10" width="15" hidden="0" customWidth="1"/>
    <x:col min="11" max="11" width="28" hidden="0" customWidth="1"/>
  </x:cols>
  <x:sheetData>
    <x:row r="1" ht="32" customHeight="1">
      <x:c r="A1" s="5" t="str">
        <x:v>Study ID</x:v>
      </x:c>
      <x:c r="B1" s="5" t="str">
        <x:v>Study</x:v>
      </x:c>
      <x:c r="C1" s="5" t="str">
        <x:v>REB item</x:v>
      </x:c>
      <x:c r="D1" s="5" t="str">
        <x:v>Pooja original</x:v>
      </x:c>
      <x:c r="E1" s="5" t="str">
        <x:v>Swarubini original</x:v>
      </x:c>
      <x:c r="F1" s="5" t="str">
        <x:v>Pooja evidence</x:v>
      </x:c>
      <x:c r="G1" s="5" t="str">
        <x:v>Swarubini evidence</x:v>
      </x:c>
      <x:c r="H1" s="5" t="str">
        <x:v>Consensus</x:v>
      </x:c>
      <x:c r="I1" s="5" t="str">
        <x:v>Joint rationale</x:v>
      </x:c>
      <x:c r="J1" s="5" t="str">
        <x:v>Date</x:v>
      </x:c>
      <x:c r="K1" s="5" t="str">
        <x:v>Reviewers</x:v>
      </x:c>
    </x:row>
    <x:row r="2" ht="62" customHeight="1">
      <x:c r="A2" s="8" t="n">
        <x:v>5</x:v>
      </x:c>
      <x:c r="B2" s="8" t="str">
        <x:v>Dimo et al. (Nov 2024)</x:v>
      </x:c>
      <x:c r="C2" s="8" t="str">
        <x:v>L5</x:v>
      </x:c>
      <x:c r="D2" s="8" t="n">
        <x:v>0</x:v>
      </x:c>
      <x:c r="E2" s="8" t="n">
        <x:v>1</x:v>
      </x:c>
      <x:c r="F2" s="14" t="str">
        <x:v>repeated subject tasks establish feasibility but do not evaluate durability, environmental stability, or pre/post interface integrity.</x:v>
      </x:c>
      <x:c r="G2" s="14" t="str">
        <x:v>pp. 4-5; four ROM repeats and 10 cycles with output variation</x:v>
      </x:c>
      <x:c r="H2" s="14" t="n">
        <x:v>1</x:v>
      </x:c>
      <x:c r="I2" s="14" t="str">
        <x:v>Repeated range-of-motion trials and a 10-cycle test reported output variation; this meets the stated L5 minimum.</x:v>
      </x:c>
      <x:c r="J2" s="8" t="str">
        <x:v>2026-08-30</x:v>
      </x:c>
      <x:c r="K2" s="8" t="str">
        <x:v>Pooja Gurram; Swarubini P.J.</x:v>
      </x:c>
    </x:row>
    <x:row r="3" ht="62" customHeight="1">
      <x:c r="A3" s="23" t="n">
        <x:v>8</x:v>
      </x:c>
      <x:c r="B3" s="23" t="str">
        <x:v>Imranuddin et al. (2025)</x:v>
      </x:c>
      <x:c r="C3" s="23" t="str">
        <x:v>L6</x:v>
      </x:c>
      <x:c r="D3" s="23" t="n">
        <x:v>0</x:v>
      </x:c>
      <x:c r="E3" s="23" t="n">
        <x:v>1</x:v>
      </x:c>
      <x:c r="F3" s="41" t="str">
        <x:v>the paper states that temperature and humidity remain to be studied (p.9).</x:v>
      </x:c>
      <x:c r="G3" s="41" t="str">
        <x:v>p. 8, Fig. 11; about 25-100 degrees C and coefficient 0.011 per degree C</x:v>
      </x:c>
      <x:c r="H3" s="41" t="n">
        <x:v>1</x:v>
      </x:c>
      <x:c r="I3" s="41" t="str">
        <x:v>The sensor response was evaluated over a stated temperature range (approximately 25–100 °C), meeting L6.</x:v>
      </x:c>
      <x:c r="J3" s="23" t="str">
        <x:v>2026-08-30</x:v>
      </x:c>
      <x:c r="K3" s="23" t="str">
        <x:v>Pooja Gurram; Swarubini P.J.</x:v>
      </x:c>
    </x:row>
    <x:row r="4" ht="62" customHeight="1">
      <x:c r="A4" s="9" t="n">
        <x:v>11</x:v>
      </x:c>
      <x:c r="B4" s="9" t="str">
        <x:v>Farid et al. (2025)</x:v>
      </x:c>
      <x:c r="C4" s="9" t="str">
        <x:v>L6</x:v>
      </x:c>
      <x:c r="D4" s="9" t="n">
        <x:v>0</x:v>
      </x:c>
      <x:c r="E4" s="9" t="n">
        <x:v>1</x:v>
      </x:c>
      <x:c r="F4" s="15" t="str">
        <x:v>temperature is treated as a measurand/multifunctional response; post-exposure performance retention or environmental cross-sensitivity was not demonstrated.</x:v>
      </x:c>
      <x:c r="G4" s="15" t="str">
        <x:v>pp. 10-11; temperature cycles to 90 degrees C and pressure to 150 kPa</x:v>
      </x:c>
      <x:c r="H4" s="15" t="n">
        <x:v>1</x:v>
      </x:c>
      <x:c r="I4" s="15" t="str">
        <x:v>The sensor response was reported during stated temperature and pressure exposures, meeting the L6 exposure-and-response rule.</x:v>
      </x:c>
      <x:c r="J4" s="9" t="str">
        <x:v>2026-08-30</x:v>
      </x:c>
      <x:c r="K4" s="9" t="str">
        <x:v>Pooja Gurram; Swarubini P.J.</x:v>
      </x:c>
    </x:row>
    <x:row r="5" ht="62" customHeight="1">
      <x:c r="A5" s="23" t="n">
        <x:v>16</x:v>
      </x:c>
      <x:c r="B5" s="23" t="str">
        <x:v>Kumar et al. (2023)</x:v>
      </x:c>
      <x:c r="C5" s="23" t="str">
        <x:v>L6</x:v>
      </x:c>
      <x:c r="D5" s="23" t="n">
        <x:v>0</x:v>
      </x:c>
      <x:c r="E5" s="23" t="n">
        <x:v>1</x:v>
      </x:c>
      <x:c r="F5" s="41" t="str">
        <x:v>DSC/material thermal analysis is not sensor environmental retention testing.</x:v>
      </x:c>
      <x:c r="G5" s="41" t="str">
        <x:v>pp. 11-12; printed substrate tested over 30-70 degrees C for three heating/cooling cycles with stable thermal response</x:v>
      </x:c>
      <x:c r="H5" s="41" t="n">
        <x:v>1</x:v>
      </x:c>
      <x:c r="I5" s="41" t="str">
        <x:v>The printed sensor/substrate response was tested over 30–70 °C for three heating/cooling cycles, meeting L6.</x:v>
      </x:c>
      <x:c r="J5" s="23" t="str">
        <x:v>2026-08-30</x:v>
      </x:c>
      <x:c r="K5" s="23" t="str">
        <x:v>Pooja Gurram; Swarubini P.J.</x:v>
      </x:c>
    </x:row>
    <x:row r="6" ht="62" customHeight="1">
      <x:c r="A6" s="9" t="n">
        <x:v>22</x:v>
      </x:c>
      <x:c r="B6" s="9" t="str">
        <x:v>Xiang et al. (2020)</x:v>
      </x:c>
      <x:c r="C6" s="9" t="str">
        <x:v>L7</x:v>
      </x:c>
      <x:c r="D6" s="9" t="n">
        <x:v>0</x:v>
      </x:c>
      <x:c r="E6" s="9" t="n">
        <x:v>1</x:v>
      </x:c>
      <x:c r="F6" s="15" t="str">
        <x:v>no qualifying environmental stability or final integration/interface-integrity experiment was located.</x:v>
      </x:c>
      <x:c r="G6" s="15" t="str">
        <x:v>pp. 9-11; printed sensor retained responses during repeated finger/wrist bending and facial-motion demonstrations</x:v>
      </x:c>
      <x:c r="H6" s="15" t="n">
        <x:v>1</x:v>
      </x:c>
      <x:c r="I6" s="15" t="str">
        <x:v>The monolithic wearable sensor underwent repeated application-relevant motion tests with retained response, meeting the monolithic-device clause of L7.</x:v>
      </x:c>
      <x:c r="J6" s="9" t="str">
        <x:v>2026-08-30</x:v>
      </x:c>
      <x:c r="K6" s="9" t="str">
        <x:v>Pooja Gurram; Swarubini P.J.</x:v>
      </x:c>
    </x:row>
    <x:row r="7" ht="62" customHeight="1">
      <x:c r="A7" s="23" t="n">
        <x:v>24</x:v>
      </x:c>
      <x:c r="B7" s="23" t="str">
        <x:v>Jain et al. (2023)</x:v>
      </x:c>
      <x:c r="C7" s="23" t="str">
        <x:v>L7</x:v>
      </x:c>
      <x:c r="D7" s="23" t="n">
        <x:v>0</x:v>
      </x:c>
      <x:c r="E7" s="23" t="n">
        <x:v>1</x:v>
      </x:c>
      <x:c r="F7" s="41" t="str">
        <x:v>the adhesive copper interface is described but not tested for integrity, and no independent-device comparison is reported.</x:v>
      </x:c>
      <x:c r="G7" s="41" t="str">
        <x:v>pp. 6 and 8-11; the copper-on-printed-PVDF assembly retained its S-parameter response during bending and skin-mimicking-liquid testing</x:v>
      </x:c>
      <x:c r="H7" s="41" t="n">
        <x:v>1</x:v>
      </x:c>
      <x:c r="I7" s="41" t="str">
        <x:v>The assembled device retained its S-parameter response during bending and skin-mimicking-liquid testing, meeting the final-assembly clause of L7.</x:v>
      </x:c>
      <x:c r="J7" s="23" t="str">
        <x:v>2026-08-30</x:v>
      </x:c>
      <x:c r="K7" s="23" t="str">
        <x:v>Pooja Gurram; Swarubini P.J.</x:v>
      </x:c>
    </x:row>
    <x:row r="8" ht="62" customHeight="1">
      <x:c r="A8" s="10" t="n">
        <x:v>26</x:v>
      </x:c>
      <x:c r="B8" s="10" t="str">
        <x:v>Kai et al. (2023)</x:v>
      </x:c>
      <x:c r="C8" s="10" t="str">
        <x:v>L3</x:v>
      </x:c>
      <x:c r="D8" s="10" t="n">
        <x:v>1</x:v>
      </x:c>
      <x:c r="E8" s="10" t="n">
        <x:v>0</x:v>
      </x:c>
      <x:c r="F8" s="16" t="str">
        <x:v>pp.2–4 and 11–14 report TPU print settings, GR/WPU coating, controlled ISO compression, resistance/current response, and tested ranges.</x:v>
      </x:c>
      <x:c r="G8" s="16" t="str">
        <x:v>pp. 4 and 13-14; resistance changed during repeated compression, but the electrical test did not define the applied compression magnitude or an independent pressure reference</x:v>
      </x:c>
      <x:c r="H8" s="16" t="n">
        <x:v>1</x:v>
      </x:c>
      <x:c r="I8" s="16" t="str">
        <x:v>Controlled ISO compression with a stated test range was related to the electrical response, meeting L3.</x:v>
      </x:c>
      <x:c r="J8" s="10" t="str">
        <x:v>2026-08-30</x:v>
      </x:c>
      <x:c r="K8" s="10" t="str">
        <x:v>Pooja Gurram; Swarubini P.J.</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31" hidden="0" customWidth="1"/>
    <x:col min="3" max="3" width="17" hidden="0" customWidth="1"/>
    <x:col min="4" max="4" width="17" hidden="0" customWidth="1"/>
    <x:col min="5" max="5" width="17" hidden="0" customWidth="1"/>
    <x:col min="6" max="6" width="17" hidden="0" customWidth="1"/>
  </x:cols>
  <x:sheetData>
    <x:row r="1" ht="32" customHeight="1">
      <x:c r="A1" s="5" t="str">
        <x:v>Study ID</x:v>
      </x:c>
      <x:c r="B1" s="5" t="str">
        <x:v>Study</x:v>
      </x:c>
      <x:c r="C1" s="5" t="str">
        <x:v>REB item</x:v>
      </x:c>
      <x:c r="D1" s="5" t="str">
        <x:v>Pooja rating</x:v>
      </x:c>
      <x:c r="E1" s="5" t="str">
        <x:v>Swarubini rating</x:v>
      </x:c>
      <x:c r="F1" s="5" t="str">
        <x:v>Agreement</x:v>
      </x:c>
    </x:row>
    <x:row r="2">
      <x:c r="A2" s="8" t="n">
        <x:v>1</x:v>
      </x:c>
      <x:c r="B2" s="8" t="str">
        <x:v>Saroli et al. (2025)</x:v>
      </x:c>
      <x:c r="C2" s="8" t="str">
        <x:v>L1</x:v>
      </x:c>
      <x:c r="D2" s="8" t="n">
        <x:v>1</x:v>
      </x:c>
      <x:c r="E2" s="8" t="n">
        <x:v>1</x:v>
      </x:c>
      <x:c r="F2" s="8" t="n">
        <x:v>1</x:v>
      </x:c>
    </x:row>
    <x:row r="3">
      <x:c r="A3" s="23" t="n">
        <x:v>1</x:v>
      </x:c>
      <x:c r="B3" s="23" t="str">
        <x:v>Saroli et al. (2025)</x:v>
      </x:c>
      <x:c r="C3" s="23" t="str">
        <x:v>L2</x:v>
      </x:c>
      <x:c r="D3" s="23" t="n">
        <x:v>1</x:v>
      </x:c>
      <x:c r="E3" s="23" t="n">
        <x:v>1</x:v>
      </x:c>
      <x:c r="F3" s="23" t="n">
        <x:v>1</x:v>
      </x:c>
    </x:row>
    <x:row r="4">
      <x:c r="A4" s="9" t="n">
        <x:v>1</x:v>
      </x:c>
      <x:c r="B4" s="9" t="str">
        <x:v>Saroli et al. (2025)</x:v>
      </x:c>
      <x:c r="C4" s="9" t="str">
        <x:v>L3</x:v>
      </x:c>
      <x:c r="D4" s="9" t="n">
        <x:v>1</x:v>
      </x:c>
      <x:c r="E4" s="9" t="n">
        <x:v>1</x:v>
      </x:c>
      <x:c r="F4" s="9" t="n">
        <x:v>1</x:v>
      </x:c>
    </x:row>
    <x:row r="5">
      <x:c r="A5" s="23" t="n">
        <x:v>1</x:v>
      </x:c>
      <x:c r="B5" s="23" t="str">
        <x:v>Saroli et al. (2025)</x:v>
      </x:c>
      <x:c r="C5" s="23" t="str">
        <x:v>L4</x:v>
      </x:c>
      <x:c r="D5" s="23" t="n">
        <x:v>1</x:v>
      </x:c>
      <x:c r="E5" s="23" t="n">
        <x:v>1</x:v>
      </x:c>
      <x:c r="F5" s="23" t="n">
        <x:v>1</x:v>
      </x:c>
    </x:row>
    <x:row r="6">
      <x:c r="A6" s="9" t="n">
        <x:v>1</x:v>
      </x:c>
      <x:c r="B6" s="9" t="str">
        <x:v>Saroli et al. (2025)</x:v>
      </x:c>
      <x:c r="C6" s="9" t="str">
        <x:v>L5</x:v>
      </x:c>
      <x:c r="D6" s="9" t="n">
        <x:v>1</x:v>
      </x:c>
      <x:c r="E6" s="9" t="n">
        <x:v>1</x:v>
      </x:c>
      <x:c r="F6" s="9" t="n">
        <x:v>1</x:v>
      </x:c>
    </x:row>
    <x:row r="7">
      <x:c r="A7" s="23" t="n">
        <x:v>1</x:v>
      </x:c>
      <x:c r="B7" s="23" t="str">
        <x:v>Saroli et al. (2025)</x:v>
      </x:c>
      <x:c r="C7" s="23" t="str">
        <x:v>L6</x:v>
      </x:c>
      <x:c r="D7" s="23" t="n">
        <x:v>1</x:v>
      </x:c>
      <x:c r="E7" s="23" t="n">
        <x:v>1</x:v>
      </x:c>
      <x:c r="F7" s="23" t="n">
        <x:v>1</x:v>
      </x:c>
    </x:row>
    <x:row r="8">
      <x:c r="A8" s="9" t="n">
        <x:v>1</x:v>
      </x:c>
      <x:c r="B8" s="9" t="str">
        <x:v>Saroli et al. (2025)</x:v>
      </x:c>
      <x:c r="C8" s="9" t="str">
        <x:v>L7</x:v>
      </x:c>
      <x:c r="D8" s="9" t="n">
        <x:v>1</x:v>
      </x:c>
      <x:c r="E8" s="9" t="n">
        <x:v>1</x:v>
      </x:c>
      <x:c r="F8" s="9" t="n">
        <x:v>1</x:v>
      </x:c>
    </x:row>
    <x:row r="9">
      <x:c r="A9" s="23" t="n">
        <x:v>1</x:v>
      </x:c>
      <x:c r="B9" s="23" t="str">
        <x:v>Saroli et al. (2025)</x:v>
      </x:c>
      <x:c r="C9" s="23" t="str">
        <x:v>L8</x:v>
      </x:c>
      <x:c r="D9" s="23" t="n">
        <x:v>0</x:v>
      </x:c>
      <x:c r="E9" s="23" t="n">
        <x:v>0</x:v>
      </x:c>
      <x:c r="F9" s="23" t="n">
        <x:v>1</x:v>
      </x:c>
    </x:row>
    <x:row r="10">
      <x:c r="A10" s="9" t="n">
        <x:v>2</x:v>
      </x:c>
      <x:c r="B10" s="9" t="str">
        <x:v>Suppelt et al. (2025)</x:v>
      </x:c>
      <x:c r="C10" s="9" t="str">
        <x:v>L1</x:v>
      </x:c>
      <x:c r="D10" s="9" t="n">
        <x:v>0</x:v>
      </x:c>
      <x:c r="E10" s="9" t="n">
        <x:v>0</x:v>
      </x:c>
      <x:c r="F10" s="9" t="n">
        <x:v>1</x:v>
      </x:c>
    </x:row>
    <x:row r="11">
      <x:c r="A11" s="23" t="n">
        <x:v>2</x:v>
      </x:c>
      <x:c r="B11" s="23" t="str">
        <x:v>Suppelt et al. (2025)</x:v>
      </x:c>
      <x:c r="C11" s="23" t="str">
        <x:v>L2</x:v>
      </x:c>
      <x:c r="D11" s="23" t="n">
        <x:v>1</x:v>
      </x:c>
      <x:c r="E11" s="23" t="n">
        <x:v>1</x:v>
      </x:c>
      <x:c r="F11" s="23" t="n">
        <x:v>1</x:v>
      </x:c>
    </x:row>
    <x:row r="12">
      <x:c r="A12" s="9" t="n">
        <x:v>2</x:v>
      </x:c>
      <x:c r="B12" s="9" t="str">
        <x:v>Suppelt et al. (2025)</x:v>
      </x:c>
      <x:c r="C12" s="9" t="str">
        <x:v>L3</x:v>
      </x:c>
      <x:c r="D12" s="9" t="n">
        <x:v>1</x:v>
      </x:c>
      <x:c r="E12" s="9" t="n">
        <x:v>1</x:v>
      </x:c>
      <x:c r="F12" s="9" t="n">
        <x:v>1</x:v>
      </x:c>
    </x:row>
    <x:row r="13">
      <x:c r="A13" s="23" t="n">
        <x:v>2</x:v>
      </x:c>
      <x:c r="B13" s="23" t="str">
        <x:v>Suppelt et al. (2025)</x:v>
      </x:c>
      <x:c r="C13" s="23" t="str">
        <x:v>L4</x:v>
      </x:c>
      <x:c r="D13" s="23" t="n">
        <x:v>1</x:v>
      </x:c>
      <x:c r="E13" s="23" t="n">
        <x:v>1</x:v>
      </x:c>
      <x:c r="F13" s="23" t="n">
        <x:v>1</x:v>
      </x:c>
    </x:row>
    <x:row r="14">
      <x:c r="A14" s="9" t="n">
        <x:v>2</x:v>
      </x:c>
      <x:c r="B14" s="9" t="str">
        <x:v>Suppelt et al. (2025)</x:v>
      </x:c>
      <x:c r="C14" s="9" t="str">
        <x:v>L5</x:v>
      </x:c>
      <x:c r="D14" s="9" t="n">
        <x:v>0</x:v>
      </x:c>
      <x:c r="E14" s="9" t="n">
        <x:v>0</x:v>
      </x:c>
      <x:c r="F14" s="9" t="n">
        <x:v>1</x:v>
      </x:c>
    </x:row>
    <x:row r="15">
      <x:c r="A15" s="23" t="n">
        <x:v>2</x:v>
      </x:c>
      <x:c r="B15" s="23" t="str">
        <x:v>Suppelt et al. (2025)</x:v>
      </x:c>
      <x:c r="C15" s="23" t="str">
        <x:v>L6</x:v>
      </x:c>
      <x:c r="D15" s="23" t="n">
        <x:v>1</x:v>
      </x:c>
      <x:c r="E15" s="23" t="n">
        <x:v>1</x:v>
      </x:c>
      <x:c r="F15" s="23" t="n">
        <x:v>1</x:v>
      </x:c>
    </x:row>
    <x:row r="16">
      <x:c r="A16" s="9" t="n">
        <x:v>2</x:v>
      </x:c>
      <x:c r="B16" s="9" t="str">
        <x:v>Suppelt et al. (2025)</x:v>
      </x:c>
      <x:c r="C16" s="9" t="str">
        <x:v>L7</x:v>
      </x:c>
      <x:c r="D16" s="9" t="n">
        <x:v>1</x:v>
      </x:c>
      <x:c r="E16" s="9" t="n">
        <x:v>1</x:v>
      </x:c>
      <x:c r="F16" s="9" t="n">
        <x:v>1</x:v>
      </x:c>
    </x:row>
    <x:row r="17">
      <x:c r="A17" s="23" t="n">
        <x:v>2</x:v>
      </x:c>
      <x:c r="B17" s="23" t="str">
        <x:v>Suppelt et al. (2025)</x:v>
      </x:c>
      <x:c r="C17" s="23" t="str">
        <x:v>L8</x:v>
      </x:c>
      <x:c r="D17" s="23" t="n">
        <x:v>1</x:v>
      </x:c>
      <x:c r="E17" s="23" t="n">
        <x:v>1</x:v>
      </x:c>
      <x:c r="F17" s="23" t="n">
        <x:v>1</x:v>
      </x:c>
    </x:row>
    <x:row r="18">
      <x:c r="A18" s="9" t="n">
        <x:v>3</x:v>
      </x:c>
      <x:c r="B18" s="9" t="str">
        <x:v>Michalec and Faller (2024)</x:v>
      </x:c>
      <x:c r="C18" s="9" t="str">
        <x:v>L1</x:v>
      </x:c>
      <x:c r="D18" s="9" t="n">
        <x:v>1</x:v>
      </x:c>
      <x:c r="E18" s="9" t="n">
        <x:v>1</x:v>
      </x:c>
      <x:c r="F18" s="9" t="n">
        <x:v>1</x:v>
      </x:c>
    </x:row>
    <x:row r="19">
      <x:c r="A19" s="23" t="n">
        <x:v>3</x:v>
      </x:c>
      <x:c r="B19" s="23" t="str">
        <x:v>Michalec and Faller (2024)</x:v>
      </x:c>
      <x:c r="C19" s="23" t="str">
        <x:v>L2</x:v>
      </x:c>
      <x:c r="D19" s="23" t="n">
        <x:v>1</x:v>
      </x:c>
      <x:c r="E19" s="23" t="n">
        <x:v>1</x:v>
      </x:c>
      <x:c r="F19" s="23" t="n">
        <x:v>1</x:v>
      </x:c>
    </x:row>
    <x:row r="20">
      <x:c r="A20" s="9" t="n">
        <x:v>3</x:v>
      </x:c>
      <x:c r="B20" s="9" t="str">
        <x:v>Michalec and Faller (2024)</x:v>
      </x:c>
      <x:c r="C20" s="9" t="str">
        <x:v>L3</x:v>
      </x:c>
      <x:c r="D20" s="9" t="n">
        <x:v>1</x:v>
      </x:c>
      <x:c r="E20" s="9" t="n">
        <x:v>1</x:v>
      </x:c>
      <x:c r="F20" s="9" t="n">
        <x:v>1</x:v>
      </x:c>
    </x:row>
    <x:row r="21">
      <x:c r="A21" s="23" t="n">
        <x:v>3</x:v>
      </x:c>
      <x:c r="B21" s="23" t="str">
        <x:v>Michalec and Faller (2024)</x:v>
      </x:c>
      <x:c r="C21" s="23" t="str">
        <x:v>L4</x:v>
      </x:c>
      <x:c r="D21" s="23" t="n">
        <x:v>1</x:v>
      </x:c>
      <x:c r="E21" s="23" t="n">
        <x:v>1</x:v>
      </x:c>
      <x:c r="F21" s="23" t="n">
        <x:v>1</x:v>
      </x:c>
    </x:row>
    <x:row r="22">
      <x:c r="A22" s="9" t="n">
        <x:v>3</x:v>
      </x:c>
      <x:c r="B22" s="9" t="str">
        <x:v>Michalec and Faller (2024)</x:v>
      </x:c>
      <x:c r="C22" s="9" t="str">
        <x:v>L5</x:v>
      </x:c>
      <x:c r="D22" s="9" t="n">
        <x:v>1</x:v>
      </x:c>
      <x:c r="E22" s="9" t="n">
        <x:v>1</x:v>
      </x:c>
      <x:c r="F22" s="9" t="n">
        <x:v>1</x:v>
      </x:c>
    </x:row>
    <x:row r="23">
      <x:c r="A23" s="23" t="n">
        <x:v>3</x:v>
      </x:c>
      <x:c r="B23" s="23" t="str">
        <x:v>Michalec and Faller (2024)</x:v>
      </x:c>
      <x:c r="C23" s="23" t="str">
        <x:v>L6</x:v>
      </x:c>
      <x:c r="D23" s="23" t="n">
        <x:v>1</x:v>
      </x:c>
      <x:c r="E23" s="23" t="n">
        <x:v>1</x:v>
      </x:c>
      <x:c r="F23" s="23" t="n">
        <x:v>1</x:v>
      </x:c>
    </x:row>
    <x:row r="24">
      <x:c r="A24" s="9" t="n">
        <x:v>3</x:v>
      </x:c>
      <x:c r="B24" s="9" t="str">
        <x:v>Michalec and Faller (2024)</x:v>
      </x:c>
      <x:c r="C24" s="9" t="str">
        <x:v>L7</x:v>
      </x:c>
      <x:c r="D24" s="9" t="n">
        <x:v>1</x:v>
      </x:c>
      <x:c r="E24" s="9" t="n">
        <x:v>1</x:v>
      </x:c>
      <x:c r="F24" s="9" t="n">
        <x:v>1</x:v>
      </x:c>
    </x:row>
    <x:row r="25">
      <x:c r="A25" s="23" t="n">
        <x:v>3</x:v>
      </x:c>
      <x:c r="B25" s="23" t="str">
        <x:v>Michalec and Faller (2024)</x:v>
      </x:c>
      <x:c r="C25" s="23" t="str">
        <x:v>L8</x:v>
      </x:c>
      <x:c r="D25" s="23" t="n">
        <x:v>1</x:v>
      </x:c>
      <x:c r="E25" s="23" t="n">
        <x:v>1</x:v>
      </x:c>
      <x:c r="F25" s="23" t="n">
        <x:v>1</x:v>
      </x:c>
    </x:row>
    <x:row r="26">
      <x:c r="A26" s="9" t="n">
        <x:v>4</x:v>
      </x:c>
      <x:c r="B26" s="9" t="str">
        <x:v>Dimo et al. (May 2024)</x:v>
      </x:c>
      <x:c r="C26" s="9" t="str">
        <x:v>L1</x:v>
      </x:c>
      <x:c r="D26" s="9" t="n">
        <x:v>0</x:v>
      </x:c>
      <x:c r="E26" s="9" t="n">
        <x:v>0</x:v>
      </x:c>
      <x:c r="F26" s="9" t="n">
        <x:v>1</x:v>
      </x:c>
    </x:row>
    <x:row r="27">
      <x:c r="A27" s="23" t="n">
        <x:v>4</x:v>
      </x:c>
      <x:c r="B27" s="23" t="str">
        <x:v>Dimo et al. (May 2024)</x:v>
      </x:c>
      <x:c r="C27" s="23" t="str">
        <x:v>L2</x:v>
      </x:c>
      <x:c r="D27" s="23" t="n">
        <x:v>1</x:v>
      </x:c>
      <x:c r="E27" s="23" t="n">
        <x:v>1</x:v>
      </x:c>
      <x:c r="F27" s="23" t="n">
        <x:v>1</x:v>
      </x:c>
    </x:row>
    <x:row r="28">
      <x:c r="A28" s="9" t="n">
        <x:v>4</x:v>
      </x:c>
      <x:c r="B28" s="9" t="str">
        <x:v>Dimo et al. (May 2024)</x:v>
      </x:c>
      <x:c r="C28" s="9" t="str">
        <x:v>L3</x:v>
      </x:c>
      <x:c r="D28" s="9" t="n">
        <x:v>1</x:v>
      </x:c>
      <x:c r="E28" s="9" t="n">
        <x:v>1</x:v>
      </x:c>
      <x:c r="F28" s="9" t="n">
        <x:v>1</x:v>
      </x:c>
    </x:row>
    <x:row r="29">
      <x:c r="A29" s="23" t="n">
        <x:v>4</x:v>
      </x:c>
      <x:c r="B29" s="23" t="str">
        <x:v>Dimo et al. (May 2024)</x:v>
      </x:c>
      <x:c r="C29" s="23" t="str">
        <x:v>L4</x:v>
      </x:c>
      <x:c r="D29" s="23" t="n">
        <x:v>1</x:v>
      </x:c>
      <x:c r="E29" s="23" t="n">
        <x:v>1</x:v>
      </x:c>
      <x:c r="F29" s="23" t="n">
        <x:v>1</x:v>
      </x:c>
    </x:row>
    <x:row r="30">
      <x:c r="A30" s="9" t="n">
        <x:v>4</x:v>
      </x:c>
      <x:c r="B30" s="9" t="str">
        <x:v>Dimo et al. (May 2024)</x:v>
      </x:c>
      <x:c r="C30" s="9" t="str">
        <x:v>L5</x:v>
      </x:c>
      <x:c r="D30" s="9" t="n">
        <x:v>1</x:v>
      </x:c>
      <x:c r="E30" s="9" t="n">
        <x:v>1</x:v>
      </x:c>
      <x:c r="F30" s="9" t="n">
        <x:v>1</x:v>
      </x:c>
    </x:row>
    <x:row r="31">
      <x:c r="A31" s="23" t="n">
        <x:v>4</x:v>
      </x:c>
      <x:c r="B31" s="23" t="str">
        <x:v>Dimo et al. (May 2024)</x:v>
      </x:c>
      <x:c r="C31" s="23" t="str">
        <x:v>L6</x:v>
      </x:c>
      <x:c r="D31" s="23" t="n">
        <x:v>1</x:v>
      </x:c>
      <x:c r="E31" s="23" t="n">
        <x:v>1</x:v>
      </x:c>
      <x:c r="F31" s="23" t="n">
        <x:v>1</x:v>
      </x:c>
    </x:row>
    <x:row r="32">
      <x:c r="A32" s="9" t="n">
        <x:v>4</x:v>
      </x:c>
      <x:c r="B32" s="9" t="str">
        <x:v>Dimo et al. (May 2024)</x:v>
      </x:c>
      <x:c r="C32" s="9" t="str">
        <x:v>L7</x:v>
      </x:c>
      <x:c r="D32" s="9" t="n">
        <x:v>1</x:v>
      </x:c>
      <x:c r="E32" s="9" t="n">
        <x:v>1</x:v>
      </x:c>
      <x:c r="F32" s="9" t="n">
        <x:v>1</x:v>
      </x:c>
    </x:row>
    <x:row r="33">
      <x:c r="A33" s="23" t="n">
        <x:v>4</x:v>
      </x:c>
      <x:c r="B33" s="23" t="str">
        <x:v>Dimo et al. (May 2024)</x:v>
      </x:c>
      <x:c r="C33" s="23" t="str">
        <x:v>L8</x:v>
      </x:c>
      <x:c r="D33" s="23" t="n">
        <x:v>0</x:v>
      </x:c>
      <x:c r="E33" s="23" t="n">
        <x:v>0</x:v>
      </x:c>
      <x:c r="F33" s="23" t="n">
        <x:v>1</x:v>
      </x:c>
    </x:row>
    <x:row r="34">
      <x:c r="A34" s="9" t="n">
        <x:v>5</x:v>
      </x:c>
      <x:c r="B34" s="9" t="str">
        <x:v>Dimo et al. (Nov 2024)</x:v>
      </x:c>
      <x:c r="C34" s="9" t="str">
        <x:v>L1</x:v>
      </x:c>
      <x:c r="D34" s="9" t="n">
        <x:v>0</x:v>
      </x:c>
      <x:c r="E34" s="9" t="n">
        <x:v>0</x:v>
      </x:c>
      <x:c r="F34" s="9" t="n">
        <x:v>1</x:v>
      </x:c>
    </x:row>
    <x:row r="35">
      <x:c r="A35" s="23" t="n">
        <x:v>5</x:v>
      </x:c>
      <x:c r="B35" s="23" t="str">
        <x:v>Dimo et al. (Nov 2024)</x:v>
      </x:c>
      <x:c r="C35" s="23" t="str">
        <x:v>L2</x:v>
      </x:c>
      <x:c r="D35" s="23" t="n">
        <x:v>1</x:v>
      </x:c>
      <x:c r="E35" s="23" t="n">
        <x:v>1</x:v>
      </x:c>
      <x:c r="F35" s="23" t="n">
        <x:v>1</x:v>
      </x:c>
    </x:row>
    <x:row r="36">
      <x:c r="A36" s="9" t="n">
        <x:v>5</x:v>
      </x:c>
      <x:c r="B36" s="9" t="str">
        <x:v>Dimo et al. (Nov 2024)</x:v>
      </x:c>
      <x:c r="C36" s="9" t="str">
        <x:v>L3</x:v>
      </x:c>
      <x:c r="D36" s="9" t="n">
        <x:v>1</x:v>
      </x:c>
      <x:c r="E36" s="9" t="n">
        <x:v>1</x:v>
      </x:c>
      <x:c r="F36" s="9" t="n">
        <x:v>1</x:v>
      </x:c>
    </x:row>
    <x:row r="37">
      <x:c r="A37" s="23" t="n">
        <x:v>5</x:v>
      </x:c>
      <x:c r="B37" s="23" t="str">
        <x:v>Dimo et al. (Nov 2024)</x:v>
      </x:c>
      <x:c r="C37" s="23" t="str">
        <x:v>L4</x:v>
      </x:c>
      <x:c r="D37" s="23" t="n">
        <x:v>1</x:v>
      </x:c>
      <x:c r="E37" s="23" t="n">
        <x:v>1</x:v>
      </x:c>
      <x:c r="F37" s="23" t="n">
        <x:v>1</x:v>
      </x:c>
    </x:row>
    <x:row r="38">
      <x:c r="A38" s="9" t="n">
        <x:v>5</x:v>
      </x:c>
      <x:c r="B38" s="9" t="str">
        <x:v>Dimo et al. (Nov 2024)</x:v>
      </x:c>
      <x:c r="C38" s="9" t="str">
        <x:v>L5</x:v>
      </x:c>
      <x:c r="D38" s="9" t="n">
        <x:v>0</x:v>
      </x:c>
      <x:c r="E38" s="9" t="n">
        <x:v>1</x:v>
      </x:c>
      <x:c r="F38" s="9" t="n">
        <x:v>0</x:v>
      </x:c>
    </x:row>
    <x:row r="39">
      <x:c r="A39" s="23" t="n">
        <x:v>5</x:v>
      </x:c>
      <x:c r="B39" s="23" t="str">
        <x:v>Dimo et al. (Nov 2024)</x:v>
      </x:c>
      <x:c r="C39" s="23" t="str">
        <x:v>L6</x:v>
      </x:c>
      <x:c r="D39" s="23" t="n">
        <x:v>0</x:v>
      </x:c>
      <x:c r="E39" s="23" t="n">
        <x:v>0</x:v>
      </x:c>
      <x:c r="F39" s="23" t="n">
        <x:v>1</x:v>
      </x:c>
    </x:row>
    <x:row r="40">
      <x:c r="A40" s="9" t="n">
        <x:v>5</x:v>
      </x:c>
      <x:c r="B40" s="9" t="str">
        <x:v>Dimo et al. (Nov 2024)</x:v>
      </x:c>
      <x:c r="C40" s="9" t="str">
        <x:v>L7</x:v>
      </x:c>
      <x:c r="D40" s="9" t="n">
        <x:v>0</x:v>
      </x:c>
      <x:c r="E40" s="9" t="n">
        <x:v>0</x:v>
      </x:c>
      <x:c r="F40" s="9" t="n">
        <x:v>1</x:v>
      </x:c>
    </x:row>
    <x:row r="41">
      <x:c r="A41" s="23" t="n">
        <x:v>5</x:v>
      </x:c>
      <x:c r="B41" s="23" t="str">
        <x:v>Dimo et al. (Nov 2024)</x:v>
      </x:c>
      <x:c r="C41" s="23" t="str">
        <x:v>L8</x:v>
      </x:c>
      <x:c r="D41" s="23" t="n">
        <x:v>0</x:v>
      </x:c>
      <x:c r="E41" s="23" t="n">
        <x:v>0</x:v>
      </x:c>
      <x:c r="F41" s="23" t="n">
        <x:v>1</x:v>
      </x:c>
    </x:row>
    <x:row r="42">
      <x:c r="A42" s="9" t="n">
        <x:v>6</x:v>
      </x:c>
      <x:c r="B42" s="9" t="str">
        <x:v>Lo Presti et al. (2022)</x:v>
      </x:c>
      <x:c r="C42" s="9" t="str">
        <x:v>L1</x:v>
      </x:c>
      <x:c r="D42" s="9" t="n">
        <x:v>0</x:v>
      </x:c>
      <x:c r="E42" s="9" t="n">
        <x:v>0</x:v>
      </x:c>
      <x:c r="F42" s="9" t="n">
        <x:v>1</x:v>
      </x:c>
    </x:row>
    <x:row r="43">
      <x:c r="A43" s="23" t="n">
        <x:v>6</x:v>
      </x:c>
      <x:c r="B43" s="23" t="str">
        <x:v>Lo Presti et al. (2022)</x:v>
      </x:c>
      <x:c r="C43" s="23" t="str">
        <x:v>L2</x:v>
      </x:c>
      <x:c r="D43" s="23" t="n">
        <x:v>1</x:v>
      </x:c>
      <x:c r="E43" s="23" t="n">
        <x:v>1</x:v>
      </x:c>
      <x:c r="F43" s="23" t="n">
        <x:v>1</x:v>
      </x:c>
    </x:row>
    <x:row r="44">
      <x:c r="A44" s="9" t="n">
        <x:v>6</x:v>
      </x:c>
      <x:c r="B44" s="9" t="str">
        <x:v>Lo Presti et al. (2022)</x:v>
      </x:c>
      <x:c r="C44" s="9" t="str">
        <x:v>L3</x:v>
      </x:c>
      <x:c r="D44" s="9" t="n">
        <x:v>1</x:v>
      </x:c>
      <x:c r="E44" s="9" t="n">
        <x:v>1</x:v>
      </x:c>
      <x:c r="F44" s="9" t="n">
        <x:v>1</x:v>
      </x:c>
    </x:row>
    <x:row r="45">
      <x:c r="A45" s="23" t="n">
        <x:v>6</x:v>
      </x:c>
      <x:c r="B45" s="23" t="str">
        <x:v>Lo Presti et al. (2022)</x:v>
      </x:c>
      <x:c r="C45" s="23" t="str">
        <x:v>L4</x:v>
      </x:c>
      <x:c r="D45" s="23" t="n">
        <x:v>1</x:v>
      </x:c>
      <x:c r="E45" s="23" t="n">
        <x:v>1</x:v>
      </x:c>
      <x:c r="F45" s="23" t="n">
        <x:v>1</x:v>
      </x:c>
    </x:row>
    <x:row r="46">
      <x:c r="A46" s="9" t="n">
        <x:v>6</x:v>
      </x:c>
      <x:c r="B46" s="9" t="str">
        <x:v>Lo Presti et al. (2022)</x:v>
      </x:c>
      <x:c r="C46" s="9" t="str">
        <x:v>L5</x:v>
      </x:c>
      <x:c r="D46" s="9" t="n">
        <x:v>1</x:v>
      </x:c>
      <x:c r="E46" s="9" t="n">
        <x:v>1</x:v>
      </x:c>
      <x:c r="F46" s="9" t="n">
        <x:v>1</x:v>
      </x:c>
    </x:row>
    <x:row r="47">
      <x:c r="A47" s="23" t="n">
        <x:v>6</x:v>
      </x:c>
      <x:c r="B47" s="23" t="str">
        <x:v>Lo Presti et al. (2022)</x:v>
      </x:c>
      <x:c r="C47" s="23" t="str">
        <x:v>L6</x:v>
      </x:c>
      <x:c r="D47" s="23" t="n">
        <x:v>1</x:v>
      </x:c>
      <x:c r="E47" s="23" t="n">
        <x:v>1</x:v>
      </x:c>
      <x:c r="F47" s="23" t="n">
        <x:v>1</x:v>
      </x:c>
    </x:row>
    <x:row r="48">
      <x:c r="A48" s="9" t="n">
        <x:v>6</x:v>
      </x:c>
      <x:c r="B48" s="9" t="str">
        <x:v>Lo Presti et al. (2022)</x:v>
      </x:c>
      <x:c r="C48" s="9" t="str">
        <x:v>L7</x:v>
      </x:c>
      <x:c r="D48" s="9" t="n">
        <x:v>1</x:v>
      </x:c>
      <x:c r="E48" s="9" t="n">
        <x:v>1</x:v>
      </x:c>
      <x:c r="F48" s="9" t="n">
        <x:v>1</x:v>
      </x:c>
    </x:row>
    <x:row r="49">
      <x:c r="A49" s="23" t="n">
        <x:v>6</x:v>
      </x:c>
      <x:c r="B49" s="23" t="str">
        <x:v>Lo Presti et al. (2022)</x:v>
      </x:c>
      <x:c r="C49" s="23" t="str">
        <x:v>L8</x:v>
      </x:c>
      <x:c r="D49" s="23" t="n">
        <x:v>0</x:v>
      </x:c>
      <x:c r="E49" s="23" t="n">
        <x:v>0</x:v>
      </x:c>
      <x:c r="F49" s="23" t="n">
        <x:v>1</x:v>
      </x:c>
    </x:row>
    <x:row r="50">
      <x:c r="A50" s="9" t="n">
        <x:v>7</x:v>
      </x:c>
      <x:c r="B50" s="9" t="str">
        <x:v>Aros Taglioni et al. (2024)</x:v>
      </x:c>
      <x:c r="C50" s="9" t="str">
        <x:v>L1</x:v>
      </x:c>
      <x:c r="D50" s="9" t="n">
        <x:v>0</x:v>
      </x:c>
      <x:c r="E50" s="9" t="n">
        <x:v>0</x:v>
      </x:c>
      <x:c r="F50" s="9" t="n">
        <x:v>1</x:v>
      </x:c>
    </x:row>
    <x:row r="51">
      <x:c r="A51" s="23" t="n">
        <x:v>7</x:v>
      </x:c>
      <x:c r="B51" s="23" t="str">
        <x:v>Aros Taglioni et al. (2024)</x:v>
      </x:c>
      <x:c r="C51" s="23" t="str">
        <x:v>L2</x:v>
      </x:c>
      <x:c r="D51" s="23" t="n">
        <x:v>1</x:v>
      </x:c>
      <x:c r="E51" s="23" t="n">
        <x:v>1</x:v>
      </x:c>
      <x:c r="F51" s="23" t="n">
        <x:v>1</x:v>
      </x:c>
    </x:row>
    <x:row r="52">
      <x:c r="A52" s="9" t="n">
        <x:v>7</x:v>
      </x:c>
      <x:c r="B52" s="9" t="str">
        <x:v>Aros Taglioni et al. (2024)</x:v>
      </x:c>
      <x:c r="C52" s="9" t="str">
        <x:v>L3</x:v>
      </x:c>
      <x:c r="D52" s="9" t="n">
        <x:v>1</x:v>
      </x:c>
      <x:c r="E52" s="9" t="n">
        <x:v>1</x:v>
      </x:c>
      <x:c r="F52" s="9" t="n">
        <x:v>1</x:v>
      </x:c>
    </x:row>
    <x:row r="53">
      <x:c r="A53" s="23" t="n">
        <x:v>7</x:v>
      </x:c>
      <x:c r="B53" s="23" t="str">
        <x:v>Aros Taglioni et al. (2024)</x:v>
      </x:c>
      <x:c r="C53" s="23" t="str">
        <x:v>L4</x:v>
      </x:c>
      <x:c r="D53" s="23" t="n">
        <x:v>1</x:v>
      </x:c>
      <x:c r="E53" s="23" t="n">
        <x:v>1</x:v>
      </x:c>
      <x:c r="F53" s="23" t="n">
        <x:v>1</x:v>
      </x:c>
    </x:row>
    <x:row r="54">
      <x:c r="A54" s="9" t="n">
        <x:v>7</x:v>
      </x:c>
      <x:c r="B54" s="9" t="str">
        <x:v>Aros Taglioni et al. (2024)</x:v>
      </x:c>
      <x:c r="C54" s="9" t="str">
        <x:v>L5</x:v>
      </x:c>
      <x:c r="D54" s="9" t="n">
        <x:v>1</x:v>
      </x:c>
      <x:c r="E54" s="9" t="n">
        <x:v>1</x:v>
      </x:c>
      <x:c r="F54" s="9" t="n">
        <x:v>1</x:v>
      </x:c>
    </x:row>
    <x:row r="55">
      <x:c r="A55" s="23" t="n">
        <x:v>7</x:v>
      </x:c>
      <x:c r="B55" s="23" t="str">
        <x:v>Aros Taglioni et al. (2024)</x:v>
      </x:c>
      <x:c r="C55" s="23" t="str">
        <x:v>L6</x:v>
      </x:c>
      <x:c r="D55" s="23" t="n">
        <x:v>0</x:v>
      </x:c>
      <x:c r="E55" s="23" t="n">
        <x:v>0</x:v>
      </x:c>
      <x:c r="F55" s="23" t="n">
        <x:v>1</x:v>
      </x:c>
    </x:row>
    <x:row r="56">
      <x:c r="A56" s="9" t="n">
        <x:v>7</x:v>
      </x:c>
      <x:c r="B56" s="9" t="str">
        <x:v>Aros Taglioni et al. (2024)</x:v>
      </x:c>
      <x:c r="C56" s="9" t="str">
        <x:v>L7</x:v>
      </x:c>
      <x:c r="D56" s="9" t="n">
        <x:v>1</x:v>
      </x:c>
      <x:c r="E56" s="9" t="n">
        <x:v>1</x:v>
      </x:c>
      <x:c r="F56" s="9" t="n">
        <x:v>1</x:v>
      </x:c>
    </x:row>
    <x:row r="57">
      <x:c r="A57" s="23" t="n">
        <x:v>7</x:v>
      </x:c>
      <x:c r="B57" s="23" t="str">
        <x:v>Aros Taglioni et al. (2024)</x:v>
      </x:c>
      <x:c r="C57" s="23" t="str">
        <x:v>L8</x:v>
      </x:c>
      <x:c r="D57" s="23" t="n">
        <x:v>0</x:v>
      </x:c>
      <x:c r="E57" s="23" t="n">
        <x:v>0</x:v>
      </x:c>
      <x:c r="F57" s="23" t="n">
        <x:v>1</x:v>
      </x:c>
    </x:row>
    <x:row r="58">
      <x:c r="A58" s="9" t="n">
        <x:v>8</x:v>
      </x:c>
      <x:c r="B58" s="9" t="str">
        <x:v>Imranuddin et al. (2025)</x:v>
      </x:c>
      <x:c r="C58" s="9" t="str">
        <x:v>L1</x:v>
      </x:c>
      <x:c r="D58" s="9" t="n">
        <x:v>1</x:v>
      </x:c>
      <x:c r="E58" s="9" t="n">
        <x:v>1</x:v>
      </x:c>
      <x:c r="F58" s="9" t="n">
        <x:v>1</x:v>
      </x:c>
    </x:row>
    <x:row r="59">
      <x:c r="A59" s="23" t="n">
        <x:v>8</x:v>
      </x:c>
      <x:c r="B59" s="23" t="str">
        <x:v>Imranuddin et al. (2025)</x:v>
      </x:c>
      <x:c r="C59" s="23" t="str">
        <x:v>L2</x:v>
      </x:c>
      <x:c r="D59" s="23" t="n">
        <x:v>1</x:v>
      </x:c>
      <x:c r="E59" s="23" t="n">
        <x:v>1</x:v>
      </x:c>
      <x:c r="F59" s="23" t="n">
        <x:v>1</x:v>
      </x:c>
    </x:row>
    <x:row r="60">
      <x:c r="A60" s="9" t="n">
        <x:v>8</x:v>
      </x:c>
      <x:c r="B60" s="9" t="str">
        <x:v>Imranuddin et al. (2025)</x:v>
      </x:c>
      <x:c r="C60" s="9" t="str">
        <x:v>L3</x:v>
      </x:c>
      <x:c r="D60" s="9" t="n">
        <x:v>1</x:v>
      </x:c>
      <x:c r="E60" s="9" t="n">
        <x:v>1</x:v>
      </x:c>
      <x:c r="F60" s="9" t="n">
        <x:v>1</x:v>
      </x:c>
    </x:row>
    <x:row r="61">
      <x:c r="A61" s="23" t="n">
        <x:v>8</x:v>
      </x:c>
      <x:c r="B61" s="23" t="str">
        <x:v>Imranuddin et al. (2025)</x:v>
      </x:c>
      <x:c r="C61" s="23" t="str">
        <x:v>L4</x:v>
      </x:c>
      <x:c r="D61" s="23" t="n">
        <x:v>1</x:v>
      </x:c>
      <x:c r="E61" s="23" t="n">
        <x:v>1</x:v>
      </x:c>
      <x:c r="F61" s="23" t="n">
        <x:v>1</x:v>
      </x:c>
    </x:row>
    <x:row r="62">
      <x:c r="A62" s="9" t="n">
        <x:v>8</x:v>
      </x:c>
      <x:c r="B62" s="9" t="str">
        <x:v>Imranuddin et al. (2025)</x:v>
      </x:c>
      <x:c r="C62" s="9" t="str">
        <x:v>L5</x:v>
      </x:c>
      <x:c r="D62" s="9" t="n">
        <x:v>1</x:v>
      </x:c>
      <x:c r="E62" s="9" t="n">
        <x:v>1</x:v>
      </x:c>
      <x:c r="F62" s="9" t="n">
        <x:v>1</x:v>
      </x:c>
    </x:row>
    <x:row r="63">
      <x:c r="A63" s="23" t="n">
        <x:v>8</x:v>
      </x:c>
      <x:c r="B63" s="23" t="str">
        <x:v>Imranuddin et al. (2025)</x:v>
      </x:c>
      <x:c r="C63" s="23" t="str">
        <x:v>L6</x:v>
      </x:c>
      <x:c r="D63" s="23" t="n">
        <x:v>0</x:v>
      </x:c>
      <x:c r="E63" s="23" t="n">
        <x:v>1</x:v>
      </x:c>
      <x:c r="F63" s="23" t="n">
        <x:v>0</x:v>
      </x:c>
    </x:row>
    <x:row r="64">
      <x:c r="A64" s="9" t="n">
        <x:v>8</x:v>
      </x:c>
      <x:c r="B64" s="9" t="str">
        <x:v>Imranuddin et al. (2025)</x:v>
      </x:c>
      <x:c r="C64" s="9" t="str">
        <x:v>L7</x:v>
      </x:c>
      <x:c r="D64" s="9" t="n">
        <x:v>1</x:v>
      </x:c>
      <x:c r="E64" s="9" t="n">
        <x:v>1</x:v>
      </x:c>
      <x:c r="F64" s="9" t="n">
        <x:v>1</x:v>
      </x:c>
    </x:row>
    <x:row r="65">
      <x:c r="A65" s="23" t="n">
        <x:v>8</x:v>
      </x:c>
      <x:c r="B65" s="23" t="str">
        <x:v>Imranuddin et al. (2025)</x:v>
      </x:c>
      <x:c r="C65" s="23" t="str">
        <x:v>L8</x:v>
      </x:c>
      <x:c r="D65" s="23" t="n">
        <x:v>1</x:v>
      </x:c>
      <x:c r="E65" s="23" t="n">
        <x:v>1</x:v>
      </x:c>
      <x:c r="F65" s="23" t="n">
        <x:v>1</x:v>
      </x:c>
    </x:row>
    <x:row r="66">
      <x:c r="A66" s="9" t="n">
        <x:v>9</x:v>
      </x:c>
      <x:c r="B66" s="9" t="str">
        <x:v>Wang et al. (2024)</x:v>
      </x:c>
      <x:c r="C66" s="9" t="str">
        <x:v>L1</x:v>
      </x:c>
      <x:c r="D66" s="9" t="n">
        <x:v>0</x:v>
      </x:c>
      <x:c r="E66" s="9" t="n">
        <x:v>0</x:v>
      </x:c>
      <x:c r="F66" s="9" t="n">
        <x:v>1</x:v>
      </x:c>
    </x:row>
    <x:row r="67">
      <x:c r="A67" s="23" t="n">
        <x:v>9</x:v>
      </x:c>
      <x:c r="B67" s="23" t="str">
        <x:v>Wang et al. (2024)</x:v>
      </x:c>
      <x:c r="C67" s="23" t="str">
        <x:v>L2</x:v>
      </x:c>
      <x:c r="D67" s="23" t="n">
        <x:v>1</x:v>
      </x:c>
      <x:c r="E67" s="23" t="n">
        <x:v>1</x:v>
      </x:c>
      <x:c r="F67" s="23" t="n">
        <x:v>1</x:v>
      </x:c>
    </x:row>
    <x:row r="68">
      <x:c r="A68" s="9" t="n">
        <x:v>9</x:v>
      </x:c>
      <x:c r="B68" s="9" t="str">
        <x:v>Wang et al. (2024)</x:v>
      </x:c>
      <x:c r="C68" s="9" t="str">
        <x:v>L3</x:v>
      </x:c>
      <x:c r="D68" s="9" t="n">
        <x:v>1</x:v>
      </x:c>
      <x:c r="E68" s="9" t="n">
        <x:v>1</x:v>
      </x:c>
      <x:c r="F68" s="9" t="n">
        <x:v>1</x:v>
      </x:c>
    </x:row>
    <x:row r="69">
      <x:c r="A69" s="23" t="n">
        <x:v>9</x:v>
      </x:c>
      <x:c r="B69" s="23" t="str">
        <x:v>Wang et al. (2024)</x:v>
      </x:c>
      <x:c r="C69" s="23" t="str">
        <x:v>L4</x:v>
      </x:c>
      <x:c r="D69" s="23" t="n">
        <x:v>1</x:v>
      </x:c>
      <x:c r="E69" s="23" t="n">
        <x:v>1</x:v>
      </x:c>
      <x:c r="F69" s="23" t="n">
        <x:v>1</x:v>
      </x:c>
    </x:row>
    <x:row r="70">
      <x:c r="A70" s="9" t="n">
        <x:v>9</x:v>
      </x:c>
      <x:c r="B70" s="9" t="str">
        <x:v>Wang et al. (2024)</x:v>
      </x:c>
      <x:c r="C70" s="9" t="str">
        <x:v>L5</x:v>
      </x:c>
      <x:c r="D70" s="9" t="n">
        <x:v>1</x:v>
      </x:c>
      <x:c r="E70" s="9" t="n">
        <x:v>1</x:v>
      </x:c>
      <x:c r="F70" s="9" t="n">
        <x:v>1</x:v>
      </x:c>
    </x:row>
    <x:row r="71">
      <x:c r="A71" s="23" t="n">
        <x:v>9</x:v>
      </x:c>
      <x:c r="B71" s="23" t="str">
        <x:v>Wang et al. (2024)</x:v>
      </x:c>
      <x:c r="C71" s="23" t="str">
        <x:v>L6</x:v>
      </x:c>
      <x:c r="D71" s="23" t="n">
        <x:v>0</x:v>
      </x:c>
      <x:c r="E71" s="23" t="n">
        <x:v>0</x:v>
      </x:c>
      <x:c r="F71" s="23" t="n">
        <x:v>1</x:v>
      </x:c>
    </x:row>
    <x:row r="72">
      <x:c r="A72" s="9" t="n">
        <x:v>9</x:v>
      </x:c>
      <x:c r="B72" s="9" t="str">
        <x:v>Wang et al. (2024)</x:v>
      </x:c>
      <x:c r="C72" s="9" t="str">
        <x:v>L7</x:v>
      </x:c>
      <x:c r="D72" s="9" t="n">
        <x:v>1</x:v>
      </x:c>
      <x:c r="E72" s="9" t="n">
        <x:v>1</x:v>
      </x:c>
      <x:c r="F72" s="9" t="n">
        <x:v>1</x:v>
      </x:c>
    </x:row>
    <x:row r="73">
      <x:c r="A73" s="23" t="n">
        <x:v>9</x:v>
      </x:c>
      <x:c r="B73" s="23" t="str">
        <x:v>Wang et al. (2024)</x:v>
      </x:c>
      <x:c r="C73" s="23" t="str">
        <x:v>L8</x:v>
      </x:c>
      <x:c r="D73" s="23" t="n">
        <x:v>0</x:v>
      </x:c>
      <x:c r="E73" s="23" t="n">
        <x:v>0</x:v>
      </x:c>
      <x:c r="F73" s="23" t="n">
        <x:v>1</x:v>
      </x:c>
    </x:row>
    <x:row r="74">
      <x:c r="A74" s="9" t="n">
        <x:v>10</x:v>
      </x:c>
      <x:c r="B74" s="9" t="str">
        <x:v>Moscol Albanil et al. (2026)</x:v>
      </x:c>
      <x:c r="C74" s="9" t="str">
        <x:v>L1</x:v>
      </x:c>
      <x:c r="D74" s="9" t="n">
        <x:v>0</x:v>
      </x:c>
      <x:c r="E74" s="9" t="n">
        <x:v>0</x:v>
      </x:c>
      <x:c r="F74" s="9" t="n">
        <x:v>1</x:v>
      </x:c>
    </x:row>
    <x:row r="75">
      <x:c r="A75" s="23" t="n">
        <x:v>10</x:v>
      </x:c>
      <x:c r="B75" s="23" t="str">
        <x:v>Moscol Albanil et al. (2026)</x:v>
      </x:c>
      <x:c r="C75" s="23" t="str">
        <x:v>L2</x:v>
      </x:c>
      <x:c r="D75" s="23" t="n">
        <x:v>1</x:v>
      </x:c>
      <x:c r="E75" s="23" t="n">
        <x:v>1</x:v>
      </x:c>
      <x:c r="F75" s="23" t="n">
        <x:v>1</x:v>
      </x:c>
    </x:row>
    <x:row r="76">
      <x:c r="A76" s="9" t="n">
        <x:v>10</x:v>
      </x:c>
      <x:c r="B76" s="9" t="str">
        <x:v>Moscol Albanil et al. (2026)</x:v>
      </x:c>
      <x:c r="C76" s="9" t="str">
        <x:v>L3</x:v>
      </x:c>
      <x:c r="D76" s="9" t="n">
        <x:v>1</x:v>
      </x:c>
      <x:c r="E76" s="9" t="n">
        <x:v>1</x:v>
      </x:c>
      <x:c r="F76" s="9" t="n">
        <x:v>1</x:v>
      </x:c>
    </x:row>
    <x:row r="77">
      <x:c r="A77" s="23" t="n">
        <x:v>10</x:v>
      </x:c>
      <x:c r="B77" s="23" t="str">
        <x:v>Moscol Albanil et al. (2026)</x:v>
      </x:c>
      <x:c r="C77" s="23" t="str">
        <x:v>L4</x:v>
      </x:c>
      <x:c r="D77" s="23" t="n">
        <x:v>1</x:v>
      </x:c>
      <x:c r="E77" s="23" t="n">
        <x:v>1</x:v>
      </x:c>
      <x:c r="F77" s="23" t="n">
        <x:v>1</x:v>
      </x:c>
    </x:row>
    <x:row r="78">
      <x:c r="A78" s="9" t="n">
        <x:v>10</x:v>
      </x:c>
      <x:c r="B78" s="9" t="str">
        <x:v>Moscol Albanil et al. (2026)</x:v>
      </x:c>
      <x:c r="C78" s="9" t="str">
        <x:v>L5</x:v>
      </x:c>
      <x:c r="D78" s="9" t="n">
        <x:v>1</x:v>
      </x:c>
      <x:c r="E78" s="9" t="n">
        <x:v>1</x:v>
      </x:c>
      <x:c r="F78" s="9" t="n">
        <x:v>1</x:v>
      </x:c>
    </x:row>
    <x:row r="79">
      <x:c r="A79" s="23" t="n">
        <x:v>10</x:v>
      </x:c>
      <x:c r="B79" s="23" t="str">
        <x:v>Moscol Albanil et al. (2026)</x:v>
      </x:c>
      <x:c r="C79" s="23" t="str">
        <x:v>L6</x:v>
      </x:c>
      <x:c r="D79" s="23" t="n">
        <x:v>1</x:v>
      </x:c>
      <x:c r="E79" s="23" t="n">
        <x:v>1</x:v>
      </x:c>
      <x:c r="F79" s="23" t="n">
        <x:v>1</x:v>
      </x:c>
    </x:row>
    <x:row r="80">
      <x:c r="A80" s="9" t="n">
        <x:v>10</x:v>
      </x:c>
      <x:c r="B80" s="9" t="str">
        <x:v>Moscol Albanil et al. (2026)</x:v>
      </x:c>
      <x:c r="C80" s="9" t="str">
        <x:v>L7</x:v>
      </x:c>
      <x:c r="D80" s="9" t="n">
        <x:v>1</x:v>
      </x:c>
      <x:c r="E80" s="9" t="n">
        <x:v>1</x:v>
      </x:c>
      <x:c r="F80" s="9" t="n">
        <x:v>1</x:v>
      </x:c>
    </x:row>
    <x:row r="81">
      <x:c r="A81" s="23" t="n">
        <x:v>10</x:v>
      </x:c>
      <x:c r="B81" s="23" t="str">
        <x:v>Moscol Albanil et al. (2026)</x:v>
      </x:c>
      <x:c r="C81" s="23" t="str">
        <x:v>L8</x:v>
      </x:c>
      <x:c r="D81" s="23" t="n">
        <x:v>0</x:v>
      </x:c>
      <x:c r="E81" s="23" t="n">
        <x:v>0</x:v>
      </x:c>
      <x:c r="F81" s="23" t="n">
        <x:v>1</x:v>
      </x:c>
    </x:row>
    <x:row r="82">
      <x:c r="A82" s="9" t="n">
        <x:v>11</x:v>
      </x:c>
      <x:c r="B82" s="9" t="str">
        <x:v>Farid et al. (2025)</x:v>
      </x:c>
      <x:c r="C82" s="9" t="str">
        <x:v>L1</x:v>
      </x:c>
      <x:c r="D82" s="9" t="n">
        <x:v>1</x:v>
      </x:c>
      <x:c r="E82" s="9" t="n">
        <x:v>1</x:v>
      </x:c>
      <x:c r="F82" s="9" t="n">
        <x:v>1</x:v>
      </x:c>
    </x:row>
    <x:row r="83">
      <x:c r="A83" s="23" t="n">
        <x:v>11</x:v>
      </x:c>
      <x:c r="B83" s="23" t="str">
        <x:v>Farid et al. (2025)</x:v>
      </x:c>
      <x:c r="C83" s="23" t="str">
        <x:v>L2</x:v>
      </x:c>
      <x:c r="D83" s="23" t="n">
        <x:v>1</x:v>
      </x:c>
      <x:c r="E83" s="23" t="n">
        <x:v>1</x:v>
      </x:c>
      <x:c r="F83" s="23" t="n">
        <x:v>1</x:v>
      </x:c>
    </x:row>
    <x:row r="84">
      <x:c r="A84" s="9" t="n">
        <x:v>11</x:v>
      </x:c>
      <x:c r="B84" s="9" t="str">
        <x:v>Farid et al. (2025)</x:v>
      </x:c>
      <x:c r="C84" s="9" t="str">
        <x:v>L3</x:v>
      </x:c>
      <x:c r="D84" s="9" t="n">
        <x:v>1</x:v>
      </x:c>
      <x:c r="E84" s="9" t="n">
        <x:v>1</x:v>
      </x:c>
      <x:c r="F84" s="9" t="n">
        <x:v>1</x:v>
      </x:c>
    </x:row>
    <x:row r="85">
      <x:c r="A85" s="23" t="n">
        <x:v>11</x:v>
      </x:c>
      <x:c r="B85" s="23" t="str">
        <x:v>Farid et al. (2025)</x:v>
      </x:c>
      <x:c r="C85" s="23" t="str">
        <x:v>L4</x:v>
      </x:c>
      <x:c r="D85" s="23" t="n">
        <x:v>1</x:v>
      </x:c>
      <x:c r="E85" s="23" t="n">
        <x:v>1</x:v>
      </x:c>
      <x:c r="F85" s="23" t="n">
        <x:v>1</x:v>
      </x:c>
    </x:row>
    <x:row r="86">
      <x:c r="A86" s="9" t="n">
        <x:v>11</x:v>
      </x:c>
      <x:c r="B86" s="9" t="str">
        <x:v>Farid et al. (2025)</x:v>
      </x:c>
      <x:c r="C86" s="9" t="str">
        <x:v>L5</x:v>
      </x:c>
      <x:c r="D86" s="9" t="n">
        <x:v>1</x:v>
      </x:c>
      <x:c r="E86" s="9" t="n">
        <x:v>1</x:v>
      </x:c>
      <x:c r="F86" s="9" t="n">
        <x:v>1</x:v>
      </x:c>
    </x:row>
    <x:row r="87">
      <x:c r="A87" s="23" t="n">
        <x:v>11</x:v>
      </x:c>
      <x:c r="B87" s="23" t="str">
        <x:v>Farid et al. (2025)</x:v>
      </x:c>
      <x:c r="C87" s="23" t="str">
        <x:v>L6</x:v>
      </x:c>
      <x:c r="D87" s="23" t="n">
        <x:v>0</x:v>
      </x:c>
      <x:c r="E87" s="23" t="n">
        <x:v>1</x:v>
      </x:c>
      <x:c r="F87" s="23" t="n">
        <x:v>0</x:v>
      </x:c>
    </x:row>
    <x:row r="88">
      <x:c r="A88" s="9" t="n">
        <x:v>11</x:v>
      </x:c>
      <x:c r="B88" s="9" t="str">
        <x:v>Farid et al. (2025)</x:v>
      </x:c>
      <x:c r="C88" s="9" t="str">
        <x:v>L7</x:v>
      </x:c>
      <x:c r="D88" s="9" t="n">
        <x:v>1</x:v>
      </x:c>
      <x:c r="E88" s="9" t="n">
        <x:v>1</x:v>
      </x:c>
      <x:c r="F88" s="9" t="n">
        <x:v>1</x:v>
      </x:c>
    </x:row>
    <x:row r="89">
      <x:c r="A89" s="23" t="n">
        <x:v>11</x:v>
      </x:c>
      <x:c r="B89" s="23" t="str">
        <x:v>Farid et al. (2025)</x:v>
      </x:c>
      <x:c r="C89" s="23" t="str">
        <x:v>L8</x:v>
      </x:c>
      <x:c r="D89" s="23" t="n">
        <x:v>0</x:v>
      </x:c>
      <x:c r="E89" s="23" t="n">
        <x:v>0</x:v>
      </x:c>
      <x:c r="F89" s="23" t="n">
        <x:v>1</x:v>
      </x:c>
    </x:row>
    <x:row r="90">
      <x:c r="A90" s="9" t="n">
        <x:v>12</x:v>
      </x:c>
      <x:c r="B90" s="9" t="str">
        <x:v>Xu et al. (2025)</x:v>
      </x:c>
      <x:c r="C90" s="9" t="str">
        <x:v>L1</x:v>
      </x:c>
      <x:c r="D90" s="9" t="n">
        <x:v>1</x:v>
      </x:c>
      <x:c r="E90" s="9" t="n">
        <x:v>1</x:v>
      </x:c>
      <x:c r="F90" s="9" t="n">
        <x:v>1</x:v>
      </x:c>
    </x:row>
    <x:row r="91">
      <x:c r="A91" s="23" t="n">
        <x:v>12</x:v>
      </x:c>
      <x:c r="B91" s="23" t="str">
        <x:v>Xu et al. (2025)</x:v>
      </x:c>
      <x:c r="C91" s="23" t="str">
        <x:v>L2</x:v>
      </x:c>
      <x:c r="D91" s="23" t="n">
        <x:v>1</x:v>
      </x:c>
      <x:c r="E91" s="23" t="n">
        <x:v>1</x:v>
      </x:c>
      <x:c r="F91" s="23" t="n">
        <x:v>1</x:v>
      </x:c>
    </x:row>
    <x:row r="92">
      <x:c r="A92" s="9" t="n">
        <x:v>12</x:v>
      </x:c>
      <x:c r="B92" s="9" t="str">
        <x:v>Xu et al. (2025)</x:v>
      </x:c>
      <x:c r="C92" s="9" t="str">
        <x:v>L3</x:v>
      </x:c>
      <x:c r="D92" s="9" t="n">
        <x:v>1</x:v>
      </x:c>
      <x:c r="E92" s="9" t="n">
        <x:v>1</x:v>
      </x:c>
      <x:c r="F92" s="9" t="n">
        <x:v>1</x:v>
      </x:c>
    </x:row>
    <x:row r="93">
      <x:c r="A93" s="23" t="n">
        <x:v>12</x:v>
      </x:c>
      <x:c r="B93" s="23" t="str">
        <x:v>Xu et al. (2025)</x:v>
      </x:c>
      <x:c r="C93" s="23" t="str">
        <x:v>L4</x:v>
      </x:c>
      <x:c r="D93" s="23" t="n">
        <x:v>1</x:v>
      </x:c>
      <x:c r="E93" s="23" t="n">
        <x:v>1</x:v>
      </x:c>
      <x:c r="F93" s="23" t="n">
        <x:v>1</x:v>
      </x:c>
    </x:row>
    <x:row r="94">
      <x:c r="A94" s="9" t="n">
        <x:v>12</x:v>
      </x:c>
      <x:c r="B94" s="9" t="str">
        <x:v>Xu et al. (2025)</x:v>
      </x:c>
      <x:c r="C94" s="9" t="str">
        <x:v>L5</x:v>
      </x:c>
      <x:c r="D94" s="9" t="n">
        <x:v>1</x:v>
      </x:c>
      <x:c r="E94" s="9" t="n">
        <x:v>1</x:v>
      </x:c>
      <x:c r="F94" s="9" t="n">
        <x:v>1</x:v>
      </x:c>
    </x:row>
    <x:row r="95">
      <x:c r="A95" s="23" t="n">
        <x:v>12</x:v>
      </x:c>
      <x:c r="B95" s="23" t="str">
        <x:v>Xu et al. (2025)</x:v>
      </x:c>
      <x:c r="C95" s="23" t="str">
        <x:v>L6</x:v>
      </x:c>
      <x:c r="D95" s="23" t="n">
        <x:v>1</x:v>
      </x:c>
      <x:c r="E95" s="23" t="n">
        <x:v>1</x:v>
      </x:c>
      <x:c r="F95" s="23" t="n">
        <x:v>1</x:v>
      </x:c>
    </x:row>
    <x:row r="96">
      <x:c r="A96" s="9" t="n">
        <x:v>12</x:v>
      </x:c>
      <x:c r="B96" s="9" t="str">
        <x:v>Xu et al. (2025)</x:v>
      </x:c>
      <x:c r="C96" s="9" t="str">
        <x:v>L7</x:v>
      </x:c>
      <x:c r="D96" s="9" t="n">
        <x:v>0</x:v>
      </x:c>
      <x:c r="E96" s="9" t="n">
        <x:v>0</x:v>
      </x:c>
      <x:c r="F96" s="9" t="n">
        <x:v>1</x:v>
      </x:c>
    </x:row>
    <x:row r="97">
      <x:c r="A97" s="23" t="n">
        <x:v>12</x:v>
      </x:c>
      <x:c r="B97" s="23" t="str">
        <x:v>Xu et al. (2025)</x:v>
      </x:c>
      <x:c r="C97" s="23" t="str">
        <x:v>L8</x:v>
      </x:c>
      <x:c r="D97" s="23" t="n">
        <x:v>0</x:v>
      </x:c>
      <x:c r="E97" s="23" t="n">
        <x:v>0</x:v>
      </x:c>
      <x:c r="F97" s="23" t="n">
        <x:v>1</x:v>
      </x:c>
    </x:row>
    <x:row r="98">
      <x:c r="A98" s="9" t="n">
        <x:v>13</x:v>
      </x:c>
      <x:c r="B98" s="9" t="str">
        <x:v>Babu et al. (2025)</x:v>
      </x:c>
      <x:c r="C98" s="9" t="str">
        <x:v>L1</x:v>
      </x:c>
      <x:c r="D98" s="9" t="n">
        <x:v>1</x:v>
      </x:c>
      <x:c r="E98" s="9" t="n">
        <x:v>1</x:v>
      </x:c>
      <x:c r="F98" s="9" t="n">
        <x:v>1</x:v>
      </x:c>
    </x:row>
    <x:row r="99">
      <x:c r="A99" s="23" t="n">
        <x:v>13</x:v>
      </x:c>
      <x:c r="B99" s="23" t="str">
        <x:v>Babu et al. (2025)</x:v>
      </x:c>
      <x:c r="C99" s="23" t="str">
        <x:v>L2</x:v>
      </x:c>
      <x:c r="D99" s="23" t="n">
        <x:v>1</x:v>
      </x:c>
      <x:c r="E99" s="23" t="n">
        <x:v>1</x:v>
      </x:c>
      <x:c r="F99" s="23" t="n">
        <x:v>1</x:v>
      </x:c>
    </x:row>
    <x:row r="100">
      <x:c r="A100" s="9" t="n">
        <x:v>13</x:v>
      </x:c>
      <x:c r="B100" s="9" t="str">
        <x:v>Babu et al. (2025)</x:v>
      </x:c>
      <x:c r="C100" s="9" t="str">
        <x:v>L3</x:v>
      </x:c>
      <x:c r="D100" s="9" t="n">
        <x:v>1</x:v>
      </x:c>
      <x:c r="E100" s="9" t="n">
        <x:v>1</x:v>
      </x:c>
      <x:c r="F100" s="9" t="n">
        <x:v>1</x:v>
      </x:c>
    </x:row>
    <x:row r="101">
      <x:c r="A101" s="23" t="n">
        <x:v>13</x:v>
      </x:c>
      <x:c r="B101" s="23" t="str">
        <x:v>Babu et al. (2025)</x:v>
      </x:c>
      <x:c r="C101" s="23" t="str">
        <x:v>L4</x:v>
      </x:c>
      <x:c r="D101" s="23" t="n">
        <x:v>1</x:v>
      </x:c>
      <x:c r="E101" s="23" t="n">
        <x:v>1</x:v>
      </x:c>
      <x:c r="F101" s="23" t="n">
        <x:v>1</x:v>
      </x:c>
    </x:row>
    <x:row r="102">
      <x:c r="A102" s="9" t="n">
        <x:v>13</x:v>
      </x:c>
      <x:c r="B102" s="9" t="str">
        <x:v>Babu et al. (2025)</x:v>
      </x:c>
      <x:c r="C102" s="9" t="str">
        <x:v>L5</x:v>
      </x:c>
      <x:c r="D102" s="9" t="n">
        <x:v>1</x:v>
      </x:c>
      <x:c r="E102" s="9" t="n">
        <x:v>1</x:v>
      </x:c>
      <x:c r="F102" s="9" t="n">
        <x:v>1</x:v>
      </x:c>
    </x:row>
    <x:row r="103">
      <x:c r="A103" s="23" t="n">
        <x:v>13</x:v>
      </x:c>
      <x:c r="B103" s="23" t="str">
        <x:v>Babu et al. (2025)</x:v>
      </x:c>
      <x:c r="C103" s="23" t="str">
        <x:v>L6</x:v>
      </x:c>
      <x:c r="D103" s="23" t="n">
        <x:v>1</x:v>
      </x:c>
      <x:c r="E103" s="23" t="n">
        <x:v>1</x:v>
      </x:c>
      <x:c r="F103" s="23" t="n">
        <x:v>1</x:v>
      </x:c>
    </x:row>
    <x:row r="104">
      <x:c r="A104" s="9" t="n">
        <x:v>13</x:v>
      </x:c>
      <x:c r="B104" s="9" t="str">
        <x:v>Babu et al. (2025)</x:v>
      </x:c>
      <x:c r="C104" s="9" t="str">
        <x:v>L7</x:v>
      </x:c>
      <x:c r="D104" s="9" t="n">
        <x:v>1</x:v>
      </x:c>
      <x:c r="E104" s="9" t="n">
        <x:v>1</x:v>
      </x:c>
      <x:c r="F104" s="9" t="n">
        <x:v>1</x:v>
      </x:c>
    </x:row>
    <x:row r="105">
      <x:c r="A105" s="23" t="n">
        <x:v>13</x:v>
      </x:c>
      <x:c r="B105" s="23" t="str">
        <x:v>Babu et al. (2025)</x:v>
      </x:c>
      <x:c r="C105" s="23" t="str">
        <x:v>L8</x:v>
      </x:c>
      <x:c r="D105" s="23" t="n">
        <x:v>0</x:v>
      </x:c>
      <x:c r="E105" s="23" t="n">
        <x:v>0</x:v>
      </x:c>
      <x:c r="F105" s="23" t="n">
        <x:v>1</x:v>
      </x:c>
    </x:row>
    <x:row r="106">
      <x:c r="A106" s="9" t="n">
        <x:v>14</x:v>
      </x:c>
      <x:c r="B106" s="9" t="str">
        <x:v>Lavorgna et al. (2025)</x:v>
      </x:c>
      <x:c r="C106" s="9" t="str">
        <x:v>L1</x:v>
      </x:c>
      <x:c r="D106" s="9" t="n">
        <x:v>1</x:v>
      </x:c>
      <x:c r="E106" s="9" t="n">
        <x:v>1</x:v>
      </x:c>
      <x:c r="F106" s="9" t="n">
        <x:v>1</x:v>
      </x:c>
    </x:row>
    <x:row r="107">
      <x:c r="A107" s="23" t="n">
        <x:v>14</x:v>
      </x:c>
      <x:c r="B107" s="23" t="str">
        <x:v>Lavorgna et al. (2025)</x:v>
      </x:c>
      <x:c r="C107" s="23" t="str">
        <x:v>L2</x:v>
      </x:c>
      <x:c r="D107" s="23" t="n">
        <x:v>1</x:v>
      </x:c>
      <x:c r="E107" s="23" t="n">
        <x:v>1</x:v>
      </x:c>
      <x:c r="F107" s="23" t="n">
        <x:v>1</x:v>
      </x:c>
    </x:row>
    <x:row r="108">
      <x:c r="A108" s="9" t="n">
        <x:v>14</x:v>
      </x:c>
      <x:c r="B108" s="9" t="str">
        <x:v>Lavorgna et al. (2025)</x:v>
      </x:c>
      <x:c r="C108" s="9" t="str">
        <x:v>L3</x:v>
      </x:c>
      <x:c r="D108" s="9" t="n">
        <x:v>1</x:v>
      </x:c>
      <x:c r="E108" s="9" t="n">
        <x:v>1</x:v>
      </x:c>
      <x:c r="F108" s="9" t="n">
        <x:v>1</x:v>
      </x:c>
    </x:row>
    <x:row r="109">
      <x:c r="A109" s="23" t="n">
        <x:v>14</x:v>
      </x:c>
      <x:c r="B109" s="23" t="str">
        <x:v>Lavorgna et al. (2025)</x:v>
      </x:c>
      <x:c r="C109" s="23" t="str">
        <x:v>L4</x:v>
      </x:c>
      <x:c r="D109" s="23" t="n">
        <x:v>1</x:v>
      </x:c>
      <x:c r="E109" s="23" t="n">
        <x:v>1</x:v>
      </x:c>
      <x:c r="F109" s="23" t="n">
        <x:v>1</x:v>
      </x:c>
    </x:row>
    <x:row r="110">
      <x:c r="A110" s="9" t="n">
        <x:v>14</x:v>
      </x:c>
      <x:c r="B110" s="9" t="str">
        <x:v>Lavorgna et al. (2025)</x:v>
      </x:c>
      <x:c r="C110" s="9" t="str">
        <x:v>L5</x:v>
      </x:c>
      <x:c r="D110" s="9" t="n">
        <x:v>1</x:v>
      </x:c>
      <x:c r="E110" s="9" t="n">
        <x:v>1</x:v>
      </x:c>
      <x:c r="F110" s="9" t="n">
        <x:v>1</x:v>
      </x:c>
    </x:row>
    <x:row r="111">
      <x:c r="A111" s="23" t="n">
        <x:v>14</x:v>
      </x:c>
      <x:c r="B111" s="23" t="str">
        <x:v>Lavorgna et al. (2025)</x:v>
      </x:c>
      <x:c r="C111" s="23" t="str">
        <x:v>L6</x:v>
      </x:c>
      <x:c r="D111" s="23" t="n">
        <x:v>1</x:v>
      </x:c>
      <x:c r="E111" s="23" t="n">
        <x:v>1</x:v>
      </x:c>
      <x:c r="F111" s="23" t="n">
        <x:v>1</x:v>
      </x:c>
    </x:row>
    <x:row r="112">
      <x:c r="A112" s="9" t="n">
        <x:v>14</x:v>
      </x:c>
      <x:c r="B112" s="9" t="str">
        <x:v>Lavorgna et al. (2025)</x:v>
      </x:c>
      <x:c r="C112" s="9" t="str">
        <x:v>L7</x:v>
      </x:c>
      <x:c r="D112" s="9" t="n">
        <x:v>1</x:v>
      </x:c>
      <x:c r="E112" s="9" t="n">
        <x:v>1</x:v>
      </x:c>
      <x:c r="F112" s="9" t="n">
        <x:v>1</x:v>
      </x:c>
    </x:row>
    <x:row r="113">
      <x:c r="A113" s="23" t="n">
        <x:v>14</x:v>
      </x:c>
      <x:c r="B113" s="23" t="str">
        <x:v>Lavorgna et al. (2025)</x:v>
      </x:c>
      <x:c r="C113" s="23" t="str">
        <x:v>L8</x:v>
      </x:c>
      <x:c r="D113" s="23" t="n">
        <x:v>0</x:v>
      </x:c>
      <x:c r="E113" s="23" t="n">
        <x:v>0</x:v>
      </x:c>
      <x:c r="F113" s="23" t="n">
        <x:v>1</x:v>
      </x:c>
    </x:row>
    <x:row r="114">
      <x:c r="A114" s="9" t="n">
        <x:v>15</x:v>
      </x:c>
      <x:c r="B114" s="9" t="str">
        <x:v>Cheng-Yu et al. (2021)</x:v>
      </x:c>
      <x:c r="C114" s="9" t="str">
        <x:v>L1</x:v>
      </x:c>
      <x:c r="D114" s="9" t="n">
        <x:v>0</x:v>
      </x:c>
      <x:c r="E114" s="9" t="n">
        <x:v>0</x:v>
      </x:c>
      <x:c r="F114" s="9" t="n">
        <x:v>1</x:v>
      </x:c>
    </x:row>
    <x:row r="115">
      <x:c r="A115" s="23" t="n">
        <x:v>15</x:v>
      </x:c>
      <x:c r="B115" s="23" t="str">
        <x:v>Cheng-Yu et al. (2021)</x:v>
      </x:c>
      <x:c r="C115" s="23" t="str">
        <x:v>L2</x:v>
      </x:c>
      <x:c r="D115" s="23" t="n">
        <x:v>1</x:v>
      </x:c>
      <x:c r="E115" s="23" t="n">
        <x:v>1</x:v>
      </x:c>
      <x:c r="F115" s="23" t="n">
        <x:v>1</x:v>
      </x:c>
    </x:row>
    <x:row r="116">
      <x:c r="A116" s="9" t="n">
        <x:v>15</x:v>
      </x:c>
      <x:c r="B116" s="9" t="str">
        <x:v>Cheng-Yu et al. (2021)</x:v>
      </x:c>
      <x:c r="C116" s="9" t="str">
        <x:v>L3</x:v>
      </x:c>
      <x:c r="D116" s="9" t="n">
        <x:v>1</x:v>
      </x:c>
      <x:c r="E116" s="9" t="n">
        <x:v>1</x:v>
      </x:c>
      <x:c r="F116" s="9" t="n">
        <x:v>1</x:v>
      </x:c>
    </x:row>
    <x:row r="117">
      <x:c r="A117" s="23" t="n">
        <x:v>15</x:v>
      </x:c>
      <x:c r="B117" s="23" t="str">
        <x:v>Cheng-Yu et al. (2021)</x:v>
      </x:c>
      <x:c r="C117" s="23" t="str">
        <x:v>L4</x:v>
      </x:c>
      <x:c r="D117" s="23" t="n">
        <x:v>1</x:v>
      </x:c>
      <x:c r="E117" s="23" t="n">
        <x:v>1</x:v>
      </x:c>
      <x:c r="F117" s="23" t="n">
        <x:v>1</x:v>
      </x:c>
    </x:row>
    <x:row r="118">
      <x:c r="A118" s="9" t="n">
        <x:v>15</x:v>
      </x:c>
      <x:c r="B118" s="9" t="str">
        <x:v>Cheng-Yu et al. (2021)</x:v>
      </x:c>
      <x:c r="C118" s="9" t="str">
        <x:v>L5</x:v>
      </x:c>
      <x:c r="D118" s="9" t="n">
        <x:v>1</x:v>
      </x:c>
      <x:c r="E118" s="9" t="n">
        <x:v>1</x:v>
      </x:c>
      <x:c r="F118" s="9" t="n">
        <x:v>1</x:v>
      </x:c>
    </x:row>
    <x:row r="119">
      <x:c r="A119" s="23" t="n">
        <x:v>15</x:v>
      </x:c>
      <x:c r="B119" s="23" t="str">
        <x:v>Cheng-Yu et al. (2021)</x:v>
      </x:c>
      <x:c r="C119" s="23" t="str">
        <x:v>L6</x:v>
      </x:c>
      <x:c r="D119" s="23" t="n">
        <x:v>0</x:v>
      </x:c>
      <x:c r="E119" s="23" t="n">
        <x:v>0</x:v>
      </x:c>
      <x:c r="F119" s="23" t="n">
        <x:v>1</x:v>
      </x:c>
    </x:row>
    <x:row r="120">
      <x:c r="A120" s="9" t="n">
        <x:v>15</x:v>
      </x:c>
      <x:c r="B120" s="9" t="str">
        <x:v>Cheng-Yu et al. (2021)</x:v>
      </x:c>
      <x:c r="C120" s="9" t="str">
        <x:v>L7</x:v>
      </x:c>
      <x:c r="D120" s="9" t="n">
        <x:v>1</x:v>
      </x:c>
      <x:c r="E120" s="9" t="n">
        <x:v>1</x:v>
      </x:c>
      <x:c r="F120" s="9" t="n">
        <x:v>1</x:v>
      </x:c>
    </x:row>
    <x:row r="121">
      <x:c r="A121" s="23" t="n">
        <x:v>15</x:v>
      </x:c>
      <x:c r="B121" s="23" t="str">
        <x:v>Cheng-Yu et al. (2021)</x:v>
      </x:c>
      <x:c r="C121" s="23" t="str">
        <x:v>L8</x:v>
      </x:c>
      <x:c r="D121" s="23" t="n">
        <x:v>0</x:v>
      </x:c>
      <x:c r="E121" s="23" t="n">
        <x:v>0</x:v>
      </x:c>
      <x:c r="F121" s="23" t="n">
        <x:v>1</x:v>
      </x:c>
    </x:row>
    <x:row r="122">
      <x:c r="A122" s="9" t="n">
        <x:v>16</x:v>
      </x:c>
      <x:c r="B122" s="9" t="str">
        <x:v>Kumar et al. (2023)</x:v>
      </x:c>
      <x:c r="C122" s="9" t="str">
        <x:v>L1</x:v>
      </x:c>
      <x:c r="D122" s="9" t="n">
        <x:v>1</x:v>
      </x:c>
      <x:c r="E122" s="9" t="n">
        <x:v>1</x:v>
      </x:c>
      <x:c r="F122" s="9" t="n">
        <x:v>1</x:v>
      </x:c>
    </x:row>
    <x:row r="123">
      <x:c r="A123" s="23" t="n">
        <x:v>16</x:v>
      </x:c>
      <x:c r="B123" s="23" t="str">
        <x:v>Kumar et al. (2023)</x:v>
      </x:c>
      <x:c r="C123" s="23" t="str">
        <x:v>L2</x:v>
      </x:c>
      <x:c r="D123" s="23" t="n">
        <x:v>1</x:v>
      </x:c>
      <x:c r="E123" s="23" t="n">
        <x:v>1</x:v>
      </x:c>
      <x:c r="F123" s="23" t="n">
        <x:v>1</x:v>
      </x:c>
    </x:row>
    <x:row r="124">
      <x:c r="A124" s="9" t="n">
        <x:v>16</x:v>
      </x:c>
      <x:c r="B124" s="9" t="str">
        <x:v>Kumar et al. (2023)</x:v>
      </x:c>
      <x:c r="C124" s="9" t="str">
        <x:v>L3</x:v>
      </x:c>
      <x:c r="D124" s="9" t="n">
        <x:v>1</x:v>
      </x:c>
      <x:c r="E124" s="9" t="n">
        <x:v>1</x:v>
      </x:c>
      <x:c r="F124" s="9" t="n">
        <x:v>1</x:v>
      </x:c>
    </x:row>
    <x:row r="125">
      <x:c r="A125" s="23" t="n">
        <x:v>16</x:v>
      </x:c>
      <x:c r="B125" s="23" t="str">
        <x:v>Kumar et al. (2023)</x:v>
      </x:c>
      <x:c r="C125" s="23" t="str">
        <x:v>L4</x:v>
      </x:c>
      <x:c r="D125" s="23" t="n">
        <x:v>1</x:v>
      </x:c>
      <x:c r="E125" s="23" t="n">
        <x:v>1</x:v>
      </x:c>
      <x:c r="F125" s="23" t="n">
        <x:v>1</x:v>
      </x:c>
    </x:row>
    <x:row r="126">
      <x:c r="A126" s="9" t="n">
        <x:v>16</x:v>
      </x:c>
      <x:c r="B126" s="9" t="str">
        <x:v>Kumar et al. (2023)</x:v>
      </x:c>
      <x:c r="C126" s="9" t="str">
        <x:v>L5</x:v>
      </x:c>
      <x:c r="D126" s="9" t="n">
        <x:v>1</x:v>
      </x:c>
      <x:c r="E126" s="9" t="n">
        <x:v>1</x:v>
      </x:c>
      <x:c r="F126" s="9" t="n">
        <x:v>1</x:v>
      </x:c>
    </x:row>
    <x:row r="127">
      <x:c r="A127" s="23" t="n">
        <x:v>16</x:v>
      </x:c>
      <x:c r="B127" s="23" t="str">
        <x:v>Kumar et al. (2023)</x:v>
      </x:c>
      <x:c r="C127" s="23" t="str">
        <x:v>L6</x:v>
      </x:c>
      <x:c r="D127" s="23" t="n">
        <x:v>0</x:v>
      </x:c>
      <x:c r="E127" s="23" t="n">
        <x:v>1</x:v>
      </x:c>
      <x:c r="F127" s="23" t="n">
        <x:v>0</x:v>
      </x:c>
    </x:row>
    <x:row r="128">
      <x:c r="A128" s="9" t="n">
        <x:v>16</x:v>
      </x:c>
      <x:c r="B128" s="9" t="str">
        <x:v>Kumar et al. (2023)</x:v>
      </x:c>
      <x:c r="C128" s="9" t="str">
        <x:v>L7</x:v>
      </x:c>
      <x:c r="D128" s="9" t="n">
        <x:v>1</x:v>
      </x:c>
      <x:c r="E128" s="9" t="n">
        <x:v>1</x:v>
      </x:c>
      <x:c r="F128" s="9" t="n">
        <x:v>1</x:v>
      </x:c>
    </x:row>
    <x:row r="129">
      <x:c r="A129" s="23" t="n">
        <x:v>16</x:v>
      </x:c>
      <x:c r="B129" s="23" t="str">
        <x:v>Kumar et al. (2023)</x:v>
      </x:c>
      <x:c r="C129" s="23" t="str">
        <x:v>L8</x:v>
      </x:c>
      <x:c r="D129" s="23" t="n">
        <x:v>0</x:v>
      </x:c>
      <x:c r="E129" s="23" t="n">
        <x:v>0</x:v>
      </x:c>
      <x:c r="F129" s="23" t="n">
        <x:v>1</x:v>
      </x:c>
    </x:row>
    <x:row r="130">
      <x:c r="A130" s="9" t="n">
        <x:v>17</x:v>
      </x:c>
      <x:c r="B130" s="9" t="str">
        <x:v>Kim et al. (2019)</x:v>
      </x:c>
      <x:c r="C130" s="9" t="str">
        <x:v>L1</x:v>
      </x:c>
      <x:c r="D130" s="9" t="n">
        <x:v>0</x:v>
      </x:c>
      <x:c r="E130" s="9" t="n">
        <x:v>0</x:v>
      </x:c>
      <x:c r="F130" s="9" t="n">
        <x:v>1</x:v>
      </x:c>
    </x:row>
    <x:row r="131">
      <x:c r="A131" s="23" t="n">
        <x:v>17</x:v>
      </x:c>
      <x:c r="B131" s="23" t="str">
        <x:v>Kim et al. (2019)</x:v>
      </x:c>
      <x:c r="C131" s="23" t="str">
        <x:v>L2</x:v>
      </x:c>
      <x:c r="D131" s="23" t="n">
        <x:v>1</x:v>
      </x:c>
      <x:c r="E131" s="23" t="n">
        <x:v>1</x:v>
      </x:c>
      <x:c r="F131" s="23" t="n">
        <x:v>1</x:v>
      </x:c>
    </x:row>
    <x:row r="132">
      <x:c r="A132" s="9" t="n">
        <x:v>17</x:v>
      </x:c>
      <x:c r="B132" s="9" t="str">
        <x:v>Kim et al. (2019)</x:v>
      </x:c>
      <x:c r="C132" s="9" t="str">
        <x:v>L3</x:v>
      </x:c>
      <x:c r="D132" s="9" t="n">
        <x:v>1</x:v>
      </x:c>
      <x:c r="E132" s="9" t="n">
        <x:v>1</x:v>
      </x:c>
      <x:c r="F132" s="9" t="n">
        <x:v>1</x:v>
      </x:c>
    </x:row>
    <x:row r="133">
      <x:c r="A133" s="23" t="n">
        <x:v>17</x:v>
      </x:c>
      <x:c r="B133" s="23" t="str">
        <x:v>Kim et al. (2019)</x:v>
      </x:c>
      <x:c r="C133" s="23" t="str">
        <x:v>L4</x:v>
      </x:c>
      <x:c r="D133" s="23" t="n">
        <x:v>1</x:v>
      </x:c>
      <x:c r="E133" s="23" t="n">
        <x:v>1</x:v>
      </x:c>
      <x:c r="F133" s="23" t="n">
        <x:v>1</x:v>
      </x:c>
    </x:row>
    <x:row r="134">
      <x:c r="A134" s="9" t="n">
        <x:v>17</x:v>
      </x:c>
      <x:c r="B134" s="9" t="str">
        <x:v>Kim et al. (2019)</x:v>
      </x:c>
      <x:c r="C134" s="9" t="str">
        <x:v>L5</x:v>
      </x:c>
      <x:c r="D134" s="9" t="n">
        <x:v>1</x:v>
      </x:c>
      <x:c r="E134" s="9" t="n">
        <x:v>1</x:v>
      </x:c>
      <x:c r="F134" s="9" t="n">
        <x:v>1</x:v>
      </x:c>
    </x:row>
    <x:row r="135">
      <x:c r="A135" s="23" t="n">
        <x:v>17</x:v>
      </x:c>
      <x:c r="B135" s="23" t="str">
        <x:v>Kim et al. (2019)</x:v>
      </x:c>
      <x:c r="C135" s="23" t="str">
        <x:v>L6</x:v>
      </x:c>
      <x:c r="D135" s="23" t="n">
        <x:v>1</x:v>
      </x:c>
      <x:c r="E135" s="23" t="n">
        <x:v>1</x:v>
      </x:c>
      <x:c r="F135" s="23" t="n">
        <x:v>1</x:v>
      </x:c>
    </x:row>
    <x:row r="136">
      <x:c r="A136" s="9" t="n">
        <x:v>17</x:v>
      </x:c>
      <x:c r="B136" s="9" t="str">
        <x:v>Kim et al. (2019)</x:v>
      </x:c>
      <x:c r="C136" s="9" t="str">
        <x:v>L7</x:v>
      </x:c>
      <x:c r="D136" s="9" t="n">
        <x:v>1</x:v>
      </x:c>
      <x:c r="E136" s="9" t="n">
        <x:v>1</x:v>
      </x:c>
      <x:c r="F136" s="9" t="n">
        <x:v>1</x:v>
      </x:c>
    </x:row>
    <x:row r="137">
      <x:c r="A137" s="23" t="n">
        <x:v>17</x:v>
      </x:c>
      <x:c r="B137" s="23" t="str">
        <x:v>Kim et al. (2019)</x:v>
      </x:c>
      <x:c r="C137" s="23" t="str">
        <x:v>L8</x:v>
      </x:c>
      <x:c r="D137" s="23" t="n">
        <x:v>1</x:v>
      </x:c>
      <x:c r="E137" s="23" t="n">
        <x:v>1</x:v>
      </x:c>
      <x:c r="F137" s="23" t="n">
        <x:v>1</x:v>
      </x:c>
    </x:row>
    <x:row r="138">
      <x:c r="A138" s="9" t="n">
        <x:v>18</x:v>
      </x:c>
      <x:c r="B138" s="9" t="str">
        <x:v>Imanian et al. (2023)</x:v>
      </x:c>
      <x:c r="C138" s="9" t="str">
        <x:v>L1</x:v>
      </x:c>
      <x:c r="D138" s="9" t="n">
        <x:v>1</x:v>
      </x:c>
      <x:c r="E138" s="9" t="n">
        <x:v>1</x:v>
      </x:c>
      <x:c r="F138" s="9" t="n">
        <x:v>1</x:v>
      </x:c>
    </x:row>
    <x:row r="139">
      <x:c r="A139" s="23" t="n">
        <x:v>18</x:v>
      </x:c>
      <x:c r="B139" s="23" t="str">
        <x:v>Imanian et al. (2023)</x:v>
      </x:c>
      <x:c r="C139" s="23" t="str">
        <x:v>L2</x:v>
      </x:c>
      <x:c r="D139" s="23" t="n">
        <x:v>1</x:v>
      </x:c>
      <x:c r="E139" s="23" t="n">
        <x:v>1</x:v>
      </x:c>
      <x:c r="F139" s="23" t="n">
        <x:v>1</x:v>
      </x:c>
    </x:row>
    <x:row r="140">
      <x:c r="A140" s="9" t="n">
        <x:v>18</x:v>
      </x:c>
      <x:c r="B140" s="9" t="str">
        <x:v>Imanian et al. (2023)</x:v>
      </x:c>
      <x:c r="C140" s="9" t="str">
        <x:v>L3</x:v>
      </x:c>
      <x:c r="D140" s="9" t="n">
        <x:v>1</x:v>
      </x:c>
      <x:c r="E140" s="9" t="n">
        <x:v>1</x:v>
      </x:c>
      <x:c r="F140" s="9" t="n">
        <x:v>1</x:v>
      </x:c>
    </x:row>
    <x:row r="141">
      <x:c r="A141" s="23" t="n">
        <x:v>18</x:v>
      </x:c>
      <x:c r="B141" s="23" t="str">
        <x:v>Imanian et al. (2023)</x:v>
      </x:c>
      <x:c r="C141" s="23" t="str">
        <x:v>L4</x:v>
      </x:c>
      <x:c r="D141" s="23" t="n">
        <x:v>1</x:v>
      </x:c>
      <x:c r="E141" s="23" t="n">
        <x:v>1</x:v>
      </x:c>
      <x:c r="F141" s="23" t="n">
        <x:v>1</x:v>
      </x:c>
    </x:row>
    <x:row r="142">
      <x:c r="A142" s="9" t="n">
        <x:v>18</x:v>
      </x:c>
      <x:c r="B142" s="9" t="str">
        <x:v>Imanian et al. (2023)</x:v>
      </x:c>
      <x:c r="C142" s="9" t="str">
        <x:v>L5</x:v>
      </x:c>
      <x:c r="D142" s="9" t="n">
        <x:v>1</x:v>
      </x:c>
      <x:c r="E142" s="9" t="n">
        <x:v>1</x:v>
      </x:c>
      <x:c r="F142" s="9" t="n">
        <x:v>1</x:v>
      </x:c>
    </x:row>
    <x:row r="143">
      <x:c r="A143" s="23" t="n">
        <x:v>18</x:v>
      </x:c>
      <x:c r="B143" s="23" t="str">
        <x:v>Imanian et al. (2023)</x:v>
      </x:c>
      <x:c r="C143" s="23" t="str">
        <x:v>L6</x:v>
      </x:c>
      <x:c r="D143" s="23" t="n">
        <x:v>0</x:v>
      </x:c>
      <x:c r="E143" s="23" t="n">
        <x:v>0</x:v>
      </x:c>
      <x:c r="F143" s="23" t="n">
        <x:v>1</x:v>
      </x:c>
    </x:row>
    <x:row r="144">
      <x:c r="A144" s="9" t="n">
        <x:v>18</x:v>
      </x:c>
      <x:c r="B144" s="9" t="str">
        <x:v>Imanian et al. (2023)</x:v>
      </x:c>
      <x:c r="C144" s="9" t="str">
        <x:v>L7</x:v>
      </x:c>
      <x:c r="D144" s="9" t="n">
        <x:v>1</x:v>
      </x:c>
      <x:c r="E144" s="9" t="n">
        <x:v>1</x:v>
      </x:c>
      <x:c r="F144" s="9" t="n">
        <x:v>1</x:v>
      </x:c>
    </x:row>
    <x:row r="145">
      <x:c r="A145" s="23" t="n">
        <x:v>18</x:v>
      </x:c>
      <x:c r="B145" s="23" t="str">
        <x:v>Imanian et al. (2023)</x:v>
      </x:c>
      <x:c r="C145" s="23" t="str">
        <x:v>L8</x:v>
      </x:c>
      <x:c r="D145" s="23" t="n">
        <x:v>0</x:v>
      </x:c>
      <x:c r="E145" s="23" t="n">
        <x:v>0</x:v>
      </x:c>
      <x:c r="F145" s="23" t="n">
        <x:v>1</x:v>
      </x:c>
    </x:row>
    <x:row r="146">
      <x:c r="A146" s="9" t="n">
        <x:v>19</x:v>
      </x:c>
      <x:c r="B146" s="9" t="str">
        <x:v>Lo Presti et al. (2024)</x:v>
      </x:c>
      <x:c r="C146" s="9" t="str">
        <x:v>L1</x:v>
      </x:c>
      <x:c r="D146" s="9" t="n">
        <x:v>1</x:v>
      </x:c>
      <x:c r="E146" s="9" t="n">
        <x:v>1</x:v>
      </x:c>
      <x:c r="F146" s="9" t="n">
        <x:v>1</x:v>
      </x:c>
    </x:row>
    <x:row r="147">
      <x:c r="A147" s="23" t="n">
        <x:v>19</x:v>
      </x:c>
      <x:c r="B147" s="23" t="str">
        <x:v>Lo Presti et al. (2024)</x:v>
      </x:c>
      <x:c r="C147" s="23" t="str">
        <x:v>L2</x:v>
      </x:c>
      <x:c r="D147" s="23" t="n">
        <x:v>1</x:v>
      </x:c>
      <x:c r="E147" s="23" t="n">
        <x:v>1</x:v>
      </x:c>
      <x:c r="F147" s="23" t="n">
        <x:v>1</x:v>
      </x:c>
    </x:row>
    <x:row r="148">
      <x:c r="A148" s="9" t="n">
        <x:v>19</x:v>
      </x:c>
      <x:c r="B148" s="9" t="str">
        <x:v>Lo Presti et al. (2024)</x:v>
      </x:c>
      <x:c r="C148" s="9" t="str">
        <x:v>L3</x:v>
      </x:c>
      <x:c r="D148" s="9" t="n">
        <x:v>1</x:v>
      </x:c>
      <x:c r="E148" s="9" t="n">
        <x:v>1</x:v>
      </x:c>
      <x:c r="F148" s="9" t="n">
        <x:v>1</x:v>
      </x:c>
    </x:row>
    <x:row r="149">
      <x:c r="A149" s="23" t="n">
        <x:v>19</x:v>
      </x:c>
      <x:c r="B149" s="23" t="str">
        <x:v>Lo Presti et al. (2024)</x:v>
      </x:c>
      <x:c r="C149" s="23" t="str">
        <x:v>L4</x:v>
      </x:c>
      <x:c r="D149" s="23" t="n">
        <x:v>1</x:v>
      </x:c>
      <x:c r="E149" s="23" t="n">
        <x:v>1</x:v>
      </x:c>
      <x:c r="F149" s="23" t="n">
        <x:v>1</x:v>
      </x:c>
    </x:row>
    <x:row r="150">
      <x:c r="A150" s="9" t="n">
        <x:v>19</x:v>
      </x:c>
      <x:c r="B150" s="9" t="str">
        <x:v>Lo Presti et al. (2024)</x:v>
      </x:c>
      <x:c r="C150" s="9" t="str">
        <x:v>L5</x:v>
      </x:c>
      <x:c r="D150" s="9" t="n">
        <x:v>1</x:v>
      </x:c>
      <x:c r="E150" s="9" t="n">
        <x:v>1</x:v>
      </x:c>
      <x:c r="F150" s="9" t="n">
        <x:v>1</x:v>
      </x:c>
    </x:row>
    <x:row r="151">
      <x:c r="A151" s="23" t="n">
        <x:v>19</x:v>
      </x:c>
      <x:c r="B151" s="23" t="str">
        <x:v>Lo Presti et al. (2024)</x:v>
      </x:c>
      <x:c r="C151" s="23" t="str">
        <x:v>L6</x:v>
      </x:c>
      <x:c r="D151" s="23" t="n">
        <x:v>1</x:v>
      </x:c>
      <x:c r="E151" s="23" t="n">
        <x:v>1</x:v>
      </x:c>
      <x:c r="F151" s="23" t="n">
        <x:v>1</x:v>
      </x:c>
    </x:row>
    <x:row r="152">
      <x:c r="A152" s="9" t="n">
        <x:v>19</x:v>
      </x:c>
      <x:c r="B152" s="9" t="str">
        <x:v>Lo Presti et al. (2024)</x:v>
      </x:c>
      <x:c r="C152" s="9" t="str">
        <x:v>L7</x:v>
      </x:c>
      <x:c r="D152" s="9" t="n">
        <x:v>1</x:v>
      </x:c>
      <x:c r="E152" s="9" t="n">
        <x:v>1</x:v>
      </x:c>
      <x:c r="F152" s="9" t="n">
        <x:v>1</x:v>
      </x:c>
    </x:row>
    <x:row r="153">
      <x:c r="A153" s="23" t="n">
        <x:v>19</x:v>
      </x:c>
      <x:c r="B153" s="23" t="str">
        <x:v>Lo Presti et al. (2024)</x:v>
      </x:c>
      <x:c r="C153" s="23" t="str">
        <x:v>L8</x:v>
      </x:c>
      <x:c r="D153" s="23" t="n">
        <x:v>0</x:v>
      </x:c>
      <x:c r="E153" s="23" t="n">
        <x:v>0</x:v>
      </x:c>
      <x:c r="F153" s="23" t="n">
        <x:v>1</x:v>
      </x:c>
    </x:row>
    <x:row r="154">
      <x:c r="A154" s="9" t="n">
        <x:v>20</x:v>
      </x:c>
      <x:c r="B154" s="9" t="str">
        <x:v>Sobianin et al. (2024)</x:v>
      </x:c>
      <x:c r="C154" s="9" t="str">
        <x:v>L1</x:v>
      </x:c>
      <x:c r="D154" s="9" t="n">
        <x:v>1</x:v>
      </x:c>
      <x:c r="E154" s="9" t="n">
        <x:v>1</x:v>
      </x:c>
      <x:c r="F154" s="9" t="n">
        <x:v>1</x:v>
      </x:c>
    </x:row>
    <x:row r="155">
      <x:c r="A155" s="23" t="n">
        <x:v>20</x:v>
      </x:c>
      <x:c r="B155" s="23" t="str">
        <x:v>Sobianin et al. (2024)</x:v>
      </x:c>
      <x:c r="C155" s="23" t="str">
        <x:v>L2</x:v>
      </x:c>
      <x:c r="D155" s="23" t="n">
        <x:v>1</x:v>
      </x:c>
      <x:c r="E155" s="23" t="n">
        <x:v>1</x:v>
      </x:c>
      <x:c r="F155" s="23" t="n">
        <x:v>1</x:v>
      </x:c>
    </x:row>
    <x:row r="156">
      <x:c r="A156" s="9" t="n">
        <x:v>20</x:v>
      </x:c>
      <x:c r="B156" s="9" t="str">
        <x:v>Sobianin et al. (2024)</x:v>
      </x:c>
      <x:c r="C156" s="9" t="str">
        <x:v>L3</x:v>
      </x:c>
      <x:c r="D156" s="9" t="n">
        <x:v>0</x:v>
      </x:c>
      <x:c r="E156" s="9" t="n">
        <x:v>0</x:v>
      </x:c>
      <x:c r="F156" s="9" t="n">
        <x:v>1</x:v>
      </x:c>
    </x:row>
    <x:row r="157">
      <x:c r="A157" s="23" t="n">
        <x:v>20</x:v>
      </x:c>
      <x:c r="B157" s="23" t="str">
        <x:v>Sobianin et al. (2024)</x:v>
      </x:c>
      <x:c r="C157" s="23" t="str">
        <x:v>L4</x:v>
      </x:c>
      <x:c r="D157" s="23" t="n">
        <x:v>1</x:v>
      </x:c>
      <x:c r="E157" s="23" t="n">
        <x:v>1</x:v>
      </x:c>
      <x:c r="F157" s="23" t="n">
        <x:v>1</x:v>
      </x:c>
    </x:row>
    <x:row r="158">
      <x:c r="A158" s="9" t="n">
        <x:v>20</x:v>
      </x:c>
      <x:c r="B158" s="9" t="str">
        <x:v>Sobianin et al. (2024)</x:v>
      </x:c>
      <x:c r="C158" s="9" t="str">
        <x:v>L5</x:v>
      </x:c>
      <x:c r="D158" s="9" t="n">
        <x:v>0</x:v>
      </x:c>
      <x:c r="E158" s="9" t="n">
        <x:v>0</x:v>
      </x:c>
      <x:c r="F158" s="9" t="n">
        <x:v>1</x:v>
      </x:c>
    </x:row>
    <x:row r="159">
      <x:c r="A159" s="23" t="n">
        <x:v>20</x:v>
      </x:c>
      <x:c r="B159" s="23" t="str">
        <x:v>Sobianin et al. (2024)</x:v>
      </x:c>
      <x:c r="C159" s="23" t="str">
        <x:v>L6</x:v>
      </x:c>
      <x:c r="D159" s="23" t="n">
        <x:v>1</x:v>
      </x:c>
      <x:c r="E159" s="23" t="n">
        <x:v>1</x:v>
      </x:c>
      <x:c r="F159" s="23" t="n">
        <x:v>1</x:v>
      </x:c>
    </x:row>
    <x:row r="160">
      <x:c r="A160" s="9" t="n">
        <x:v>20</x:v>
      </x:c>
      <x:c r="B160" s="9" t="str">
        <x:v>Sobianin et al. (2024)</x:v>
      </x:c>
      <x:c r="C160" s="9" t="str">
        <x:v>L7</x:v>
      </x:c>
      <x:c r="D160" s="9" t="n">
        <x:v>1</x:v>
      </x:c>
      <x:c r="E160" s="9" t="n">
        <x:v>1</x:v>
      </x:c>
      <x:c r="F160" s="9" t="n">
        <x:v>1</x:v>
      </x:c>
    </x:row>
    <x:row r="161">
      <x:c r="A161" s="23" t="n">
        <x:v>20</x:v>
      </x:c>
      <x:c r="B161" s="23" t="str">
        <x:v>Sobianin et al. (2024)</x:v>
      </x:c>
      <x:c r="C161" s="23" t="str">
        <x:v>L8</x:v>
      </x:c>
      <x:c r="D161" s="23" t="n">
        <x:v>0</x:v>
      </x:c>
      <x:c r="E161" s="23" t="n">
        <x:v>0</x:v>
      </x:c>
      <x:c r="F161" s="23" t="n">
        <x:v>1</x:v>
      </x:c>
    </x:row>
    <x:row r="162">
      <x:c r="A162" s="9" t="n">
        <x:v>21</x:v>
      </x:c>
      <x:c r="B162" s="9" t="str">
        <x:v>Christ et al. (2017)</x:v>
      </x:c>
      <x:c r="C162" s="9" t="str">
        <x:v>L1</x:v>
      </x:c>
      <x:c r="D162" s="9" t="n">
        <x:v>1</x:v>
      </x:c>
      <x:c r="E162" s="9" t="n">
        <x:v>1</x:v>
      </x:c>
      <x:c r="F162" s="9" t="n">
        <x:v>1</x:v>
      </x:c>
    </x:row>
    <x:row r="163">
      <x:c r="A163" s="23" t="n">
        <x:v>21</x:v>
      </x:c>
      <x:c r="B163" s="23" t="str">
        <x:v>Christ et al. (2017)</x:v>
      </x:c>
      <x:c r="C163" s="23" t="str">
        <x:v>L2</x:v>
      </x:c>
      <x:c r="D163" s="23" t="n">
        <x:v>1</x:v>
      </x:c>
      <x:c r="E163" s="23" t="n">
        <x:v>1</x:v>
      </x:c>
      <x:c r="F163" s="23" t="n">
        <x:v>1</x:v>
      </x:c>
    </x:row>
    <x:row r="164">
      <x:c r="A164" s="9" t="n">
        <x:v>21</x:v>
      </x:c>
      <x:c r="B164" s="9" t="str">
        <x:v>Christ et al. (2017)</x:v>
      </x:c>
      <x:c r="C164" s="9" t="str">
        <x:v>L3</x:v>
      </x:c>
      <x:c r="D164" s="9" t="n">
        <x:v>1</x:v>
      </x:c>
      <x:c r="E164" s="9" t="n">
        <x:v>1</x:v>
      </x:c>
      <x:c r="F164" s="9" t="n">
        <x:v>1</x:v>
      </x:c>
    </x:row>
    <x:row r="165">
      <x:c r="A165" s="23" t="n">
        <x:v>21</x:v>
      </x:c>
      <x:c r="B165" s="23" t="str">
        <x:v>Christ et al. (2017)</x:v>
      </x:c>
      <x:c r="C165" s="23" t="str">
        <x:v>L4</x:v>
      </x:c>
      <x:c r="D165" s="23" t="n">
        <x:v>1</x:v>
      </x:c>
      <x:c r="E165" s="23" t="n">
        <x:v>1</x:v>
      </x:c>
      <x:c r="F165" s="23" t="n">
        <x:v>1</x:v>
      </x:c>
    </x:row>
    <x:row r="166">
      <x:c r="A166" s="9" t="n">
        <x:v>21</x:v>
      </x:c>
      <x:c r="B166" s="9" t="str">
        <x:v>Christ et al. (2017)</x:v>
      </x:c>
      <x:c r="C166" s="9" t="str">
        <x:v>L5</x:v>
      </x:c>
      <x:c r="D166" s="9" t="n">
        <x:v>1</x:v>
      </x:c>
      <x:c r="E166" s="9" t="n">
        <x:v>1</x:v>
      </x:c>
      <x:c r="F166" s="9" t="n">
        <x:v>1</x:v>
      </x:c>
    </x:row>
    <x:row r="167">
      <x:c r="A167" s="23" t="n">
        <x:v>21</x:v>
      </x:c>
      <x:c r="B167" s="23" t="str">
        <x:v>Christ et al. (2017)</x:v>
      </x:c>
      <x:c r="C167" s="23" t="str">
        <x:v>L6</x:v>
      </x:c>
      <x:c r="D167" s="23" t="n">
        <x:v>0</x:v>
      </x:c>
      <x:c r="E167" s="23" t="n">
        <x:v>0</x:v>
      </x:c>
      <x:c r="F167" s="23" t="n">
        <x:v>1</x:v>
      </x:c>
    </x:row>
    <x:row r="168">
      <x:c r="A168" s="9" t="n">
        <x:v>21</x:v>
      </x:c>
      <x:c r="B168" s="9" t="str">
        <x:v>Christ et al. (2017)</x:v>
      </x:c>
      <x:c r="C168" s="9" t="str">
        <x:v>L7</x:v>
      </x:c>
      <x:c r="D168" s="9" t="n">
        <x:v>0</x:v>
      </x:c>
      <x:c r="E168" s="9" t="n">
        <x:v>0</x:v>
      </x:c>
      <x:c r="F168" s="9" t="n">
        <x:v>1</x:v>
      </x:c>
    </x:row>
    <x:row r="169">
      <x:c r="A169" s="23" t="n">
        <x:v>21</x:v>
      </x:c>
      <x:c r="B169" s="23" t="str">
        <x:v>Christ et al. (2017)</x:v>
      </x:c>
      <x:c r="C169" s="23" t="str">
        <x:v>L8</x:v>
      </x:c>
      <x:c r="D169" s="23" t="n">
        <x:v>0</x:v>
      </x:c>
      <x:c r="E169" s="23" t="n">
        <x:v>0</x:v>
      </x:c>
      <x:c r="F169" s="23" t="n">
        <x:v>1</x:v>
      </x:c>
    </x:row>
    <x:row r="170">
      <x:c r="A170" s="9" t="n">
        <x:v>22</x:v>
      </x:c>
      <x:c r="B170" s="9" t="str">
        <x:v>Xiang et al. (2020)</x:v>
      </x:c>
      <x:c r="C170" s="9" t="str">
        <x:v>L1</x:v>
      </x:c>
      <x:c r="D170" s="9" t="n">
        <x:v>1</x:v>
      </x:c>
      <x:c r="E170" s="9" t="n">
        <x:v>1</x:v>
      </x:c>
      <x:c r="F170" s="9" t="n">
        <x:v>1</x:v>
      </x:c>
    </x:row>
    <x:row r="171">
      <x:c r="A171" s="23" t="n">
        <x:v>22</x:v>
      </x:c>
      <x:c r="B171" s="23" t="str">
        <x:v>Xiang et al. (2020)</x:v>
      </x:c>
      <x:c r="C171" s="23" t="str">
        <x:v>L2</x:v>
      </x:c>
      <x:c r="D171" s="23" t="n">
        <x:v>1</x:v>
      </x:c>
      <x:c r="E171" s="23" t="n">
        <x:v>1</x:v>
      </x:c>
      <x:c r="F171" s="23" t="n">
        <x:v>1</x:v>
      </x:c>
    </x:row>
    <x:row r="172">
      <x:c r="A172" s="9" t="n">
        <x:v>22</x:v>
      </x:c>
      <x:c r="B172" s="9" t="str">
        <x:v>Xiang et al. (2020)</x:v>
      </x:c>
      <x:c r="C172" s="9" t="str">
        <x:v>L3</x:v>
      </x:c>
      <x:c r="D172" s="9" t="n">
        <x:v>1</x:v>
      </x:c>
      <x:c r="E172" s="9" t="n">
        <x:v>1</x:v>
      </x:c>
      <x:c r="F172" s="9" t="n">
        <x:v>1</x:v>
      </x:c>
    </x:row>
    <x:row r="173">
      <x:c r="A173" s="23" t="n">
        <x:v>22</x:v>
      </x:c>
      <x:c r="B173" s="23" t="str">
        <x:v>Xiang et al. (2020)</x:v>
      </x:c>
      <x:c r="C173" s="23" t="str">
        <x:v>L4</x:v>
      </x:c>
      <x:c r="D173" s="23" t="n">
        <x:v>1</x:v>
      </x:c>
      <x:c r="E173" s="23" t="n">
        <x:v>1</x:v>
      </x:c>
      <x:c r="F173" s="23" t="n">
        <x:v>1</x:v>
      </x:c>
    </x:row>
    <x:row r="174">
      <x:c r="A174" s="9" t="n">
        <x:v>22</x:v>
      </x:c>
      <x:c r="B174" s="9" t="str">
        <x:v>Xiang et al. (2020)</x:v>
      </x:c>
      <x:c r="C174" s="9" t="str">
        <x:v>L5</x:v>
      </x:c>
      <x:c r="D174" s="9" t="n">
        <x:v>1</x:v>
      </x:c>
      <x:c r="E174" s="9" t="n">
        <x:v>1</x:v>
      </x:c>
      <x:c r="F174" s="9" t="n">
        <x:v>1</x:v>
      </x:c>
    </x:row>
    <x:row r="175">
      <x:c r="A175" s="23" t="n">
        <x:v>22</x:v>
      </x:c>
      <x:c r="B175" s="23" t="str">
        <x:v>Xiang et al. (2020)</x:v>
      </x:c>
      <x:c r="C175" s="23" t="str">
        <x:v>L6</x:v>
      </x:c>
      <x:c r="D175" s="23" t="n">
        <x:v>0</x:v>
      </x:c>
      <x:c r="E175" s="23" t="n">
        <x:v>0</x:v>
      </x:c>
      <x:c r="F175" s="23" t="n">
        <x:v>1</x:v>
      </x:c>
    </x:row>
    <x:row r="176">
      <x:c r="A176" s="9" t="n">
        <x:v>22</x:v>
      </x:c>
      <x:c r="B176" s="9" t="str">
        <x:v>Xiang et al. (2020)</x:v>
      </x:c>
      <x:c r="C176" s="9" t="str">
        <x:v>L7</x:v>
      </x:c>
      <x:c r="D176" s="9" t="n">
        <x:v>0</x:v>
      </x:c>
      <x:c r="E176" s="9" t="n">
        <x:v>1</x:v>
      </x:c>
      <x:c r="F176" s="9" t="n">
        <x:v>0</x:v>
      </x:c>
    </x:row>
    <x:row r="177">
      <x:c r="A177" s="23" t="n">
        <x:v>22</x:v>
      </x:c>
      <x:c r="B177" s="23" t="str">
        <x:v>Xiang et al. (2020)</x:v>
      </x:c>
      <x:c r="C177" s="23" t="str">
        <x:v>L8</x:v>
      </x:c>
      <x:c r="D177" s="23" t="n">
        <x:v>0</x:v>
      </x:c>
      <x:c r="E177" s="23" t="n">
        <x:v>0</x:v>
      </x:c>
      <x:c r="F177" s="23" t="n">
        <x:v>1</x:v>
      </x:c>
    </x:row>
    <x:row r="178">
      <x:c r="A178" s="9" t="n">
        <x:v>23</x:v>
      </x:c>
      <x:c r="B178" s="9" t="str">
        <x:v>Loh et al. (2021)</x:v>
      </x:c>
      <x:c r="C178" s="9" t="str">
        <x:v>L1</x:v>
      </x:c>
      <x:c r="D178" s="9" t="n">
        <x:v>1</x:v>
      </x:c>
      <x:c r="E178" s="9" t="n">
        <x:v>1</x:v>
      </x:c>
      <x:c r="F178" s="9" t="n">
        <x:v>1</x:v>
      </x:c>
    </x:row>
    <x:row r="179">
      <x:c r="A179" s="23" t="n">
        <x:v>23</x:v>
      </x:c>
      <x:c r="B179" s="23" t="str">
        <x:v>Loh et al. (2021)</x:v>
      </x:c>
      <x:c r="C179" s="23" t="str">
        <x:v>L2</x:v>
      </x:c>
      <x:c r="D179" s="23" t="n">
        <x:v>1</x:v>
      </x:c>
      <x:c r="E179" s="23" t="n">
        <x:v>1</x:v>
      </x:c>
      <x:c r="F179" s="23" t="n">
        <x:v>1</x:v>
      </x:c>
    </x:row>
    <x:row r="180">
      <x:c r="A180" s="9" t="n">
        <x:v>23</x:v>
      </x:c>
      <x:c r="B180" s="9" t="str">
        <x:v>Loh et al. (2021)</x:v>
      </x:c>
      <x:c r="C180" s="9" t="str">
        <x:v>L3</x:v>
      </x:c>
      <x:c r="D180" s="9" t="n">
        <x:v>1</x:v>
      </x:c>
      <x:c r="E180" s="9" t="n">
        <x:v>1</x:v>
      </x:c>
      <x:c r="F180" s="9" t="n">
        <x:v>1</x:v>
      </x:c>
    </x:row>
    <x:row r="181">
      <x:c r="A181" s="23" t="n">
        <x:v>23</x:v>
      </x:c>
      <x:c r="B181" s="23" t="str">
        <x:v>Loh et al. (2021)</x:v>
      </x:c>
      <x:c r="C181" s="23" t="str">
        <x:v>L4</x:v>
      </x:c>
      <x:c r="D181" s="23" t="n">
        <x:v>1</x:v>
      </x:c>
      <x:c r="E181" s="23" t="n">
        <x:v>1</x:v>
      </x:c>
      <x:c r="F181" s="23" t="n">
        <x:v>1</x:v>
      </x:c>
    </x:row>
    <x:row r="182">
      <x:c r="A182" s="9" t="n">
        <x:v>23</x:v>
      </x:c>
      <x:c r="B182" s="9" t="str">
        <x:v>Loh et al. (2021)</x:v>
      </x:c>
      <x:c r="C182" s="9" t="str">
        <x:v>L5</x:v>
      </x:c>
      <x:c r="D182" s="9" t="n">
        <x:v>0</x:v>
      </x:c>
      <x:c r="E182" s="9" t="n">
        <x:v>0</x:v>
      </x:c>
      <x:c r="F182" s="9" t="n">
        <x:v>1</x:v>
      </x:c>
    </x:row>
    <x:row r="183">
      <x:c r="A183" s="23" t="n">
        <x:v>23</x:v>
      </x:c>
      <x:c r="B183" s="23" t="str">
        <x:v>Loh et al. (2021)</x:v>
      </x:c>
      <x:c r="C183" s="23" t="str">
        <x:v>L6</x:v>
      </x:c>
      <x:c r="D183" s="23" t="n">
        <x:v>1</x:v>
      </x:c>
      <x:c r="E183" s="23" t="n">
        <x:v>1</x:v>
      </x:c>
      <x:c r="F183" s="23" t="n">
        <x:v>1</x:v>
      </x:c>
    </x:row>
    <x:row r="184">
      <x:c r="A184" s="9" t="n">
        <x:v>23</x:v>
      </x:c>
      <x:c r="B184" s="9" t="str">
        <x:v>Loh et al. (2021)</x:v>
      </x:c>
      <x:c r="C184" s="9" t="str">
        <x:v>L7</x:v>
      </x:c>
      <x:c r="D184" s="9" t="n">
        <x:v>1</x:v>
      </x:c>
      <x:c r="E184" s="9" t="n">
        <x:v>1</x:v>
      </x:c>
      <x:c r="F184" s="9" t="n">
        <x:v>1</x:v>
      </x:c>
    </x:row>
    <x:row r="185">
      <x:c r="A185" s="23" t="n">
        <x:v>23</x:v>
      </x:c>
      <x:c r="B185" s="23" t="str">
        <x:v>Loh et al. (2021)</x:v>
      </x:c>
      <x:c r="C185" s="23" t="str">
        <x:v>L8</x:v>
      </x:c>
      <x:c r="D185" s="23" t="n">
        <x:v>0</x:v>
      </x:c>
      <x:c r="E185" s="23" t="n">
        <x:v>0</x:v>
      </x:c>
      <x:c r="F185" s="23" t="n">
        <x:v>1</x:v>
      </x:c>
    </x:row>
    <x:row r="186">
      <x:c r="A186" s="9" t="n">
        <x:v>24</x:v>
      </x:c>
      <x:c r="B186" s="9" t="str">
        <x:v>Jain et al. (2023)</x:v>
      </x:c>
      <x:c r="C186" s="9" t="str">
        <x:v>L1</x:v>
      </x:c>
      <x:c r="D186" s="9" t="n">
        <x:v>1</x:v>
      </x:c>
      <x:c r="E186" s="9" t="n">
        <x:v>1</x:v>
      </x:c>
      <x:c r="F186" s="9" t="n">
        <x:v>1</x:v>
      </x:c>
    </x:row>
    <x:row r="187">
      <x:c r="A187" s="23" t="n">
        <x:v>24</x:v>
      </x:c>
      <x:c r="B187" s="23" t="str">
        <x:v>Jain et al. (2023)</x:v>
      </x:c>
      <x:c r="C187" s="23" t="str">
        <x:v>L2</x:v>
      </x:c>
      <x:c r="D187" s="23" t="n">
        <x:v>1</x:v>
      </x:c>
      <x:c r="E187" s="23" t="n">
        <x:v>1</x:v>
      </x:c>
      <x:c r="F187" s="23" t="n">
        <x:v>1</x:v>
      </x:c>
    </x:row>
    <x:row r="188">
      <x:c r="A188" s="9" t="n">
        <x:v>24</x:v>
      </x:c>
      <x:c r="B188" s="9" t="str">
        <x:v>Jain et al. (2023)</x:v>
      </x:c>
      <x:c r="C188" s="9" t="str">
        <x:v>L3</x:v>
      </x:c>
      <x:c r="D188" s="9" t="n">
        <x:v>1</x:v>
      </x:c>
      <x:c r="E188" s="9" t="n">
        <x:v>1</x:v>
      </x:c>
      <x:c r="F188" s="9" t="n">
        <x:v>1</x:v>
      </x:c>
    </x:row>
    <x:row r="189">
      <x:c r="A189" s="23" t="n">
        <x:v>24</x:v>
      </x:c>
      <x:c r="B189" s="23" t="str">
        <x:v>Jain et al. (2023)</x:v>
      </x:c>
      <x:c r="C189" s="23" t="str">
        <x:v>L4</x:v>
      </x:c>
      <x:c r="D189" s="23" t="n">
        <x:v>1</x:v>
      </x:c>
      <x:c r="E189" s="23" t="n">
        <x:v>1</x:v>
      </x:c>
      <x:c r="F189" s="23" t="n">
        <x:v>1</x:v>
      </x:c>
    </x:row>
    <x:row r="190">
      <x:c r="A190" s="9" t="n">
        <x:v>24</x:v>
      </x:c>
      <x:c r="B190" s="9" t="str">
        <x:v>Jain et al. (2023)</x:v>
      </x:c>
      <x:c r="C190" s="9" t="str">
        <x:v>L5</x:v>
      </x:c>
      <x:c r="D190" s="9" t="n">
        <x:v>0</x:v>
      </x:c>
      <x:c r="E190" s="9" t="n">
        <x:v>0</x:v>
      </x:c>
      <x:c r="F190" s="9" t="n">
        <x:v>1</x:v>
      </x:c>
    </x:row>
    <x:row r="191">
      <x:c r="A191" s="23" t="n">
        <x:v>24</x:v>
      </x:c>
      <x:c r="B191" s="23" t="str">
        <x:v>Jain et al. (2023)</x:v>
      </x:c>
      <x:c r="C191" s="23" t="str">
        <x:v>L6</x:v>
      </x:c>
      <x:c r="D191" s="23" t="n">
        <x:v>1</x:v>
      </x:c>
      <x:c r="E191" s="23" t="n">
        <x:v>1</x:v>
      </x:c>
      <x:c r="F191" s="23" t="n">
        <x:v>1</x:v>
      </x:c>
    </x:row>
    <x:row r="192">
      <x:c r="A192" s="9" t="n">
        <x:v>24</x:v>
      </x:c>
      <x:c r="B192" s="9" t="str">
        <x:v>Jain et al. (2023)</x:v>
      </x:c>
      <x:c r="C192" s="9" t="str">
        <x:v>L7</x:v>
      </x:c>
      <x:c r="D192" s="9" t="n">
        <x:v>0</x:v>
      </x:c>
      <x:c r="E192" s="9" t="n">
        <x:v>1</x:v>
      </x:c>
      <x:c r="F192" s="9" t="n">
        <x:v>0</x:v>
      </x:c>
    </x:row>
    <x:row r="193">
      <x:c r="A193" s="23" t="n">
        <x:v>24</x:v>
      </x:c>
      <x:c r="B193" s="23" t="str">
        <x:v>Jain et al. (2023)</x:v>
      </x:c>
      <x:c r="C193" s="23" t="str">
        <x:v>L8</x:v>
      </x:c>
      <x:c r="D193" s="23" t="n">
        <x:v>0</x:v>
      </x:c>
      <x:c r="E193" s="23" t="n">
        <x:v>0</x:v>
      </x:c>
      <x:c r="F193" s="23" t="n">
        <x:v>1</x:v>
      </x:c>
    </x:row>
    <x:row r="194">
      <x:c r="A194" s="9" t="n">
        <x:v>25</x:v>
      </x:c>
      <x:c r="B194" s="9" t="str">
        <x:v>Bang et al. (2023)</x:v>
      </x:c>
      <x:c r="C194" s="9" t="str">
        <x:v>L1</x:v>
      </x:c>
      <x:c r="D194" s="9" t="n">
        <x:v>1</x:v>
      </x:c>
      <x:c r="E194" s="9" t="n">
        <x:v>1</x:v>
      </x:c>
      <x:c r="F194" s="9" t="n">
        <x:v>1</x:v>
      </x:c>
    </x:row>
    <x:row r="195">
      <x:c r="A195" s="23" t="n">
        <x:v>25</x:v>
      </x:c>
      <x:c r="B195" s="23" t="str">
        <x:v>Bang et al. (2023)</x:v>
      </x:c>
      <x:c r="C195" s="23" t="str">
        <x:v>L2</x:v>
      </x:c>
      <x:c r="D195" s="23" t="n">
        <x:v>1</x:v>
      </x:c>
      <x:c r="E195" s="23" t="n">
        <x:v>1</x:v>
      </x:c>
      <x:c r="F195" s="23" t="n">
        <x:v>1</x:v>
      </x:c>
    </x:row>
    <x:row r="196">
      <x:c r="A196" s="9" t="n">
        <x:v>25</x:v>
      </x:c>
      <x:c r="B196" s="9" t="str">
        <x:v>Bang et al. (2023)</x:v>
      </x:c>
      <x:c r="C196" s="9" t="str">
        <x:v>L3</x:v>
      </x:c>
      <x:c r="D196" s="9" t="n">
        <x:v>1</x:v>
      </x:c>
      <x:c r="E196" s="9" t="n">
        <x:v>1</x:v>
      </x:c>
      <x:c r="F196" s="9" t="n">
        <x:v>1</x:v>
      </x:c>
    </x:row>
    <x:row r="197">
      <x:c r="A197" s="23" t="n">
        <x:v>25</x:v>
      </x:c>
      <x:c r="B197" s="23" t="str">
        <x:v>Bang et al. (2023)</x:v>
      </x:c>
      <x:c r="C197" s="23" t="str">
        <x:v>L4</x:v>
      </x:c>
      <x:c r="D197" s="23" t="n">
        <x:v>1</x:v>
      </x:c>
      <x:c r="E197" s="23" t="n">
        <x:v>1</x:v>
      </x:c>
      <x:c r="F197" s="23" t="n">
        <x:v>1</x:v>
      </x:c>
    </x:row>
    <x:row r="198">
      <x:c r="A198" s="9" t="n">
        <x:v>25</x:v>
      </x:c>
      <x:c r="B198" s="9" t="str">
        <x:v>Bang et al. (2023)</x:v>
      </x:c>
      <x:c r="C198" s="9" t="str">
        <x:v>L5</x:v>
      </x:c>
      <x:c r="D198" s="9" t="n">
        <x:v>1</x:v>
      </x:c>
      <x:c r="E198" s="9" t="n">
        <x:v>1</x:v>
      </x:c>
      <x:c r="F198" s="9" t="n">
        <x:v>1</x:v>
      </x:c>
    </x:row>
    <x:row r="199">
      <x:c r="A199" s="23" t="n">
        <x:v>25</x:v>
      </x:c>
      <x:c r="B199" s="23" t="str">
        <x:v>Bang et al. (2023)</x:v>
      </x:c>
      <x:c r="C199" s="23" t="str">
        <x:v>L6</x:v>
      </x:c>
      <x:c r="D199" s="23" t="n">
        <x:v>0</x:v>
      </x:c>
      <x:c r="E199" s="23" t="n">
        <x:v>0</x:v>
      </x:c>
      <x:c r="F199" s="23" t="n">
        <x:v>1</x:v>
      </x:c>
    </x:row>
    <x:row r="200">
      <x:c r="A200" s="9" t="n">
        <x:v>25</x:v>
      </x:c>
      <x:c r="B200" s="9" t="str">
        <x:v>Bang et al. (2023)</x:v>
      </x:c>
      <x:c r="C200" s="9" t="str">
        <x:v>L7</x:v>
      </x:c>
      <x:c r="D200" s="9" t="n">
        <x:v>1</x:v>
      </x:c>
      <x:c r="E200" s="9" t="n">
        <x:v>1</x:v>
      </x:c>
      <x:c r="F200" s="9" t="n">
        <x:v>1</x:v>
      </x:c>
    </x:row>
    <x:row r="201">
      <x:c r="A201" s="23" t="n">
        <x:v>25</x:v>
      </x:c>
      <x:c r="B201" s="23" t="str">
        <x:v>Bang et al. (2023)</x:v>
      </x:c>
      <x:c r="C201" s="23" t="str">
        <x:v>L8</x:v>
      </x:c>
      <x:c r="D201" s="23" t="n">
        <x:v>0</x:v>
      </x:c>
      <x:c r="E201" s="23" t="n">
        <x:v>0</x:v>
      </x:c>
      <x:c r="F201" s="23" t="n">
        <x:v>1</x:v>
      </x:c>
    </x:row>
    <x:row r="202">
      <x:c r="A202" s="9" t="n">
        <x:v>26</x:v>
      </x:c>
      <x:c r="B202" s="9" t="str">
        <x:v>Kai et al. (2023)</x:v>
      </x:c>
      <x:c r="C202" s="9" t="str">
        <x:v>L1</x:v>
      </x:c>
      <x:c r="D202" s="9" t="n">
        <x:v>1</x:v>
      </x:c>
      <x:c r="E202" s="9" t="n">
        <x:v>1</x:v>
      </x:c>
      <x:c r="F202" s="9" t="n">
        <x:v>1</x:v>
      </x:c>
    </x:row>
    <x:row r="203">
      <x:c r="A203" s="23" t="n">
        <x:v>26</x:v>
      </x:c>
      <x:c r="B203" s="23" t="str">
        <x:v>Kai et al. (2023)</x:v>
      </x:c>
      <x:c r="C203" s="23" t="str">
        <x:v>L2</x:v>
      </x:c>
      <x:c r="D203" s="23" t="n">
        <x:v>1</x:v>
      </x:c>
      <x:c r="E203" s="23" t="n">
        <x:v>1</x:v>
      </x:c>
      <x:c r="F203" s="23" t="n">
        <x:v>1</x:v>
      </x:c>
    </x:row>
    <x:row r="204">
      <x:c r="A204" s="9" t="n">
        <x:v>26</x:v>
      </x:c>
      <x:c r="B204" s="9" t="str">
        <x:v>Kai et al. (2023)</x:v>
      </x:c>
      <x:c r="C204" s="9" t="str">
        <x:v>L3</x:v>
      </x:c>
      <x:c r="D204" s="9" t="n">
        <x:v>1</x:v>
      </x:c>
      <x:c r="E204" s="9" t="n">
        <x:v>0</x:v>
      </x:c>
      <x:c r="F204" s="9" t="n">
        <x:v>0</x:v>
      </x:c>
    </x:row>
    <x:row r="205">
      <x:c r="A205" s="23" t="n">
        <x:v>26</x:v>
      </x:c>
      <x:c r="B205" s="23" t="str">
        <x:v>Kai et al. (2023)</x:v>
      </x:c>
      <x:c r="C205" s="23" t="str">
        <x:v>L4</x:v>
      </x:c>
      <x:c r="D205" s="23" t="n">
        <x:v>1</x:v>
      </x:c>
      <x:c r="E205" s="23" t="n">
        <x:v>1</x:v>
      </x:c>
      <x:c r="F205" s="23" t="n">
        <x:v>1</x:v>
      </x:c>
    </x:row>
    <x:row r="206">
      <x:c r="A206" s="9" t="n">
        <x:v>26</x:v>
      </x:c>
      <x:c r="B206" s="9" t="str">
        <x:v>Kai et al. (2023)</x:v>
      </x:c>
      <x:c r="C206" s="9" t="str">
        <x:v>L5</x:v>
      </x:c>
      <x:c r="D206" s="9" t="n">
        <x:v>0</x:v>
      </x:c>
      <x:c r="E206" s="9" t="n">
        <x:v>0</x:v>
      </x:c>
      <x:c r="F206" s="9" t="n">
        <x:v>1</x:v>
      </x:c>
    </x:row>
    <x:row r="207">
      <x:c r="A207" s="23" t="n">
        <x:v>26</x:v>
      </x:c>
      <x:c r="B207" s="23" t="str">
        <x:v>Kai et al. (2023)</x:v>
      </x:c>
      <x:c r="C207" s="23" t="str">
        <x:v>L6</x:v>
      </x:c>
      <x:c r="D207" s="23" t="n">
        <x:v>0</x:v>
      </x:c>
      <x:c r="E207" s="23" t="n">
        <x:v>0</x:v>
      </x:c>
      <x:c r="F207" s="23" t="n">
        <x:v>1</x:v>
      </x:c>
    </x:row>
    <x:row r="208">
      <x:c r="A208" s="9" t="n">
        <x:v>26</x:v>
      </x:c>
      <x:c r="B208" s="9" t="str">
        <x:v>Kai et al. (2023)</x:v>
      </x:c>
      <x:c r="C208" s="9" t="str">
        <x:v>L7</x:v>
      </x:c>
      <x:c r="D208" s="9" t="n">
        <x:v>0</x:v>
      </x:c>
      <x:c r="E208" s="9" t="n">
        <x:v>0</x:v>
      </x:c>
      <x:c r="F208" s="9" t="n">
        <x:v>1</x:v>
      </x:c>
    </x:row>
    <x:row r="209">
      <x:c r="A209" s="23" t="n">
        <x:v>26</x:v>
      </x:c>
      <x:c r="B209" s="23" t="str">
        <x:v>Kai et al. (2023)</x:v>
      </x:c>
      <x:c r="C209" s="23" t="str">
        <x:v>L8</x:v>
      </x:c>
      <x:c r="D209" s="23" t="n">
        <x:v>0</x:v>
      </x:c>
      <x:c r="E209" s="23" t="n">
        <x:v>0</x:v>
      </x:c>
      <x:c r="F209" s="23" t="n">
        <x:v>1</x:v>
      </x:c>
    </x:row>
    <x:row r="210">
      <x:c r="A210" s="9" t="n">
        <x:v>27</x:v>
      </x:c>
      <x:c r="B210" s="9" t="str">
        <x:v>Guo et al. (2023)</x:v>
      </x:c>
      <x:c r="C210" s="9" t="str">
        <x:v>L1</x:v>
      </x:c>
      <x:c r="D210" s="9" t="n">
        <x:v>0</x:v>
      </x:c>
      <x:c r="E210" s="9" t="n">
        <x:v>0</x:v>
      </x:c>
      <x:c r="F210" s="9" t="n">
        <x:v>1</x:v>
      </x:c>
    </x:row>
    <x:row r="211">
      <x:c r="A211" s="23" t="n">
        <x:v>27</x:v>
      </x:c>
      <x:c r="B211" s="23" t="str">
        <x:v>Guo et al. (2023)</x:v>
      </x:c>
      <x:c r="C211" s="23" t="str">
        <x:v>L2</x:v>
      </x:c>
      <x:c r="D211" s="23" t="n">
        <x:v>1</x:v>
      </x:c>
      <x:c r="E211" s="23" t="n">
        <x:v>1</x:v>
      </x:c>
      <x:c r="F211" s="23" t="n">
        <x:v>1</x:v>
      </x:c>
    </x:row>
    <x:row r="212">
      <x:c r="A212" s="9" t="n">
        <x:v>27</x:v>
      </x:c>
      <x:c r="B212" s="9" t="str">
        <x:v>Guo et al. (2023)</x:v>
      </x:c>
      <x:c r="C212" s="9" t="str">
        <x:v>L3</x:v>
      </x:c>
      <x:c r="D212" s="9" t="n">
        <x:v>1</x:v>
      </x:c>
      <x:c r="E212" s="9" t="n">
        <x:v>1</x:v>
      </x:c>
      <x:c r="F212" s="9" t="n">
        <x:v>1</x:v>
      </x:c>
    </x:row>
    <x:row r="213">
      <x:c r="A213" s="23" t="n">
        <x:v>27</x:v>
      </x:c>
      <x:c r="B213" s="23" t="str">
        <x:v>Guo et al. (2023)</x:v>
      </x:c>
      <x:c r="C213" s="23" t="str">
        <x:v>L4</x:v>
      </x:c>
      <x:c r="D213" s="23" t="n">
        <x:v>1</x:v>
      </x:c>
      <x:c r="E213" s="23" t="n">
        <x:v>1</x:v>
      </x:c>
      <x:c r="F213" s="23" t="n">
        <x:v>1</x:v>
      </x:c>
    </x:row>
    <x:row r="214">
      <x:c r="A214" s="9" t="n">
        <x:v>27</x:v>
      </x:c>
      <x:c r="B214" s="9" t="str">
        <x:v>Guo et al. (2023)</x:v>
      </x:c>
      <x:c r="C214" s="9" t="str">
        <x:v>L5</x:v>
      </x:c>
      <x:c r="D214" s="9" t="n">
        <x:v>1</x:v>
      </x:c>
      <x:c r="E214" s="9" t="n">
        <x:v>1</x:v>
      </x:c>
      <x:c r="F214" s="9" t="n">
        <x:v>1</x:v>
      </x:c>
    </x:row>
    <x:row r="215">
      <x:c r="A215" s="23" t="n">
        <x:v>27</x:v>
      </x:c>
      <x:c r="B215" s="23" t="str">
        <x:v>Guo et al. (2023)</x:v>
      </x:c>
      <x:c r="C215" s="23" t="str">
        <x:v>L6</x:v>
      </x:c>
      <x:c r="D215" s="23" t="n">
        <x:v>0</x:v>
      </x:c>
      <x:c r="E215" s="23" t="n">
        <x:v>0</x:v>
      </x:c>
      <x:c r="F215" s="23" t="n">
        <x:v>1</x:v>
      </x:c>
    </x:row>
    <x:row r="216">
      <x:c r="A216" s="9" t="n">
        <x:v>27</x:v>
      </x:c>
      <x:c r="B216" s="9" t="str">
        <x:v>Guo et al. (2023)</x:v>
      </x:c>
      <x:c r="C216" s="9" t="str">
        <x:v>L7</x:v>
      </x:c>
      <x:c r="D216" s="9" t="n">
        <x:v>1</x:v>
      </x:c>
      <x:c r="E216" s="9" t="n">
        <x:v>1</x:v>
      </x:c>
      <x:c r="F216" s="9" t="n">
        <x:v>1</x:v>
      </x:c>
    </x:row>
    <x:row r="217">
      <x:c r="A217" s="23" t="n">
        <x:v>27</x:v>
      </x:c>
      <x:c r="B217" s="23" t="str">
        <x:v>Guo et al. (2023)</x:v>
      </x:c>
      <x:c r="C217" s="23" t="str">
        <x:v>L8</x:v>
      </x:c>
      <x:c r="D217" s="23" t="n">
        <x:v>0</x:v>
      </x:c>
      <x:c r="E217" s="23" t="n">
        <x:v>0</x:v>
      </x:c>
      <x:c r="F217" s="23" t="n">
        <x:v>1</x:v>
      </x:c>
    </x:row>
    <x:row r="218">
      <x:c r="A218" s="9" t="n">
        <x:v>28</x:v>
      </x:c>
      <x:c r="B218" s="9" t="str">
        <x:v>Davoodi et al. (2020)</x:v>
      </x:c>
      <x:c r="C218" s="9" t="str">
        <x:v>L1</x:v>
      </x:c>
      <x:c r="D218" s="9" t="n">
        <x:v>1</x:v>
      </x:c>
      <x:c r="E218" s="9" t="n">
        <x:v>1</x:v>
      </x:c>
      <x:c r="F218" s="9" t="n">
        <x:v>1</x:v>
      </x:c>
    </x:row>
    <x:row r="219">
      <x:c r="A219" s="23" t="n">
        <x:v>28</x:v>
      </x:c>
      <x:c r="B219" s="23" t="str">
        <x:v>Davoodi et al. (2020)</x:v>
      </x:c>
      <x:c r="C219" s="23" t="str">
        <x:v>L2</x:v>
      </x:c>
      <x:c r="D219" s="23" t="n">
        <x:v>1</x:v>
      </x:c>
      <x:c r="E219" s="23" t="n">
        <x:v>1</x:v>
      </x:c>
      <x:c r="F219" s="23" t="n">
        <x:v>1</x:v>
      </x:c>
    </x:row>
    <x:row r="220">
      <x:c r="A220" s="9" t="n">
        <x:v>28</x:v>
      </x:c>
      <x:c r="B220" s="9" t="str">
        <x:v>Davoodi et al. (2020)</x:v>
      </x:c>
      <x:c r="C220" s="9" t="str">
        <x:v>L3</x:v>
      </x:c>
      <x:c r="D220" s="9" t="n">
        <x:v>1</x:v>
      </x:c>
      <x:c r="E220" s="9" t="n">
        <x:v>1</x:v>
      </x:c>
      <x:c r="F220" s="9" t="n">
        <x:v>1</x:v>
      </x:c>
    </x:row>
    <x:row r="221">
      <x:c r="A221" s="23" t="n">
        <x:v>28</x:v>
      </x:c>
      <x:c r="B221" s="23" t="str">
        <x:v>Davoodi et al. (2020)</x:v>
      </x:c>
      <x:c r="C221" s="23" t="str">
        <x:v>L4</x:v>
      </x:c>
      <x:c r="D221" s="23" t="n">
        <x:v>1</x:v>
      </x:c>
      <x:c r="E221" s="23" t="n">
        <x:v>1</x:v>
      </x:c>
      <x:c r="F221" s="23" t="n">
        <x:v>1</x:v>
      </x:c>
    </x:row>
    <x:row r="222">
      <x:c r="A222" s="9" t="n">
        <x:v>28</x:v>
      </x:c>
      <x:c r="B222" s="9" t="str">
        <x:v>Davoodi et al. (2020)</x:v>
      </x:c>
      <x:c r="C222" s="9" t="str">
        <x:v>L5</x:v>
      </x:c>
      <x:c r="D222" s="9" t="n">
        <x:v>1</x:v>
      </x:c>
      <x:c r="E222" s="9" t="n">
        <x:v>1</x:v>
      </x:c>
      <x:c r="F222" s="9" t="n">
        <x:v>1</x:v>
      </x:c>
    </x:row>
    <x:row r="223">
      <x:c r="A223" s="23" t="n">
        <x:v>28</x:v>
      </x:c>
      <x:c r="B223" s="23" t="str">
        <x:v>Davoodi et al. (2020)</x:v>
      </x:c>
      <x:c r="C223" s="23" t="str">
        <x:v>L6</x:v>
      </x:c>
      <x:c r="D223" s="23" t="n">
        <x:v>1</x:v>
      </x:c>
      <x:c r="E223" s="23" t="n">
        <x:v>1</x:v>
      </x:c>
      <x:c r="F223" s="23" t="n">
        <x:v>1</x:v>
      </x:c>
    </x:row>
    <x:row r="224">
      <x:c r="A224" s="9" t="n">
        <x:v>28</x:v>
      </x:c>
      <x:c r="B224" s="9" t="str">
        <x:v>Davoodi et al. (2020)</x:v>
      </x:c>
      <x:c r="C224" s="9" t="str">
        <x:v>L7</x:v>
      </x:c>
      <x:c r="D224" s="9" t="n">
        <x:v>1</x:v>
      </x:c>
      <x:c r="E224" s="9" t="n">
        <x:v>1</x:v>
      </x:c>
      <x:c r="F224" s="9" t="n">
        <x:v>1</x:v>
      </x:c>
    </x:row>
    <x:row r="225">
      <x:c r="A225" s="23" t="n">
        <x:v>28</x:v>
      </x:c>
      <x:c r="B225" s="23" t="str">
        <x:v>Davoodi et al. (2020)</x:v>
      </x:c>
      <x:c r="C225" s="23" t="str">
        <x:v>L8</x:v>
      </x:c>
      <x:c r="D225" s="23" t="n">
        <x:v>0</x:v>
      </x:c>
      <x:c r="E225" s="23" t="n">
        <x:v>0</x:v>
      </x:c>
      <x:c r="F225" s="23" t="n">
        <x:v>1</x:v>
      </x:c>
    </x:row>
    <x:row r="226">
      <x:c r="A226" s="9" t="n">
        <x:v>29</x:v>
      </x:c>
      <x:c r="B226" s="9" t="str">
        <x:v>Christ et al. (2019)</x:v>
      </x:c>
      <x:c r="C226" s="9" t="str">
        <x:v>L1</x:v>
      </x:c>
      <x:c r="D226" s="9" t="n">
        <x:v>1</x:v>
      </x:c>
      <x:c r="E226" s="9" t="n">
        <x:v>1</x:v>
      </x:c>
      <x:c r="F226" s="9" t="n">
        <x:v>1</x:v>
      </x:c>
    </x:row>
    <x:row r="227">
      <x:c r="A227" s="23" t="n">
        <x:v>29</x:v>
      </x:c>
      <x:c r="B227" s="23" t="str">
        <x:v>Christ et al. (2019)</x:v>
      </x:c>
      <x:c r="C227" s="23" t="str">
        <x:v>L2</x:v>
      </x:c>
      <x:c r="D227" s="23" t="n">
        <x:v>1</x:v>
      </x:c>
      <x:c r="E227" s="23" t="n">
        <x:v>1</x:v>
      </x:c>
      <x:c r="F227" s="23" t="n">
        <x:v>1</x:v>
      </x:c>
    </x:row>
    <x:row r="228">
      <x:c r="A228" s="9" t="n">
        <x:v>29</x:v>
      </x:c>
      <x:c r="B228" s="9" t="str">
        <x:v>Christ et al. (2019)</x:v>
      </x:c>
      <x:c r="C228" s="9" t="str">
        <x:v>L3</x:v>
      </x:c>
      <x:c r="D228" s="9" t="n">
        <x:v>1</x:v>
      </x:c>
      <x:c r="E228" s="9" t="n">
        <x:v>1</x:v>
      </x:c>
      <x:c r="F228" s="9" t="n">
        <x:v>1</x:v>
      </x:c>
    </x:row>
    <x:row r="229">
      <x:c r="A229" s="23" t="n">
        <x:v>29</x:v>
      </x:c>
      <x:c r="B229" s="23" t="str">
        <x:v>Christ et al. (2019)</x:v>
      </x:c>
      <x:c r="C229" s="23" t="str">
        <x:v>L4</x:v>
      </x:c>
      <x:c r="D229" s="23" t="n">
        <x:v>1</x:v>
      </x:c>
      <x:c r="E229" s="23" t="n">
        <x:v>1</x:v>
      </x:c>
      <x:c r="F229" s="23" t="n">
        <x:v>1</x:v>
      </x:c>
    </x:row>
    <x:row r="230">
      <x:c r="A230" s="9" t="n">
        <x:v>29</x:v>
      </x:c>
      <x:c r="B230" s="9" t="str">
        <x:v>Christ et al. (2019)</x:v>
      </x:c>
      <x:c r="C230" s="9" t="str">
        <x:v>L5</x:v>
      </x:c>
      <x:c r="D230" s="9" t="n">
        <x:v>1</x:v>
      </x:c>
      <x:c r="E230" s="9" t="n">
        <x:v>1</x:v>
      </x:c>
      <x:c r="F230" s="9" t="n">
        <x:v>1</x:v>
      </x:c>
    </x:row>
    <x:row r="231">
      <x:c r="A231" s="23" t="n">
        <x:v>29</x:v>
      </x:c>
      <x:c r="B231" s="23" t="str">
        <x:v>Christ et al. (2019)</x:v>
      </x:c>
      <x:c r="C231" s="23" t="str">
        <x:v>L6</x:v>
      </x:c>
      <x:c r="D231" s="23" t="n">
        <x:v>0</x:v>
      </x:c>
      <x:c r="E231" s="23" t="n">
        <x:v>0</x:v>
      </x:c>
      <x:c r="F231" s="23" t="n">
        <x:v>1</x:v>
      </x:c>
    </x:row>
    <x:row r="232">
      <x:c r="A232" s="9" t="n">
        <x:v>29</x:v>
      </x:c>
      <x:c r="B232" s="9" t="str">
        <x:v>Christ et al. (2019)</x:v>
      </x:c>
      <x:c r="C232" s="9" t="str">
        <x:v>L7</x:v>
      </x:c>
      <x:c r="D232" s="9" t="n">
        <x:v>1</x:v>
      </x:c>
      <x:c r="E232" s="9" t="n">
        <x:v>1</x:v>
      </x:c>
      <x:c r="F232" s="9" t="n">
        <x:v>1</x:v>
      </x:c>
    </x:row>
    <x:row r="233">
      <x:c r="A233" s="33" t="n">
        <x:v>29</x:v>
      </x:c>
      <x:c r="B233" s="33" t="str">
        <x:v>Christ et al. (2019)</x:v>
      </x:c>
      <x:c r="C233" s="33" t="str">
        <x:v>L8</x:v>
      </x:c>
      <x:c r="D233" s="33" t="n">
        <x:v>0</x:v>
      </x:c>
      <x:c r="E233" s="33" t="n">
        <x:v>0</x:v>
      </x:c>
      <x:c r="F233" s="33" t="n">
        <x:v>1</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31" hidden="0" customWidth="1"/>
    <x:col min="3" max="3" width="17" hidden="0" customWidth="1"/>
    <x:col min="4" max="4" width="17" hidden="0" customWidth="1"/>
    <x:col min="5" max="5" width="17" hidden="0" customWidth="1"/>
    <x:col min="6" max="6" width="17" hidden="0" customWidth="1"/>
    <x:col min="7" max="7" width="68" hidden="0" customWidth="1"/>
    <x:col min="8" max="8" width="68" hidden="0" customWidth="1"/>
  </x:cols>
  <x:sheetData>
    <x:row r="1" ht="32" customHeight="1">
      <x:c r="A1" s="5" t="str">
        <x:v>Study ID</x:v>
      </x:c>
      <x:c r="B1" s="5" t="str">
        <x:v>Study</x:v>
      </x:c>
      <x:c r="C1" s="5" t="str">
        <x:v>REB item</x:v>
      </x:c>
      <x:c r="D1" s="5" t="str">
        <x:v>Pooja rating</x:v>
      </x:c>
      <x:c r="E1" s="5" t="str">
        <x:v>Swarubini rating</x:v>
      </x:c>
      <x:c r="F1" s="5" t="str">
        <x:v>Final decision</x:v>
      </x:c>
      <x:c r="G1" s="5" t="str">
        <x:v>Pooja evidence location</x:v>
      </x:c>
      <x:c r="H1" s="5" t="str">
        <x:v>Swarubini evidence location</x:v>
      </x:c>
    </x:row>
    <x:row r="2" ht="44" customHeight="1">
      <x:c r="A2" s="8" t="n">
        <x:v>1</x:v>
      </x:c>
      <x:c r="B2" s="8" t="str">
        <x:v>Saroli et al. (2025)</x:v>
      </x:c>
      <x:c r="C2" s="8" t="str">
        <x:v>L1</x:v>
      </x:c>
      <x:c r="D2" s="8" t="n">
        <x:v>1</x:v>
      </x:c>
      <x:c r="E2" s="8" t="n">
        <x:v>1</x:v>
      </x:c>
      <x:c r="F2" s="8" t="n">
        <x:v>1</x:v>
      </x:c>
      <x:c r="G2" s="14" t="str">
        <x:v>PDF p.2 reports the print settings and composition; pp.4–5 report controlled 0–5% Instron calibration, uncertainty, and gauge factor.</x:v>
      </x:c>
      <x:c r="H2" s="14" t="str">
        <x:v>pp. 2-3, Sec. II-A</x:v>
      </x:c>
    </x:row>
    <x:row r="3" ht="44" customHeight="1">
      <x:c r="A3" s="23" t="n">
        <x:v>1</x:v>
      </x:c>
      <x:c r="B3" s="23" t="str">
        <x:v>Saroli et al. (2025)</x:v>
      </x:c>
      <x:c r="C3" s="23" t="str">
        <x:v>L2</x:v>
      </x:c>
      <x:c r="D3" s="23" t="n">
        <x:v>1</x:v>
      </x:c>
      <x:c r="E3" s="23" t="n">
        <x:v>1</x:v>
      </x:c>
      <x:c r="F3" s="23" t="n">
        <x:v>1</x:v>
      </x:c>
      <x:c r="G3" s="41" t="str">
        <x:v>PDF p.2 reports the print settings and composition; pp.4–5 report controlled 0–5% Instron calibration, uncertainty, and gauge factor.</x:v>
      </x:c>
      <x:c r="H3" s="41" t="str">
        <x:v>p. 3, Sec. II-A</x:v>
      </x:c>
    </x:row>
    <x:row r="4" ht="44" customHeight="1">
      <x:c r="A4" s="9" t="n">
        <x:v>1</x:v>
      </x:c>
      <x:c r="B4" s="9" t="str">
        <x:v>Saroli et al. (2025)</x:v>
      </x:c>
      <x:c r="C4" s="9" t="str">
        <x:v>L3</x:v>
      </x:c>
      <x:c r="D4" s="9" t="n">
        <x:v>1</x:v>
      </x:c>
      <x:c r="E4" s="9" t="n">
        <x:v>1</x:v>
      </x:c>
      <x:c r="F4" s="9" t="n">
        <x:v>1</x:v>
      </x:c>
      <x:c r="G4" s="15" t="str">
        <x:v>PDF p.2 reports the print settings and composition; pp.4–5 report controlled 0–5% Instron calibration, uncertainty, and gauge factor.</x:v>
      </x:c>
      <x:c r="H4" s="15" t="str">
        <x:v>p. 4, Sec. III</x:v>
      </x:c>
    </x:row>
    <x:row r="5" ht="44" customHeight="1">
      <x:c r="A5" s="23" t="n">
        <x:v>1</x:v>
      </x:c>
      <x:c r="B5" s="23" t="str">
        <x:v>Saroli et al. (2025)</x:v>
      </x:c>
      <x:c r="C5" s="23" t="str">
        <x:v>L4</x:v>
      </x:c>
      <x:c r="D5" s="23" t="n">
        <x:v>1</x:v>
      </x:c>
      <x:c r="E5" s="23" t="n">
        <x:v>1</x:v>
      </x:c>
      <x:c r="F5" s="23" t="n">
        <x:v>1</x:v>
      </x:c>
      <x:c r="G5" s="41" t="str">
        <x:v>PDF p.2 reports the print settings and composition; pp.4–5 report controlled 0–5% Instron calibration, uncertainty, and gauge factor.</x:v>
      </x:c>
      <x:c r="H5" s="41" t="str">
        <x:v>pp. 4-5, Sec. III-A</x:v>
      </x:c>
    </x:row>
    <x:row r="6" ht="44" customHeight="1">
      <x:c r="A6" s="9" t="n">
        <x:v>1</x:v>
      </x:c>
      <x:c r="B6" s="9" t="str">
        <x:v>Saroli et al. (2025)</x:v>
      </x:c>
      <x:c r="C6" s="9" t="str">
        <x:v>L5</x:v>
      </x:c>
      <x:c r="D6" s="9" t="n">
        <x:v>1</x:v>
      </x:c>
      <x:c r="E6" s="9" t="n">
        <x:v>1</x:v>
      </x:c>
      <x:c r="F6" s="9" t="n">
        <x:v>1</x:v>
      </x:c>
      <x:c r="G6" s="15" t="str">
        <x:v>pp.4–7 report 20 loading–unloading cycles, a 1000-cycle test, hysteresis/drift, temperature and humidity cycling, and comparison of bare, tape-integrated, and silicone-integrated configurations.</x:v>
      </x:c>
      <x:c r="H6" s="15" t="str">
        <x:v>pp. 4 and 6, Sec. III-B</x:v>
      </x:c>
    </x:row>
    <x:row r="7" ht="44" customHeight="1">
      <x:c r="A7" s="23" t="n">
        <x:v>1</x:v>
      </x:c>
      <x:c r="B7" s="23" t="str">
        <x:v>Saroli et al. (2025)</x:v>
      </x:c>
      <x:c r="C7" s="23" t="str">
        <x:v>L6</x:v>
      </x:c>
      <x:c r="D7" s="23" t="n">
        <x:v>1</x:v>
      </x:c>
      <x:c r="E7" s="23" t="n">
        <x:v>1</x:v>
      </x:c>
      <x:c r="F7" s="23" t="n">
        <x:v>1</x:v>
      </x:c>
      <x:c r="G7" s="41" t="str">
        <x:v>pp.4–7 report 20 loading–unloading cycles, a 1000-cycle test, hysteresis/drift, temperature and humidity cycling, and comparison of bare, tape-integrated, and silicone-integrated configurations.</x:v>
      </x:c>
      <x:c r="H7" s="41" t="str">
        <x:v>pp. 6-7, Sec. IV</x:v>
      </x:c>
    </x:row>
    <x:row r="8" ht="44" customHeight="1">
      <x:c r="A8" s="9" t="n">
        <x:v>1</x:v>
      </x:c>
      <x:c r="B8" s="9" t="str">
        <x:v>Saroli et al. (2025)</x:v>
      </x:c>
      <x:c r="C8" s="9" t="str">
        <x:v>L7</x:v>
      </x:c>
      <x:c r="D8" s="9" t="n">
        <x:v>1</x:v>
      </x:c>
      <x:c r="E8" s="9" t="n">
        <x:v>1</x:v>
      </x:c>
      <x:c r="F8" s="9" t="n">
        <x:v>1</x:v>
      </x:c>
      <x:c r="G8" s="15" t="str">
        <x:v>pp.4–7 report 20 loading–unloading cycles, a 1000-cycle test, hysteresis/drift, temperature and humidity cycling, and comparison of bare, tape-integrated, and silicone-integrated configurations.</x:v>
      </x:c>
      <x:c r="H8" s="15" t="str">
        <x:v>pp. 4 and 6; Fig. 4(d)</x:v>
      </x:c>
    </x:row>
    <x:row r="9" ht="44" customHeight="1">
      <x:c r="A9" s="23" t="n">
        <x:v>1</x:v>
      </x:c>
      <x:c r="B9" s="23" t="str">
        <x:v>Saroli et al. (2025)</x:v>
      </x:c>
      <x:c r="C9" s="23" t="str">
        <x:v>L8</x:v>
      </x:c>
      <x:c r="D9" s="23" t="n">
        <x:v>0</x:v>
      </x:c>
      <x:c r="E9" s="23" t="n">
        <x:v>0</x:v>
      </x:c>
      <x:c r="F9" s="23" t="n">
        <x:v>0</x:v>
      </x:c>
      <x:c r="G9" s="41" t="str">
        <x:v>the five repetitions are repeat tests, not independently fabricated devices; p.9 identifies device reproducibility as future work.</x:v>
      </x:c>
      <x:c r="H9" s="41" t="str">
        <x:v>Not located; p. 9 states future reproducibility testing</x:v>
      </x:c>
    </x:row>
    <x:row r="10" ht="44" customHeight="1">
      <x:c r="A10" s="9" t="n">
        <x:v>2</x:v>
      </x:c>
      <x:c r="B10" s="9" t="str">
        <x:v>Suppelt et al. (2025)</x:v>
      </x:c>
      <x:c r="C10" s="9" t="str">
        <x:v>L1</x:v>
      </x:c>
      <x:c r="D10" s="9" t="n">
        <x:v>0</x:v>
      </x:c>
      <x:c r="E10" s="9" t="n">
        <x:v>0</x:v>
      </x:c>
      <x:c r="F10" s="9" t="n">
        <x:v>0</x:v>
      </x:c>
      <x:c r="G10" s="15" t="str">
        <x:v>p.2 gives the printer, 0.6-mm nozzles, and materials but delegates ElectriFi processing to manufacturer specifications; the conditions needed to reconstruct the tested electrode are incomplete.</x:v>
      </x:c>
      <x:c r="H10" s="15" t="str">
        <x:v>p. 2, Sec. II-A</x:v>
      </x:c>
    </x:row>
    <x:row r="11" ht="44" customHeight="1">
      <x:c r="A11" s="23" t="n">
        <x:v>2</x:v>
      </x:c>
      <x:c r="B11" s="23" t="str">
        <x:v>Suppelt et al. (2025)</x:v>
      </x:c>
      <x:c r="C11" s="23" t="str">
        <x:v>L2</x:v>
      </x:c>
      <x:c r="D11" s="23" t="n">
        <x:v>1</x:v>
      </x:c>
      <x:c r="E11" s="23" t="n">
        <x:v>1</x:v>
      </x:c>
      <x:c r="F11" s="23" t="n">
        <x:v>1</x:v>
      </x:c>
      <x:c r="G11" s="41" t="str">
        <x:v>pp.1–3 identify the conductive/structural materials and embedded PCB, use controlled grip exercises and a commercial Delsys reference, and report ARV and SNR with processing details.</x:v>
      </x:c>
      <x:c r="H11" s="41" t="str">
        <x:v>pp. 1-2, Fig. 1 and Sec. II-A</x:v>
      </x:c>
    </x:row>
    <x:row r="12" ht="44" customHeight="1">
      <x:c r="A12" s="9" t="n">
        <x:v>2</x:v>
      </x:c>
      <x:c r="B12" s="9" t="str">
        <x:v>Suppelt et al. (2025)</x:v>
      </x:c>
      <x:c r="C12" s="9" t="str">
        <x:v>L3</x:v>
      </x:c>
      <x:c r="D12" s="9" t="n">
        <x:v>1</x:v>
      </x:c>
      <x:c r="E12" s="9" t="n">
        <x:v>1</x:v>
      </x:c>
      <x:c r="F12" s="9" t="n">
        <x:v>1</x:v>
      </x:c>
      <x:c r="G12" s="15" t="str">
        <x:v>pp.1–3 identify the conductive/structural materials and embedded PCB, use controlled grip exercises and a commercial Delsys reference, and report ARV and SNR with processing details.</x:v>
      </x:c>
      <x:c r="H12" s="15" t="str">
        <x:v>p. 2, Sec. II-B; 50 kg grip and Delsys reference</x:v>
      </x:c>
    </x:row>
    <x:row r="13" ht="44" customHeight="1">
      <x:c r="A13" s="23" t="n">
        <x:v>2</x:v>
      </x:c>
      <x:c r="B13" s="23" t="str">
        <x:v>Suppelt et al. (2025)</x:v>
      </x:c>
      <x:c r="C13" s="23" t="str">
        <x:v>L4</x:v>
      </x:c>
      <x:c r="D13" s="23" t="n">
        <x:v>1</x:v>
      </x:c>
      <x:c r="E13" s="23" t="n">
        <x:v>1</x:v>
      </x:c>
      <x:c r="F13" s="23" t="n">
        <x:v>1</x:v>
      </x:c>
      <x:c r="G13" s="41" t="str">
        <x:v>pp.1–3 identify the conductive/structural materials and embedded PCB, use controlled grip exercises and a commercial Delsys reference, and report ARV and SNR with processing details.</x:v>
      </x:c>
      <x:c r="H13" s="41" t="str">
        <x:v>p. 3, Secs. II-C and III; Fig. 2(d-e)</x:v>
      </x:c>
    </x:row>
    <x:row r="14" ht="44" customHeight="1">
      <x:c r="A14" s="9" t="n">
        <x:v>2</x:v>
      </x:c>
      <x:c r="B14" s="9" t="str">
        <x:v>Suppelt et al. (2025)</x:v>
      </x:c>
      <x:c r="C14" s="9" t="str">
        <x:v>L5</x:v>
      </x:c>
      <x:c r="D14" s="9" t="n">
        <x:v>0</x:v>
      </x:c>
      <x:c r="E14" s="9" t="n">
        <x:v>0</x:v>
      </x:c>
      <x:c r="F14" s="9" t="n">
        <x:v>0</x:v>
      </x:c>
      <x:c r="G14" s="15" t="str">
        <x:v>no mechanical cyclic, hysteresis, drift, wear, or retention test was located.</x:v>
      </x:c>
      <x:c r="H14" s="15" t="str">
        <x:v>Not located; repeated contractions lacked a stability analysis</x:v>
      </x:c>
    </x:row>
    <x:row r="15" ht="44" customHeight="1">
      <x:c r="A15" s="23" t="n">
        <x:v>2</x:v>
      </x:c>
      <x:c r="B15" s="23" t="str">
        <x:v>Suppelt et al. (2025)</x:v>
      </x:c>
      <x:c r="C15" s="23" t="str">
        <x:v>L6</x:v>
      </x:c>
      <x:c r="D15" s="23" t="n">
        <x:v>1</x:v>
      </x:c>
      <x:c r="E15" s="23" t="n">
        <x:v>1</x:v>
      </x:c>
      <x:c r="F15" s="23" t="n">
        <x:v>1</x:v>
      </x:c>
      <x:c r="G15" s="41" t="str">
        <x:v>pp.2–3 report five-day saline exposure and one device failure, trace the failure to the printed-conductor/PCB connection, and compare five successively manufactured electrodes (P1–P5) with 95% confidence intervals.</x:v>
      </x:c>
      <x:c r="H15" s="41" t="str">
        <x:v>pp. 2-3; saline immersion over five days</x:v>
      </x:c>
    </x:row>
    <x:row r="16" ht="44" customHeight="1">
      <x:c r="A16" s="9" t="n">
        <x:v>2</x:v>
      </x:c>
      <x:c r="B16" s="9" t="str">
        <x:v>Suppelt et al. (2025)</x:v>
      </x:c>
      <x:c r="C16" s="9" t="str">
        <x:v>L7</x:v>
      </x:c>
      <x:c r="D16" s="9" t="n">
        <x:v>1</x:v>
      </x:c>
      <x:c r="E16" s="9" t="n">
        <x:v>1</x:v>
      </x:c>
      <x:c r="F16" s="9" t="n">
        <x:v>1</x:v>
      </x:c>
      <x:c r="G16" s="15" t="str">
        <x:v>pp.2–3 report five-day saline exposure and one device failure, trace the failure to the printed-conductor/PCB connection, and compare five successively manufactured electrodes (P1–P5) with 95% confidence intervals.</x:v>
      </x:c>
      <x:c r="H16" s="15" t="str">
        <x:v>pp. 3-4; interface failure after saline exposure</x:v>
      </x:c>
    </x:row>
    <x:row r="17" ht="44" customHeight="1">
      <x:c r="A17" s="23" t="n">
        <x:v>2</x:v>
      </x:c>
      <x:c r="B17" s="23" t="str">
        <x:v>Suppelt et al. (2025)</x:v>
      </x:c>
      <x:c r="C17" s="23" t="str">
        <x:v>L8</x:v>
      </x:c>
      <x:c r="D17" s="23" t="n">
        <x:v>1</x:v>
      </x:c>
      <x:c r="E17" s="23" t="n">
        <x:v>1</x:v>
      </x:c>
      <x:c r="F17" s="23" t="n">
        <x:v>1</x:v>
      </x:c>
      <x:c r="G17" s="41" t="str">
        <x:v>pp.2–3 report five-day saline exposure and one device failure, trace the failure to the printed-conductor/PCB connection, and compare five successively manufactured electrodes (P1–P5) with 95% confidence intervals.</x:v>
      </x:c>
      <x:c r="H17" s="41" t="str">
        <x:v>pp. 2-3; five printed electrodes and Fig. 2(d-e)</x:v>
      </x:c>
    </x:row>
    <x:row r="18" ht="44" customHeight="1">
      <x:c r="A18" s="9" t="n">
        <x:v>3</x:v>
      </x:c>
      <x:c r="B18" s="9" t="str">
        <x:v>Michalec and Faller (2024)</x:v>
      </x:c>
      <x:c r="C18" s="9" t="str">
        <x:v>L1</x:v>
      </x:c>
      <x:c r="D18" s="9" t="n">
        <x:v>1</x:v>
      </x:c>
      <x:c r="E18" s="9" t="n">
        <x:v>1</x:v>
      </x:c>
      <x:c r="F18" s="9" t="n">
        <x:v>1</x:v>
      </x:c>
      <x:c r="G18" s="15" t="str">
        <x:v>pp.3–7 report complete dual-material print settings, materials, controlled robotic displacement/reference potentiometer testing, encoder resolution, detection rate, and accuracy.</x:v>
      </x:c>
      <x:c r="H18" s="15" t="str">
        <x:v>pp. 3-4, Sec. II-B</x:v>
      </x:c>
    </x:row>
    <x:row r="19" ht="44" customHeight="1">
      <x:c r="A19" s="23" t="n">
        <x:v>3</x:v>
      </x:c>
      <x:c r="B19" s="23" t="str">
        <x:v>Michalec and Faller (2024)</x:v>
      </x:c>
      <x:c r="C19" s="23" t="str">
        <x:v>L2</x:v>
      </x:c>
      <x:c r="D19" s="23" t="n">
        <x:v>1</x:v>
      </x:c>
      <x:c r="E19" s="23" t="n">
        <x:v>1</x:v>
      </x:c>
      <x:c r="F19" s="23" t="n">
        <x:v>1</x:v>
      </x:c>
      <x:c r="G19" s="41" t="str">
        <x:v>pp.3–7 report complete dual-material print settings, materials, controlled robotic displacement/reference potentiometer testing, encoder resolution, detection rate, and accuracy.</x:v>
      </x:c>
      <x:c r="H19" s="41" t="str">
        <x:v>p. 4, Sec. II-B; p. 5, Sec. II-C</x:v>
      </x:c>
    </x:row>
    <x:row r="20" ht="44" customHeight="1">
      <x:c r="A20" s="9" t="n">
        <x:v>3</x:v>
      </x:c>
      <x:c r="B20" s="9" t="str">
        <x:v>Michalec and Faller (2024)</x:v>
      </x:c>
      <x:c r="C20" s="9" t="str">
        <x:v>L3</x:v>
      </x:c>
      <x:c r="D20" s="9" t="n">
        <x:v>1</x:v>
      </x:c>
      <x:c r="E20" s="9" t="n">
        <x:v>1</x:v>
      </x:c>
      <x:c r="F20" s="9" t="n">
        <x:v>1</x:v>
      </x:c>
      <x:c r="G20" s="15" t="str">
        <x:v>pp.3–7 report complete dual-material print settings, materials, controlled robotic displacement/reference potentiometer testing, encoder resolution, detection rate, and accuracy.</x:v>
      </x:c>
      <x:c r="H20" s="15" t="str">
        <x:v>pp. 5, 7, and 9-10; potentiometer reference</x:v>
      </x:c>
    </x:row>
    <x:row r="21" ht="44" customHeight="1">
      <x:c r="A21" s="23" t="n">
        <x:v>3</x:v>
      </x:c>
      <x:c r="B21" s="23" t="str">
        <x:v>Michalec and Faller (2024)</x:v>
      </x:c>
      <x:c r="C21" s="23" t="str">
        <x:v>L4</x:v>
      </x:c>
      <x:c r="D21" s="23" t="n">
        <x:v>1</x:v>
      </x:c>
      <x:c r="E21" s="23" t="n">
        <x:v>1</x:v>
      </x:c>
      <x:c r="F21" s="23" t="n">
        <x:v>1</x:v>
      </x:c>
      <x:c r="G21" s="41" t="str">
        <x:v>pp.3–7 report complete dual-material print settings, materials, controlled robotic displacement/reference potentiometer testing, encoder resolution, detection rate, and accuracy.</x:v>
      </x:c>
      <x:c r="H21" s="41" t="str">
        <x:v>pp. 9-10; Fig. 12(d), 0-40 degrees</x:v>
      </x:c>
    </x:row>
    <x:row r="22" ht="44" customHeight="1">
      <x:c r="A22" s="9" t="n">
        <x:v>3</x:v>
      </x:c>
      <x:c r="B22" s="9" t="str">
        <x:v>Michalec and Faller (2024)</x:v>
      </x:c>
      <x:c r="C22" s="9" t="str">
        <x:v>L5</x:v>
      </x:c>
      <x:c r="D22" s="9" t="n">
        <x:v>1</x:v>
      </x:c>
      <x:c r="E22" s="9" t="n">
        <x:v>1</x:v>
      </x:c>
      <x:c r="F22" s="9" t="n">
        <x:v>1</x:v>
      </x:c>
      <x:c r="G22" s="15" t="str">
        <x:v>pp.6–11 report fatigue to 20,000 cycles, wear/failure, −20 to 40 °C and water testing, and repeated validation of the monolithically integrated encoder in the final hand orthosis.</x:v>
      </x:c>
      <x:c r="H22" s="15" t="str">
        <x:v>pp. 6 and 8-11; fatigue and wear testing</x:v>
      </x:c>
    </x:row>
    <x:row r="23" ht="44" customHeight="1">
      <x:c r="A23" s="23" t="n">
        <x:v>3</x:v>
      </x:c>
      <x:c r="B23" s="23" t="str">
        <x:v>Michalec and Faller (2024)</x:v>
      </x:c>
      <x:c r="C23" s="23" t="str">
        <x:v>L6</x:v>
      </x:c>
      <x:c r="D23" s="23" t="n">
        <x:v>1</x:v>
      </x:c>
      <x:c r="E23" s="23" t="n">
        <x:v>1</x:v>
      </x:c>
      <x:c r="F23" s="23" t="n">
        <x:v>1</x:v>
      </x:c>
      <x:c r="G23" s="41" t="str">
        <x:v>pp.6–11 report fatigue to 20,000 cycles, wear/failure, −20 to 40 °C and water testing, and repeated validation of the monolithically integrated encoder in the final hand orthosis.</x:v>
      </x:c>
      <x:c r="H23" s="41" t="str">
        <x:v>pp. 6 and 8-9; -20 to 40 degrees C and water</x:v>
      </x:c>
    </x:row>
    <x:row r="24" ht="44" customHeight="1">
      <x:c r="A24" s="9" t="n">
        <x:v>3</x:v>
      </x:c>
      <x:c r="B24" s="9" t="str">
        <x:v>Michalec and Faller (2024)</x:v>
      </x:c>
      <x:c r="C24" s="9" t="str">
        <x:v>L7</x:v>
      </x:c>
      <x:c r="D24" s="9" t="n">
        <x:v>1</x:v>
      </x:c>
      <x:c r="E24" s="9" t="n">
        <x:v>1</x:v>
      </x:c>
      <x:c r="F24" s="9" t="n">
        <x:v>1</x:v>
      </x:c>
      <x:c r="G24" s="15" t="str">
        <x:v>pp.6–11 report fatigue to 20,000 cycles, wear/failure, −20 to 40 °C and water testing, and repeated validation of the monolithically integrated encoder in the final hand orthosis.</x:v>
      </x:c>
      <x:c r="H24" s="15" t="str">
        <x:v>pp. 7 and 9-10; final sHO tested repeatedly</x:v>
      </x:c>
    </x:row>
    <x:row r="25" ht="44" customHeight="1">
      <x:c r="A25" s="23" t="n">
        <x:v>3</x:v>
      </x:c>
      <x:c r="B25" s="23" t="str">
        <x:v>Michalec and Faller (2024)</x:v>
      </x:c>
      <x:c r="C25" s="23" t="str">
        <x:v>L8</x:v>
      </x:c>
      <x:c r="D25" s="23" t="n">
        <x:v>1</x:v>
      </x:c>
      <x:c r="E25" s="23" t="n">
        <x:v>1</x:v>
      </x:c>
      <x:c r="F25" s="23" t="n">
        <x:v>1</x:v>
      </x:c>
      <x:c r="G25" s="41" t="str">
        <x:v>pp.6–9 compare three independently printed copies/specimens and report between-copy dispersion.</x:v>
      </x:c>
      <x:c r="H25" s="41" t="str">
        <x:v>pp. 6 and 8; three copies/specimens and variation</x:v>
      </x:c>
    </x:row>
    <x:row r="26" ht="44" customHeight="1">
      <x:c r="A26" s="9" t="n">
        <x:v>4</x:v>
      </x:c>
      <x:c r="B26" s="9" t="str">
        <x:v>Dimo et al. (May 2024)</x:v>
      </x:c>
      <x:c r="C26" s="9" t="str">
        <x:v>L1</x:v>
      </x:c>
      <x:c r="D26" s="9" t="n">
        <x:v>0</x:v>
      </x:c>
      <x:c r="E26" s="9" t="n">
        <x:v>0</x:v>
      </x:c>
      <x:c r="F26" s="9" t="n">
        <x:v>0</x:v>
      </x:c>
      <x:c r="G26" s="15" t="str">
        <x:v>p.3 reports printer, infill, pattern, speed, geometry, and the embedding sequence, but omits extrusion/bed temperatures, nozzle size, and layer height.</x:v>
      </x:c>
      <x:c r="H26" s="15" t="str">
        <x:v>p. 3, Sec. II-C; </x:v>
      </x:c>
    </x:row>
    <x:row r="27" ht="44" customHeight="1">
      <x:c r="A27" s="23" t="n">
        <x:v>4</x:v>
      </x:c>
      <x:c r="B27" s="23" t="str">
        <x:v>Dimo et al. (May 2024)</x:v>
      </x:c>
      <x:c r="C27" s="23" t="str">
        <x:v>L2</x:v>
      </x:c>
      <x:c r="D27" s="23" t="n">
        <x:v>1</x:v>
      </x:c>
      <x:c r="E27" s="23" t="n">
        <x:v>1</x:v>
      </x:c>
      <x:c r="F27" s="23" t="n">
        <x:v>1</x:v>
      </x:c>
      <x:c r="G27" s="41" t="str">
        <x:v>pp.1–4 identify TPU/FBG/bands and relate wavelength shift to controlled Instron strain and joint angle, with sensitivity and range.</x:v>
      </x:c>
      <x:c r="H27" s="41" t="str">
        <x:v>pp. 2-3, Sec. II; TPU 95A, FBG, bands, and PLA buckles</x:v>
      </x:c>
    </x:row>
    <x:row r="28" ht="44" customHeight="1">
      <x:c r="A28" s="9" t="n">
        <x:v>4</x:v>
      </x:c>
      <x:c r="B28" s="9" t="str">
        <x:v>Dimo et al. (May 2024)</x:v>
      </x:c>
      <x:c r="C28" s="9" t="str">
        <x:v>L3</x:v>
      </x:c>
      <x:c r="D28" s="9" t="n">
        <x:v>1</x:v>
      </x:c>
      <x:c r="E28" s="9" t="n">
        <x:v>1</x:v>
      </x:c>
      <x:c r="F28" s="9" t="n">
        <x:v>1</x:v>
      </x:c>
      <x:c r="G28" s="15" t="str">
        <x:v>pp.1–4 identify TPU/FBG/bands and relate wavelength shift to controlled Instron strain and joint angle, with sensitivity and range.</x:v>
      </x:c>
      <x:c r="H28" s="15" t="str">
        <x:v>pp. 3-5, Sec. III; Instron, thermocouple, and defined ranges</x:v>
      </x:c>
    </x:row>
    <x:row r="29" ht="44" customHeight="1">
      <x:c r="A29" s="23" t="n">
        <x:v>4</x:v>
      </x:c>
      <x:c r="B29" s="23" t="str">
        <x:v>Dimo et al. (May 2024)</x:v>
      </x:c>
      <x:c r="C29" s="23" t="str">
        <x:v>L4</x:v>
      </x:c>
      <x:c r="D29" s="23" t="n">
        <x:v>1</x:v>
      </x:c>
      <x:c r="E29" s="23" t="n">
        <x:v>1</x:v>
      </x:c>
      <x:c r="F29" s="23" t="n">
        <x:v>1</x:v>
      </x:c>
      <x:c r="G29" s="41" t="str">
        <x:v>pp.1–4 identify TPU/FBG/bands and relate wavelength shift to controlled Instron strain and joint angle, with sensitivity and range.</x:v>
      </x:c>
      <x:c r="H29" s="41" t="str">
        <x:v>pp. 4-5; strain/temperature sensitivity and hysteresis</x:v>
      </x:c>
    </x:row>
    <x:row r="30" ht="44" customHeight="1">
      <x:c r="A30" s="9" t="n">
        <x:v>4</x:v>
      </x:c>
      <x:c r="B30" s="9" t="str">
        <x:v>Dimo et al. (May 2024)</x:v>
      </x:c>
      <x:c r="C30" s="9" t="str">
        <x:v>L5</x:v>
      </x:c>
      <x:c r="D30" s="9" t="n">
        <x:v>1</x:v>
      </x:c>
      <x:c r="E30" s="9" t="n">
        <x:v>1</x:v>
      </x:c>
      <x:c r="F30" s="9" t="n">
        <x:v>1</x:v>
      </x:c>
      <x:c r="G30" s="15" t="str">
        <x:v>pp.4–7 report loading/unloading and hysteresis/repeatability, temperature response, and experimental strain transfer/retained function of the embedded FBG and anchorage system.</x:v>
      </x:c>
      <x:c r="H30" s="15" t="str">
        <x:v>p. 5, Sec. III-C; 10 cycles, 0-1% strain, and hysteresis</x:v>
      </x:c>
    </x:row>
    <x:row r="31" ht="44" customHeight="1">
      <x:c r="A31" s="23" t="n">
        <x:v>4</x:v>
      </x:c>
      <x:c r="B31" s="23" t="str">
        <x:v>Dimo et al. (May 2024)</x:v>
      </x:c>
      <x:c r="C31" s="23" t="str">
        <x:v>L6</x:v>
      </x:c>
      <x:c r="D31" s="23" t="n">
        <x:v>1</x:v>
      </x:c>
      <x:c r="E31" s="23" t="n">
        <x:v>1</x:v>
      </x:c>
      <x:c r="F31" s="23" t="n">
        <x:v>1</x:v>
      </x:c>
      <x:c r="G31" s="41" t="str">
        <x:v>pp.4–7 report loading/unloading and hysteresis/repeatability, temperature response, and experimental strain transfer/retained function of the embedded FBG and anchorage system.</x:v>
      </x:c>
      <x:c r="H31" s="41" t="str">
        <x:v>pp. 4-5, Sec. III-B; 20-45 degrees C temperature response</x:v>
      </x:c>
    </x:row>
    <x:row r="32" ht="44" customHeight="1">
      <x:c r="A32" s="9" t="n">
        <x:v>4</x:v>
      </x:c>
      <x:c r="B32" s="9" t="str">
        <x:v>Dimo et al. (May 2024)</x:v>
      </x:c>
      <x:c r="C32" s="9" t="str">
        <x:v>L7</x:v>
      </x:c>
      <x:c r="D32" s="9" t="n">
        <x:v>1</x:v>
      </x:c>
      <x:c r="E32" s="9" t="n">
        <x:v>1</x:v>
      </x:c>
      <x:c r="F32" s="9" t="n">
        <x:v>1</x:v>
      </x:c>
      <x:c r="G32" s="15" t="str">
        <x:v>pp.4–7 report loading/unloading and hysteresis/repeatability, temperature response, and experimental strain transfer/retained function of the embedded FBG and anchorage system.</x:v>
      </x:c>
      <x:c r="H32" s="15" t="str">
        <x:v>pp. 5-6; repeated final wearable tests with retained output</x:v>
      </x:c>
    </x:row>
    <x:row r="33" ht="44" customHeight="1">
      <x:c r="A33" s="23" t="n">
        <x:v>4</x:v>
      </x:c>
      <x:c r="B33" s="23" t="str">
        <x:v>Dimo et al. (May 2024)</x:v>
      </x:c>
      <x:c r="C33" s="23" t="str">
        <x:v>L8</x:v>
      </x:c>
      <x:c r="D33" s="23" t="n">
        <x:v>0</x:v>
      </x:c>
      <x:c r="E33" s="23" t="n">
        <x:v>0</x:v>
      </x:c>
      <x:c r="F33" s="23" t="n">
        <x:v>0</x:v>
      </x:c>
      <x:c r="G33" s="41" t="str">
        <x:v>repetitions/subjects are not independently fabricated sensors.</x:v>
      </x:c>
      <x:c r="H33" s="41" t="str">
        <x:v>Not located; seven tests were repeats on one sensor (p. 4)</x:v>
      </x:c>
    </x:row>
    <x:row r="34" ht="44" customHeight="1">
      <x:c r="A34" s="9" t="n">
        <x:v>5</x:v>
      </x:c>
      <x:c r="B34" s="9" t="str">
        <x:v>Dimo et al. (Nov 2024)</x:v>
      </x:c>
      <x:c r="C34" s="9" t="str">
        <x:v>L1</x:v>
      </x:c>
      <x:c r="D34" s="9" t="n">
        <x:v>0</x:v>
      </x:c>
      <x:c r="E34" s="9" t="n">
        <x:v>0</x:v>
      </x:c>
      <x:c r="F34" s="9" t="n">
        <x:v>0</x:v>
      </x:c>
      <x:c r="G34" s="15" t="str">
        <x:v>pp.2–3 reuse the previously published sensor and do not restate sufficient fabrication settings for reconstruction.</x:v>
      </x:c>
      <x:c r="H34" s="15" t="str">
        <x:v>pp. 2-3, Sec. II-B; sensing-core print settings deferred to prior paper</x:v>
      </x:c>
    </x:row>
    <x:row r="35" ht="44" customHeight="1">
      <x:c r="A35" s="23" t="n">
        <x:v>5</x:v>
      </x:c>
      <x:c r="B35" s="23" t="str">
        <x:v>Dimo et al. (Nov 2024)</x:v>
      </x:c>
      <x:c r="C35" s="23" t="str">
        <x:v>L2</x:v>
      </x:c>
      <x:c r="D35" s="23" t="n">
        <x:v>1</x:v>
      </x:c>
      <x:c r="E35" s="23" t="n">
        <x:v>1</x:v>
      </x:c>
      <x:c r="F35" s="23" t="n">
        <x:v>1</x:v>
      </x:c>
      <x:c r="G35" s="41" t="str">
        <x:v>pp.2–6 identify the TPU/FBG wearable system and compare its outputs with a wall goniometer, metronome, and BioHarness reference; ROM, timing, respiratory-rate error, and Bland–Altman agreement are reported.</x:v>
      </x:c>
      <x:c r="H35" s="41" t="str">
        <x:v>pp. 2-3, Sec. II-B; FBG/TPU sensor, PLA/TPU plates, bands, and T-shirt</x:v>
      </x:c>
    </x:row>
    <x:row r="36" ht="44" customHeight="1">
      <x:c r="A36" s="9" t="n">
        <x:v>5</x:v>
      </x:c>
      <x:c r="B36" s="9" t="str">
        <x:v>Dimo et al. (Nov 2024)</x:v>
      </x:c>
      <x:c r="C36" s="9" t="str">
        <x:v>L3</x:v>
      </x:c>
      <x:c r="D36" s="9" t="n">
        <x:v>1</x:v>
      </x:c>
      <x:c r="E36" s="9" t="n">
        <x:v>1</x:v>
      </x:c>
      <x:c r="F36" s="9" t="n">
        <x:v>1</x:v>
      </x:c>
      <x:c r="G36" s="15" t="str">
        <x:v>pp.2–6 identify the TPU/FBG wearable system and compare its outputs with a wall goniometer, metronome, and BioHarness reference; ROM, timing, respiratory-rate error, and Bland–Altman agreement are reported.</x:v>
      </x:c>
      <x:c r="H36" s="15" t="str">
        <x:v>p. 4, Sec. III; goniometer, metronome, and Bioharness references</x:v>
      </x:c>
    </x:row>
    <x:row r="37" ht="44" customHeight="1">
      <x:c r="A37" s="23" t="n">
        <x:v>5</x:v>
      </x:c>
      <x:c r="B37" s="23" t="str">
        <x:v>Dimo et al. (Nov 2024)</x:v>
      </x:c>
      <x:c r="C37" s="23" t="str">
        <x:v>L4</x:v>
      </x:c>
      <x:c r="D37" s="23" t="n">
        <x:v>1</x:v>
      </x:c>
      <x:c r="E37" s="23" t="n">
        <x:v>1</x:v>
      </x:c>
      <x:c r="F37" s="23" t="n">
        <x:v>1</x:v>
      </x:c>
      <x:c r="G37" s="41" t="str">
        <x:v>pp.2–6 identify the TPU/FBG wearable system and compare its outputs with a wall goniometer, metronome, and BioHarness reference; ROM, timing, respiratory-rate error, and Bland–Altman agreement are reported.</x:v>
      </x:c>
      <x:c r="H37" s="41" t="str">
        <x:v>pp. 4-6, Sec. IV; ROM, duration, and RR agreement metrics</x:v>
      </x:c>
    </x:row>
    <x:row r="38" ht="44" customHeight="1">
      <x:c r="A38" s="9" t="n">
        <x:v>5</x:v>
      </x:c>
      <x:c r="B38" s="9" t="str">
        <x:v>Dimo et al. (Nov 2024)</x:v>
      </x:c>
      <x:c r="C38" s="9" t="str">
        <x:v>L5</x:v>
      </x:c>
      <x:c r="D38" s="9" t="n">
        <x:v>0</x:v>
      </x:c>
      <x:c r="E38" s="9" t="n">
        <x:v>1</x:v>
      </x:c>
      <x:c r="F38" s="9" t="n">
        <x:v>1</x:v>
      </x:c>
      <x:c r="G38" s="15" t="str">
        <x:v>repeated subject tasks establish feasibility but do not evaluate durability, environmental stability, or pre/post interface integrity.</x:v>
      </x:c>
      <x:c r="H38" s="15" t="str">
        <x:v>pp. 4-5; four ROM repeats and 10 cycles with output variation</x:v>
      </x:c>
    </x:row>
    <x:row r="39" ht="44" customHeight="1">
      <x:c r="A39" s="23" t="n">
        <x:v>5</x:v>
      </x:c>
      <x:c r="B39" s="23" t="str">
        <x:v>Dimo et al. (Nov 2024)</x:v>
      </x:c>
      <x:c r="C39" s="23" t="str">
        <x:v>L6</x:v>
      </x:c>
      <x:c r="D39" s="23" t="n">
        <x:v>0</x:v>
      </x:c>
      <x:c r="E39" s="23" t="n">
        <x:v>0</x:v>
      </x:c>
      <x:c r="F39" s="23" t="n">
        <x:v>0</x:v>
      </x:c>
      <x:c r="G39" s="41" t="str">
        <x:v>repeated subject tasks establish feasibility but do not evaluate durability, environmental stability, or pre/post interface integrity.</x:v>
      </x:c>
      <x:c r="H39" s="41" t="str">
        <x:v>Not located; no stated environmental or use-exposure test</x:v>
      </x:c>
    </x:row>
    <x:row r="40" ht="44" customHeight="1">
      <x:c r="A40" s="9" t="n">
        <x:v>5</x:v>
      </x:c>
      <x:c r="B40" s="9" t="str">
        <x:v>Dimo et al. (Nov 2024)</x:v>
      </x:c>
      <x:c r="C40" s="9" t="str">
        <x:v>L7</x:v>
      </x:c>
      <x:c r="D40" s="9" t="n">
        <x:v>0</x:v>
      </x:c>
      <x:c r="E40" s="9" t="n">
        <x:v>0</x:v>
      </x:c>
      <x:c r="F40" s="9" t="n">
        <x:v>0</x:v>
      </x:c>
      <x:c r="G40" s="15" t="str">
        <x:v>repeated subject tasks establish feasibility but do not evaluate durability, environmental stability, or pre/post interface integrity.</x:v>
      </x:c>
      <x:c r="H40" s="15" t="str">
        <x:v>pp. 3-5; repeated final wearable-system movement testing</x:v>
      </x:c>
    </x:row>
    <x:row r="41" ht="44" customHeight="1">
      <x:c r="A41" s="23" t="n">
        <x:v>5</x:v>
      </x:c>
      <x:c r="B41" s="23" t="str">
        <x:v>Dimo et al. (Nov 2024)</x:v>
      </x:c>
      <x:c r="C41" s="23" t="str">
        <x:v>L8</x:v>
      </x:c>
      <x:c r="D41" s="23" t="n">
        <x:v>0</x:v>
      </x:c>
      <x:c r="E41" s="23" t="n">
        <x:v>0</x:v>
      </x:c>
      <x:c r="F41" s="23" t="n">
        <x:v>0</x:v>
      </x:c>
      <x:c r="G41" s="41" t="str">
        <x:v>eight subjects and within-subject repetitions are not independent device reproducibility.</x:v>
      </x:c>
      <x:c r="H41" s="41" t="str">
        <x:v>Not located; eight subjects were not independent devices</x:v>
      </x:c>
    </x:row>
    <x:row r="42" ht="44" customHeight="1">
      <x:c r="A42" s="9" t="n">
        <x:v>6</x:v>
      </x:c>
      <x:c r="B42" s="9" t="str">
        <x:v>Lo Presti et al. (2022)</x:v>
      </x:c>
      <x:c r="C42" s="9" t="str">
        <x:v>L1</x:v>
      </x:c>
      <x:c r="D42" s="9" t="n">
        <x:v>0</x:v>
      </x:c>
      <x:c r="E42" s="9" t="n">
        <x:v>0</x:v>
      </x:c>
      <x:c r="F42" s="9" t="n">
        <x:v>0</x:v>
      </x:c>
      <x:c r="G42" s="15" t="str">
        <x:v>pp.3–4 give printer, material, geometry, pattern, infill, and embedding steps but omit the main thermal, speed, nozzle, and layer-height settings.</x:v>
      </x:c>
      <x:c r="H42" s="15" t="str">
        <x:v>p. 3, Sec. III; </x:v>
      </x:c>
    </x:row>
    <x:row r="43" ht="44" customHeight="1">
      <x:c r="A43" s="23" t="n">
        <x:v>6</x:v>
      </x:c>
      <x:c r="B43" s="23" t="str">
        <x:v>Lo Presti et al. (2022)</x:v>
      </x:c>
      <x:c r="C43" s="23" t="str">
        <x:v>L2</x:v>
      </x:c>
      <x:c r="D43" s="23" t="n">
        <x:v>1</x:v>
      </x:c>
      <x:c r="E43" s="23" t="n">
        <x:v>1</x:v>
      </x:c>
      <x:c r="F43" s="23" t="n">
        <x:v>1</x:v>
      </x:c>
      <x:c r="G43" s="41" t="str">
        <x:v>pp.2–5 identify TPU/FBG configurations and give controlled strain, temperature, and humidity calibration with sensitivity values.</x:v>
      </x:c>
      <x:c r="H43" s="41" t="str">
        <x:v>pp. 2-3; polyimide-coated FBG, TPU 95A, and elastic bands</x:v>
      </x:c>
    </x:row>
    <x:row r="44" ht="44" customHeight="1">
      <x:c r="A44" s="9" t="n">
        <x:v>6</x:v>
      </x:c>
      <x:c r="B44" s="9" t="str">
        <x:v>Lo Presti et al. (2022)</x:v>
      </x:c>
      <x:c r="C44" s="9" t="str">
        <x:v>L3</x:v>
      </x:c>
      <x:c r="D44" s="9" t="n">
        <x:v>1</x:v>
      </x:c>
      <x:c r="E44" s="9" t="n">
        <x:v>1</x:v>
      </x:c>
      <x:c r="F44" s="9" t="n">
        <x:v>1</x:v>
      </x:c>
      <x:c r="G44" s="15" t="str">
        <x:v>pp.2–5 identify TPU/FBG configurations and give controlled strain, temperature, and humidity calibration with sensitivity values.</x:v>
      </x:c>
      <x:c r="H44" s="15" t="str">
        <x:v>pp. 4-5 and 7; Instron, T/RH references, and Bioharness</x:v>
      </x:c>
    </x:row>
    <x:row r="45" ht="44" customHeight="1">
      <x:c r="A45" s="23" t="n">
        <x:v>6</x:v>
      </x:c>
      <x:c r="B45" s="23" t="str">
        <x:v>Lo Presti et al. (2022)</x:v>
      </x:c>
      <x:c r="C45" s="23" t="str">
        <x:v>L4</x:v>
      </x:c>
      <x:c r="D45" s="23" t="n">
        <x:v>1</x:v>
      </x:c>
      <x:c r="E45" s="23" t="n">
        <x:v>1</x:v>
      </x:c>
      <x:c r="F45" s="23" t="n">
        <x:v>1</x:v>
      </x:c>
      <x:c r="G45" s="41" t="str">
        <x:v>pp.2–5 identify TPU/FBG configurations and give controlled strain, temperature, and humidity calibration with sensitivity values.</x:v>
      </x:c>
      <x:c r="H45" s="41" t="str">
        <x:v>pp. 4-5, Table I; strain, temperature, and RH sensitivity over stated ranges</x:v>
      </x:c>
    </x:row>
    <x:row r="46" ht="44" customHeight="1">
      <x:c r="A46" s="9" t="n">
        <x:v>6</x:v>
      </x:c>
      <x:c r="B46" s="9" t="str">
        <x:v>Lo Presti et al. (2022)</x:v>
      </x:c>
      <x:c r="C46" s="9" t="str">
        <x:v>L5</x:v>
      </x:c>
      <x:c r="D46" s="9" t="n">
        <x:v>1</x:v>
      </x:c>
      <x:c r="E46" s="9" t="n">
        <x:v>1</x:v>
      </x:c>
      <x:c r="F46" s="9" t="n">
        <x:v>1</x:v>
      </x:c>
      <x:c r="G46" s="15" t="str">
        <x:v>pp.5–8 report repeated loading/hysteresis, controlled temperature/RH response, and the effect of embedded-fiber/infill configuration on strain transfer and final wearable operation.</x:v>
      </x:c>
      <x:c r="H46" s="15" t="str">
        <x:v>pp. 5-6; eight cycles, 0-10 mstrain, and hysteresis mean/SD</x:v>
      </x:c>
    </x:row>
    <x:row r="47" ht="44" customHeight="1">
      <x:c r="A47" s="23" t="n">
        <x:v>6</x:v>
      </x:c>
      <x:c r="B47" s="23" t="str">
        <x:v>Lo Presti et al. (2022)</x:v>
      </x:c>
      <x:c r="C47" s="23" t="str">
        <x:v>L6</x:v>
      </x:c>
      <x:c r="D47" s="23" t="n">
        <x:v>1</x:v>
      </x:c>
      <x:c r="E47" s="23" t="n">
        <x:v>1</x:v>
      </x:c>
      <x:c r="F47" s="23" t="n">
        <x:v>1</x:v>
      </x:c>
      <x:c r="G47" s="41" t="str">
        <x:v>pp.5–8 report repeated loading/hysteresis, controlled temperature/RH response, and the effect of embedded-fiber/infill configuration on strain transfer and final wearable operation.</x:v>
      </x:c>
      <x:c r="H47" s="41" t="str">
        <x:v>pp. 4-5; 20-38 degrees C and 15-95% RH responses</x:v>
      </x:c>
    </x:row>
    <x:row r="48" ht="44" customHeight="1">
      <x:c r="A48" s="9" t="n">
        <x:v>6</x:v>
      </x:c>
      <x:c r="B48" s="9" t="str">
        <x:v>Lo Presti et al. (2022)</x:v>
      </x:c>
      <x:c r="C48" s="9" t="str">
        <x:v>L7</x:v>
      </x:c>
      <x:c r="D48" s="9" t="n">
        <x:v>1</x:v>
      </x:c>
      <x:c r="E48" s="9" t="n">
        <x:v>1</x:v>
      </x:c>
      <x:c r="F48" s="9" t="n">
        <x:v>1</x:v>
      </x:c>
      <x:c r="G48" s="15" t="str">
        <x:v>pp.5–8 report repeated loading/hysteresis, controlled temperature/RH response, and the effect of embedded-fiber/infill configuration on strain transfer and final wearable operation.</x:v>
      </x:c>
      <x:c r="H48" s="15" t="str">
        <x:v>pp. 5-7; encapsulated interface cycled and wearable output retained</x:v>
      </x:c>
    </x:row>
    <x:row r="49" ht="44" customHeight="1">
      <x:c r="A49" s="23" t="n">
        <x:v>6</x:v>
      </x:c>
      <x:c r="B49" s="23" t="str">
        <x:v>Lo Presti et al. (2022)</x:v>
      </x:c>
      <x:c r="C49" s="23" t="str">
        <x:v>L8</x:v>
      </x:c>
      <x:c r="D49" s="23" t="n">
        <x:v>0</x:v>
      </x:c>
      <x:c r="E49" s="23" t="n">
        <x:v>0</x:v>
      </x:c>
      <x:c r="F49" s="23" t="n">
        <x:v>0</x:v>
      </x:c>
      <x:c r="G49" s="41" t="str">
        <x:v>the four configurations are not three replicate devices per configuration with between-unit dispersion.</x:v>
      </x:c>
      <x:c r="H49" s="41" t="str">
        <x:v>Not located; four sensors were profile variants, one per configuration</x:v>
      </x:c>
    </x:row>
    <x:row r="50" ht="44" customHeight="1">
      <x:c r="A50" s="9" t="n">
        <x:v>7</x:v>
      </x:c>
      <x:c r="B50" s="9" t="str">
        <x:v>Aros Taglioni et al. (2024)</x:v>
      </x:c>
      <x:c r="C50" s="9" t="str">
        <x:v>L1</x:v>
      </x:c>
      <x:c r="D50" s="9" t="n">
        <x:v>0</x:v>
      </x:c>
      <x:c r="E50" s="9" t="n">
        <x:v>0</x:v>
      </x:c>
      <x:c r="F50" s="9" t="n">
        <x:v>0</x:v>
      </x:c>
      <x:c r="G50" s="15" t="str">
        <x:v>pp.4–5 identify the Prusa printer and PLA/TPU insole materials but do not report the FDM settings.</x:v>
      </x:c>
      <x:c r="H50" s="15" t="str">
        <x:v>p. 4, Sec. III-B;</x:v>
      </x:c>
    </x:row>
    <x:row r="51" ht="44" customHeight="1">
      <x:c r="A51" s="23" t="n">
        <x:v>7</x:v>
      </x:c>
      <x:c r="B51" s="23" t="str">
        <x:v>Aros Taglioni et al. (2024)</x:v>
      </x:c>
      <x:c r="C51" s="23" t="str">
        <x:v>L2</x:v>
      </x:c>
      <x:c r="D51" s="23" t="n">
        <x:v>1</x:v>
      </x:c>
      <x:c r="E51" s="23" t="n">
        <x:v>1</x:v>
      </x:c>
      <x:c r="F51" s="23" t="n">
        <x:v>1</x:v>
      </x:c>
      <x:c r="G51" s="41" t="str">
        <x:v>pp.2–4 identify the complete FSR stack; five specimens for each material combination are compressed on an Instron and resistance-force sensitivity is reported over 50–75 N.</x:v>
      </x:c>
      <x:c r="H51" s="41" t="str">
        <x:v>pp. 2-3; rattan, Al electrodes, carbon paste, carrier films, and epoxy</x:v>
      </x:c>
    </x:row>
    <x:row r="52" ht="44" customHeight="1">
      <x:c r="A52" s="9" t="n">
        <x:v>7</x:v>
      </x:c>
      <x:c r="B52" s="9" t="str">
        <x:v>Aros Taglioni et al. (2024)</x:v>
      </x:c>
      <x:c r="C52" s="9" t="str">
        <x:v>L3</x:v>
      </x:c>
      <x:c r="D52" s="9" t="n">
        <x:v>1</x:v>
      </x:c>
      <x:c r="E52" s="9" t="n">
        <x:v>1</x:v>
      </x:c>
      <x:c r="F52" s="9" t="n">
        <x:v>1</x:v>
      </x:c>
      <x:c r="G52" s="15" t="str">
        <x:v>pp.2–4 identify the complete FSR stack; five specimens for each material combination are compressed on an Instron and resistance-force sensitivity is reported over 50–75 N.</x:v>
      </x:c>
      <x:c r="H52" s="15" t="str">
        <x:v>p. 3, Secs. II-B and III-A; Instron compression over 25-100 N</x:v>
      </x:c>
    </x:row>
    <x:row r="53" ht="44" customHeight="1">
      <x:c r="A53" s="23" t="n">
        <x:v>7</x:v>
      </x:c>
      <x:c r="B53" s="23" t="str">
        <x:v>Aros Taglioni et al. (2024)</x:v>
      </x:c>
      <x:c r="C53" s="23" t="str">
        <x:v>L4</x:v>
      </x:c>
      <x:c r="D53" s="23" t="n">
        <x:v>1</x:v>
      </x:c>
      <x:c r="E53" s="23" t="n">
        <x:v>1</x:v>
      </x:c>
      <x:c r="F53" s="23" t="n">
        <x:v>1</x:v>
      </x:c>
      <x:c r="G53" s="41" t="str">
        <x:v>pp.2–4 identify the complete FSR stack; five specimens for each material combination are compressed on an Instron and resistance-force sensitivity is reported over 50–75 N.</x:v>
      </x:c>
      <x:c r="H53" s="41" t="str">
        <x:v>pp. 3-4; resistance-force curves and sensitivity over 50-75 N</x:v>
      </x:c>
    </x:row>
    <x:row r="54" ht="44" customHeight="1">
      <x:c r="A54" s="9" t="n">
        <x:v>7</x:v>
      </x:c>
      <x:c r="B54" s="9" t="str">
        <x:v>Aros Taglioni et al. (2024)</x:v>
      </x:c>
      <x:c r="C54" s="9" t="str">
        <x:v>L5</x:v>
      </x:c>
      <x:c r="D54" s="9" t="n">
        <x:v>1</x:v>
      </x:c>
      <x:c r="E54" s="9" t="n">
        <x:v>1</x:v>
      </x:c>
      <x:c r="F54" s="9" t="n">
        <x:v>1</x:v>
      </x:c>
      <x:c r="G54" s="15" t="str">
        <x:v>p.4 reports two alternating-force cycles at 25, 50, 75, and 100 N for 120 s per level and discusses return/hysteresis.</x:v>
      </x:c>
      <x:c r="H54" s="15" t="str">
        <x:v>p. 4; two cycles at 25, 50, 75, and 100 N with repeatability/hysteresis</x:v>
      </x:c>
    </x:row>
    <x:row r="55" ht="44" customHeight="1">
      <x:c r="A55" s="23" t="n">
        <x:v>7</x:v>
      </x:c>
      <x:c r="B55" s="23" t="str">
        <x:v>Aros Taglioni et al. (2024)</x:v>
      </x:c>
      <x:c r="C55" s="23" t="str">
        <x:v>L6</x:v>
      </x:c>
      <x:c r="D55" s="23" t="n">
        <x:v>0</x:v>
      </x:c>
      <x:c r="E55" s="23" t="n">
        <x:v>0</x:v>
      </x:c>
      <x:c r="F55" s="23" t="n">
        <x:v>0</x:v>
      </x:c>
      <x:c r="G55" s="41" t="str">
        <x:v>no qualifying environmental exposure was located.</x:v>
      </x:c>
      <x:c r="H55" s="41" t="str">
        <x:v>p. 3; 500 N overload, retest to 100 N, and no damage</x:v>
      </x:c>
    </x:row>
    <x:row r="56" ht="44" customHeight="1">
      <x:c r="A56" s="9" t="n">
        <x:v>7</x:v>
      </x:c>
      <x:c r="B56" s="9" t="str">
        <x:v>Aros Taglioni et al. (2024)</x:v>
      </x:c>
      <x:c r="C56" s="9" t="str">
        <x:v>L7</x:v>
      </x:c>
      <x:c r="D56" s="9" t="n">
        <x:v>1</x:v>
      </x:c>
      <x:c r="E56" s="9" t="n">
        <x:v>1</x:v>
      </x:c>
      <x:c r="F56" s="9" t="n">
        <x:v>1</x:v>
      </x:c>
      <x:c r="G56" s="15" t="str">
        <x:v>pp.5–6 validate the embedded sensors in the final insole over repeated walking, including 100 steps, and report no sensor damage.</x:v>
      </x:c>
      <x:c r="H56" s="15" t="str">
        <x:v>pp. 5-6; embedded insole sensors retained function over 100 steps</x:v>
      </x:c>
    </x:row>
    <x:row r="57" ht="44" customHeight="1">
      <x:c r="A57" s="23" t="n">
        <x:v>7</x:v>
      </x:c>
      <x:c r="B57" s="23" t="str">
        <x:v>Aros Taglioni et al. (2024)</x:v>
      </x:c>
      <x:c r="C57" s="23" t="str">
        <x:v>L8</x:v>
      </x:c>
      <x:c r="D57" s="23" t="n">
        <x:v>0</x:v>
      </x:c>
      <x:c r="E57" s="23" t="n">
        <x:v>0</x:v>
      </x:c>
      <x:c r="F57" s="23" t="n">
        <x:v>0</x:v>
      </x:c>
      <x:c r="G57" s="41" t="str">
        <x:v>five samples are mentioned, but within-configuration individual values or dispersion are not reported.</x:v>
      </x:c>
      <x:c r="H57" s="41" t="str">
        <x:v>Not located; five samples lacked quantified between-unit variation</x:v>
      </x:c>
    </x:row>
    <x:row r="58" ht="44" customHeight="1">
      <x:c r="A58" s="9" t="n">
        <x:v>8</x:v>
      </x:c>
      <x:c r="B58" s="9" t="str">
        <x:v>Imranuddin et al. (2025)</x:v>
      </x:c>
      <x:c r="C58" s="9" t="str">
        <x:v>L1</x:v>
      </x:c>
      <x:c r="D58" s="9" t="n">
        <x:v>1</x:v>
      </x:c>
      <x:c r="E58" s="9" t="n">
        <x:v>1</x:v>
      </x:c>
      <x:c r="F58" s="9" t="n">
        <x:v>1</x:v>
      </x:c>
      <x:c r="G58" s="15" t="str">
        <x:v>pp.2–6 report printer/nozzle/thermal/speed settings, layer/bead/geometry variables, controlled servo-angle tests, gauge factor, and CV.</x:v>
      </x:c>
      <x:c r="H58" s="15" t="str">
        <x:v>pp. 2-3; printer/nozzle, temperatures, speed, layer/bead dimensions, and geometry</x:v>
      </x:c>
    </x:row>
    <x:row r="59" ht="44" customHeight="1">
      <x:c r="A59" s="23" t="n">
        <x:v>8</x:v>
      </x:c>
      <x:c r="B59" s="23" t="str">
        <x:v>Imranuddin et al. (2025)</x:v>
      </x:c>
      <x:c r="C59" s="23" t="str">
        <x:v>L2</x:v>
      </x:c>
      <x:c r="D59" s="23" t="n">
        <x:v>1</x:v>
      </x:c>
      <x:c r="E59" s="23" t="n">
        <x:v>1</x:v>
      </x:c>
      <x:c r="F59" s="23" t="n">
        <x:v>1</x:v>
      </x:c>
      <x:c r="G59" s="41" t="str">
        <x:v>pp.2–6 report printer/nozzle/thermal/speed settings, layer/bead/geometry variables, controlled servo-angle tests, gauge factor, and CV.</x:v>
      </x:c>
      <x:c r="H59" s="41" t="str">
        <x:v>p. 2; carbon-black TPU sensing element and specified TPU substrates</x:v>
      </x:c>
    </x:row>
    <x:row r="60" ht="44" customHeight="1">
      <x:c r="A60" s="9" t="n">
        <x:v>8</x:v>
      </x:c>
      <x:c r="B60" s="9" t="str">
        <x:v>Imranuddin et al. (2025)</x:v>
      </x:c>
      <x:c r="C60" s="9" t="str">
        <x:v>L3</x:v>
      </x:c>
      <x:c r="D60" s="9" t="n">
        <x:v>1</x:v>
      </x:c>
      <x:c r="E60" s="9" t="n">
        <x:v>1</x:v>
      </x:c>
      <x:c r="F60" s="9" t="n">
        <x:v>1</x:v>
      </x:c>
      <x:c r="G60" s="15" t="str">
        <x:v>pp.2–6 report printer/nozzle/thermal/speed settings, layer/bead/geometry variables, controlled servo-angle tests, gauge factor, and CV.</x:v>
      </x:c>
      <x:c r="H60" s="15" t="str">
        <x:v>pp. 3-4; servo-controlled cyclic bending over 0-100 degrees</x:v>
      </x:c>
    </x:row>
    <x:row r="61" ht="44" customHeight="1">
      <x:c r="A61" s="23" t="n">
        <x:v>8</x:v>
      </x:c>
      <x:c r="B61" s="23" t="str">
        <x:v>Imranuddin et al. (2025)</x:v>
      </x:c>
      <x:c r="C61" s="23" t="str">
        <x:v>L4</x:v>
      </x:c>
      <x:c r="D61" s="23" t="n">
        <x:v>1</x:v>
      </x:c>
      <x:c r="E61" s="23" t="n">
        <x:v>1</x:v>
      </x:c>
      <x:c r="F61" s="23" t="n">
        <x:v>1</x:v>
      </x:c>
      <x:c r="G61" s="41" t="str">
        <x:v>pp.2–6 report printer/nozzle/thermal/speed settings, layer/bead/geometry variables, controlled servo-angle tests, gauge factor, and CV.</x:v>
      </x:c>
      <x:c r="H61" s="41" t="str">
        <x:v>pp. 5-6; gauge factor calculation, GF 6.98 at about 1% strain</x:v>
      </x:c>
    </x:row>
    <x:row r="62" ht="44" customHeight="1">
      <x:c r="A62" s="9" t="n">
        <x:v>8</x:v>
      </x:c>
      <x:c r="B62" s="9" t="str">
        <x:v>Imranuddin et al. (2025)</x:v>
      </x:c>
      <x:c r="C62" s="9" t="str">
        <x:v>L5</x:v>
      </x:c>
      <x:c r="D62" s="9" t="n">
        <x:v>1</x:v>
      </x:c>
      <x:c r="E62" s="9" t="n">
        <x:v>1</x:v>
      </x:c>
      <x:c r="F62" s="9" t="n">
        <x:v>1</x:v>
      </x:c>
      <x:c r="G62" s="15" t="str">
        <x:v>pp.6–7 report 100,000 bending cycles at 0.33 Hz and quantify drift/stabilization.</x:v>
      </x:c>
      <x:c r="H62" s="15" t="str">
        <x:v>p. 6; 100,000 cycles over 0-100 degrees with creep/drift and retained response</x:v>
      </x:c>
    </x:row>
    <x:row r="63" ht="44" customHeight="1">
      <x:c r="A63" s="23" t="n">
        <x:v>8</x:v>
      </x:c>
      <x:c r="B63" s="23" t="str">
        <x:v>Imranuddin et al. (2025)</x:v>
      </x:c>
      <x:c r="C63" s="23" t="str">
        <x:v>L6</x:v>
      </x:c>
      <x:c r="D63" s="23" t="n">
        <x:v>0</x:v>
      </x:c>
      <x:c r="E63" s="23" t="n">
        <x:v>1</x:v>
      </x:c>
      <x:c r="F63" s="23" t="n">
        <x:v>1</x:v>
      </x:c>
      <x:c r="G63" s="41" t="str">
        <x:v>the paper states that temperature and humidity remain to be studied (p.9).</x:v>
      </x:c>
      <x:c r="H63" s="41" t="str">
        <x:v>p. 8, Fig. 11; about 25-100 degrees C and coefficient 0.011 per degree C</x:v>
      </x:c>
    </x:row>
    <x:row r="64" ht="44" customHeight="1">
      <x:c r="A64" s="9" t="n">
        <x:v>8</x:v>
      </x:c>
      <x:c r="B64" s="9" t="str">
        <x:v>Imranuddin et al. (2025)</x:v>
      </x:c>
      <x:c r="C64" s="9" t="str">
        <x:v>L7</x:v>
      </x:c>
      <x:c r="D64" s="9" t="n">
        <x:v>1</x:v>
      </x:c>
      <x:c r="E64" s="9" t="n">
        <x:v>1</x:v>
      </x:c>
      <x:c r="F64" s="9" t="n">
        <x:v>1</x:v>
      </x:c>
      <x:c r="G64" s="15" t="str">
        <x:v>pp.5–8 compare sensor/substrate interfaces and validate the embedded sensor in a closed-loop silicone gripper.</x:v>
      </x:c>
      <x:c r="H64" s="15" t="str">
        <x:v>pp. 6-8; finger-mounted sensor retained closed-loop angle control</x:v>
      </x:c>
    </x:row>
    <x:row r="65" ht="44" customHeight="1">
      <x:c r="A65" s="23" t="n">
        <x:v>8</x:v>
      </x:c>
      <x:c r="B65" s="23" t="str">
        <x:v>Imranuddin et al. (2025)</x:v>
      </x:c>
      <x:c r="C65" s="23" t="str">
        <x:v>L8</x:v>
      </x:c>
      <x:c r="D65" s="23" t="n">
        <x:v>1</x:v>
      </x:c>
      <x:c r="E65" s="23" t="n">
        <x:v>1</x:v>
      </x:c>
      <x:c r="F65" s="23" t="n">
        <x:v>1</x:v>
      </x:c>
      <x:c r="G65" s="41" t="str">
        <x:v>pp.3–6 and 9 report batches of three independently fabricated gauges per condition and between-device CV (best value 1.84%).</x:v>
      </x:c>
      <x:c r="H65" s="41" t="str">
        <x:v>pp. 3-4 and 8; three gauges per setting with CV, including 1.84%</x:v>
      </x:c>
    </x:row>
    <x:row r="66" ht="44" customHeight="1">
      <x:c r="A66" s="9" t="n">
        <x:v>9</x:v>
      </x:c>
      <x:c r="B66" s="9" t="str">
        <x:v>Wang et al. (2024)</x:v>
      </x:c>
      <x:c r="C66" s="9" t="str">
        <x:v>L1</x:v>
      </x:c>
      <x:c r="D66" s="9" t="n">
        <x:v>0</x:v>
      </x:c>
      <x:c r="E66" s="9" t="n">
        <x:v>0</x:v>
      </x:c>
      <x:c r="F66" s="9" t="n">
        <x:v>0</x:v>
      </x:c>
      <x:c r="G66" s="15" t="str">
        <x:v>the PAHT-CF flexure is identified but reconstructive FDM parameters were not located.</x:v>
      </x:c>
      <x:c r="H66" s="15" t="str">
        <x:v>pp. 5 and 7; FDM is stated</x:v>
      </x:c>
    </x:row>
    <x:row r="67" ht="44" customHeight="1">
      <x:c r="A67" s="23" t="n">
        <x:v>9</x:v>
      </x:c>
      <x:c r="B67" s="23" t="str">
        <x:v>Wang et al. (2024)</x:v>
      </x:c>
      <x:c r="C67" s="23" t="str">
        <x:v>L2</x:v>
      </x:c>
      <x:c r="D67" s="23" t="n">
        <x:v>1</x:v>
      </x:c>
      <x:c r="E67" s="23" t="n">
        <x:v>1</x:v>
      </x:c>
      <x:c r="F67" s="23" t="n">
        <x:v>1</x:v>
      </x:c>
      <x:c r="G67" s="41" t="str">
        <x:v>pp.2–7 identify the FBG/flexure/attachment system, use motor encoder angles over 0–140° as the reference, and report 62.03 pm/°, resolution, range, and error.</x:v>
      </x:c>
      <x:c r="H67" s="41" t="str">
        <x:v>pp. 3-5; PAHT-CF flexure, silica FBG fiber, epoxy, cam, and package</x:v>
      </x:c>
    </x:row>
    <x:row r="68" ht="44" customHeight="1">
      <x:c r="A68" s="9" t="n">
        <x:v>9</x:v>
      </x:c>
      <x:c r="B68" s="9" t="str">
        <x:v>Wang et al. (2024)</x:v>
      </x:c>
      <x:c r="C68" s="9" t="str">
        <x:v>L3</x:v>
      </x:c>
      <x:c r="D68" s="9" t="n">
        <x:v>1</x:v>
      </x:c>
      <x:c r="E68" s="9" t="n">
        <x:v>1</x:v>
      </x:c>
      <x:c r="F68" s="9" t="n">
        <x:v>1</x:v>
      </x:c>
      <x:c r="G68" s="15" t="str">
        <x:v>pp.2–7 identify the FBG/flexure/attachment system, use motor encoder angles over 0–140° as the reference, and report 62.03 pm/°, resolution, range, and error.</x:v>
      </x:c>
      <x:c r="H68" s="15" t="str">
        <x:v>pp. 6-7; motor/encoder calibration over 0-140 degrees</x:v>
      </x:c>
    </x:row>
    <x:row r="69" ht="44" customHeight="1">
      <x:c r="A69" s="23" t="n">
        <x:v>9</x:v>
      </x:c>
      <x:c r="B69" s="23" t="str">
        <x:v>Wang et al. (2024)</x:v>
      </x:c>
      <x:c r="C69" s="23" t="str">
        <x:v>L4</x:v>
      </x:c>
      <x:c r="D69" s="23" t="n">
        <x:v>1</x:v>
      </x:c>
      <x:c r="E69" s="23" t="n">
        <x:v>1</x:v>
      </x:c>
      <x:c r="F69" s="23" t="n">
        <x:v>1</x:v>
      </x:c>
      <x:c r="G69" s="41" t="str">
        <x:v>pp.2–7 identify the FBG/flexure/attachment system, use motor encoder angles over 0–140° as the reference, and report 62.03 pm/°, resolution, range, and error.</x:v>
      </x:c>
      <x:c r="H69" s="41" t="str">
        <x:v>pp. 7 and 9; 62.03 pm/degree, 1.36% linearity error, and RMSE over 0-140 degrees</x:v>
      </x:c>
    </x:row>
    <x:row r="70" ht="44" customHeight="1">
      <x:c r="A70" s="9" t="n">
        <x:v>9</x:v>
      </x:c>
      <x:c r="B70" s="9" t="str">
        <x:v>Wang et al. (2024)</x:v>
      </x:c>
      <x:c r="C70" s="9" t="str">
        <x:v>L5</x:v>
      </x:c>
      <x:c r="D70" s="9" t="n">
        <x:v>1</x:v>
      </x:c>
      <x:c r="E70" s="9" t="n">
        <x:v>1</x:v>
      </x:c>
      <x:c r="F70" s="9" t="n">
        <x:v>1</x:v>
      </x:c>
      <x:c r="G70" s="15" t="str">
        <x:v>pp.7–8 report three loading/unloading calibrations and quantify hysteresis/repeatability.</x:v>
      </x:c>
      <x:c r="H70" s="15" t="str">
        <x:v>p. 7; three loading/unloading cycles over 0-140 degrees; repeatability 0.42%</x:v>
      </x:c>
    </x:row>
    <x:row r="71" ht="44" customHeight="1">
      <x:c r="A71" s="23" t="n">
        <x:v>9</x:v>
      </x:c>
      <x:c r="B71" s="23" t="str">
        <x:v>Wang et al. (2024)</x:v>
      </x:c>
      <x:c r="C71" s="23" t="str">
        <x:v>L6</x:v>
      </x:c>
      <x:c r="D71" s="23" t="n">
        <x:v>0</x:v>
      </x:c>
      <x:c r="E71" s="23" t="n">
        <x:v>0</x:v>
      </x:c>
      <x:c r="F71" s="23" t="n">
        <x:v>0</x:v>
      </x:c>
      <x:c r="G71" s="41" t="str">
        <x:v>no qualifying environmental/use-exposure stability test was located.</x:v>
      </x:c>
      <x:c r="H71" s="41" t="str">
        <x:v>Not located; wearable tests had no stated environmental/use exposure</x:v>
      </x:c>
    </x:row>
    <x:row r="72" ht="44" customHeight="1">
      <x:c r="A72" s="9" t="n">
        <x:v>9</x:v>
      </x:c>
      <x:c r="B72" s="9" t="str">
        <x:v>Wang et al. (2024)</x:v>
      </x:c>
      <x:c r="C72" s="9" t="str">
        <x:v>L7</x:v>
      </x:c>
      <x:c r="D72" s="9" t="n">
        <x:v>1</x:v>
      </x:c>
      <x:c r="E72" s="9" t="n">
        <x:v>1</x:v>
      </x:c>
      <x:c r="F72" s="9" t="n">
        <x:v>1</x:v>
      </x:c>
      <x:c r="G72" s="15" t="str">
        <x:v>pp.3 and 7–9 experimentally calibrate the two-point fiber attachment/strain-transfer mechanism and repeatedly operate the packaged wearable assembly.</x:v>
      </x:c>
      <x:c r="H72" s="15" t="str">
        <x:v>pp. 7-9; braced final sensor tested for five sitting cycles and walking</x:v>
      </x:c>
    </x:row>
    <x:row r="73" ht="44" customHeight="1">
      <x:c r="A73" s="23" t="n">
        <x:v>9</x:v>
      </x:c>
      <x:c r="B73" s="23" t="str">
        <x:v>Wang et al. (2024)</x:v>
      </x:c>
      <x:c r="C73" s="23" t="str">
        <x:v>L8</x:v>
      </x:c>
      <x:c r="D73" s="23" t="n">
        <x:v>0</x:v>
      </x:c>
      <x:c r="E73" s="23" t="n">
        <x:v>0</x:v>
      </x:c>
      <x:c r="F73" s="23" t="n">
        <x:v>0</x:v>
      </x:c>
      <x:c r="G73" s="41" t="str">
        <x:v>five subjects are not five independently fabricated devices.</x:v>
      </x:c>
      <x:c r="H73" s="41" t="str">
        <x:v>Not located; three calibrations were repeats on one prototype</x:v>
      </x:c>
    </x:row>
    <x:row r="74" ht="44" customHeight="1">
      <x:c r="A74" s="9" t="n">
        <x:v>10</x:v>
      </x:c>
      <x:c r="B74" s="9" t="str">
        <x:v>Moscol Albanil et al. (2026)</x:v>
      </x:c>
      <x:c r="C74" s="9" t="str">
        <x:v>L1</x:v>
      </x:c>
      <x:c r="D74" s="9" t="n">
        <x:v>0</x:v>
      </x:c>
      <x:c r="E74" s="9" t="n">
        <x:v>0</x:v>
      </x:c>
      <x:c r="F74" s="9" t="n">
        <x:v>0</x:v>
      </x:c>
      <x:c r="G74" s="15" t="str">
        <x:v>p.3 reports the Ultimaker S5, 80% infill, cross-3D pattern, and embedding step, but omits temperature, speed, nozzle, and layer height.</x:v>
      </x:c>
      <x:c r="H74" s="15" t="str">
        <x:v>p. 3, Sec. II-C</x:v>
      </x:c>
    </x:row>
    <x:row r="75" ht="44" customHeight="1">
      <x:c r="A75" s="23" t="n">
        <x:v>10</x:v>
      </x:c>
      <x:c r="B75" s="23" t="str">
        <x:v>Moscol Albanil et al. (2026)</x:v>
      </x:c>
      <x:c r="C75" s="23" t="str">
        <x:v>L2</x:v>
      </x:c>
      <x:c r="D75" s="23" t="n">
        <x:v>1</x:v>
      </x:c>
      <x:c r="E75" s="23" t="n">
        <x:v>1</x:v>
      </x:c>
      <x:c r="F75" s="23" t="n">
        <x:v>1</x:v>
      </x:c>
      <x:c r="G75" s="41" t="str">
        <x:v>pp.2–4 identify TPU85A/Dragon Skin/FBG systems and provide controlled Instron calibration with strain sensitivities and uncertainty.</x:v>
      </x:c>
      <x:c r="H75" s="41" t="str">
        <x:v>pp. 2-3; TPU85A, polyimide-recoated FBG, DS10, and PLA/TPU supports</x:v>
      </x:c>
    </x:row>
    <x:row r="76" ht="44" customHeight="1">
      <x:c r="A76" s="9" t="n">
        <x:v>10</x:v>
      </x:c>
      <x:c r="B76" s="9" t="str">
        <x:v>Moscol Albanil et al. (2026)</x:v>
      </x:c>
      <x:c r="C76" s="9" t="str">
        <x:v>L3</x:v>
      </x:c>
      <x:c r="D76" s="9" t="n">
        <x:v>1</x:v>
      </x:c>
      <x:c r="E76" s="9" t="n">
        <x:v>1</x:v>
      </x:c>
      <x:c r="F76" s="9" t="n">
        <x:v>1</x:v>
      </x:c>
      <x:c r="G76" s="15" t="str">
        <x:v>pp.2–4 identify TPU85A/Dragon Skin/FBG systems and provide controlled Instron calibration with strain sensitivities and uncertainty.</x:v>
      </x:c>
      <x:c r="H76" s="15" t="str">
        <x:v>pp. 3-5; Instron 0-2% strain, climate chamber, and wearable references</x:v>
      </x:c>
    </x:row>
    <x:row r="77" ht="44" customHeight="1">
      <x:c r="A77" s="23" t="n">
        <x:v>10</x:v>
      </x:c>
      <x:c r="B77" s="23" t="str">
        <x:v>Moscol Albanil et al. (2026)</x:v>
      </x:c>
      <x:c r="C77" s="23" t="str">
        <x:v>L4</x:v>
      </x:c>
      <x:c r="D77" s="23" t="n">
        <x:v>1</x:v>
      </x:c>
      <x:c r="E77" s="23" t="n">
        <x:v>1</x:v>
      </x:c>
      <x:c r="F77" s="23" t="n">
        <x:v>1</x:v>
      </x:c>
      <x:c r="G77" s="41" t="str">
        <x:v>pp.2–4 identify TPU85A/Dragon Skin/FBG systems and provide controlled Instron calibration with strain sensitivities and uncertainty.</x:v>
      </x:c>
      <x:c r="H77" s="41" t="str">
        <x:v>pp. 4 and 6-7; strain/temperature sensitivities and RR/HR error metrics</x:v>
      </x:c>
    </x:row>
    <x:row r="78" ht="44" customHeight="1">
      <x:c r="A78" s="9" t="n">
        <x:v>10</x:v>
      </x:c>
      <x:c r="B78" s="9" t="str">
        <x:v>Moscol Albanil et al. (2026)</x:v>
      </x:c>
      <x:c r="C78" s="9" t="str">
        <x:v>L5</x:v>
      </x:c>
      <x:c r="D78" s="9" t="n">
        <x:v>1</x:v>
      </x:c>
      <x:c r="E78" s="9" t="n">
        <x:v>1</x:v>
      </x:c>
      <x:c r="F78" s="9" t="n">
        <x:v>1</x:v>
      </x:c>
      <x:c r="G78" s="15" t="str">
        <x:v>pp.4–5 report 20 loading–unloading cycles at simulated respiratory/BCG rates and hysteresis error.</x:v>
      </x:c>
      <x:c r="H78" s="15" t="str">
        <x:v>p. 4; 20 cycles to 2% strain at 12 and 70 cycles/min; hysteresis mean/SD</x:v>
      </x:c>
    </x:row>
    <x:row r="79" ht="44" customHeight="1">
      <x:c r="A79" s="23" t="n">
        <x:v>10</x:v>
      </x:c>
      <x:c r="B79" s="23" t="str">
        <x:v>Moscol Albanil et al. (2026)</x:v>
      </x:c>
      <x:c r="C79" s="23" t="str">
        <x:v>L6</x:v>
      </x:c>
      <x:c r="D79" s="23" t="n">
        <x:v>1</x:v>
      </x:c>
      <x:c r="E79" s="23" t="n">
        <x:v>1</x:v>
      </x:c>
      <x:c r="F79" s="23" t="n">
        <x:v>1</x:v>
      </x:c>
      <x:c r="G79" s="41" t="str">
        <x:v>p.4 reports a three-hour controlled 20–45 °C chamber test with an independent thermistor.</x:v>
      </x:c>
      <x:c r="H79" s="41" t="str">
        <x:v>p. 4; 20 to about 45 degrees C with temperature sensitivity</x:v>
      </x:c>
    </x:row>
    <x:row r="80" ht="44" customHeight="1">
      <x:c r="A80" s="9" t="n">
        <x:v>10</x:v>
      </x:c>
      <x:c r="B80" s="9" t="str">
        <x:v>Moscol Albanil et al. (2026)</x:v>
      </x:c>
      <x:c r="C80" s="9" t="str">
        <x:v>L7</x:v>
      </x:c>
      <x:c r="D80" s="9" t="n">
        <x:v>1</x:v>
      </x:c>
      <x:c r="E80" s="9" t="n">
        <x:v>1</x:v>
      </x:c>
      <x:c r="F80" s="9" t="n">
        <x:v>1</x:v>
      </x:c>
      <x:c r="G80" s="15" t="str">
        <x:v>pp.3–5 directly compare the two encapsulation materials under metrological and cyclic loading and quantify their strain-transfer effects.</x:v>
      </x:c>
      <x:c r="H80" s="15" t="str">
        <x:v>pp. 4-7; embedded FBGs and skin-mounted system retained signals</x:v>
      </x:c>
    </x:row>
    <x:row r="81" ht="44" customHeight="1">
      <x:c r="A81" s="23" t="n">
        <x:v>10</x:v>
      </x:c>
      <x:c r="B81" s="23" t="str">
        <x:v>Moscol Albanil et al. (2026)</x:v>
      </x:c>
      <x:c r="C81" s="23" t="str">
        <x:v>L8</x:v>
      </x:c>
      <x:c r="D81" s="23" t="n">
        <x:v>0</x:v>
      </x:c>
      <x:c r="E81" s="23" t="n">
        <x:v>0</x:v>
      </x:c>
      <x:c r="F81" s="23" t="n">
        <x:v>0</x:v>
      </x:c>
      <x:c r="G81" s="41" t="str">
        <x:v>six volunteers and repeated tests do not establish independent device reproducibility.</x:v>
      </x:c>
      <x:c r="H81" s="41" t="str">
        <x:v>Not located; two material variants and repeated tests were not 3 independent units</x:v>
      </x:c>
    </x:row>
    <x:row r="82" ht="44" customHeight="1">
      <x:c r="A82" s="9" t="n">
        <x:v>11</x:v>
      </x:c>
      <x:c r="B82" s="9" t="str">
        <x:v>Farid et al. (2025)</x:v>
      </x:c>
      <x:c r="C82" s="9" t="str">
        <x:v>L1</x:v>
      </x:c>
      <x:c r="D82" s="9" t="n">
        <x:v>1</x:v>
      </x:c>
      <x:c r="E82" s="9" t="n">
        <x:v>1</x:v>
      </x:c>
      <x:c r="F82" s="9" t="n">
        <x:v>1</x:v>
      </x:c>
      <x:c r="G82" s="15" t="str">
        <x:v>pp.3–8 report layer height, shell/infill, speed, bed conditions, composition, controlled mechanical loading, relative resistance, and sensitivity/range.</x:v>
      </x:c>
      <x:c r="H82" s="15" t="str">
        <x:v>pp. 3-4, Sec. 2.2; nozzle, temperatures, layer, infill, speed, orientation, and coating</x:v>
      </x:c>
    </x:row>
    <x:row r="83" ht="44" customHeight="1">
      <x:c r="A83" s="23" t="n">
        <x:v>11</x:v>
      </x:c>
      <x:c r="B83" s="23" t="str">
        <x:v>Farid et al. (2025)</x:v>
      </x:c>
      <x:c r="C83" s="23" t="str">
        <x:v>L2</x:v>
      </x:c>
      <x:c r="D83" s="23" t="n">
        <x:v>1</x:v>
      </x:c>
      <x:c r="E83" s="23" t="n">
        <x:v>1</x:v>
      </x:c>
      <x:c r="F83" s="23" t="n">
        <x:v>1</x:v>
      </x:c>
      <x:c r="G83" s="41" t="str">
        <x:v>pp.3–8 report layer height, shell/infill, speed, bed conditions, composition, controlled mechanical loading, relative resistance, and sensitivity/range.</x:v>
      </x:c>
      <x:c r="H83" s="41" t="str">
        <x:v>pp. 3-4; TPU, graphene, PEDOT:PSS, copper wires, and silver paste</x:v>
      </x:c>
    </x:row>
    <x:row r="84" ht="44" customHeight="1">
      <x:c r="A84" s="9" t="n">
        <x:v>11</x:v>
      </x:c>
      <x:c r="B84" s="9" t="str">
        <x:v>Farid et al. (2025)</x:v>
      </x:c>
      <x:c r="C84" s="9" t="str">
        <x:v>L3</x:v>
      </x:c>
      <x:c r="D84" s="9" t="n">
        <x:v>1</x:v>
      </x:c>
      <x:c r="E84" s="9" t="n">
        <x:v>1</x:v>
      </x:c>
      <x:c r="F84" s="9" t="n">
        <x:v>1</x:v>
      </x:c>
      <x:c r="G84" s="15" t="str">
        <x:v>pp.3–8 report layer height, shell/infill, speed, bed conditions, composition, controlled mechanical loading, relative resistance, and sensitivity/range.</x:v>
      </x:c>
      <x:c r="H84" s="15" t="str">
        <x:v>pp. 4 and 8-11; controlled strain, pressure, and temperature ranges</x:v>
      </x:c>
    </x:row>
    <x:row r="85" ht="44" customHeight="1">
      <x:c r="A85" s="23" t="n">
        <x:v>11</x:v>
      </x:c>
      <x:c r="B85" s="23" t="str">
        <x:v>Farid et al. (2025)</x:v>
      </x:c>
      <x:c r="C85" s="23" t="str">
        <x:v>L4</x:v>
      </x:c>
      <x:c r="D85" s="23" t="n">
        <x:v>1</x:v>
      </x:c>
      <x:c r="E85" s="23" t="n">
        <x:v>1</x:v>
      </x:c>
      <x:c r="F85" s="23" t="n">
        <x:v>1</x:v>
      </x:c>
      <x:c r="G85" s="41" t="str">
        <x:v>pp.3–8 report layer height, shell/infill, speed, bed conditions, composition, controlled mechanical loading, relative resistance, and sensitivity/range.</x:v>
      </x:c>
      <x:c r="H85" s="41" t="str">
        <x:v>pp. 9-11; GF, TCR, pressure response, and response time over stated ranges</x:v>
      </x:c>
    </x:row>
    <x:row r="86" ht="44" customHeight="1">
      <x:c r="A86" s="9" t="n">
        <x:v>11</x:v>
      </x:c>
      <x:c r="B86" s="9" t="str">
        <x:v>Farid et al. (2025)</x:v>
      </x:c>
      <x:c r="C86" s="9" t="str">
        <x:v>L5</x:v>
      </x:c>
      <x:c r="D86" s="9" t="n">
        <x:v>1</x:v>
      </x:c>
      <x:c r="E86" s="9" t="n">
        <x:v>1</x:v>
      </x:c>
      <x:c r="F86" s="9" t="n">
        <x:v>1</x:v>
      </x:c>
      <x:c r="G86" s="15" t="str">
        <x:v>pp.6–10 report loading/release behavior, hysteresis, dynamic response, and response/recovery.</x:v>
      </x:c>
      <x:c r="H86" s="15" t="str">
        <x:v>pp. 8 and 15; 6000 cycles at 100% strain with stability/durability</x:v>
      </x:c>
    </x:row>
    <x:row r="87" ht="44" customHeight="1">
      <x:c r="A87" s="23" t="n">
        <x:v>11</x:v>
      </x:c>
      <x:c r="B87" s="23" t="str">
        <x:v>Farid et al. (2025)</x:v>
      </x:c>
      <x:c r="C87" s="23" t="str">
        <x:v>L6</x:v>
      </x:c>
      <x:c r="D87" s="23" t="n">
        <x:v>0</x:v>
      </x:c>
      <x:c r="E87" s="23" t="n">
        <x:v>1</x:v>
      </x:c>
      <x:c r="F87" s="23" t="n">
        <x:v>1</x:v>
      </x:c>
      <x:c r="G87" s="41" t="str">
        <x:v>temperature is treated as a measurand/multifunctional response; post-exposure performance retention or environmental cross-sensitivity was not demonstrated.</x:v>
      </x:c>
      <x:c r="H87" s="41" t="str">
        <x:v>pp. 10-11; temperature cycles to 90 degrees C and pressure to 150 kPa</x:v>
      </x:c>
    </x:row>
    <x:row r="88" ht="44" customHeight="1">
      <x:c r="A88" s="9" t="n">
        <x:v>11</x:v>
      </x:c>
      <x:c r="B88" s="9" t="str">
        <x:v>Farid et al. (2025)</x:v>
      </x:c>
      <x:c r="C88" s="9" t="str">
        <x:v>L7</x:v>
      </x:c>
      <x:c r="D88" s="9" t="n">
        <x:v>1</x:v>
      </x:c>
      <x:c r="E88" s="9" t="n">
        <x:v>1</x:v>
      </x:c>
      <x:c r="F88" s="9" t="n">
        <x:v>1</x:v>
      </x:c>
      <x:c r="G88" s="15" t="str">
        <x:v>pp.8–12 use microscopy and mechanical testing to evaluate adhesion, wear tracks, and delamination of the hybrid interface.</x:v>
      </x:c>
      <x:c r="H88" s="15" t="str">
        <x:v>pp. 11-12; assembled sensor retained output during repeated on-body motions</x:v>
      </x:c>
    </x:row>
    <x:row r="89" ht="44" customHeight="1">
      <x:c r="A89" s="23" t="n">
        <x:v>11</x:v>
      </x:c>
      <x:c r="B89" s="23" t="str">
        <x:v>Farid et al. (2025)</x:v>
      </x:c>
      <x:c r="C89" s="23" t="str">
        <x:v>L8</x:v>
      </x:c>
      <x:c r="D89" s="23" t="n">
        <x:v>0</x:v>
      </x:c>
      <x:c r="E89" s="23" t="n">
        <x:v>0</x:v>
      </x:c>
      <x:c r="F89" s="23" t="n">
        <x:v>0</x:v>
      </x:c>
      <x:c r="G89" s="41" t="str">
        <x:v>no qualifying three-device between-unit analysis was located.</x:v>
      </x:c>
      <x:c r="H89" s="41" t="str">
        <x:v>Not located; triplicate measurements/mean SD did not establish independent devices</x:v>
      </x:c>
    </x:row>
    <x:row r="90" ht="44" customHeight="1">
      <x:c r="A90" s="9" t="n">
        <x:v>12</x:v>
      </x:c>
      <x:c r="B90" s="9" t="str">
        <x:v>Xu et al. (2025)</x:v>
      </x:c>
      <x:c r="C90" s="9" t="str">
        <x:v>L1</x:v>
      </x:c>
      <x:c r="D90" s="9" t="n">
        <x:v>1</x:v>
      </x:c>
      <x:c r="E90" s="9" t="n">
        <x:v>1</x:v>
      </x:c>
      <x:c r="F90" s="9" t="n">
        <x:v>1</x:v>
      </x:c>
      <x:c r="G90" s="15" t="str">
        <x:v>main-paper p.5 and Supplementary Table S2 (SI PDF p.4) collectively report nozzle diameter and height, layer thickness, heating cylinder/nozzle/build-platform temperatures, print speed, extrusion pressure, and applied DC voltage.</x:v>
      </x:c>
      <x:c r="H90" s="15" t="str">
        <x:v>Main p. 5; Suppl. p. 4, Table S2; full E-FDM settings and grid geometry</x:v>
      </x:c>
    </x:row>
    <x:row r="91" ht="44" customHeight="1">
      <x:c r="A91" s="23" t="n">
        <x:v>12</x:v>
      </x:c>
      <x:c r="B91" s="23" t="str">
        <x:v>Xu et al. (2025)</x:v>
      </x:c>
      <x:c r="C91" s="23" t="str">
        <x:v>L2</x:v>
      </x:c>
      <x:c r="D91" s="23" t="n">
        <x:v>1</x:v>
      </x:c>
      <x:c r="E91" s="23" t="n">
        <x:v>1</x:v>
      </x:c>
      <x:c r="F91" s="23" t="n">
        <x:v>1</x:v>
      </x:c>
      <x:c r="G91" s="41" t="str">
        <x:v>pp.3–8 identify PVDF/CNT composition, electro-assisted FDM and poling, controlled force/pressure tests, piezoelectric coefficient, and voltage/sensitivity metrics.</x:v>
      </x:c>
      <x:c r="H91" s="41" t="str">
        <x:v>Main pp. 2-3; PVDF/CNTs, copper electrodes, and PDMS encapsulation</x:v>
      </x:c>
    </x:row>
    <x:row r="92" ht="44" customHeight="1">
      <x:c r="A92" s="9" t="n">
        <x:v>12</x:v>
      </x:c>
      <x:c r="B92" s="9" t="str">
        <x:v>Xu et al. (2025)</x:v>
      </x:c>
      <x:c r="C92" s="9" t="str">
        <x:v>L3</x:v>
      </x:c>
      <x:c r="D92" s="9" t="n">
        <x:v>1</x:v>
      </x:c>
      <x:c r="E92" s="9" t="n">
        <x:v>1</x:v>
      </x:c>
      <x:c r="F92" s="9" t="n">
        <x:v>1</x:v>
      </x:c>
      <x:c r="G92" s="15" t="str">
        <x:v>pp.3–8 identify PVDF/CNT composition, electro-assisted FDM and poling, controlled force/pressure tests, piezoelectric coefficient, and voltage/sensitivity metrics.</x:v>
      </x:c>
      <x:c r="H92" s="15" t="str">
        <x:v>Main pp. 3 and 7-8; linear stamper/oscilloscope over 2.5-750 kPa</x:v>
      </x:c>
    </x:row>
    <x:row r="93" ht="44" customHeight="1">
      <x:c r="A93" s="23" t="n">
        <x:v>12</x:v>
      </x:c>
      <x:c r="B93" s="23" t="str">
        <x:v>Xu et al. (2025)</x:v>
      </x:c>
      <x:c r="C93" s="23" t="str">
        <x:v>L4</x:v>
      </x:c>
      <x:c r="D93" s="23" t="n">
        <x:v>1</x:v>
      </x:c>
      <x:c r="E93" s="23" t="n">
        <x:v>1</x:v>
      </x:c>
      <x:c r="F93" s="23" t="n">
        <x:v>1</x:v>
      </x:c>
      <x:c r="G93" s="41" t="str">
        <x:v>pp.3–8 identify PVDF/CNT composition, electro-assisted FDM and poling, controlled force/pressure tests, piezoelectric coefficient, and voltage/sensitivity metrics.</x:v>
      </x:c>
      <x:c r="H93" s="41" t="str">
        <x:v>Main pp. 7-8; 65.8 mV/kPa sensitivity, under 30 ms, and stated pressure range</x:v>
      </x:c>
    </x:row>
    <x:row r="94" ht="44" customHeight="1">
      <x:c r="A94" s="9" t="n">
        <x:v>12</x:v>
      </x:c>
      <x:c r="B94" s="9" t="str">
        <x:v>Xu et al. (2025)</x:v>
      </x:c>
      <x:c r="C94" s="9" t="str">
        <x:v>L5</x:v>
      </x:c>
      <x:c r="D94" s="9" t="n">
        <x:v>1</x:v>
      </x:c>
      <x:c r="E94" s="9" t="n">
        <x:v>1</x:v>
      </x:c>
      <x:c r="F94" s="9" t="n">
        <x:v>1</x:v>
      </x:c>
      <x:c r="G94" s="15" t="str">
        <x:v>pp.7–8 and 10 report stable output through 100,000 cycles.</x:v>
      </x:c>
      <x:c r="H94" s="15" t="str">
        <x:v>Main p. 8; Suppl. pp. 17-18; 100,000 cycles at 75 kPa/3 Hz with slight decline</x:v>
      </x:c>
    </x:row>
    <x:row r="95" ht="44" customHeight="1">
      <x:c r="A95" s="23" t="n">
        <x:v>12</x:v>
      </x:c>
      <x:c r="B95" s="23" t="str">
        <x:v>Xu et al. (2025)</x:v>
      </x:c>
      <x:c r="C95" s="23" t="str">
        <x:v>L6</x:v>
      </x:c>
      <x:c r="D95" s="23" t="n">
        <x:v>1</x:v>
      </x:c>
      <x:c r="E95" s="23" t="n">
        <x:v>1</x:v>
      </x:c>
      <x:c r="F95" s="23" t="n">
        <x:v>1</x:v>
      </x:c>
      <x:c r="G95" s="41" t="str">
        <x:v>Supplementary Figure S11c (SI pp.17–18) reports sensor output from 20.2 to 48.6 °C under 75 kPa at 1 Hz and finds only slight variation.</x:v>
      </x:c>
      <x:c r="H95" s="41" t="str">
        <x:v>Suppl. pp. 17-18; 20.2-48.6 degrees C at 75 kPa/1 Hz with slight variation</x:v>
      </x:c>
    </x:row>
    <x:row r="96" ht="44" customHeight="1">
      <x:c r="A96" s="9" t="n">
        <x:v>12</x:v>
      </x:c>
      <x:c r="B96" s="9" t="str">
        <x:v>Xu et al. (2025)</x:v>
      </x:c>
      <x:c r="C96" s="9" t="str">
        <x:v>L7</x:v>
      </x:c>
      <x:c r="D96" s="9" t="n">
        <x:v>0</x:v>
      </x:c>
      <x:c r="E96" s="9" t="n">
        <x:v>0</x:v>
      </x:c>
      <x:c r="F96" s="9" t="n">
        <x:v>0</x:v>
      </x:c>
      <x:c r="G96" s="15" t="str">
        <x:v>the supplement describes assembly of the intelligent insole, but does not report an interface-integrity/retention test or qualifying between-device dispersion.</x:v>
      </x:c>
      <x:c r="H96" s="15" t="str">
        <x:v>Main pp. 9-10; Suppl. p. 21; encapsulated insole tested over 400 gait samples</x:v>
      </x:c>
    </x:row>
    <x:row r="97" ht="44" customHeight="1">
      <x:c r="A97" s="23" t="n">
        <x:v>12</x:v>
      </x:c>
      <x:c r="B97" s="23" t="str">
        <x:v>Xu et al. (2025)</x:v>
      </x:c>
      <x:c r="C97" s="23" t="str">
        <x:v>L8</x:v>
      </x:c>
      <x:c r="D97" s="23" t="n">
        <x:v>0</x:v>
      </x:c>
      <x:c r="E97" s="23" t="n">
        <x:v>0</x:v>
      </x:c>
      <x:c r="F97" s="23" t="n">
        <x:v>0</x:v>
      </x:c>
      <x:c r="G97" s="41" t="str">
        <x:v>the supplement describes assembly of the intelligent insole, but does not report an interface-integrity/retention test or qualifying between-device dispersion.</x:v>
      </x:c>
      <x:c r="H97" s="41" t="str">
        <x:v>Not located; five tests/folds were repeats or data splits, not independent devices</x:v>
      </x:c>
    </x:row>
    <x:row r="98" ht="44" customHeight="1">
      <x:c r="A98" s="9" t="n">
        <x:v>13</x:v>
      </x:c>
      <x:c r="B98" s="9" t="str">
        <x:v>Babu et al. (2025)</x:v>
      </x:c>
      <x:c r="C98" s="9" t="str">
        <x:v>L1</x:v>
      </x:c>
      <x:c r="D98" s="9" t="n">
        <x:v>1</x:v>
      </x:c>
      <x:c r="E98" s="9" t="n">
        <x:v>1</x:v>
      </x:c>
      <x:c r="F98" s="9" t="n">
        <x:v>1</x:v>
      </x:c>
      <x:c r="G98" s="15" t="str">
        <x:v>main-paper pp.2–3 give the printers, nozzle, layer ranges, dimensions, and setup; Supplementary Table S2 (SI p.2) supplies the material-specific print and bed temperatures for PETG, TPU, polypropylene, and nylon.</x:v>
      </x:c>
      <x:c r="H98" s="15" t="str">
        <x:v>Main pp. 2-3; Suppl. pp. 2 and 5</x:v>
      </x:c>
    </x:row>
    <x:row r="99" ht="44" customHeight="1">
      <x:c r="A99" s="23" t="n">
        <x:v>13</x:v>
      </x:c>
      <x:c r="B99" s="23" t="str">
        <x:v>Babu et al. (2025)</x:v>
      </x:c>
      <x:c r="C99" s="23" t="str">
        <x:v>L2</x:v>
      </x:c>
      <x:c r="D99" s="23" t="n">
        <x:v>1</x:v>
      </x:c>
      <x:c r="E99" s="23" t="n">
        <x:v>1</x:v>
      </x:c>
      <x:c r="F99" s="23" t="n">
        <x:v>1</x:v>
      </x:c>
      <x:c r="G99" s="41" t="str">
        <x:v>pp.2–6 identify the full textile-TENG stack and relate native voltage/current/power-density outputs to controlled contact force/frequency.</x:v>
      </x:c>
      <x:c r="H99" s="41" t="str">
        <x:v>Main pp. 2-3; Suppl. p. 3; PP, silver-coated polyamide/elastane fabric, EcoFlex, and fabric electrodes</x:v>
      </x:c>
    </x:row>
    <x:row r="100" ht="44" customHeight="1">
      <x:c r="A100" s="9" t="n">
        <x:v>13</x:v>
      </x:c>
      <x:c r="B100" s="9" t="str">
        <x:v>Babu et al. (2025)</x:v>
      </x:c>
      <x:c r="C100" s="9" t="str">
        <x:v>L3</x:v>
      </x:c>
      <x:c r="D100" s="9" t="n">
        <x:v>1</x:v>
      </x:c>
      <x:c r="E100" s="9" t="n">
        <x:v>1</x:v>
      </x:c>
      <x:c r="F100" s="9" t="n">
        <x:v>1</x:v>
      </x:c>
      <x:c r="G100" s="15" t="str">
        <x:v>pp.2–6 identify the full textile-TENG stack and relate native voltage/current/power-density outputs to controlled contact force/frequency.</x:v>
      </x:c>
      <x:c r="H100" s="15" t="str">
        <x:v>Main pp. 4-6; Instron contact-separation tests at 10-40 N and 4-8 Hz</x:v>
      </x:c>
    </x:row>
    <x:row r="101" ht="44" customHeight="1">
      <x:c r="A101" s="23" t="n">
        <x:v>13</x:v>
      </x:c>
      <x:c r="B101" s="23" t="str">
        <x:v>Babu et al. (2025)</x:v>
      </x:c>
      <x:c r="C101" s="23" t="str">
        <x:v>L4</x:v>
      </x:c>
      <x:c r="D101" s="23" t="n">
        <x:v>1</x:v>
      </x:c>
      <x:c r="E101" s="23" t="n">
        <x:v>1</x:v>
      </x:c>
      <x:c r="F101" s="23" t="n">
        <x:v>1</x:v>
      </x:c>
      <x:c r="G101" s="41" t="str">
        <x:v>pp.2–6 identify the full textile-TENG stack and relate native voltage/current/power-density outputs to controlled contact force/frequency.</x:v>
      </x:c>
      <x:c r="H101" s="41" t="str">
        <x:v>Main pp. 5-7 and 11; voltage/current and 2043.17 mW/m2 over stated force, frequency, and load ranges</x:v>
      </x:c>
    </x:row>
    <x:row r="102" ht="44" customHeight="1">
      <x:c r="A102" s="9" t="n">
        <x:v>13</x:v>
      </x:c>
      <x:c r="B102" s="9" t="str">
        <x:v>Babu et al. (2025)</x:v>
      </x:c>
      <x:c r="C102" s="9" t="str">
        <x:v>L5</x:v>
      </x:c>
      <x:c r="D102" s="9" t="n">
        <x:v>1</x:v>
      </x:c>
      <x:c r="E102" s="9" t="n">
        <x:v>1</x:v>
      </x:c>
      <x:c r="F102" s="9" t="n">
        <x:v>1</x:v>
      </x:c>
      <x:c r="G102" s="15" t="str">
        <x:v>pp.10–11 report 20,000 contact-separation cycles at 8 Hz and 20 N.</x:v>
      </x:c>
      <x:c r="H102" s="15" t="str">
        <x:v>Main pp. 10-11; 20,000 cycles at 8 Hz and 20 N with stable open-circuit voltage</x:v>
      </x:c>
    </x:row>
    <x:row r="103" ht="44" customHeight="1">
      <x:c r="A103" s="23" t="n">
        <x:v>13</x:v>
      </x:c>
      <x:c r="B103" s="23" t="str">
        <x:v>Babu et al. (2025)</x:v>
      </x:c>
      <x:c r="C103" s="23" t="str">
        <x:v>L6</x:v>
      </x:c>
      <x:c r="D103" s="23" t="n">
        <x:v>1</x:v>
      </x:c>
      <x:c r="E103" s="23" t="n">
        <x:v>1</x:v>
      </x:c>
      <x:c r="F103" s="23" t="n">
        <x:v>1</x:v>
      </x:c>
      <x:c r="G103" s="41" t="str">
        <x:v>pp.10–11 report detergent/water washing for 30 min, drying, and post-wash voltage.</x:v>
      </x:c>
      <x:c r="H103" s="41" t="str">
        <x:v>Main pp. 10-11; Suppl. pp. 4 and 7; washing plus pressure/humidity exposure with output response</x:v>
      </x:c>
    </x:row>
    <x:row r="104" ht="44" customHeight="1">
      <x:c r="A104" s="9" t="n">
        <x:v>13</x:v>
      </x:c>
      <x:c r="B104" s="9" t="str">
        <x:v>Babu et al. (2025)</x:v>
      </x:c>
      <x:c r="C104" s="9" t="str">
        <x:v>L7</x:v>
      </x:c>
      <x:c r="D104" s="9" t="n">
        <x:v>1</x:v>
      </x:c>
      <x:c r="E104" s="9" t="n">
        <x:v>1</x:v>
      </x:c>
      <x:c r="F104" s="9" t="n">
        <x:v>1</x:v>
      </x:c>
      <x:c r="G104" s="15" t="str">
        <x:v>pp.3 and 10–11 report standardized tensile/peel testing and relate interfacial adhesion to retained cyclic function; Supplementary Figure S11 (SI p.7) shows the tensile and adhesion traces.</x:v>
      </x:c>
      <x:c r="H104" s="15" t="str">
        <x:v>Main p. 11; Suppl. p. 7; peel/adhesion testing and retained output after cycling and washing</x:v>
      </x:c>
    </x:row>
    <x:row r="105" ht="44" customHeight="1">
      <x:c r="A105" s="23" t="n">
        <x:v>13</x:v>
      </x:c>
      <x:c r="B105" s="23" t="str">
        <x:v>Babu et al. (2025)</x:v>
      </x:c>
      <x:c r="C105" s="23" t="str">
        <x:v>L8</x:v>
      </x:c>
      <x:c r="D105" s="23" t="n">
        <x:v>0</x:v>
      </x:c>
      <x:c r="E105" s="23" t="n">
        <x:v>0</x:v>
      </x:c>
      <x:c r="F105" s="23" t="n">
        <x:v>0</x:v>
      </x:c>
      <x:c r="G105" s="41" t="str">
        <x:v>Supplementary Figure S11 compares three layer configurations, not at least three independently fabricated units with between-unit dispersion.</x:v>
      </x:c>
      <x:c r="H105" s="41" t="str">
        <x:v>Not located; material, pattern, and thickness variants lacked quantified between-unit variation</x:v>
      </x:c>
    </x:row>
    <x:row r="106" ht="44" customHeight="1">
      <x:c r="A106" s="9" t="n">
        <x:v>14</x:v>
      </x:c>
      <x:c r="B106" s="9" t="str">
        <x:v>Lavorgna et al. (2025)</x:v>
      </x:c>
      <x:c r="C106" s="9" t="str">
        <x:v>L1</x:v>
      </x:c>
      <x:c r="D106" s="9" t="n">
        <x:v>1</x:v>
      </x:c>
      <x:c r="E106" s="9" t="n">
        <x:v>1</x:v>
      </x:c>
      <x:c r="F106" s="9" t="n">
        <x:v>1</x:v>
      </x:c>
      <x:c r="G106" s="15" t="str">
        <x:v>pp.3–5 report dual-extruder printer, material-specific temperatures, speed, infill/pattern and embedding sequence, followed by controlled strain calibration and sensitivity.</x:v>
      </x:c>
      <x:c r="H106" s="15" t="str">
        <x:v>p. 3, Sec. II-C; printer, infill, speed, and nozzle temperatures reported</x:v>
      </x:c>
    </x:row>
    <x:row r="107" ht="44" customHeight="1">
      <x:c r="A107" s="23" t="n">
        <x:v>14</x:v>
      </x:c>
      <x:c r="B107" s="23" t="str">
        <x:v>Lavorgna et al. (2025)</x:v>
      </x:c>
      <x:c r="C107" s="23" t="str">
        <x:v>L2</x:v>
      </x:c>
      <x:c r="D107" s="23" t="n">
        <x:v>1</x:v>
      </x:c>
      <x:c r="E107" s="23" t="n">
        <x:v>1</x:v>
      </x:c>
      <x:c r="F107" s="23" t="n">
        <x:v>1</x:v>
      </x:c>
      <x:c r="G107" s="41" t="str">
        <x:v>pp.3–5 report dual-extruder printer, material-specific temperatures, speed, infill/pattern and embedding sequence, followed by controlled strain calibration and sensitivity.</x:v>
      </x:c>
      <x:c r="H107" s="41" t="str">
        <x:v>pp. 2-3; embedded FBG, TPU sensing body, PLA flanges, and adhesive clips</x:v>
      </x:c>
    </x:row>
    <x:row r="108" ht="44" customHeight="1">
      <x:c r="A108" s="9" t="n">
        <x:v>14</x:v>
      </x:c>
      <x:c r="B108" s="9" t="str">
        <x:v>Lavorgna et al. (2025)</x:v>
      </x:c>
      <x:c r="C108" s="9" t="str">
        <x:v>L3</x:v>
      </x:c>
      <x:c r="D108" s="9" t="n">
        <x:v>1</x:v>
      </x:c>
      <x:c r="E108" s="9" t="n">
        <x:v>1</x:v>
      </x:c>
      <x:c r="F108" s="9" t="n">
        <x:v>1</x:v>
      </x:c>
      <x:c r="G108" s="15" t="str">
        <x:v>pp.3–5 report dual-extruder printer, material-specific temperatures, speed, infill/pattern and embedding sequence, followed by controlled strain calibration and sensitivity.</x:v>
      </x:c>
      <x:c r="H108" s="15" t="str">
        <x:v>pp. 4-6; digital temperature reference and Instron-controlled 0-1% strain characterization</x:v>
      </x:c>
    </x:row>
    <x:row r="109" ht="44" customHeight="1">
      <x:c r="A109" s="23" t="n">
        <x:v>14</x:v>
      </x:c>
      <x:c r="B109" s="23" t="str">
        <x:v>Lavorgna et al. (2025)</x:v>
      </x:c>
      <x:c r="C109" s="23" t="str">
        <x:v>L4</x:v>
      </x:c>
      <x:c r="D109" s="23" t="n">
        <x:v>1</x:v>
      </x:c>
      <x:c r="E109" s="23" t="n">
        <x:v>1</x:v>
      </x:c>
      <x:c r="F109" s="23" t="n">
        <x:v>1</x:v>
      </x:c>
      <x:c r="G109" s="41" t="str">
        <x:v>pp.3–5 report dual-extruder printer, material-specific temperatures, speed, infill/pattern and embedding sequence, followed by controlled strain calibration and sensitivity.</x:v>
      </x:c>
      <x:c r="H109" s="41" t="str">
        <x:v>pp. 4-5; 0.034 nm/degree C and 0.81 nm/mstrain sensitivities over stated ranges</x:v>
      </x:c>
    </x:row>
    <x:row r="110" ht="44" customHeight="1">
      <x:c r="A110" s="9" t="n">
        <x:v>14</x:v>
      </x:c>
      <x:c r="B110" s="9" t="str">
        <x:v>Lavorgna et al. (2025)</x:v>
      </x:c>
      <x:c r="C110" s="9" t="str">
        <x:v>L5</x:v>
      </x:c>
      <x:c r="D110" s="9" t="n">
        <x:v>1</x:v>
      </x:c>
      <x:c r="E110" s="9" t="n">
        <x:v>1</x:v>
      </x:c>
      <x:c r="F110" s="9" t="n">
        <x:v>1</x:v>
      </x:c>
      <x:c r="G110" s="15" t="str">
        <x:v>pp.5–6 report hysteresis at multiple rates and 110-cycle repeatability, comparing the fifth and 105th cycles.</x:v>
      </x:c>
      <x:c r="H110" s="15" t="str">
        <x:v>pp. 4-5; 110 tensile-compression cycles at 12, 24, and 36 rpm with repeatability comparison</x:v>
      </x:c>
    </x:row>
    <x:row r="111" ht="44" customHeight="1">
      <x:c r="A111" s="23" t="n">
        <x:v>14</x:v>
      </x:c>
      <x:c r="B111" s="23" t="str">
        <x:v>Lavorgna et al. (2025)</x:v>
      </x:c>
      <x:c r="C111" s="23" t="str">
        <x:v>L6</x:v>
      </x:c>
      <x:c r="D111" s="23" t="n">
        <x:v>1</x:v>
      </x:c>
      <x:c r="E111" s="23" t="n">
        <x:v>1</x:v>
      </x:c>
      <x:c r="F111" s="23" t="n">
        <x:v>1</x:v>
      </x:c>
      <x:c r="G111" s="41" t="str">
        <x:v>pp.3–4 and 6 report controlled temperature response as an environmental cross-sensitivity.</x:v>
      </x:c>
      <x:c r="H111" s="41" t="str">
        <x:v>p. 4; response characterized from about 23 to 50 degrees C against a digital reference</x:v>
      </x:c>
    </x:row>
    <x:row r="112" ht="44" customHeight="1">
      <x:c r="A112" s="9" t="n">
        <x:v>14</x:v>
      </x:c>
      <x:c r="B112" s="9" t="str">
        <x:v>Lavorgna et al. (2025)</x:v>
      </x:c>
      <x:c r="C112" s="9" t="str">
        <x:v>L7</x:v>
      </x:c>
      <x:c r="D112" s="9" t="n">
        <x:v>1</x:v>
      </x:c>
      <x:c r="E112" s="9" t="n">
        <x:v>1</x:v>
      </x:c>
      <x:c r="F112" s="9" t="n">
        <x:v>1</x:v>
      </x:c>
      <x:c r="G112" s="15" t="str">
        <x:v>pp.4–6 compare embedded materials/anchorage behavior and retained sensor response during cyclic deformation.</x:v>
      </x:c>
      <x:c r="H112" s="15" t="str">
        <x:v>pp. 5-8; embedded FBG assembly retained function through 110 cycles and repeated on-body tasks</x:v>
      </x:c>
    </x:row>
    <x:row r="113" ht="44" customHeight="1">
      <x:c r="A113" s="23" t="n">
        <x:v>14</x:v>
      </x:c>
      <x:c r="B113" s="23" t="str">
        <x:v>Lavorgna et al. (2025)</x:v>
      </x:c>
      <x:c r="C113" s="23" t="str">
        <x:v>L8</x:v>
      </x:c>
      <x:c r="D113" s="23" t="n">
        <x:v>0</x:v>
      </x:c>
      <x:c r="E113" s="23" t="n">
        <x:v>0</x:v>
      </x:c>
      <x:c r="F113" s="23" t="n">
        <x:v>0</x:v>
      </x:c>
      <x:c r="G113" s="41" t="str">
        <x:v>repeated tests and volunteers are not independently fabricated devices.</x:v>
      </x:c>
      <x:c r="H113" s="41" t="str">
        <x:v>Not located; only two sensors were fabricated and metrological tests used one sensor</x:v>
      </x:c>
    </x:row>
    <x:row r="114" ht="44" customHeight="1">
      <x:c r="A114" s="9" t="n">
        <x:v>15</x:v>
      </x:c>
      <x:c r="B114" s="9" t="str">
        <x:v>Cheng-Yu et al. (2021)</x:v>
      </x:c>
      <x:c r="C114" s="9" t="str">
        <x:v>L1</x:v>
      </x:c>
      <x:c r="D114" s="9" t="n">
        <x:v>0</x:v>
      </x:c>
      <x:c r="E114" s="9" t="n">
        <x:v>0</x:v>
      </x:c>
      <x:c r="F114" s="9" t="n">
        <x:v>0</x:v>
      </x:c>
      <x:c r="G114" s="15" t="str">
        <x:v>pp.4–5 report PLA, temperature, speed, infill/pattern, geometry, and embedding but omit printer/nozzle and layer height.</x:v>
      </x:c>
      <x:c r="H114" s="15" t="str">
        <x:v>pp. 4-5; temperature, speed, infill, density, and geometry reported</x:v>
      </x:c>
    </x:row>
    <x:row r="115" ht="44" customHeight="1">
      <x:c r="A115" s="23" t="n">
        <x:v>15</x:v>
      </x:c>
      <x:c r="B115" s="23" t="str">
        <x:v>Cheng-Yu et al. (2021)</x:v>
      </x:c>
      <x:c r="C115" s="23" t="str">
        <x:v>L2</x:v>
      </x:c>
      <x:c r="D115" s="23" t="n">
        <x:v>1</x:v>
      </x:c>
      <x:c r="E115" s="23" t="n">
        <x:v>1</x:v>
      </x:c>
      <x:c r="F115" s="23" t="n">
        <x:v>1</x:v>
      </x:c>
      <x:c r="G115" s="41" t="str">
        <x:v>pp.4–11 identify PLA/FBG construction and calibrate wavelength shift against elbow/knee angle, reporting sensitivities, resolution, range, and error.</x:v>
      </x:c>
      <x:c r="H115" s="41" t="str">
        <x:v>pp. 1 and 4-5; flexible PLA ring, embedded bare FBG, and fixed fiber ends</x:v>
      </x:c>
    </x:row>
    <x:row r="116" ht="44" customHeight="1">
      <x:c r="A116" s="9" t="n">
        <x:v>15</x:v>
      </x:c>
      <x:c r="B116" s="9" t="str">
        <x:v>Cheng-Yu et al. (2021)</x:v>
      </x:c>
      <x:c r="C116" s="9" t="str">
        <x:v>L3</x:v>
      </x:c>
      <x:c r="D116" s="9" t="n">
        <x:v>1</x:v>
      </x:c>
      <x:c r="E116" s="9" t="n">
        <x:v>1</x:v>
      </x:c>
      <x:c r="F116" s="9" t="n">
        <x:v>1</x:v>
      </x:c>
      <x:c r="G116" s="15" t="str">
        <x:v>pp.4–11 identify PLA/FBG construction and calibrate wavelength shift against elbow/knee angle, reporting sensitivities, resolution, range, and error.</x:v>
      </x:c>
      <x:c r="H116" s="15" t="str">
        <x:v>pp. 7 and 9-11; controlled elbow and knee angles over 0-90 and 0-100 degrees</x:v>
      </x:c>
    </x:row>
    <x:row r="117" ht="44" customHeight="1">
      <x:c r="A117" s="23" t="n">
        <x:v>15</x:v>
      </x:c>
      <x:c r="B117" s="23" t="str">
        <x:v>Cheng-Yu et al. (2021)</x:v>
      </x:c>
      <x:c r="C117" s="23" t="str">
        <x:v>L4</x:v>
      </x:c>
      <x:c r="D117" s="23" t="n">
        <x:v>1</x:v>
      </x:c>
      <x:c r="E117" s="23" t="n">
        <x:v>1</x:v>
      </x:c>
      <x:c r="F117" s="23" t="n">
        <x:v>1</x:v>
      </x:c>
      <x:c r="G117" s="41" t="str">
        <x:v>pp.4–11 identify PLA/FBG construction and calibrate wavelength shift against elbow/knee angle, reporting sensitivities, resolution, range, and error.</x:v>
      </x:c>
      <x:c r="H117" s="41" t="str">
        <x:v>pp. 9-11; sensitivities of 0.0056 and 0.0276 nm/degree with stated angle ranges and resolution</x:v>
      </x:c>
    </x:row>
    <x:row r="118" ht="44" customHeight="1">
      <x:c r="A118" s="9" t="n">
        <x:v>15</x:v>
      </x:c>
      <x:c r="B118" s="9" t="str">
        <x:v>Cheng-Yu et al. (2021)</x:v>
      </x:c>
      <x:c r="C118" s="9" t="str">
        <x:v>L5</x:v>
      </x:c>
      <x:c r="D118" s="9" t="n">
        <x:v>1</x:v>
      </x:c>
      <x:c r="E118" s="9" t="n">
        <x:v>1</x:v>
      </x:c>
      <x:c r="F118" s="9" t="n">
        <x:v>1</x:v>
      </x:c>
      <x:c r="G118" s="15" t="str">
        <x:v>pp.7–11 report three repeated calibrations and a repeated 90° bend test with response stability.</x:v>
      </x:c>
      <x:c r="H118" s="15" t="str">
        <x:v>pp. 7 and 10; six repeated 0-90 degree elbow bends with relatively stable wavelength response</x:v>
      </x:c>
    </x:row>
    <x:row r="119" ht="44" customHeight="1">
      <x:c r="A119" s="23" t="n">
        <x:v>15</x:v>
      </x:c>
      <x:c r="B119" s="23" t="str">
        <x:v>Cheng-Yu et al. (2021)</x:v>
      </x:c>
      <x:c r="C119" s="23" t="str">
        <x:v>L6</x:v>
      </x:c>
      <x:c r="D119" s="23" t="n">
        <x:v>0</x:v>
      </x:c>
      <x:c r="E119" s="23" t="n">
        <x:v>0</x:v>
      </x:c>
      <x:c r="F119" s="23" t="n">
        <x:v>0</x:v>
      </x:c>
      <x:c r="G119" s="41" t="str">
        <x:v>washability is asserted but not experimentally evaluated.</x:v>
      </x:c>
      <x:c r="H119" s="41" t="str">
        <x:v>Not located; p. 3 asserts washability, but no washing or use-exposure response test is reported</x:v>
      </x:c>
    </x:row>
    <x:row r="120" ht="44" customHeight="1">
      <x:c r="A120" s="9" t="n">
        <x:v>15</x:v>
      </x:c>
      <x:c r="B120" s="9" t="str">
        <x:v>Cheng-Yu et al. (2021)</x:v>
      </x:c>
      <x:c r="C120" s="9" t="str">
        <x:v>L7</x:v>
      </x:c>
      <x:c r="D120" s="9" t="n">
        <x:v>1</x:v>
      </x:c>
      <x:c r="E120" s="9" t="n">
        <x:v>1</x:v>
      </x:c>
      <x:c r="F120" s="9" t="n">
        <x:v>1</x:v>
      </x:c>
      <x:c r="G120" s="15" t="str">
        <x:v>pp.4–12 report embedded-fiber integration and retained function during repeated elbow/knee bending and walking.</x:v>
      </x:c>
      <x:c r="H120" s="15" t="str">
        <x:v>pp. 7 and 9-11; embedded final ring retained function during repeated bending and walking</x:v>
      </x:c>
    </x:row>
    <x:row r="121" ht="44" customHeight="1">
      <x:c r="A121" s="23" t="n">
        <x:v>15</x:v>
      </x:c>
      <x:c r="B121" s="23" t="str">
        <x:v>Cheng-Yu et al. (2021)</x:v>
      </x:c>
      <x:c r="C121" s="23" t="str">
        <x:v>L8</x:v>
      </x:c>
      <x:c r="D121" s="23" t="n">
        <x:v>0</x:v>
      </x:c>
      <x:c r="E121" s="23" t="n">
        <x:v>0</x:v>
      </x:c>
      <x:c r="F121" s="23" t="n">
        <x:v>0</x:v>
      </x:c>
      <x:c r="G121" s="41" t="str">
        <x:v>only two rings and one participant were used.</x:v>
      </x:c>
      <x:c r="H121" s="41" t="str">
        <x:v>Not located; two rings served different joints and no between-device variation was quantified</x:v>
      </x:c>
    </x:row>
    <x:row r="122" ht="44" customHeight="1">
      <x:c r="A122" s="9" t="n">
        <x:v>16</x:v>
      </x:c>
      <x:c r="B122" s="9" t="str">
        <x:v>Kumar et al. (2023)</x:v>
      </x:c>
      <x:c r="C122" s="9" t="str">
        <x:v>L1</x:v>
      </x:c>
      <x:c r="D122" s="9" t="n">
        <x:v>1</x:v>
      </x:c>
      <x:c r="E122" s="9" t="n">
        <x:v>1</x:v>
      </x:c>
      <x:c r="F122" s="9" t="n">
        <x:v>1</x:v>
      </x:c>
      <x:c r="G122" s="15" t="str">
        <x:v>pp.3–15 report the TPU filament/fabric process, optimized 225 °C/18 mm s−1/60% infill conditions, controlled 0–25 N loading, VNA reference, resonant-frequency shift, permittivity, and loss tangent.</x:v>
      </x:c>
      <x:c r="H122" s="15" t="str">
        <x:v>pp. 3, 5, and 8; temperature, speed, infill, and geometry reported</x:v>
      </x:c>
    </x:row>
    <x:row r="123" ht="44" customHeight="1">
      <x:c r="A123" s="23" t="n">
        <x:v>16</x:v>
      </x:c>
      <x:c r="B123" s="23" t="str">
        <x:v>Kumar et al. (2023)</x:v>
      </x:c>
      <x:c r="C123" s="23" t="str">
        <x:v>L2</x:v>
      </x:c>
      <x:c r="D123" s="23" t="n">
        <x:v>1</x:v>
      </x:c>
      <x:c r="E123" s="23" t="n">
        <x:v>1</x:v>
      </x:c>
      <x:c r="F123" s="23" t="n">
        <x:v>1</x:v>
      </x:c>
      <x:c r="G123" s="41" t="str">
        <x:v>pp.3–15 report the TPU filament/fabric process, optimized 225 °C/18 mm s−1/60% infill conditions, controlled 0–25 N loading, VNA reference, resonant-frequency shift, permittivity, and loss tangent.</x:v>
      </x:c>
      <x:c r="H123" s="41" t="str">
        <x:v>pp. 3, 8, and 13; recycled TPU85A, 70/30 cotton-lycra fabric, Cu tape, and 50-ohm connectors</x:v>
      </x:c>
    </x:row>
    <x:row r="124" ht="44" customHeight="1">
      <x:c r="A124" s="9" t="n">
        <x:v>16</x:v>
      </x:c>
      <x:c r="B124" s="9" t="str">
        <x:v>Kumar et al. (2023)</x:v>
      </x:c>
      <x:c r="C124" s="9" t="str">
        <x:v>L3</x:v>
      </x:c>
      <x:c r="D124" s="9" t="n">
        <x:v>1</x:v>
      </x:c>
      <x:c r="E124" s="9" t="n">
        <x:v>1</x:v>
      </x:c>
      <x:c r="F124" s="9" t="n">
        <x:v>1</x:v>
      </x:c>
      <x:c r="G124" s="15" t="str">
        <x:v>pp.3–15 report the TPU filament/fabric process, optimized 225 °C/18 mm s−1/60% infill conditions, controlled 0–25 N loading, VNA reference, resonant-frequency shift, permittivity, and loss tangent.</x:v>
      </x:c>
      <x:c r="H124" s="15" t="str">
        <x:v>pp. 14-15; VNA response measured under controlled 0-25 N loading</x:v>
      </x:c>
    </x:row>
    <x:row r="125" ht="44" customHeight="1">
      <x:c r="A125" s="23" t="n">
        <x:v>16</x:v>
      </x:c>
      <x:c r="B125" s="23" t="str">
        <x:v>Kumar et al. (2023)</x:v>
      </x:c>
      <x:c r="C125" s="23" t="str">
        <x:v>L4</x:v>
      </x:c>
      <x:c r="D125" s="23" t="n">
        <x:v>1</x:v>
      </x:c>
      <x:c r="E125" s="23" t="n">
        <x:v>1</x:v>
      </x:c>
      <x:c r="F125" s="23" t="n">
        <x:v>1</x:v>
      </x:c>
      <x:c r="G125" s="41" t="str">
        <x:v>pp.3–15 report the TPU filament/fabric process, optimized 225 °C/18 mm s−1/60% infill conditions, controlled 0–25 N loading, VNA reference, resonant-frequency shift, permittivity, and loss tangent.</x:v>
      </x:c>
      <x:c r="H125" s="41" t="str">
        <x:v>pp. 14-15; RF shifted from 2.85 to about 2.65 GHz with S21 and permittivity reported over 0-25 N</x:v>
      </x:c>
    </x:row>
    <x:row r="126" ht="44" customHeight="1">
      <x:c r="A126" s="9" t="n">
        <x:v>16</x:v>
      </x:c>
      <x:c r="B126" s="9" t="str">
        <x:v>Kumar et al. (2023)</x:v>
      </x:c>
      <x:c r="C126" s="9" t="str">
        <x:v>L5</x:v>
      </x:c>
      <x:c r="D126" s="9" t="n">
        <x:v>1</x:v>
      </x:c>
      <x:c r="E126" s="9" t="n">
        <x:v>1</x:v>
      </x:c>
      <x:c r="F126" s="9" t="n">
        <x:v>1</x:v>
      </x:c>
      <x:c r="G126" s="15" t="str">
        <x:v>p.15 reports two loading/unloading cycles with three repetitions and explicitly reports conductor separation after three cycles.</x:v>
      </x:c>
      <x:c r="H126" s="15" t="str">
        <x:v>pp. 14-15; 0-25 N loading/unloading in two cycles with three repetitions and interface failure noted</x:v>
      </x:c>
    </x:row>
    <x:row r="127" ht="44" customHeight="1">
      <x:c r="A127" s="23" t="n">
        <x:v>16</x:v>
      </x:c>
      <x:c r="B127" s="23" t="str">
        <x:v>Kumar et al. (2023)</x:v>
      </x:c>
      <x:c r="C127" s="23" t="str">
        <x:v>L6</x:v>
      </x:c>
      <x:c r="D127" s="23" t="n">
        <x:v>0</x:v>
      </x:c>
      <x:c r="E127" s="23" t="n">
        <x:v>1</x:v>
      </x:c>
      <x:c r="F127" s="23" t="n">
        <x:v>1</x:v>
      </x:c>
      <x:c r="G127" s="41" t="str">
        <x:v>DSC/material thermal analysis is not sensor environmental retention testing.</x:v>
      </x:c>
      <x:c r="H127" s="41" t="str">
        <x:v>pp. 11-12; printed substrate tested over 30-70 degrees C for three heating/cooling cycles with stable thermal response</x:v>
      </x:c>
    </x:row>
    <x:row r="128" ht="44" customHeight="1">
      <x:c r="A128" s="9" t="n">
        <x:v>16</x:v>
      </x:c>
      <x:c r="B128" s="9" t="str">
        <x:v>Kumar et al. (2023)</x:v>
      </x:c>
      <x:c r="C128" s="9" t="str">
        <x:v>L7</x:v>
      </x:c>
      <x:c r="D128" s="9" t="n">
        <x:v>1</x:v>
      </x:c>
      <x:c r="E128" s="9" t="n">
        <x:v>1</x:v>
      </x:c>
      <x:c r="F128" s="9" t="n">
        <x:v>1</x:v>
      </x:c>
      <x:c r="G128" s="15" t="str">
        <x:v>p.15 directly identifies Cu-tape/substrate interface failure after cycling.</x:v>
      </x:c>
      <x:c r="H128" s="15" t="str">
        <x:v>p. 15; Cu-tape conductor began separating from the substrate after three loading cycles</x:v>
      </x:c>
    </x:row>
    <x:row r="129" ht="44" customHeight="1">
      <x:c r="A129" s="23" t="n">
        <x:v>16</x:v>
      </x:c>
      <x:c r="B129" s="23" t="str">
        <x:v>Kumar et al. (2023)</x:v>
      </x:c>
      <x:c r="C129" s="23" t="str">
        <x:v>L8</x:v>
      </x:c>
      <x:c r="D129" s="23" t="n">
        <x:v>0</x:v>
      </x:c>
      <x:c r="E129" s="23" t="n">
        <x:v>0</x:v>
      </x:c>
      <x:c r="F129" s="23" t="n">
        <x:v>0</x:v>
      </x:c>
      <x:c r="G129" s="41" t="str">
        <x:v>repetitions are not a quantified comparison of independently fabricated sensors.</x:v>
      </x:c>
      <x:c r="H129" s="41" t="str">
        <x:v>Not located; DOE variants and repeated loading did not establish three independent devices with between-unit statistics</x:v>
      </x:c>
    </x:row>
    <x:row r="130" ht="44" customHeight="1">
      <x:c r="A130" s="9" t="n">
        <x:v>17</x:v>
      </x:c>
      <x:c r="B130" s="9" t="str">
        <x:v>Kim et al. (2019)</x:v>
      </x:c>
      <x:c r="C130" s="9" t="str">
        <x:v>L1</x:v>
      </x:c>
      <x:c r="D130" s="9" t="n">
        <x:v>0</x:v>
      </x:c>
      <x:c r="E130" s="9" t="n">
        <x:v>0</x:v>
      </x:c>
      <x:c r="F130" s="9" t="n">
        <x:v>0</x:v>
      </x:c>
      <x:c r="G130" s="15" t="str">
        <x:v>main-paper p.8 identifies the Ultimaker 3, materials, geometry, Cura version, and multiextrusion process but describes the printing conditions only as “customized.” The reviewed 14-page Supporting Information shows the geometry and fabrication sequence (Figures S1–S2) but does not report the promised nozzle temperature, bed temperature, layer height, speed, or equivalent reconstruction settings.</x:v>
      </x:c>
      <x:c r="H130" s="15" t="str">
        <x:v>Main p. 8; Suppl. pp. 3-4; printer and geometry reported</x:v>
      </x:c>
    </x:row>
    <x:row r="131" ht="44" customHeight="1">
      <x:c r="A131" s="23" t="n">
        <x:v>17</x:v>
      </x:c>
      <x:c r="B131" s="23" t="str">
        <x:v>Kim et al. (2019)</x:v>
      </x:c>
      <x:c r="C131" s="23" t="str">
        <x:v>L2</x:v>
      </x:c>
      <x:c r="D131" s="23" t="n">
        <x:v>1</x:v>
      </x:c>
      <x:c r="E131" s="23" t="n">
        <x:v>1</x:v>
      </x:c>
      <x:c r="F131" s="23" t="n">
        <x:v>1</x:v>
      </x:c>
      <x:c r="G131" s="41" t="str">
        <x:v>pp.1–4 and 8–9 identify the liquid-metal/microchannel/ microbump stack, controlled UTM loading, 0.158 kPa−1 sensitivity, range, detection limit, and response time.</x:v>
      </x:c>
      <x:c r="H131" s="41" t="str">
        <x:v>Main pp. 2-3 and 8-9; Dragon Skin 10, PVA/PLA mold, Galinstan microchannel, and wire interconnects</x:v>
      </x:c>
    </x:row>
    <x:row r="132" ht="44" customHeight="1">
      <x:c r="A132" s="9" t="n">
        <x:v>17</x:v>
      </x:c>
      <x:c r="B132" s="9" t="str">
        <x:v>Kim et al. (2019)</x:v>
      </x:c>
      <x:c r="C132" s="9" t="str">
        <x:v>L3</x:v>
      </x:c>
      <x:c r="D132" s="9" t="n">
        <x:v>1</x:v>
      </x:c>
      <x:c r="E132" s="9" t="n">
        <x:v>1</x:v>
      </x:c>
      <x:c r="F132" s="9" t="n">
        <x:v>1</x:v>
      </x:c>
      <x:c r="G132" s="15" t="str">
        <x:v>pp.1–4 and 8–9 identify the liquid-metal/microchannel/ microbump stack, controlled UTM loading, 0.158 kPa−1 sensitivity, range, detection limit, and response time.</x:v>
      </x:c>
      <x:c r="H132" s="15" t="str">
        <x:v>Main pp. 3 and 9; UTM/force-transducer characterization over about 2.7 Pa to 600 kPa</x:v>
      </x:c>
    </x:row>
    <x:row r="133" ht="44" customHeight="1">
      <x:c r="A133" s="23" t="n">
        <x:v>17</x:v>
      </x:c>
      <x:c r="B133" s="23" t="str">
        <x:v>Kim et al. (2019)</x:v>
      </x:c>
      <x:c r="C133" s="23" t="str">
        <x:v>L4</x:v>
      </x:c>
      <x:c r="D133" s="23" t="n">
        <x:v>1</x:v>
      </x:c>
      <x:c r="E133" s="23" t="n">
        <x:v>1</x:v>
      </x:c>
      <x:c r="F133" s="23" t="n">
        <x:v>1</x:v>
      </x:c>
      <x:c r="G133" s="41" t="str">
        <x:v>pp.1–4 and 8–9 identify the liquid-metal/microchannel/ microbump stack, controlled UTM loading, 0.158 kPa−1 sensitivity, range, detection limit, and response time.</x:v>
      </x:c>
      <x:c r="H133" s="41" t="str">
        <x:v>Main pp. 1, 3, and 8; 0.158 per kPa at 50 kPa, about 16 Pa detection limit, 77 ms response, and range to 600 kPa</x:v>
      </x:c>
    </x:row>
    <x:row r="134" ht="44" customHeight="1">
      <x:c r="A134" s="9" t="n">
        <x:v>17</x:v>
      </x:c>
      <x:c r="B134" s="9" t="str">
        <x:v>Kim et al. (2019)</x:v>
      </x:c>
      <x:c r="C134" s="9" t="str">
        <x:v>L5</x:v>
      </x:c>
      <x:c r="D134" s="9" t="n">
        <x:v>1</x:v>
      </x:c>
      <x:c r="E134" s="9" t="n">
        <x:v>1</x:v>
      </x:c>
      <x:c r="F134" s="9" t="n">
        <x:v>1</x:v>
      </x:c>
      <x:c r="G134" s="15" t="str">
        <x:v>pp.4–5 report 12,000 pressure cycles and 10,000 bending and biaxial stretching cycles with drift/recovery.</x:v>
      </x:c>
      <x:c r="H134" s="15" t="str">
        <x:v>Main pp. 4-5; 12,000 cycles at 0-30 kPa and 10,000 bending/stretching cycles with negligible drift</x:v>
      </x:c>
    </x:row>
    <x:row r="135" ht="44" customHeight="1">
      <x:c r="A135" s="23" t="n">
        <x:v>17</x:v>
      </x:c>
      <x:c r="B135" s="23" t="str">
        <x:v>Kim et al. (2019)</x:v>
      </x:c>
      <x:c r="C135" s="23" t="str">
        <x:v>L6</x:v>
      </x:c>
      <x:c r="D135" s="23" t="n">
        <x:v>1</x:v>
      </x:c>
      <x:c r="E135" s="23" t="n">
        <x:v>1</x:v>
      </x:c>
      <x:c r="F135" s="23" t="n">
        <x:v>1</x:v>
      </x:c>
      <x:c r="G135" s="41" t="str">
        <x:v>p.5 reports response at 40–70 °C, four-week water immersion, leakage observations, and a 24-h self-heating test.</x:v>
      </x:c>
      <x:c r="H135" s="41" t="str">
        <x:v>Main p. 5; Suppl. p. 10; pressure response at 40-70 degrees C and stable resistance after four weeks in water</x:v>
      </x:c>
    </x:row>
    <x:row r="136" ht="44" customHeight="1">
      <x:c r="A136" s="9" t="n">
        <x:v>17</x:v>
      </x:c>
      <x:c r="B136" s="9" t="str">
        <x:v>Kim et al. (2019)</x:v>
      </x:c>
      <x:c r="C136" s="9" t="str">
        <x:v>L7</x:v>
      </x:c>
      <x:c r="D136" s="9" t="n">
        <x:v>1</x:v>
      </x:c>
      <x:c r="E136" s="9" t="n">
        <x:v>1</x:v>
      </x:c>
      <x:c r="F136" s="9" t="n">
        <x:v>1</x:v>
      </x:c>
      <x:c r="G136" s="15" t="str">
        <x:v>pp.3–5 and 9 evaluate sealed encapsulation and retained function after interface-relevant stretching, bending, and immersion.</x:v>
      </x:c>
      <x:c r="H136" s="15" t="str">
        <x:v>Main pp. 4-8; sealed microchannel retained function through cycling, water immersion, and repeated wearable use</x:v>
      </x:c>
    </x:row>
    <x:row r="137" ht="44" customHeight="1">
      <x:c r="A137" s="23" t="n">
        <x:v>17</x:v>
      </x:c>
      <x:c r="B137" s="23" t="str">
        <x:v>Kim et al. (2019)</x:v>
      </x:c>
      <x:c r="C137" s="23" t="str">
        <x:v>L8</x:v>
      </x:c>
      <x:c r="D137" s="23" t="n">
        <x:v>1</x:v>
      </x:c>
      <x:c r="E137" s="23" t="n">
        <x:v>1</x:v>
      </x:c>
      <x:c r="F137" s="23" t="n">
        <x:v>1</x:v>
      </x:c>
      <x:c r="G137" s="41" t="str">
        <x:v>pp.3 and 8–9 report uniformity across 12 sensors and independently measured device dimensions/resistance with dispersion (n = 10 and n = 7).</x:v>
      </x:c>
      <x:c r="H137" s="41" t="str">
        <x:v>Main p. 3; Suppl. p. 8; uniformity of 12 different sensors quantified with standard-deviation error bars</x:v>
      </x:c>
    </x:row>
    <x:row r="138" ht="44" customHeight="1">
      <x:c r="A138" s="9" t="n">
        <x:v>18</x:v>
      </x:c>
      <x:c r="B138" s="9" t="str">
        <x:v>Imanian et al. (2023)</x:v>
      </x:c>
      <x:c r="C138" s="9" t="str">
        <x:v>L1</x:v>
      </x:c>
      <x:c r="D138" s="9" t="n">
        <x:v>1</x:v>
      </x:c>
      <x:c r="E138" s="9" t="n">
        <x:v>1</x:v>
      </x:c>
      <x:c r="F138" s="9" t="n">
        <x:v>1</x:v>
      </x:c>
      <x:c r="G138" s="15" t="str">
        <x:v>pp.4–7 report nozzle, speed, infill, temperature, TPMS geometry, graphene-coating process, controlled compression, resistance response, and gauge factor/range.</x:v>
      </x:c>
      <x:c r="H138" s="15" t="str">
        <x:v>pp. 4-5; nozzle, temperature, speed, infill, geometry, and coating reported</x:v>
      </x:c>
    </x:row>
    <x:row r="139" ht="44" customHeight="1">
      <x:c r="A139" s="23" t="n">
        <x:v>18</x:v>
      </x:c>
      <x:c r="B139" s="23" t="str">
        <x:v>Imanian et al. (2023)</x:v>
      </x:c>
      <x:c r="C139" s="23" t="str">
        <x:v>L2</x:v>
      </x:c>
      <x:c r="D139" s="23" t="n">
        <x:v>1</x:v>
      </x:c>
      <x:c r="E139" s="23" t="n">
        <x:v>1</x:v>
      </x:c>
      <x:c r="F139" s="23" t="n">
        <x:v>1</x:v>
      </x:c>
      <x:c r="G139" s="41" t="str">
        <x:v>pp.4–7 report nozzle, speed, infill, temperature, TPMS geometry, graphene-coating process, controlled compression, resistance response, and gauge factor/range.</x:v>
      </x:c>
      <x:c r="H139" s="41" t="str">
        <x:v>pp. 4-5; NinjaTek TPU, graphene nanoplatelets, acetone, nail-polish binder, and conductive coating</x:v>
      </x:c>
    </x:row>
    <x:row r="140" ht="44" customHeight="1">
      <x:c r="A140" s="9" t="n">
        <x:v>18</x:v>
      </x:c>
      <x:c r="B140" s="9" t="str">
        <x:v>Imanian et al. (2023)</x:v>
      </x:c>
      <x:c r="C140" s="9" t="str">
        <x:v>L3</x:v>
      </x:c>
      <x:c r="D140" s="9" t="n">
        <x:v>1</x:v>
      </x:c>
      <x:c r="E140" s="9" t="n">
        <x:v>1</x:v>
      </x:c>
      <x:c r="F140" s="9" t="n">
        <x:v>1</x:v>
      </x:c>
      <x:c r="G140" s="15" t="str">
        <x:v>pp.4–7 report nozzle, speed, infill, temperature, TPMS geometry, graphene-coating process, controlled compression, resistance response, and gauge factor/range.</x:v>
      </x:c>
      <x:c r="H140" s="15" t="str">
        <x:v>pp. 4 and 6-7; UTM-controlled compression with resistance measured over strains 0.005-0.15</x:v>
      </x:c>
    </x:row>
    <x:row r="141" ht="44" customHeight="1">
      <x:c r="A141" s="23" t="n">
        <x:v>18</x:v>
      </x:c>
      <x:c r="B141" s="23" t="str">
        <x:v>Imanian et al. (2023)</x:v>
      </x:c>
      <x:c r="C141" s="23" t="str">
        <x:v>L4</x:v>
      </x:c>
      <x:c r="D141" s="23" t="n">
        <x:v>1</x:v>
      </x:c>
      <x:c r="E141" s="23" t="n">
        <x:v>1</x:v>
      </x:c>
      <x:c r="F141" s="23" t="n">
        <x:v>1</x:v>
      </x:c>
      <x:c r="G141" s="41" t="str">
        <x:v>pp.4–7 report nozzle, speed, infill, temperature, TPMS geometry, graphene-coating process, controlled compression, resistance response, and gauge factor/range.</x:v>
      </x:c>
      <x:c r="H141" s="41" t="str">
        <x:v>pp. 4, 7, and 10; gauge factor and relative-resistance response reported over strains 0.005-0.15</x:v>
      </x:c>
    </x:row>
    <x:row r="142" ht="44" customHeight="1">
      <x:c r="A142" s="9" t="n">
        <x:v>18</x:v>
      </x:c>
      <x:c r="B142" s="9" t="str">
        <x:v>Imanian et al. (2023)</x:v>
      </x:c>
      <x:c r="C142" s="9" t="str">
        <x:v>L5</x:v>
      </x:c>
      <x:c r="D142" s="9" t="n">
        <x:v>1</x:v>
      </x:c>
      <x:c r="E142" s="9" t="n">
        <x:v>1</x:v>
      </x:c>
      <x:c r="F142" s="9" t="n">
        <x:v>1</x:v>
      </x:c>
      <x:c r="G142" s="15" t="str">
        <x:v>pp.7–10 report cyclic compression and piezoresistive retention.</x:v>
      </x:c>
      <x:c r="H142" s="15" t="str">
        <x:v>pp. 6-7; 300 compression cycles at strains 0.05, 0.10, and 0.15 with stable piezoresistive response</x:v>
      </x:c>
    </x:row>
    <x:row r="143" ht="44" customHeight="1">
      <x:c r="A143" s="23" t="n">
        <x:v>18</x:v>
      </x:c>
      <x:c r="B143" s="23" t="str">
        <x:v>Imanian et al. (2023)</x:v>
      </x:c>
      <x:c r="C143" s="23" t="str">
        <x:v>L6</x:v>
      </x:c>
      <x:c r="D143" s="23" t="n">
        <x:v>0</x:v>
      </x:c>
      <x:c r="E143" s="23" t="n">
        <x:v>0</x:v>
      </x:c>
      <x:c r="F143" s="23" t="n">
        <x:v>0</x:v>
      </x:c>
      <x:c r="G143" s="41" t="str">
        <x:v>no qualifying sensor environmental/use-exposure stability test was located.</x:v>
      </x:c>
      <x:c r="H143" s="41" t="str">
        <x:v>Not located; respiration and walking tests used no stated environmental or use-exposure condition</x:v>
      </x:c>
    </x:row>
    <x:row r="144" ht="44" customHeight="1">
      <x:c r="A144" s="9" t="n">
        <x:v>18</x:v>
      </x:c>
      <x:c r="B144" s="9" t="str">
        <x:v>Imanian et al. (2023)</x:v>
      </x:c>
      <x:c r="C144" s="9" t="str">
        <x:v>L7</x:v>
      </x:c>
      <x:c r="D144" s="9" t="n">
        <x:v>1</x:v>
      </x:c>
      <x:c r="E144" s="9" t="n">
        <x:v>1</x:v>
      </x:c>
      <x:c r="F144" s="9" t="n">
        <x:v>1</x:v>
      </x:c>
      <x:c r="G144" s="15" t="str">
        <x:v>pp.3 and 7–10 retain electrical function of the discrete graphene/silicone coating interface through cyclic compression.</x:v>
      </x:c>
      <x:c r="H144" s="15" t="str">
        <x:v>pp. 5-7 and 11-12; graphene-coated TPU retained response through cycling and final respiration/walking use</x:v>
      </x:c>
    </x:row>
    <x:row r="145" ht="44" customHeight="1">
      <x:c r="A145" s="23" t="n">
        <x:v>18</x:v>
      </x:c>
      <x:c r="B145" s="23" t="str">
        <x:v>Imanian et al. (2023)</x:v>
      </x:c>
      <x:c r="C145" s="23" t="str">
        <x:v>L8</x:v>
      </x:c>
      <x:c r="D145" s="23" t="n">
        <x:v>0</x:v>
      </x:c>
      <x:c r="E145" s="23" t="n">
        <x:v>0</x:v>
      </x:c>
      <x:c r="F145" s="23" t="n">
        <x:v>0</x:v>
      </x:c>
      <x:c r="G145" s="41" t="str">
        <x:v>no qualifying between-device dispersion was located.</x:v>
      </x:c>
      <x:c r="H145" s="41" t="str">
        <x:v>Not located; topology and volume-fraction variants lacked quantified variation among independent replicate devices</x:v>
      </x:c>
    </x:row>
    <x:row r="146" ht="44" customHeight="1">
      <x:c r="A146" s="9" t="n">
        <x:v>19</x:v>
      </x:c>
      <x:c r="B146" s="9" t="str">
        <x:v>Lo Presti et al. (2024)</x:v>
      </x:c>
      <x:c r="C146" s="9" t="str">
        <x:v>L1</x:v>
      </x:c>
      <x:c r="D146" s="9" t="n">
        <x:v>1</x:v>
      </x:c>
      <x:c r="E146" s="9" t="n">
        <x:v>1</x:v>
      </x:c>
      <x:c r="F146" s="9" t="n">
        <x:v>1</x:v>
      </x:c>
      <x:c r="G146" s="15" t="str">
        <x:v>pp.3–6 report complete Table 1 print settings, geometry, embedded FBG/anchorage construction, controlled strain calibration, and sensitivity.</x:v>
      </x:c>
      <x:c r="H146" s="15" t="str">
        <x:v>pp. 3-4; Ender 3 Pro, 0.4-mm nozzle, 228 degrees C, 0.12-mm layers, 30% triangular infill, 30 mm/s, geometry, and integration steps</x:v>
      </x:c>
    </x:row>
    <x:row r="147" ht="44" customHeight="1">
      <x:c r="A147" s="23" t="n">
        <x:v>19</x:v>
      </x:c>
      <x:c r="B147" s="23" t="str">
        <x:v>Lo Presti et al. (2024)</x:v>
      </x:c>
      <x:c r="C147" s="23" t="str">
        <x:v>L2</x:v>
      </x:c>
      <x:c r="D147" s="23" t="n">
        <x:v>1</x:v>
      </x:c>
      <x:c r="E147" s="23" t="n">
        <x:v>1</x:v>
      </x:c>
      <x:c r="F147" s="23" t="n">
        <x:v>1</x:v>
      </x:c>
      <x:c r="G147" s="41" t="str">
        <x:v>pp.3–6 report complete Table 1 print settings, geometry, embedded FBG/anchorage construction, controlled strain calibration, and sensitivity.</x:v>
      </x:c>
      <x:c r="H147" s="41" t="str">
        <x:v>pp. 2-4; SUNLU TPU95A, PI-coated AtGrating FBG, LSZH tube, elastic bands, and epoxy-fixed band tabs</x:v>
      </x:c>
    </x:row>
    <x:row r="148" ht="44" customHeight="1">
      <x:c r="A148" s="9" t="n">
        <x:v>19</x:v>
      </x:c>
      <x:c r="B148" s="9" t="str">
        <x:v>Lo Presti et al. (2024)</x:v>
      </x:c>
      <x:c r="C148" s="9" t="str">
        <x:v>L3</x:v>
      </x:c>
      <x:c r="D148" s="9" t="n">
        <x:v>1</x:v>
      </x:c>
      <x:c r="E148" s="9" t="n">
        <x:v>1</x:v>
      </x:c>
      <x:c r="F148" s="9" t="n">
        <x:v>1</x:v>
      </x:c>
      <x:c r="G148" s="15" t="str">
        <x:v>pp.3–6 report complete Table 1 print settings, geometry, embedded FBG/anchorage construction, controlled strain calibration, and sensitivity.</x:v>
      </x:c>
      <x:c r="H148" s="15" t="str">
        <x:v>pp. 5-6; Instron displacement control to 0.7% strain and oven/thermistor reference over about 20-38 degrees C</x:v>
      </x:c>
    </x:row>
    <x:row r="149" ht="44" customHeight="1">
      <x:c r="A149" s="23" t="n">
        <x:v>19</x:v>
      </x:c>
      <x:c r="B149" s="23" t="str">
        <x:v>Lo Presti et al. (2024)</x:v>
      </x:c>
      <x:c r="C149" s="23" t="str">
        <x:v>L4</x:v>
      </x:c>
      <x:c r="D149" s="23" t="n">
        <x:v>1</x:v>
      </x:c>
      <x:c r="E149" s="23" t="n">
        <x:v>1</x:v>
      </x:c>
      <x:c r="F149" s="23" t="n">
        <x:v>1</x:v>
      </x:c>
      <x:c r="G149" s="41" t="str">
        <x:v>pp.3–6 report complete Table 1 print settings, geometry, embedded FBG/anchorage construction, controlled strain calibration, and sensitivity.</x:v>
      </x:c>
      <x:c r="H149" s="41" t="str">
        <x:v>pp. 5-6; 0.50 nm/mstrain, R2 0.995, RMSE 0.0007 nm, and 0.05 nm/degree C over stated ranges</x:v>
      </x:c>
    </x:row>
    <x:row r="150" ht="44" customHeight="1">
      <x:c r="A150" s="9" t="n">
        <x:v>19</x:v>
      </x:c>
      <x:c r="B150" s="9" t="str">
        <x:v>Lo Presti et al. (2024)</x:v>
      </x:c>
      <x:c r="C150" s="9" t="str">
        <x:v>L5</x:v>
      </x:c>
      <x:c r="D150" s="9" t="n">
        <x:v>1</x:v>
      </x:c>
      <x:c r="E150" s="9" t="n">
        <x:v>1</x:v>
      </x:c>
      <x:c r="F150" s="9" t="n">
        <x:v>1</x:v>
      </x:c>
      <x:c r="G150" s="15" t="str">
        <x:v>pp.5–8 report cyclic response/hysteresis and response retention.</x:v>
      </x:c>
      <x:c r="H150" s="15" t="str">
        <x:v>pp. 5 and 8-9; ten cycles at 0.1-0.7% strain and 0.2-2.2 Hz, with drift and R2 stability outcomes</x:v>
      </x:c>
    </x:row>
    <x:row r="151" ht="44" customHeight="1">
      <x:c r="A151" s="23" t="n">
        <x:v>19</x:v>
      </x:c>
      <x:c r="B151" s="23" t="str">
        <x:v>Lo Presti et al. (2024)</x:v>
      </x:c>
      <x:c r="C151" s="23" t="str">
        <x:v>L6</x:v>
      </x:c>
      <x:c r="D151" s="23" t="n">
        <x:v>1</x:v>
      </x:c>
      <x:c r="E151" s="23" t="n">
        <x:v>1</x:v>
      </x:c>
      <x:c r="F151" s="23" t="n">
        <x:v>1</x:v>
      </x:c>
      <x:c r="G151" s="41" t="str">
        <x:v>pp.4–6 report controlled temperature characterization.</x:v>
      </x:c>
      <x:c r="H151" s="41" t="str">
        <x:v>p. 6; controlled 20-38 degrees C exposure produced a 0.05 nm/degree C thermal response</x:v>
      </x:c>
    </x:row>
    <x:row r="152" ht="44" customHeight="1">
      <x:c r="A152" s="9" t="n">
        <x:v>19</x:v>
      </x:c>
      <x:c r="B152" s="9" t="str">
        <x:v>Lo Presti et al. (2024)</x:v>
      </x:c>
      <x:c r="C152" s="9" t="str">
        <x:v>L7</x:v>
      </x:c>
      <x:c r="D152" s="9" t="n">
        <x:v>1</x:v>
      </x:c>
      <x:c r="E152" s="9" t="n">
        <x:v>1</x:v>
      </x:c>
      <x:c r="F152" s="9" t="n">
        <x:v>1</x:v>
      </x:c>
      <x:c r="G152" s="15" t="str">
        <x:v>pp.3–7 evaluate embedded-fiber placement/strain transfer, microstructure, and retained function of the final wearable sensor.</x:v>
      </x:c>
      <x:c r="H152" s="15" t="str">
        <x:v>pp. 3-5 and 9; spectrum and SEM verified FBG-TPU adhesion, and cyclic tests retained high agreement</x:v>
      </x:c>
    </x:row>
    <x:row r="153" ht="44" customHeight="1">
      <x:c r="A153" s="23" t="n">
        <x:v>19</x:v>
      </x:c>
      <x:c r="B153" s="23" t="str">
        <x:v>Lo Presti et al. (2024)</x:v>
      </x:c>
      <x:c r="C153" s="23" t="str">
        <x:v>L8</x:v>
      </x:c>
      <x:c r="D153" s="23" t="n">
        <x:v>0</x:v>
      </x:c>
      <x:c r="E153" s="23" t="n">
        <x:v>0</x:v>
      </x:c>
      <x:c r="F153" s="23" t="n">
        <x:v>0</x:v>
      </x:c>
      <x:c r="G153" s="41" t="str">
        <x:v>specimens/repeated tests are not a qualifying independent-device reproducibility analysis.</x:v>
      </x:c>
      <x:c r="H153" s="41" t="str">
        <x:v>Not located; twelve trials and mean/SD were repeated measurements on one fabricated sensor</x:v>
      </x:c>
    </x:row>
    <x:row r="154" ht="44" customHeight="1">
      <x:c r="A154" s="9" t="n">
        <x:v>20</x:v>
      </x:c>
      <x:c r="B154" s="9" t="str">
        <x:v>Sobianin et al. (2024)</x:v>
      </x:c>
      <x:c r="C154" s="9" t="str">
        <x:v>L1</x:v>
      </x:c>
      <x:c r="D154" s="9" t="n">
        <x:v>1</x:v>
      </x:c>
      <x:c r="E154" s="9" t="n">
        <x:v>1</x:v>
      </x:c>
      <x:c r="F154" s="9" t="n">
        <x:v>1</x:v>
      </x:c>
      <x:c r="G154" s="15" t="str">
        <x:v>pp.11–13 give detailed PET/TPU print tables and identify the piezoelectric element and enclosure materials.</x:v>
      </x:c>
      <x:c r="H154" s="15" t="str">
        <x:v>pp. 11-13; Ultimaker S5, 0.4-mm cores, temperatures, speeds, line widths, and layer heights reported</x:v>
      </x:c>
    </x:row>
    <x:row r="155" ht="44" customHeight="1">
      <x:c r="A155" s="23" t="n">
        <x:v>20</x:v>
      </x:c>
      <x:c r="B155" s="23" t="str">
        <x:v>Sobianin et al. (2024)</x:v>
      </x:c>
      <x:c r="C155" s="23" t="str">
        <x:v>L2</x:v>
      </x:c>
      <x:c r="D155" s="23" t="n">
        <x:v>1</x:v>
      </x:c>
      <x:c r="E155" s="23" t="n">
        <x:v>1</x:v>
      </x:c>
      <x:c r="F155" s="23" t="n">
        <x:v>1</x:v>
      </x:c>
      <x:c r="G155" s="41" t="str">
        <x:v>pp.11–13 give detailed PET/TPU print tables and identify the piezoelectric element and enclosure materials.</x:v>
      </x:c>
      <x:c r="H155" s="41" t="str">
        <x:v>pp. 3 and 11-12; PZT-5H/brass piezo disc, UltraFuse PET enclosure, TPU80A LF film, threaded cap/insert, and wrist strap</x:v>
      </x:c>
    </x:row>
    <x:row r="156" ht="44" customHeight="1">
      <x:c r="A156" s="9" t="n">
        <x:v>20</x:v>
      </x:c>
      <x:c r="B156" s="9" t="str">
        <x:v>Sobianin et al. (2024)</x:v>
      </x:c>
      <x:c r="C156" s="9" t="str">
        <x:v>L3</x:v>
      </x:c>
      <x:c r="D156" s="9" t="n">
        <x:v>0</x:v>
      </x:c>
      <x:c r="E156" s="9" t="n">
        <x:v>0</x:v>
      </x:c>
      <x:c r="F156" s="9" t="n">
        <x:v>0</x:v>
      </x:c>
      <x:c r="G156" s="15" t="str">
        <x:v>the prescribed displacement/BPM range belongs to the computational model. The physical on-wrist prototype is recorded with an oscilloscope but is not calibrated against a controlled mechanical input or independent physiological reference.</x:v>
      </x:c>
      <x:c r="H156" s="15" t="str">
        <x:v>pp. 14-17; wrist signals were recorded without a controlled experimental input or independently measured physiological reference</x:v>
      </x:c>
    </x:row>
    <x:row r="157" ht="44" customHeight="1">
      <x:c r="A157" s="23" t="n">
        <x:v>20</x:v>
      </x:c>
      <x:c r="B157" s="23" t="str">
        <x:v>Sobianin et al. (2024)</x:v>
      </x:c>
      <x:c r="C157" s="23" t="str">
        <x:v>L4</x:v>
      </x:c>
      <x:c r="D157" s="23" t="n">
        <x:v>1</x:v>
      </x:c>
      <x:c r="E157" s="23" t="n">
        <x:v>1</x:v>
      </x:c>
      <x:c r="F157" s="23" t="n">
        <x:v>1</x:v>
      </x:c>
      <x:c r="G157" s="41" t="str">
        <x:v>pp.14–17 report voltage spectra and estimated power in native units over declared fit, wrist-position, film-thickness, and BPM conditions.</x:v>
      </x:c>
      <x:c r="H157" s="41" t="str">
        <x:v>pp. 14-17; voltage spectra and amplitudes reported across three fits, three wrist positions, 100-270 micrometer films, and 60-240 BPM components</x:v>
      </x:c>
    </x:row>
    <x:row r="158" ht="44" customHeight="1">
      <x:c r="A158" s="9" t="n">
        <x:v>20</x:v>
      </x:c>
      <x:c r="B158" s="9" t="str">
        <x:v>Sobianin et al. (2024)</x:v>
      </x:c>
      <x:c r="C158" s="9" t="str">
        <x:v>L5</x:v>
      </x:c>
      <x:c r="D158" s="9" t="n">
        <x:v>0</x:v>
      </x:c>
      <x:c r="E158" s="9" t="n">
        <x:v>0</x:v>
      </x:c>
      <x:c r="F158" s="9" t="n">
        <x:v>0</x:v>
      </x:c>
      <x:c r="G158" s="15" t="str">
        <x:v>periodic pulse operation is used to generate the signal; no cyclic durability, drift, wear, or retention assessment was located.</x:v>
      </x:c>
      <x:c r="H158" s="15" t="str">
        <x:v>Not located; 60-s pulsation records did not include a cycle-counted stability or degradation analysis</x:v>
      </x:c>
    </x:row>
    <x:row r="159" ht="44" customHeight="1">
      <x:c r="A159" s="23" t="n">
        <x:v>20</x:v>
      </x:c>
      <x:c r="B159" s="23" t="str">
        <x:v>Sobianin et al. (2024)</x:v>
      </x:c>
      <x:c r="C159" s="23" t="str">
        <x:v>L6</x:v>
      </x:c>
      <x:c r="D159" s="23" t="n">
        <x:v>1</x:v>
      </x:c>
      <x:c r="E159" s="23" t="n">
        <x:v>1</x:v>
      </x:c>
      <x:c r="F159" s="23" t="n">
        <x:v>1</x:v>
      </x:c>
      <x:c r="G159" s="41" t="str">
        <x:v>pp.14–16 experimentally vary loose/medium/tight skin fit and wrist placement and report the voltage response under these declared use conditions.</x:v>
      </x:c>
      <x:c r="H159" s="41" t="str">
        <x:v>pp. 14-16; output quantified under three strap fits and three wrist positions, including a 3.5-fold position effect</x:v>
      </x:c>
    </x:row>
    <x:row r="160" ht="44" customHeight="1">
      <x:c r="A160" s="9" t="n">
        <x:v>20</x:v>
      </x:c>
      <x:c r="B160" s="9" t="str">
        <x:v>Sobianin et al. (2024)</x:v>
      </x:c>
      <x:c r="C160" s="9" t="str">
        <x:v>L7</x:v>
      </x:c>
      <x:c r="D160" s="9" t="n">
        <x:v>1</x:v>
      </x:c>
      <x:c r="E160" s="9" t="n">
        <x:v>1</x:v>
      </x:c>
      <x:c r="F160" s="9" t="n">
        <x:v>1</x:v>
      </x:c>
      <x:c r="G160" s="15" t="str">
        <x:v>pp.12–16 experimentally assess the cap-film enclosure fit, sealing geometry, and skin-coupled final assembly without adhesive.</x:v>
      </x:c>
      <x:c r="H160" s="15" t="str">
        <x:v>pp. 11-16; threaded sealed assembly retained output through fit, wrist-position, and film-thickness tests</x:v>
      </x:c>
    </x:row>
    <x:row r="161" ht="44" customHeight="1">
      <x:c r="A161" s="23" t="n">
        <x:v>20</x:v>
      </x:c>
      <x:c r="B161" s="23" t="str">
        <x:v>Sobianin et al. (2024)</x:v>
      </x:c>
      <x:c r="C161" s="23" t="str">
        <x:v>L8</x:v>
      </x:c>
      <x:c r="D161" s="23" t="n">
        <x:v>0</x:v>
      </x:c>
      <x:c r="E161" s="23" t="n">
        <x:v>0</x:v>
      </x:c>
      <x:c r="F161" s="23" t="n">
        <x:v>0</x:v>
      </x:c>
      <x:c r="G161" s="41" t="str">
        <x:v>no three-device between-unit comparison was located.</x:v>
      </x:c>
      <x:c r="H161" s="41" t="str">
        <x:v>Not located; film-thickness and fit/position variants were not independent replicate devices with between-unit statistics</x:v>
      </x:c>
    </x:row>
    <x:row r="162" ht="44" customHeight="1">
      <x:c r="A162" s="9" t="n">
        <x:v>21</x:v>
      </x:c>
      <x:c r="B162" s="9" t="str">
        <x:v>Christ et al. (2017)</x:v>
      </x:c>
      <x:c r="C162" s="9" t="str">
        <x:v>L1</x:v>
      </x:c>
      <x:c r="D162" s="9" t="n">
        <x:v>1</x:v>
      </x:c>
      <x:c r="E162" s="9" t="n">
        <x:v>1</x:v>
      </x:c>
      <x:c r="F162" s="9" t="n">
        <x:v>1</x:v>
      </x:c>
      <x:c r="G162" s="15" t="str">
        <x:v>pp.2–6 report complete Table 1 FDM settings, TPU/MWCNT composition, controlled tensile strain, normalized resistance, gauge factor, and tested strain ranges.</x:v>
      </x:c>
      <x:c r="H162" s="15" t="str">
        <x:v>pp. 3-4; MakerBot Replicator 2X, 0.8-mm nozzle, 220/60 degrees C, 0.2-mm layers, 100% infill, 20 mm/s, print orientation, and geometry</x:v>
      </x:c>
    </x:row>
    <x:row r="163" ht="44" customHeight="1">
      <x:c r="A163" s="23" t="n">
        <x:v>21</x:v>
      </x:c>
      <x:c r="B163" s="23" t="str">
        <x:v>Christ et al. (2017)</x:v>
      </x:c>
      <x:c r="C163" s="23" t="str">
        <x:v>L2</x:v>
      </x:c>
      <x:c r="D163" s="23" t="n">
        <x:v>1</x:v>
      </x:c>
      <x:c r="E163" s="23" t="n">
        <x:v>1</x:v>
      </x:c>
      <x:c r="F163" s="23" t="n">
        <x:v>1</x:v>
      </x:c>
      <x:c r="G163" s="41" t="str">
        <x:v>pp.2–6 report complete Table 1 FDM settings, TPU/MWCNT composition, controlled tensile strain, normalized resistance, gauge factor, and tested strain ranges.</x:v>
      </x:c>
      <x:c r="H163" s="41" t="str">
        <x:v>pp. 2-3; BASF Elastollan 1185A TPU, Nanocyl NC7000 MWCNTs at 0-5 wt%, and CW2400 silver-epoxy contacts</x:v>
      </x:c>
    </x:row>
    <x:row r="164" ht="44" customHeight="1">
      <x:c r="A164" s="9" t="n">
        <x:v>21</x:v>
      </x:c>
      <x:c r="B164" s="9" t="str">
        <x:v>Christ et al. (2017)</x:v>
      </x:c>
      <x:c r="C164" s="9" t="str">
        <x:v>L3</x:v>
      </x:c>
      <x:c r="D164" s="9" t="n">
        <x:v>1</x:v>
      </x:c>
      <x:c r="E164" s="9" t="n">
        <x:v>1</x:v>
      </x:c>
      <x:c r="F164" s="9" t="n">
        <x:v>1</x:v>
      </x:c>
      <x:c r="G164" s="15" t="str">
        <x:v>pp.2–6 report complete Table 1 FDM settings, TPU/MWCNT composition, controlled tensile strain, normalized resistance, gauge factor, and tested strain ranges.</x:v>
      </x:c>
      <x:c r="H164" s="15" t="str">
        <x:v>p. 3; custom tensile machine at 5 mm/s with resistance testing over stated strain ranges up to 120%</x:v>
      </x:c>
    </x:row>
    <x:row r="165" ht="44" customHeight="1">
      <x:c r="A165" s="23" t="n">
        <x:v>21</x:v>
      </x:c>
      <x:c r="B165" s="23" t="str">
        <x:v>Christ et al. (2017)</x:v>
      </x:c>
      <x:c r="C165" s="23" t="str">
        <x:v>L4</x:v>
      </x:c>
      <x:c r="D165" s="23" t="n">
        <x:v>1</x:v>
      </x:c>
      <x:c r="E165" s="23" t="n">
        <x:v>1</x:v>
      </x:c>
      <x:c r="F165" s="23" t="n">
        <x:v>1</x:v>
      </x:c>
      <x:c r="G165" s="41" t="str">
        <x:v>pp.2–6 report complete Table 1 FDM settings, TPU/MWCNT composition, controlled tensile strain, normalized resistance, gauge factor, and tested strain ranges.</x:v>
      </x:c>
      <x:c r="H165" s="41" t="str">
        <x:v>pp. 6-7; normalized resistance and gauge factor reported, including GF 176 and tested ranges of 25-100% strain</x:v>
      </x:c>
    </x:row>
    <x:row r="166" ht="44" customHeight="1">
      <x:c r="A166" s="9" t="n">
        <x:v>21</x:v>
      </x:c>
      <x:c r="B166" s="9" t="str">
        <x:v>Christ et al. (2017)</x:v>
      </x:c>
      <x:c r="C166" s="9" t="str">
        <x:v>L5</x:v>
      </x:c>
      <x:c r="D166" s="9" t="n">
        <x:v>1</x:v>
      </x:c>
      <x:c r="E166" s="9" t="n">
        <x:v>1</x:v>
      </x:c>
      <x:c r="F166" s="9" t="n">
        <x:v>1</x:v>
      </x:c>
      <x:c r="G166" s="15" t="str">
        <x:v>pp.5–7 report ten cycles at 25% and 100% strain with stress-softening and resistance retention.</x:v>
      </x:c>
      <x:c r="H166" s="15" t="str">
        <x:v>pp. 5-7; ten cycles at 100% and 25% strain with softening, baseline-shift, and response-consistency outcomes</x:v>
      </x:c>
    </x:row>
    <x:row r="167" ht="44" customHeight="1">
      <x:c r="A167" s="23" t="n">
        <x:v>21</x:v>
      </x:c>
      <x:c r="B167" s="23" t="str">
        <x:v>Christ et al. (2017)</x:v>
      </x:c>
      <x:c r="C167" s="23" t="str">
        <x:v>L6</x:v>
      </x:c>
      <x:c r="D167" s="23" t="n">
        <x:v>0</x:v>
      </x:c>
      <x:c r="E167" s="23" t="n">
        <x:v>0</x:v>
      </x:c>
      <x:c r="F167" s="23" t="n">
        <x:v>0</x:v>
      </x:c>
      <x:c r="G167" s="41" t="str">
        <x:v>no qualifying environmental/use-exposure stability test was located.</x:v>
      </x:c>
      <x:c r="H167" s="41" t="str">
        <x:v>Not located; no stated environmental or use-exposure response test</x:v>
      </x:c>
    </x:row>
    <x:row r="168" ht="44" customHeight="1">
      <x:c r="A168" s="9" t="n">
        <x:v>21</x:v>
      </x:c>
      <x:c r="B168" s="9" t="str">
        <x:v>Christ et al. (2017)</x:v>
      </x:c>
      <x:c r="C168" s="9" t="str">
        <x:v>L7</x:v>
      </x:c>
      <x:c r="D168" s="9" t="n">
        <x:v>0</x:v>
      </x:c>
      <x:c r="E168" s="9" t="n">
        <x:v>0</x:v>
      </x:c>
      <x:c r="F168" s="9" t="n">
        <x:v>0</x:v>
      </x:c>
      <x:c r="G168" s="15" t="str">
        <x:v>interlayer microstructure is discussed, but no final wearable assembly or discrete sensor-integration interface is tested under the L7 rule.</x:v>
      </x:c>
      <x:c r="H168" s="15" t="str">
        <x:v>pp. 3-7; SEM, mechanical, conductivity, and cyclic tests directly assessed interlayer adhesion and retained function</x:v>
      </x:c>
    </x:row>
    <x:row r="169" ht="44" customHeight="1">
      <x:c r="A169" s="23" t="n">
        <x:v>21</x:v>
      </x:c>
      <x:c r="B169" s="23" t="str">
        <x:v>Christ et al. (2017)</x:v>
      </x:c>
      <x:c r="C169" s="23" t="str">
        <x:v>L8</x:v>
      </x:c>
      <x:c r="D169" s="23" t="n">
        <x:v>0</x:v>
      </x:c>
      <x:c r="E169" s="23" t="n">
        <x:v>0</x:v>
      </x:c>
      <x:c r="F169" s="23" t="n">
        <x:v>0</x:v>
      </x:c>
      <x:c r="G169" s="41" t="str">
        <x:v>material variants/sample types are not three independent devices with between-unit dispersion.</x:v>
      </x:c>
      <x:c r="H169" s="41" t="str">
        <x:v>Not located; composition/sample-type comparisons and plotted error bars did not establish three independent devices</x:v>
      </x:c>
    </x:row>
    <x:row r="170" ht="44" customHeight="1">
      <x:c r="A170" s="9" t="n">
        <x:v>22</x:v>
      </x:c>
      <x:c r="B170" s="9" t="str">
        <x:v>Xiang et al. (2020)</x:v>
      </x:c>
      <x:c r="C170" s="9" t="str">
        <x:v>L1</x:v>
      </x:c>
      <x:c r="D170" s="9" t="n">
        <x:v>1</x:v>
      </x:c>
      <x:c r="E170" s="9" t="n">
        <x:v>1</x:v>
      </x:c>
      <x:c r="F170" s="9" t="n">
        <x:v>1</x:v>
      </x:c>
      <x:c r="G170" s="15" t="str">
        <x:v>pp.3–8 report full FDM settings, CNT/AgNP/TPU formulations, controlled tensile loading, normalized resistance, gauge factor, and range.</x:v>
      </x:c>
      <x:c r="H170" s="15" t="str">
        <x:v>pp. 2-3; ET-K1 printer, 0.4-mm nozzle, 220/70 degrees C, 0.2-mm layers, 100% infill, 20 mm/s, 90-degree stacking, and 50 x 10 x 1 mm geometry</x:v>
      </x:c>
    </x:row>
    <x:row r="171" ht="44" customHeight="1">
      <x:c r="A171" s="23" t="n">
        <x:v>22</x:v>
      </x:c>
      <x:c r="B171" s="23" t="str">
        <x:v>Xiang et al. (2020)</x:v>
      </x:c>
      <x:c r="C171" s="23" t="str">
        <x:v>L2</x:v>
      </x:c>
      <x:c r="D171" s="23" t="n">
        <x:v>1</x:v>
      </x:c>
      <x:c r="E171" s="23" t="n">
        <x:v>1</x:v>
      </x:c>
      <x:c r="F171" s="23" t="n">
        <x:v>1</x:v>
      </x:c>
      <x:c r="G171" s="41" t="str">
        <x:v>pp.3–8 report full FDM settings, CNT/AgNP/TPU formulations, controlled tensile loading, normalized resistance, gauge factor, and range.</x:v>
      </x:c>
      <x:c r="H171" s="41" t="str">
        <x:v>pp. 2-3; Bayer 2195 TPU, Nanocyl NC7000 CNTs, synthesized AgNPs, and defined 3 wt% hybrid-filler formulations</x:v>
      </x:c>
    </x:row>
    <x:row r="172" ht="44" customHeight="1">
      <x:c r="A172" s="9" t="n">
        <x:v>22</x:v>
      </x:c>
      <x:c r="B172" s="9" t="str">
        <x:v>Xiang et al. (2020)</x:v>
      </x:c>
      <x:c r="C172" s="9" t="str">
        <x:v>L3</x:v>
      </x:c>
      <x:c r="D172" s="9" t="n">
        <x:v>1</x:v>
      </x:c>
      <x:c r="E172" s="9" t="n">
        <x:v>1</x:v>
      </x:c>
      <x:c r="F172" s="9" t="n">
        <x:v>1</x:v>
      </x:c>
      <x:c r="G172" s="15" t="str">
        <x:v>pp.3–8 report full FDM settings, CNT/AgNP/TPU formulations, controlled tensile loading, normalized resistance, gauge factor, and range.</x:v>
      </x:c>
      <x:c r="H172" s="15" t="str">
        <x:v>p. 3; MTS CMT4104 controlled tensile loading with resistance measured at 3 V over stated monotonic and cyclic strain ranges</x:v>
      </x:c>
    </x:row>
    <x:row r="173" ht="44" customHeight="1">
      <x:c r="A173" s="23" t="n">
        <x:v>22</x:v>
      </x:c>
      <x:c r="B173" s="23" t="str">
        <x:v>Xiang et al. (2020)</x:v>
      </x:c>
      <x:c r="C173" s="23" t="str">
        <x:v>L4</x:v>
      </x:c>
      <x:c r="D173" s="23" t="n">
        <x:v>1</x:v>
      </x:c>
      <x:c r="E173" s="23" t="n">
        <x:v>1</x:v>
      </x:c>
      <x:c r="F173" s="23" t="n">
        <x:v>1</x:v>
      </x:c>
      <x:c r="G173" s="41" t="str">
        <x:v>pp.3–8 report full FDM settings, CNT/AgNP/TPU formulations, controlled tensile loading, normalized resistance, gauge factor, and range.</x:v>
      </x:c>
      <x:c r="H173" s="41" t="str">
        <x:v>pp. 6-7 and 10; GF 43260 at 250% strain, R2 0.97 within 50%, about 57 ms response, and range to 250%</x:v>
      </x:c>
    </x:row>
    <x:row r="174" ht="44" customHeight="1">
      <x:c r="A174" s="9" t="n">
        <x:v>22</x:v>
      </x:c>
      <x:c r="B174" s="9" t="str">
        <x:v>Xiang et al. (2020)</x:v>
      </x:c>
      <x:c r="C174" s="9" t="str">
        <x:v>L5</x:v>
      </x:c>
      <x:c r="D174" s="9" t="n">
        <x:v>1</x:v>
      </x:c>
      <x:c r="E174" s="9" t="n">
        <x:v>1</x:v>
      </x:c>
      <x:c r="F174" s="9" t="n">
        <x:v>1</x:v>
      </x:c>
      <x:c r="G174" s="15" t="str">
        <x:v>pp.7–10 report repeated cyclic response, including 1000 cycles.</x:v>
      </x:c>
      <x:c r="H174" s="15" t="str">
        <x:v>pp. 7-10; cyclic tests at 5-30% strain and 0.01-1 Hz, including 1000 cycles at 10% with stability outcome</x:v>
      </x:c>
    </x:row>
    <x:row r="175" ht="44" customHeight="1">
      <x:c r="A175" s="23" t="n">
        <x:v>22</x:v>
      </x:c>
      <x:c r="B175" s="23" t="str">
        <x:v>Xiang et al. (2020)</x:v>
      </x:c>
      <x:c r="C175" s="23" t="str">
        <x:v>L6</x:v>
      </x:c>
      <x:c r="D175" s="23" t="n">
        <x:v>0</x:v>
      </x:c>
      <x:c r="E175" s="23" t="n">
        <x:v>0</x:v>
      </x:c>
      <x:c r="F175" s="23" t="n">
        <x:v>0</x:v>
      </x:c>
      <x:c r="G175" s="41" t="str">
        <x:v>no qualifying environmental stability or final integration/interface-integrity experiment was located.</x:v>
      </x:c>
      <x:c r="H175" s="41" t="str">
        <x:v>p. 10; resistance was nearly unchanged over the stated 20-60 degrees C operating-temperature test</x:v>
      </x:c>
    </x:row>
    <x:row r="176" ht="44" customHeight="1">
      <x:c r="A176" s="9" t="n">
        <x:v>22</x:v>
      </x:c>
      <x:c r="B176" s="9" t="str">
        <x:v>Xiang et al. (2020)</x:v>
      </x:c>
      <x:c r="C176" s="9" t="str">
        <x:v>L7</x:v>
      </x:c>
      <x:c r="D176" s="9" t="n">
        <x:v>0</x:v>
      </x:c>
      <x:c r="E176" s="9" t="n">
        <x:v>1</x:v>
      </x:c>
      <x:c r="F176" s="9" t="n">
        <x:v>1</x:v>
      </x:c>
      <x:c r="G176" s="15" t="str">
        <x:v>no qualifying environmental stability or final integration/interface-integrity experiment was located.</x:v>
      </x:c>
      <x:c r="H176" s="15" t="str">
        <x:v>pp. 9-11; printed sensor retained responses during repeated finger/wrist bending and facial-motion demonstrations</x:v>
      </x:c>
    </x:row>
    <x:row r="177" ht="44" customHeight="1">
      <x:c r="A177" s="23" t="n">
        <x:v>22</x:v>
      </x:c>
      <x:c r="B177" s="23" t="str">
        <x:v>Xiang et al. (2020)</x:v>
      </x:c>
      <x:c r="C177" s="23" t="str">
        <x:v>L8</x:v>
      </x:c>
      <x:c r="D177" s="23" t="n">
        <x:v>0</x:v>
      </x:c>
      <x:c r="E177" s="23" t="n">
        <x:v>0</x:v>
      </x:c>
      <x:c r="F177" s="23" t="n">
        <x:v>0</x:v>
      </x:c>
      <x:c r="G177" s="41" t="str">
        <x:v>repeated cycles and formulation comparisons do not establish between-device reproducibility.</x:v>
      </x:c>
      <x:c r="H177" s="41" t="str">
        <x:v>Not located; filler-ratio variants and repeated cycles did not establish three independent devices with between-unit statistics</x:v>
      </x:c>
    </x:row>
    <x:row r="178" ht="44" customHeight="1">
      <x:c r="A178" s="9" t="n">
        <x:v>23</x:v>
      </x:c>
      <x:c r="B178" s="9" t="str">
        <x:v>Loh et al. (2021)</x:v>
      </x:c>
      <x:c r="C178" s="9" t="str">
        <x:v>L1</x:v>
      </x:c>
      <x:c r="D178" s="9" t="n">
        <x:v>1</x:v>
      </x:c>
      <x:c r="E178" s="9" t="n">
        <x:v>1</x:v>
      </x:c>
      <x:c r="F178" s="9" t="n">
        <x:v>1</x:v>
      </x:c>
      <x:c r="G178" s="15" t="str">
        <x:v>pp.3–8 report multimaterial printer/nozzle/temperature/speed/ flow settings, TPU/conductive-TPU array construction, load-cell calibration, and relative capacitance response.</x:v>
      </x:c>
      <x:c r="H178" s="15" t="str">
        <x:v>pp. 3 and 8; BCN3D dual-nozzle printer, 0.4-mm nozzles, 240 degrees C, 0.1-mm layers, flow, speed, geometry, and trimming reported</x:v>
      </x:c>
    </x:row>
    <x:row r="179" ht="44" customHeight="1">
      <x:c r="A179" s="23" t="n">
        <x:v>23</x:v>
      </x:c>
      <x:c r="B179" s="23" t="str">
        <x:v>Loh et al. (2021)</x:v>
      </x:c>
      <x:c r="C179" s="23" t="str">
        <x:v>L2</x:v>
      </x:c>
      <x:c r="D179" s="23" t="n">
        <x:v>1</x:v>
      </x:c>
      <x:c r="E179" s="23" t="n">
        <x:v>1</x:v>
      </x:c>
      <x:c r="F179" s="23" t="n">
        <x:v>1</x:v>
      </x:c>
      <x:c r="G179" s="41" t="str">
        <x:v>pp.3–8 report multimaterial printer/nozzle/temperature/speed/ flow settings, TPU/conductive-TPU array construction, load-cell calibration, and relative capacitance response.</x:v>
      </x:c>
      <x:c r="H179" s="41" t="str">
        <x:v>pp. 2-3 and 8; Palmiga carbon-black PI-ETPU electrodes and NinjaFlex TPU insulation, dielectric, supports, and air gaps in a five-layer array</x:v>
      </x:c>
    </x:row>
    <x:row r="180" ht="44" customHeight="1">
      <x:c r="A180" s="9" t="n">
        <x:v>23</x:v>
      </x:c>
      <x:c r="B180" s="9" t="str">
        <x:v>Loh et al. (2021)</x:v>
      </x:c>
      <x:c r="C180" s="9" t="str">
        <x:v>L3</x:v>
      </x:c>
      <x:c r="D180" s="9" t="n">
        <x:v>1</x:v>
      </x:c>
      <x:c r="E180" s="9" t="n">
        <x:v>1</x:v>
      </x:c>
      <x:c r="F180" s="9" t="n">
        <x:v>1</x:v>
      </x:c>
      <x:c r="G180" s="15" t="str">
        <x:v>pp.3–8 report multimaterial printer/nozzle/temperature/speed/ flow settings, TPU/conductive-TPU array construction, load-cell calibration, and relative capacitance response.</x:v>
      </x:c>
      <x:c r="H180" s="15" t="str">
        <x:v>pp. 2 and 8; load-cell force probe applied normal force at 72.4 mm/min and calibrated relative capacitance over the stated force range</x:v>
      </x:c>
    </x:row>
    <x:row r="181" ht="44" customHeight="1">
      <x:c r="A181" s="23" t="n">
        <x:v>23</x:v>
      </x:c>
      <x:c r="B181" s="23" t="str">
        <x:v>Loh et al. (2021)</x:v>
      </x:c>
      <x:c r="C181" s="23" t="str">
        <x:v>L4</x:v>
      </x:c>
      <x:c r="D181" s="23" t="n">
        <x:v>1</x:v>
      </x:c>
      <x:c r="E181" s="23" t="n">
        <x:v>1</x:v>
      </x:c>
      <x:c r="F181" s="23" t="n">
        <x:v>1</x:v>
      </x:c>
      <x:c r="G181" s="41" t="str">
        <x:v>pp.3–8 report multimaterial printer/nozzle/temperature/speed/ flow settings, TPU/conductive-TPU array construction, load-cell calibration, and relative capacitance response.</x:v>
      </x:c>
      <x:c r="H181" s="41" t="str">
        <x:v>pp. 2 and 4-5; 24.99% relative-capacitance change at 4.8 N, 0-21.62% strain response, and quantified Poisson-ratio and stress ranges</x:v>
      </x:c>
    </x:row>
    <x:row r="182" ht="44" customHeight="1">
      <x:c r="A182" s="9" t="n">
        <x:v>23</x:v>
      </x:c>
      <x:c r="B182" s="9" t="str">
        <x:v>Loh et al. (2021)</x:v>
      </x:c>
      <x:c r="C182" s="9" t="str">
        <x:v>L5</x:v>
      </x:c>
      <x:c r="D182" s="9" t="n">
        <x:v>0</x:v>
      </x:c>
      <x:c r="E182" s="9" t="n">
        <x:v>0</x:v>
      </x:c>
      <x:c r="F182" s="9" t="n">
        <x:v>0</x:v>
      </x:c>
      <x:c r="G182" s="15" t="str">
        <x:v>no declared cyclic durability, drift, hysteresis, wear, or retention analysis was located.</x:v>
      </x:c>
      <x:c r="H182" s="15" t="str">
        <x:v>Not located; grip/release and bend traces did not include a stated cycle count with a stability or degradation outcome</x:v>
      </x:c>
    </x:row>
    <x:row r="183" ht="44" customHeight="1">
      <x:c r="A183" s="23" t="n">
        <x:v>23</x:v>
      </x:c>
      <x:c r="B183" s="23" t="str">
        <x:v>Loh et al. (2021)</x:v>
      </x:c>
      <x:c r="C183" s="23" t="str">
        <x:v>L6</x:v>
      </x:c>
      <x:c r="D183" s="23" t="n">
        <x:v>1</x:v>
      </x:c>
      <x:c r="E183" s="23" t="n">
        <x:v>1</x:v>
      </x:c>
      <x:c r="F183" s="23" t="n">
        <x:v>1</x:v>
      </x:c>
      <x:c r="G183" s="41" t="str">
        <x:v>p.6 reports immersion in colored water, air drying, and reversible capacitance response.</x:v>
      </x:c>
      <x:c r="H183" s="41" t="str">
        <x:v>p. 6; water immersion followed by air drying produced reversible capacitance-map changes</x:v>
      </x:c>
    </x:row>
    <x:row r="184" ht="44" customHeight="1">
      <x:c r="A184" s="9" t="n">
        <x:v>23</x:v>
      </x:c>
      <x:c r="B184" s="9" t="str">
        <x:v>Loh et al. (2021)</x:v>
      </x:c>
      <x:c r="C184" s="9" t="str">
        <x:v>L7</x:v>
      </x:c>
      <x:c r="D184" s="9" t="n">
        <x:v>1</x:v>
      </x:c>
      <x:c r="E184" s="9" t="n">
        <x:v>1</x:v>
      </x:c>
      <x:c r="F184" s="9" t="n">
        <x:v>1</x:v>
      </x:c>
      <x:c r="G184" s="15" t="str">
        <x:v>pp.3–7 test the embedded electrode/dielectric array under uniaxial stretch and as an adhered balloon, gripper, and elbow assembly with retained spatial sensing.</x:v>
      </x:c>
      <x:c r="H184" s="15" t="str">
        <x:v>pp. 2 and 5-7; the final 6 x 6 array retained force mapping through balloon expansion, gripper grip/release, and elbow bending/pressing</x:v>
      </x:c>
    </x:row>
    <x:row r="185" ht="44" customHeight="1">
      <x:c r="A185" s="23" t="n">
        <x:v>23</x:v>
      </x:c>
      <x:c r="B185" s="23" t="str">
        <x:v>Loh et al. (2021)</x:v>
      </x:c>
      <x:c r="C185" s="23" t="str">
        <x:v>L8</x:v>
      </x:c>
      <x:c r="D185" s="23" t="n">
        <x:v>0</x:v>
      </x:c>
      <x:c r="E185" s="23" t="n">
        <x:v>0</x:v>
      </x:c>
      <x:c r="F185" s="23" t="n">
        <x:v>0</x:v>
      </x:c>
      <x:c r="G185" s="41" t="str">
        <x:v>array pixels and design variants are not independent-device reproducibility.</x:v>
      </x:c>
      <x:c r="H185" s="41" t="str">
        <x:v>Not located; geometry variants and the 36 sensing pixels were not three independently fabricated arrays with between-unit statistics</x:v>
      </x:c>
    </x:row>
    <x:row r="186" ht="44" customHeight="1">
      <x:c r="A186" s="9" t="n">
        <x:v>24</x:v>
      </x:c>
      <x:c r="B186" s="9" t="str">
        <x:v>Jain et al. (2023)</x:v>
      </x:c>
      <x:c r="C186" s="9" t="str">
        <x:v>L1</x:v>
      </x:c>
      <x:c r="D186" s="9" t="n">
        <x:v>1</x:v>
      </x:c>
      <x:c r="E186" s="9" t="n">
        <x:v>1</x:v>
      </x:c>
      <x:c r="F186" s="9" t="n">
        <x:v>1</x:v>
      </x:c>
      <x:c r="G186" s="15" t="str">
        <x:v>pp.2–8 report Table 2 FFF settings, recycled-PVDF/copper construction, VNA/simulation comparison, S-parameters, return loss, resonance, gain, and bending radii.</x:v>
      </x:c>
      <x:c r="H186" s="15" t="str">
        <x:v>pp. 2, 4, and 6; Ultimaker 2.0, 230/60 degrees C, 0.15-mm layers, 100% rectilinear infill, 45-degree raster, and geometry reported</x:v>
      </x:c>
    </x:row>
    <x:row r="187" ht="44" customHeight="1">
      <x:c r="A187" s="23" t="n">
        <x:v>24</x:v>
      </x:c>
      <x:c r="B187" s="23" t="str">
        <x:v>Jain et al. (2023)</x:v>
      </x:c>
      <x:c r="C187" s="23" t="str">
        <x:v>L2</x:v>
      </x:c>
      <x:c r="D187" s="23" t="n">
        <x:v>1</x:v>
      </x:c>
      <x:c r="E187" s="23" t="n">
        <x:v>1</x:v>
      </x:c>
      <x:c r="F187" s="23" t="n">
        <x:v>1</x:v>
      </x:c>
      <x:c r="G187" s="41" t="str">
        <x:v>pp.2–8 report Table 2 FFF settings, recycled-PVDF/copper construction, VNA/simulation comparison, S-parameters, return loss, resonance, gain, and bending radii.</x:v>
      </x:c>
      <x:c r="H187" s="41" t="str">
        <x:v>pp. 2 and 6; primary recycled PVDF substrate, copper foil trace, conductive pressure-sensitive acrylic adhesive, and microstrip feed</x:v>
      </x:c>
    </x:row>
    <x:row r="188" ht="44" customHeight="1">
      <x:c r="A188" s="9" t="n">
        <x:v>24</x:v>
      </x:c>
      <x:c r="B188" s="9" t="str">
        <x:v>Jain et al. (2023)</x:v>
      </x:c>
      <x:c r="C188" s="9" t="str">
        <x:v>L3</x:v>
      </x:c>
      <x:c r="D188" s="9" t="n">
        <x:v>1</x:v>
      </x:c>
      <x:c r="E188" s="9" t="n">
        <x:v>1</x:v>
      </x:c>
      <x:c r="F188" s="9" t="n">
        <x:v>1</x:v>
      </x:c>
      <x:c r="G188" s="15" t="str">
        <x:v>pp.2–8 report Table 2 FFF settings, recycled-PVDF/copper construction, VNA/simulation comparison, S-parameters, return loss, resonance, gain, and bending radii.</x:v>
      </x:c>
      <x:c r="H188" s="15" t="str">
        <x:v>pp. 4 and 8-10; ring-resonator/transmission-line characterization and VNA validation related S-parameters to frequency and controlled 30-70 mm bend radii</x:v>
      </x:c>
    </x:row>
    <x:row r="189" ht="44" customHeight="1">
      <x:c r="A189" s="23" t="n">
        <x:v>24</x:v>
      </x:c>
      <x:c r="B189" s="23" t="str">
        <x:v>Jain et al. (2023)</x:v>
      </x:c>
      <x:c r="C189" s="23" t="str">
        <x:v>L4</x:v>
      </x:c>
      <x:c r="D189" s="23" t="n">
        <x:v>1</x:v>
      </x:c>
      <x:c r="E189" s="23" t="n">
        <x:v>1</x:v>
      </x:c>
      <x:c r="F189" s="23" t="n">
        <x:v>1</x:v>
      </x:c>
      <x:c r="G189" s="41" t="str">
        <x:v>pp.2–8 report Table 2 FFF settings, recycled-PVDF/copper construction, VNA/simulation comparison, S-parameters, return loss, resonance, gain, and bending radii.</x:v>
      </x:c>
      <x:c r="H189" s="41" t="str">
        <x:v>pp. 1 and 8-10; return loss below -20 dB at about 4.1 GHz, 3.2 dB gain, 0.6 W/kg SAR, and S-parameter response across 30-70 mm bends</x:v>
      </x:c>
    </x:row>
    <x:row r="190" ht="44" customHeight="1">
      <x:c r="A190" s="9" t="n">
        <x:v>24</x:v>
      </x:c>
      <x:c r="B190" s="9" t="str">
        <x:v>Jain et al. (2023)</x:v>
      </x:c>
      <x:c r="C190" s="9" t="str">
        <x:v>L5</x:v>
      </x:c>
      <x:c r="D190" s="9" t="n">
        <x:v>0</x:v>
      </x:c>
      <x:c r="E190" s="9" t="n">
        <x:v>0</x:v>
      </x:c>
      <x:c r="F190" s="9" t="n">
        <x:v>0</x:v>
      </x:c>
      <x:c r="G190" s="15" t="str">
        <x:v>different curvature radii are tested, but no repeated cyclic, hysteresis, drift, wear, or retention analysis was located.</x:v>
      </x:c>
      <x:c r="H190" s="15" t="str">
        <x:v>Not located; static bend-radius comparisons did not include a cycle count or a response-stability outcome</x:v>
      </x:c>
    </x:row>
    <x:row r="191" ht="44" customHeight="1">
      <x:c r="A191" s="23" t="n">
        <x:v>24</x:v>
      </x:c>
      <x:c r="B191" s="23" t="str">
        <x:v>Jain et al. (2023)</x:v>
      </x:c>
      <x:c r="C191" s="23" t="str">
        <x:v>L6</x:v>
      </x:c>
      <x:c r="D191" s="23" t="n">
        <x:v>1</x:v>
      </x:c>
      <x:c r="E191" s="23" t="n">
        <x:v>1</x:v>
      </x:c>
      <x:c r="F191" s="23" t="n">
        <x:v>1</x:v>
      </x:c>
      <x:c r="G191" s="41" t="str">
        <x:v>pp.9–10 compare simulation, on-body placement, and skin-mimicking-liquid measurements with response and SAR.</x:v>
      </x:c>
      <x:c r="H191" s="41" t="str">
        <x:v>pp. 8-11; response was measured at 30, 50, and 70 mm bends and in human-tissue and skin-mimicking-liquid use conditions</x:v>
      </x:c>
    </x:row>
    <x:row r="192" ht="44" customHeight="1">
      <x:c r="A192" s="9" t="n">
        <x:v>24</x:v>
      </x:c>
      <x:c r="B192" s="9" t="str">
        <x:v>Jain et al. (2023)</x:v>
      </x:c>
      <x:c r="C192" s="9" t="str">
        <x:v>L7</x:v>
      </x:c>
      <x:c r="D192" s="9" t="n">
        <x:v>0</x:v>
      </x:c>
      <x:c r="E192" s="9" t="n">
        <x:v>1</x:v>
      </x:c>
      <x:c r="F192" s="9" t="n">
        <x:v>1</x:v>
      </x:c>
      <x:c r="G192" s="15" t="str">
        <x:v>the adhesive copper interface is described but not tested for integrity, and no independent-device comparison is reported.</x:v>
      </x:c>
      <x:c r="H192" s="15" t="str">
        <x:v>pp. 6 and 8-11; the copper-on-printed-PVDF assembly retained its S-parameter response during bending and skin-mimicking-liquid testing</x:v>
      </x:c>
    </x:row>
    <x:row r="193" ht="44" customHeight="1">
      <x:c r="A193" s="23" t="n">
        <x:v>24</x:v>
      </x:c>
      <x:c r="B193" s="23" t="str">
        <x:v>Jain et al. (2023)</x:v>
      </x:c>
      <x:c r="C193" s="23" t="str">
        <x:v>L8</x:v>
      </x:c>
      <x:c r="D193" s="23" t="n">
        <x:v>0</x:v>
      </x:c>
      <x:c r="E193" s="23" t="n">
        <x:v>0</x:v>
      </x:c>
      <x:c r="F193" s="23" t="n">
        <x:v>0</x:v>
      </x:c>
      <x:c r="G193" s="41" t="str">
        <x:v>the adhesive copper interface is described but not tested for integrity, and no independent-device comparison is reported.</x:v>
      </x:c>
      <x:c r="H193" s="41" t="str">
        <x:v>Not located; three hardness locations and simulation/validation comparisons did not quantify variation among independent fabricated sensors</x:v>
      </x:c>
    </x:row>
    <x:row r="194" ht="44" customHeight="1">
      <x:c r="A194" s="9" t="n">
        <x:v>25</x:v>
      </x:c>
      <x:c r="B194" s="9" t="str">
        <x:v>Bang et al. (2023)</x:v>
      </x:c>
      <x:c r="C194" s="9" t="str">
        <x:v>L1</x:v>
      </x:c>
      <x:c r="D194" s="9" t="n">
        <x:v>1</x:v>
      </x:c>
      <x:c r="E194" s="9" t="n">
        <x:v>1</x:v>
      </x:c>
      <x:c r="F194" s="9" t="n">
        <x:v>1</x:v>
      </x:c>
      <x:c r="G194" s="15" t="str">
        <x:v>pp.3–7 report FDM mold settings, PDMS/MWCNT processing, controlled pressure testing, sensitivity, linearity, range, LOD, and response/recovery.</x:v>
      </x:c>
      <x:c r="H194" s="15" t="str">
        <x:v>p. 3; Guider IIs, 0.4-mm nozzle, 225/105 degrees C, 60 mm/s, optimized 70% infill, 400-micrometer line width, 200-micrometer layers, 2 x 2 cm geometry, and mold-removal/drying steps</x:v>
      </x:c>
    </x:row>
    <x:row r="195" ht="44" customHeight="1">
      <x:c r="A195" s="23" t="n">
        <x:v>25</x:v>
      </x:c>
      <x:c r="B195" s="23" t="str">
        <x:v>Bang et al. (2023)</x:v>
      </x:c>
      <x:c r="C195" s="23" t="str">
        <x:v>L2</x:v>
      </x:c>
      <x:c r="D195" s="23" t="n">
        <x:v>1</x:v>
      </x:c>
      <x:c r="E195" s="23" t="n">
        <x:v>1</x:v>
      </x:c>
      <x:c r="F195" s="23" t="n">
        <x:v>1</x:v>
      </x:c>
      <x:c r="G195" s="41" t="str">
        <x:v>pp.3–7 report FDM mold settings, PDMS/MWCNT processing, controlled pressure testing, sensitivity, linearity, range, LOD, and response/recovery.</x:v>
      </x:c>
      <x:c r="H195" s="41" t="str">
        <x:v>pp. 3-4; ABS sacrificial mold, Sylgard 184 PDMS at 10:1, specified MWCNTs/IPA coating, PET films, copper foils/wires, tape, and silver-paste interconnects</x:v>
      </x:c>
    </x:row>
    <x:row r="196" ht="44" customHeight="1">
      <x:c r="A196" s="9" t="n">
        <x:v>25</x:v>
      </x:c>
      <x:c r="B196" s="9" t="str">
        <x:v>Bang et al. (2023)</x:v>
      </x:c>
      <x:c r="C196" s="9" t="str">
        <x:v>L3</x:v>
      </x:c>
      <x:c r="D196" s="9" t="n">
        <x:v>1</x:v>
      </x:c>
      <x:c r="E196" s="9" t="n">
        <x:v>1</x:v>
      </x:c>
      <x:c r="F196" s="9" t="n">
        <x:v>1</x:v>
      </x:c>
      <x:c r="G196" s="15" t="str">
        <x:v>pp.3–7 report FDM mold settings, PDMS/MWCNT processing, controlled pressure testing, sensitivity, linearity, range, LOD, and response/recovery.</x:v>
      </x:c>
      <x:c r="H196" s="15" t="str">
        <x:v>pp. 3 and 5-7; MCT-2150 compression with a 0.1-V source-meter readout related current response to controlled pressure over 0.03-1630 kPa</x:v>
      </x:c>
    </x:row>
    <x:row r="197" ht="44" customHeight="1">
      <x:c r="A197" s="23" t="n">
        <x:v>25</x:v>
      </x:c>
      <x:c r="B197" s="23" t="str">
        <x:v>Bang et al. (2023)</x:v>
      </x:c>
      <x:c r="C197" s="23" t="str">
        <x:v>L4</x:v>
      </x:c>
      <x:c r="D197" s="23" t="n">
        <x:v>1</x:v>
      </x:c>
      <x:c r="E197" s="23" t="n">
        <x:v>1</x:v>
      </x:c>
      <x:c r="F197" s="23" t="n">
        <x:v>1</x:v>
      </x:c>
      <x:c r="G197" s="41" t="str">
        <x:v>pp.3–7 report FDM mold settings, PDMS/MWCNT processing, controlled pressure testing, sensitivity, linearity, range, LOD, and response/recovery.</x:v>
      </x:c>
      <x:c r="H197" s="41" t="str">
        <x:v>pp. 3 and 7; 1.26 kPa^-1 sensitivity, R2 0.998, 33.9 Pa detection limit, 170/70 ms response/recovery, and 0.03-1630 kPa range</x:v>
      </x:c>
    </x:row>
    <x:row r="198" ht="44" customHeight="1">
      <x:c r="A198" s="9" t="n">
        <x:v>25</x:v>
      </x:c>
      <x:c r="B198" s="9" t="str">
        <x:v>Bang et al. (2023)</x:v>
      </x:c>
      <x:c r="C198" s="9" t="str">
        <x:v>L5</x:v>
      </x:c>
      <x:c r="D198" s="9" t="n">
        <x:v>1</x:v>
      </x:c>
      <x:c r="E198" s="9" t="n">
        <x:v>1</x:v>
      </x:c>
      <x:c r="F198" s="9" t="n">
        <x:v>1</x:v>
      </x:c>
      <x:c r="G198" s="15" t="str">
        <x:v>pp.6–7 report 2000 cycles over 0–400 kPa, hysteresis, and first-versus-2000th-cycle retention.</x:v>
      </x:c>
      <x:c r="H198" s="15" t="str">
        <x:v>pp. 5-7; 2000 loading/unloading cycles over 0-400 kPa with retained 1.26 kPa^-1 sensitivity, R2 0.997, minimal drift, and nearly overlapping mechanical curves</x:v>
      </x:c>
    </x:row>
    <x:row r="199" ht="44" customHeight="1">
      <x:c r="A199" s="23" t="n">
        <x:v>25</x:v>
      </x:c>
      <x:c r="B199" s="23" t="str">
        <x:v>Bang et al. (2023)</x:v>
      </x:c>
      <x:c r="C199" s="23" t="str">
        <x:v>L6</x:v>
      </x:c>
      <x:c r="D199" s="23" t="n">
        <x:v>0</x:v>
      </x:c>
      <x:c r="E199" s="23" t="n">
        <x:v>0</x:v>
      </x:c>
      <x:c r="F199" s="23" t="n">
        <x:v>0</x:v>
      </x:c>
      <x:c r="G199" s="41" t="str">
        <x:v>contact angle and DI-water rinsing characterize fabrication/ wetting; sensor performance retention under environmental exposure was not tested.</x:v>
      </x:c>
      <x:c r="H199" s="41" t="str">
        <x:v>p. 8; response was quantified at finger bends of 0-90 degrees and during walking by a 60-kg participant with and without an 8-kg load</x:v>
      </x:c>
    </x:row>
    <x:row r="200" ht="44" customHeight="1">
      <x:c r="A200" s="9" t="n">
        <x:v>25</x:v>
      </x:c>
      <x:c r="B200" s="9" t="str">
        <x:v>Bang et al. (2023)</x:v>
      </x:c>
      <x:c r="C200" s="9" t="str">
        <x:v>L7</x:v>
      </x:c>
      <x:c r="D200" s="9" t="n">
        <x:v>1</x:v>
      </x:c>
      <x:c r="E200" s="9" t="n">
        <x:v>1</x:v>
      </x:c>
      <x:c r="F200" s="9" t="n">
        <x:v>1</x:v>
      </x:c>
      <x:c r="G200" s="15" t="str">
        <x:v>pp.4 and 6–9 retain packaged Cu/PET-electrode function during pressure cycling and repeated wearable glove/foot motions.</x:v>
      </x:c>
      <x:c r="H200" s="15" t="str">
        <x:v>pp. 3-4 and 7-9; tape-based Cu/PET packaging gave a stable immediate response and the five-sensor glove retained pressure mapping during grasping and exercise</x:v>
      </x:c>
    </x:row>
    <x:row r="201" ht="44" customHeight="1">
      <x:c r="A201" s="23" t="n">
        <x:v>25</x:v>
      </x:c>
      <x:c r="B201" s="23" t="str">
        <x:v>Bang et al. (2023)</x:v>
      </x:c>
      <x:c r="C201" s="23" t="str">
        <x:v>L8</x:v>
      </x:c>
      <x:c r="D201" s="23" t="n">
        <x:v>0</x:v>
      </x:c>
      <x:c r="E201" s="23" t="n">
        <x:v>0</x:v>
      </x:c>
      <x:c r="F201" s="23" t="n">
        <x:v>0</x:v>
      </x:c>
      <x:c r="G201" s="41" t="str">
        <x:v>five glove sensors are not compared for between-device variation.</x:v>
      </x:c>
      <x:c r="H201" s="41" t="str">
        <x:v>Not located; five glove sensors, structural variants, and repeated cycles did not quantify variation among independently fabricated replicate devices</x:v>
      </x:c>
    </x:row>
    <x:row r="202" ht="44" customHeight="1">
      <x:c r="A202" s="9" t="n">
        <x:v>26</x:v>
      </x:c>
      <x:c r="B202" s="9" t="str">
        <x:v>Kai et al. (2023)</x:v>
      </x:c>
      <x:c r="C202" s="9" t="str">
        <x:v>L1</x:v>
      </x:c>
      <x:c r="D202" s="9" t="n">
        <x:v>1</x:v>
      </x:c>
      <x:c r="E202" s="9" t="n">
        <x:v>1</x:v>
      </x:c>
      <x:c r="F202" s="9" t="n">
        <x:v>1</x:v>
      </x:c>
      <x:c r="G202" s="15" t="str">
        <x:v>pp.2–4 and 11–14 report TPU print settings, GR/WPU coating, controlled ISO compression, resistance/current response, and tested ranges.</x:v>
      </x:c>
      <x:c r="H202" s="15" t="str">
        <x:v>pp. 3-4; geometry, 0.2-mm layers, 240-degree C nozzle, room-temperature bed, 60 mm/s, raft, infill patterns/densities, dip coating, and drying reported</x:v>
      </x:c>
    </x:row>
    <x:row r="203" ht="44" customHeight="1">
      <x:c r="A203" s="23" t="n">
        <x:v>26</x:v>
      </x:c>
      <x:c r="B203" s="23" t="str">
        <x:v>Kai et al. (2023)</x:v>
      </x:c>
      <x:c r="C203" s="23" t="str">
        <x:v>L2</x:v>
      </x:c>
      <x:c r="D203" s="23" t="n">
        <x:v>1</x:v>
      </x:c>
      <x:c r="E203" s="23" t="n">
        <x:v>1</x:v>
      </x:c>
      <x:c r="F203" s="23" t="n">
        <x:v>1</x:v>
      </x:c>
      <x:c r="G203" s="41" t="str">
        <x:v>pp.2–4 and 11–14 report TPU print settings, GR/WPU coating, controlled ISO compression, resistance/current response, and tested ranges.</x:v>
      </x:c>
      <x:c r="H203" s="41" t="str">
        <x:v>pp. 2-4; eSun eFlex TPU, 8 wt% graphene in Akuarane 0264 waterborne polyurethane, distilled water, and the dip-coated printed fingertip geometry</x:v>
      </x:c>
    </x:row>
    <x:row r="204" ht="44" customHeight="1">
      <x:c r="A204" s="9" t="n">
        <x:v>26</x:v>
      </x:c>
      <x:c r="B204" s="9" t="str">
        <x:v>Kai et al. (2023)</x:v>
      </x:c>
      <x:c r="C204" s="9" t="str">
        <x:v>L3</x:v>
      </x:c>
      <x:c r="D204" s="9" t="n">
        <x:v>1</x:v>
      </x:c>
      <x:c r="E204" s="9" t="n">
        <x:v>0</x:v>
      </x:c>
      <x:c r="F204" s="9" t="n">
        <x:v>1</x:v>
      </x:c>
      <x:c r="G204" s="15" t="str">
        <x:v>pp.2–4 and 11–14 report TPU print settings, GR/WPU coating, controlled ISO compression, resistance/current response, and tested ranges.</x:v>
      </x:c>
      <x:c r="H204" s="15" t="str">
        <x:v>pp. 4 and 13-14; resistance changed during repeated compression, but the electrical test did not define the applied compression magnitude or an independent pressure reference</x:v>
      </x:c>
    </x:row>
    <x:row r="205" ht="44" customHeight="1">
      <x:c r="A205" s="23" t="n">
        <x:v>26</x:v>
      </x:c>
      <x:c r="B205" s="23" t="str">
        <x:v>Kai et al. (2023)</x:v>
      </x:c>
      <x:c r="C205" s="23" t="str">
        <x:v>L4</x:v>
      </x:c>
      <x:c r="D205" s="23" t="n">
        <x:v>1</x:v>
      </x:c>
      <x:c r="E205" s="23" t="n">
        <x:v>1</x:v>
      </x:c>
      <x:c r="F205" s="23" t="n">
        <x:v>1</x:v>
      </x:c>
      <x:c r="G205" s="41" t="str">
        <x:v>pp.2–4 and 11–14 report TPU print settings, GR/WPU coating, controlled ISO compression, resistance/current response, and tested ranges.</x:v>
      </x:c>
      <x:c r="H205" s="41" t="str">
        <x:v>pp. 11-14; current was reported over 0-30 V, including 0.22 mA for the 20% triangle specimen at 30 V and about 300% relative-resistance change</x:v>
      </x:c>
    </x:row>
    <x:row r="206" ht="44" customHeight="1">
      <x:c r="A206" s="9" t="n">
        <x:v>26</x:v>
      </x:c>
      <x:c r="B206" s="9" t="str">
        <x:v>Kai et al. (2023)</x:v>
      </x:c>
      <x:c r="C206" s="9" t="str">
        <x:v>L5</x:v>
      </x:c>
      <x:c r="D206" s="9" t="n">
        <x:v>0</x:v>
      </x:c>
      <x:c r="E206" s="9" t="n">
        <x:v>0</x:v>
      </x:c>
      <x:c r="F206" s="9" t="n">
        <x:v>0</x:v>
      </x:c>
      <x:c r="G206" s="15" t="str">
        <x:v>p.4 states that each sample was compressed three times and the result averaged, but cycle-by-cycle stability, hysteresis, drift, retention, wear, or failure is not analysed; these repetitions support property estimation rather than durability.</x:v>
      </x:c>
      <x:c r="H206" s="15" t="str">
        <x:v>Not located; the repeated-resistance trace omitted the compression range and explicit cycle count and did not provide a stability or degradation analysis</x:v>
      </x:c>
    </x:row>
    <x:row r="207" ht="44" customHeight="1">
      <x:c r="A207" s="23" t="n">
        <x:v>26</x:v>
      </x:c>
      <x:c r="B207" s="23" t="str">
        <x:v>Kai et al. (2023)</x:v>
      </x:c>
      <x:c r="C207" s="23" t="str">
        <x:v>L6</x:v>
      </x:c>
      <x:c r="D207" s="23" t="n">
        <x:v>0</x:v>
      </x:c>
      <x:c r="E207" s="23" t="n">
        <x:v>0</x:v>
      </x:c>
      <x:c r="F207" s="23" t="n">
        <x:v>0</x:v>
      </x:c>
      <x:c r="G207" s="41" t="str">
        <x:v>no environmental stability test, adhesion/integration integrity test, or final exoskeleton validation was performed.</x:v>
      </x:c>
      <x:c r="H207" s="41" t="str">
        <x:v>Not located; no stated environmental or application-use exposure with sensor response was reported</x:v>
      </x:c>
    </x:row>
    <x:row r="208" ht="44" customHeight="1">
      <x:c r="A208" s="9" t="n">
        <x:v>26</x:v>
      </x:c>
      <x:c r="B208" s="9" t="str">
        <x:v>Kai et al. (2023)</x:v>
      </x:c>
      <x:c r="C208" s="9" t="str">
        <x:v>L7</x:v>
      </x:c>
      <x:c r="D208" s="9" t="n">
        <x:v>0</x:v>
      </x:c>
      <x:c r="E208" s="9" t="n">
        <x:v>0</x:v>
      </x:c>
      <x:c r="F208" s="9" t="n">
        <x:v>0</x:v>
      </x:c>
      <x:c r="G208" s="15" t="str">
        <x:v>no environmental stability test, adhesion/integration integrity test, or final exoskeleton validation was performed.</x:v>
      </x:c>
      <x:c r="H208" s="15" t="str">
        <x:v>pp. 4 and 13-14; the graphene/WPU-coated TPU fingertip produced retained resistance changes through repeated compression pulses</x:v>
      </x:c>
    </x:row>
    <x:row r="209" ht="44" customHeight="1">
      <x:c r="A209" s="23" t="n">
        <x:v>26</x:v>
      </x:c>
      <x:c r="B209" s="23" t="str">
        <x:v>Kai et al. (2023)</x:v>
      </x:c>
      <x:c r="C209" s="23" t="str">
        <x:v>L8</x:v>
      </x:c>
      <x:c r="D209" s="23" t="n">
        <x:v>0</x:v>
      </x:c>
      <x:c r="E209" s="23" t="n">
        <x:v>0</x:v>
      </x:c>
      <x:c r="F209" s="23" t="n">
        <x:v>0</x:v>
      </x:c>
      <x:c r="G209" s="41" t="str">
        <x:v>the report does not establish three independently fabricated sensor units per condition with between-unit results/dispersion.</x:v>
      </x:c>
      <x:c r="H209" s="41" t="str">
        <x:v>Not located; three compressions per sample and infill variants were repeated measurements/configurations, not independent devices with between-unit statistics</x:v>
      </x:c>
    </x:row>
    <x:row r="210" ht="44" customHeight="1">
      <x:c r="A210" s="9" t="n">
        <x:v>27</x:v>
      </x:c>
      <x:c r="B210" s="9" t="str">
        <x:v>Guo et al. (2023)</x:v>
      </x:c>
      <x:c r="C210" s="9" t="str">
        <x:v>L1</x:v>
      </x:c>
      <x:c r="D210" s="9" t="n">
        <x:v>0</x:v>
      </x:c>
      <x:c r="E210" s="9" t="n">
        <x:v>0</x:v>
      </x:c>
      <x:c r="F210" s="9" t="n">
        <x:v>0</x:v>
      </x:c>
      <x:c r="G210" s="15" t="str">
        <x:v>p.3 gives printer, geometry, and infill but states only that "appropriate printing parameters" were adjusted; nozzle/thermal/speed/layer settings are not reported.</x:v>
      </x:c>
      <x:c r="H210" s="15" t="str">
        <x:v>pp. 3-4; Flexible F350 printer, specimen geometry, honeycomb design, and 30-90% infill reported</x:v>
      </x:c>
    </x:row>
    <x:row r="211" ht="44" customHeight="1">
      <x:c r="A211" s="23" t="n">
        <x:v>27</x:v>
      </x:c>
      <x:c r="B211" s="23" t="str">
        <x:v>Guo et al. (2023)</x:v>
      </x:c>
      <x:c r="C211" s="23" t="str">
        <x:v>L2</x:v>
      </x:c>
      <x:c r="D211" s="23" t="n">
        <x:v>1</x:v>
      </x:c>
      <x:c r="E211" s="23" t="n">
        <x:v>1</x:v>
      </x:c>
      <x:c r="F211" s="23" t="n">
        <x:v>1</x:v>
      </x:c>
      <x:c r="G211" s="41" t="str">
        <x:v>pp.3–4 and 9–10 identify TPU/MWCNT/CO2 processing, controlled UTM compression, relative current, sensitivity, and 0–40 kPa range.</x:v>
      </x:c>
      <x:c r="H211" s="41" t="str">
        <x:v>pp. 3-4; Wanhua polyester TPU-65A, specified HQNANO MWCNTs at 0-4 wt%, and high-purity CO2 with melt blending and batch-foaming steps</x:v>
      </x:c>
    </x:row>
    <x:row r="212" ht="44" customHeight="1">
      <x:c r="A212" s="9" t="n">
        <x:v>27</x:v>
      </x:c>
      <x:c r="B212" s="9" t="str">
        <x:v>Guo et al. (2023)</x:v>
      </x:c>
      <x:c r="C212" s="9" t="str">
        <x:v>L3</x:v>
      </x:c>
      <x:c r="D212" s="9" t="n">
        <x:v>1</x:v>
      </x:c>
      <x:c r="E212" s="9" t="n">
        <x:v>1</x:v>
      </x:c>
      <x:c r="F212" s="9" t="n">
        <x:v>1</x:v>
      </x:c>
      <x:c r="G212" s="15" t="str">
        <x:v>pp.3–4 and 9–10 identify TPU/MWCNT/CO2 processing, controlled UTM compression, relative current, sensitivity, and 0–40 kPa range.</x:v>
      </x:c>
      <x:c r="H212" s="15" t="str">
        <x:v>pp. 4 and 9; AGX-100 Plus compression with a RIGOL multimeter related current change to controlled 2-10% strain and pressure over 0-40 kPa</x:v>
      </x:c>
    </x:row>
    <x:row r="213" ht="44" customHeight="1">
      <x:c r="A213" s="23" t="n">
        <x:v>27</x:v>
      </x:c>
      <x:c r="B213" s="23" t="str">
        <x:v>Guo et al. (2023)</x:v>
      </x:c>
      <x:c r="C213" s="23" t="str">
        <x:v>L4</x:v>
      </x:c>
      <x:c r="D213" s="23" t="n">
        <x:v>1</x:v>
      </x:c>
      <x:c r="E213" s="23" t="n">
        <x:v>1</x:v>
      </x:c>
      <x:c r="F213" s="23" t="n">
        <x:v>1</x:v>
      </x:c>
      <x:c r="G213" s="41" t="str">
        <x:v>pp.3–4 and 9–10 identify TPU/MWCNT/CO2 processing, controlled UTM compression, relative current, sensitivity, and 0–40 kPa range.</x:v>
      </x:c>
      <x:c r="H213" s="41" t="str">
        <x:v>p. 9; Delta-I/I0 increased from 3.37 to 16.60 over 2-10% strain, with 0.36 kPa^-1 sensitivity over 0-10 kPa and response characterized to 40 kPa</x:v>
      </x:c>
    </x:row>
    <x:row r="214" ht="44" customHeight="1">
      <x:c r="A214" s="9" t="n">
        <x:v>27</x:v>
      </x:c>
      <x:c r="B214" s="9" t="str">
        <x:v>Guo et al. (2023)</x:v>
      </x:c>
      <x:c r="C214" s="9" t="str">
        <x:v>L5</x:v>
      </x:c>
      <x:c r="D214" s="9" t="n">
        <x:v>1</x:v>
      </x:c>
      <x:c r="E214" s="9" t="n">
        <x:v>1</x:v>
      </x:c>
      <x:c r="F214" s="9" t="n">
        <x:v>1</x:v>
      </x:c>
      <x:c r="G214" s="15" t="str">
        <x:v>pp.7–9 report ten cycles at 20/40/60% strain and 150 cycles with residual strain and retained stress.</x:v>
      </x:c>
      <x:c r="H214" s="15" t="str">
        <x:v>pp. 7-10; ten cycles at 20%, 40%, and 60% strain plus 150 cycles at 10% strain showed residual strain below 5% and retained maximum stress of 40 kPa</x:v>
      </x:c>
    </x:row>
    <x:row r="215" ht="44" customHeight="1">
      <x:c r="A215" s="23" t="n">
        <x:v>27</x:v>
      </x:c>
      <x:c r="B215" s="23" t="str">
        <x:v>Guo et al. (2023)</x:v>
      </x:c>
      <x:c r="C215" s="23" t="str">
        <x:v>L6</x:v>
      </x:c>
      <x:c r="D215" s="23" t="n">
        <x:v>0</x:v>
      </x:c>
      <x:c r="E215" s="23" t="n">
        <x:v>0</x:v>
      </x:c>
      <x:c r="F215" s="23" t="n">
        <x:v>0</x:v>
      </x:c>
      <x:c r="G215" s="41" t="str">
        <x:v>CO2 and hot-water steps are fabrication treatments, not post-fabrication environmental stability tests.</x:v>
      </x:c>
      <x:c r="H215" s="41" t="str">
        <x:v>pp. 9-10; a shoe-mounted insole produced distinct current responses during walking (about 3) and running (about 5-8)</x:v>
      </x:c>
    </x:row>
    <x:row r="216" ht="44" customHeight="1">
      <x:c r="A216" s="9" t="n">
        <x:v>27</x:v>
      </x:c>
      <x:c r="B216" s="9" t="str">
        <x:v>Guo et al. (2023)</x:v>
      </x:c>
      <x:c r="C216" s="9" t="str">
        <x:v>L7</x:v>
      </x:c>
      <x:c r="D216" s="9" t="n">
        <x:v>1</x:v>
      </x:c>
      <x:c r="E216" s="9" t="n">
        <x:v>1</x:v>
      </x:c>
      <x:c r="F216" s="9" t="n">
        <x:v>1</x:v>
      </x:c>
      <x:c r="G216" s="15" t="str">
        <x:v>pp.9–10 validate the integrated foam sensor in a shoe insole during repeated walking/running and report stable motion-dependent output.</x:v>
      </x:c>
      <x:c r="H216" s="15" t="str">
        <x:v>pp. 9-10; the wired, tape-fixed porous-foam insole retained repeated gait signals after integration into a sports shoe</x:v>
      </x:c>
    </x:row>
    <x:row r="217" ht="44" customHeight="1">
      <x:c r="A217" s="23" t="n">
        <x:v>27</x:v>
      </x:c>
      <x:c r="B217" s="23" t="str">
        <x:v>Guo et al. (2023)</x:v>
      </x:c>
      <x:c r="C217" s="23" t="str">
        <x:v>L8</x:v>
      </x:c>
      <x:c r="D217" s="23" t="n">
        <x:v>0</x:v>
      </x:c>
      <x:c r="E217" s="23" t="n">
        <x:v>0</x:v>
      </x:c>
      <x:c r="F217" s="23" t="n">
        <x:v>0</x:v>
      </x:c>
      <x:c r="G217" s="41" t="str">
        <x:v>no independent-device dispersion was located.</x:v>
      </x:c>
      <x:c r="H217" s="41" t="str">
        <x:v>Not located; MWCNT-content, printed/foamed, and loading variants were not independent replicate sensors with quantified between-unit variation</x:v>
      </x:c>
    </x:row>
    <x:row r="218" ht="44" customHeight="1">
      <x:c r="A218" s="9" t="n">
        <x:v>28</x:v>
      </x:c>
      <x:c r="B218" s="9" t="str">
        <x:v>Davoodi et al. (2020)</x:v>
      </x:c>
      <x:c r="C218" s="9" t="str">
        <x:v>L1</x:v>
      </x:c>
      <x:c r="D218" s="9" t="n">
        <x:v>1</x:v>
      </x:c>
      <x:c r="E218" s="9" t="n">
        <x:v>1</x:v>
      </x:c>
      <x:c r="F218" s="9" t="n">
        <x:v>1</x:v>
      </x:c>
      <x:c r="G218" s="15" t="str">
        <x:v>pp.3–4 and 10–11 report FDM mold conditions, silicone/ graphene processing, controlled compression, gauge factor, and strain range.</x:v>
      </x:c>
      <x:c r="H218" s="15" t="str">
        <x:v>p. 10; Stratasys F370, 310/80 degrees C, 100-micrometer layers, zero infill, TPMS geometry, and mold-removal/coating steps reported</x:v>
      </x:c>
    </x:row>
    <x:row r="219" ht="44" customHeight="1">
      <x:c r="A219" s="23" t="n">
        <x:v>28</x:v>
      </x:c>
      <x:c r="B219" s="23" t="str">
        <x:v>Davoodi et al. (2020)</x:v>
      </x:c>
      <x:c r="C219" s="23" t="str">
        <x:v>L2</x:v>
      </x:c>
      <x:c r="D219" s="23" t="n">
        <x:v>1</x:v>
      </x:c>
      <x:c r="E219" s="23" t="n">
        <x:v>1</x:v>
      </x:c>
      <x:c r="F219" s="23" t="n">
        <x:v>1</x:v>
      </x:c>
      <x:c r="G219" s="41" t="str">
        <x:v>pp.3–4 and 10–11 report FDM mold conditions, silicone/ graphene processing, controlled compression, gauge factor, and strain range.</x:v>
      </x:c>
      <x:c r="H219" s="41" t="str">
        <x:v>pp. 2-3 and 10; ABS sacrificial mold, Mold Max-10T silicone rubber/thinner, AO-3 graphene nanoplatelets in IPA, copper-tape electrodes, and silver-paste contacts</x:v>
      </x:c>
    </x:row>
    <x:row r="220" ht="44" customHeight="1">
      <x:c r="A220" s="9" t="n">
        <x:v>28</x:v>
      </x:c>
      <x:c r="B220" s="9" t="str">
        <x:v>Davoodi et al. (2020)</x:v>
      </x:c>
      <x:c r="C220" s="9" t="str">
        <x:v>L3</x:v>
      </x:c>
      <x:c r="D220" s="9" t="n">
        <x:v>1</x:v>
      </x:c>
      <x:c r="E220" s="9" t="n">
        <x:v>1</x:v>
      </x:c>
      <x:c r="F220" s="9" t="n">
        <x:v>1</x:v>
      </x:c>
      <x:c r="G220" s="15" t="str">
        <x:v>pp.3–4 and 10–11 report FDM mold conditions, silicone/ graphene processing, controlled compression, gauge factor, and strain range.</x:v>
      </x:c>
      <x:c r="H220" s="15" t="str">
        <x:v>pp. 8 and 10-11; MTS Criterion 43 compression with force/resistance monitoring at stated rates and strain ranges, plus chamber-controlled temperature and humidity profiles</x:v>
      </x:c>
    </x:row>
    <x:row r="221" ht="44" customHeight="1">
      <x:c r="A221" s="23" t="n">
        <x:v>28</x:v>
      </x:c>
      <x:c r="B221" s="23" t="str">
        <x:v>Davoodi et al. (2020)</x:v>
      </x:c>
      <x:c r="C221" s="23" t="str">
        <x:v>L4</x:v>
      </x:c>
      <x:c r="D221" s="23" t="n">
        <x:v>1</x:v>
      </x:c>
      <x:c r="E221" s="23" t="n">
        <x:v>1</x:v>
      </x:c>
      <x:c r="F221" s="23" t="n">
        <x:v>1</x:v>
      </x:c>
      <x:c r="G221" s="41" t="str">
        <x:v>pp.3–4 and 10–11 report FDM mold conditions, silicone/ graphene processing, controlled compression, gauge factor, and strain range.</x:v>
      </x:c>
      <x:c r="H221" s="41" t="str">
        <x:v>pp. 6-8; gauge factor 1-10, temperature sensitivity 2.64e-3 to 4.49e-3 per degree C, and resistance response over strains to 75%</x:v>
      </x:c>
    </x:row>
    <x:row r="222" ht="44" customHeight="1">
      <x:c r="A222" s="9" t="n">
        <x:v>28</x:v>
      </x:c>
      <x:c r="B222" s="9" t="str">
        <x:v>Davoodi et al. (2020)</x:v>
      </x:c>
      <x:c r="C222" s="9" t="str">
        <x:v>L5</x:v>
      </x:c>
      <x:c r="D222" s="9" t="n">
        <x:v>1</x:v>
      </x:c>
      <x:c r="E222" s="9" t="n">
        <x:v>1</x:v>
      </x:c>
      <x:c r="F222" s="9" t="n">
        <x:v>1</x:v>
      </x:c>
      <x:c r="G222" s="15" t="str">
        <x:v>pp.6–8 report 400 compressive cycles and gauge-factor stability.</x:v>
      </x:c>
      <x:c r="H222" s="15" t="str">
        <x:v>pp. 7-8; 400 compression cycles within 10% strain at 60 mm/min showed a fairly stable gauge factor and high repeatability</x:v>
      </x:c>
    </x:row>
    <x:row r="223" ht="44" customHeight="1">
      <x:c r="A223" s="23" t="n">
        <x:v>28</x:v>
      </x:c>
      <x:c r="B223" s="23" t="str">
        <x:v>Davoodi et al. (2020)</x:v>
      </x:c>
      <x:c r="C223" s="23" t="str">
        <x:v>L6</x:v>
      </x:c>
      <x:c r="D223" s="23" t="n">
        <x:v>1</x:v>
      </x:c>
      <x:c r="E223" s="23" t="n">
        <x:v>1</x:v>
      </x:c>
      <x:c r="F223" s="23" t="n">
        <x:v>1</x:v>
      </x:c>
      <x:c r="G223" s="41" t="str">
        <x:v>pp.5–6 and 10–11 report approximately 12-month resistance durability, water/organic-solvent exposure, cyclic temperature and humidity, and the resulting resistance changes.</x:v>
      </x:c>
      <x:c r="H223" s="41" t="str">
        <x:v>pp. 5-6; response was evaluated in water, acetone, ethanol, and IPA for 4 h, humidity of 20-90%, temperature of 20-120 degrees C, and over 12 months</x:v>
      </x:c>
    </x:row>
    <x:row r="224" ht="44" customHeight="1">
      <x:c r="A224" s="9" t="n">
        <x:v>28</x:v>
      </x:c>
      <x:c r="B224" s="9" t="str">
        <x:v>Davoodi et al. (2020)</x:v>
      </x:c>
      <x:c r="C224" s="9" t="str">
        <x:v>L7</x:v>
      </x:c>
      <x:c r="D224" s="9" t="n">
        <x:v>1</x:v>
      </x:c>
      <x:c r="E224" s="9" t="n">
        <x:v>1</x:v>
      </x:c>
      <x:c r="F224" s="9" t="n">
        <x:v>1</x:v>
      </x:c>
      <x:c r="G224" s="15" t="str">
        <x:v>pp.3–6 directly study graphene/silicone transfer, delamination, and retained coating function after solvents and cyclic loading.</x:v>
      </x:c>
      <x:c r="H224" s="15" t="str">
        <x:v>pp. 3 and 5-8; the embedded GnP-silicone interface retained conductivity through solvent exposure, 12-month storage, 75% compression, and 400 cycles</x:v>
      </x:c>
    </x:row>
    <x:row r="225" ht="44" customHeight="1">
      <x:c r="A225" s="23" t="n">
        <x:v>28</x:v>
      </x:c>
      <x:c r="B225" s="23" t="str">
        <x:v>Davoodi et al. (2020)</x:v>
      </x:c>
      <x:c r="C225" s="23" t="str">
        <x:v>L8</x:v>
      </x:c>
      <x:c r="D225" s="23" t="n">
        <x:v>0</x:v>
      </x:c>
      <x:c r="E225" s="23" t="n">
        <x:v>0</x:v>
      </x:c>
      <x:c r="F225" s="23" t="n">
        <x:v>0</x:v>
      </x:c>
      <x:c r="G225" s="41" t="str">
        <x:v>multiple architectures/configurations are not accompanied by a qualifying independent-device dispersion analysis.</x:v>
      </x:c>
      <x:c r="H225" s="41" t="str">
        <x:v>Not located; coating and pore variants plus repeated cycles did not quantify variation among independently fabricated replicate devices</x:v>
      </x:c>
    </x:row>
    <x:row r="226" ht="44" customHeight="1">
      <x:c r="A226" s="9" t="n">
        <x:v>29</x:v>
      </x:c>
      <x:c r="B226" s="9" t="str">
        <x:v>Christ et al. (2019)</x:v>
      </x:c>
      <x:c r="C226" s="9" t="str">
        <x:v>L1</x:v>
      </x:c>
      <x:c r="D226" s="9" t="n">
        <x:v>1</x:v>
      </x:c>
      <x:c r="E226" s="9" t="n">
        <x:v>1</x:v>
      </x:c>
      <x:c r="F226" s="9" t="n">
        <x:v>1</x:v>
      </x:c>
      <x:c r="G226" s="15" t="str">
        <x:v>pp.3–5 and 8–11 report complete multimaterial print settings, TPU/MWCNT construction, controlled tensile strain, relative resistance, gauge factor, direction, and range.</x:v>
      </x:c>
      <x:c r="H226" s="15" t="str">
        <x:v>pp. 3-5; MakerBot Replicator 2X dual extrusion, 0.8-mm nozzle, 220/60 degrees C, 0.2-mm layers, 100% infill, 20 mm/s, axial/transverse toolpaths and dimensions, and no post-processing</x:v>
      </x:c>
    </x:row>
    <x:row r="227" ht="44" customHeight="1">
      <x:c r="A227" s="23" t="n">
        <x:v>29</x:v>
      </x:c>
      <x:c r="B227" s="23" t="str">
        <x:v>Christ et al. (2019)</x:v>
      </x:c>
      <x:c r="C227" s="23" t="str">
        <x:v>L2</x:v>
      </x:c>
      <x:c r="D227" s="23" t="n">
        <x:v>1</x:v>
      </x:c>
      <x:c r="E227" s="23" t="n">
        <x:v>1</x:v>
      </x:c>
      <x:c r="F227" s="23" t="n">
        <x:v>1</x:v>
      </x:c>
      <x:c r="G227" s="41" t="str">
        <x:v>pp.3–5 and 8–11 report complete multimaterial print settings, TPU/MWCNT construction, controlled tensile strain, relative resistance, gauge factor, direction, and range.</x:v>
      </x:c>
      <x:c r="H227" s="41" t="str">
        <x:v>pp. 3-5 and 12; pure TPU platform, 3 wt% MWCNT/TPU conductive traces, heat-fused metal contacts, and NinjaFlex/PLA components for the glove prototype</x:v>
      </x:c>
    </x:row>
    <x:row r="228" ht="44" customHeight="1">
      <x:c r="A228" s="9" t="n">
        <x:v>29</x:v>
      </x:c>
      <x:c r="B228" s="9" t="str">
        <x:v>Christ et al. (2019)</x:v>
      </x:c>
      <x:c r="C228" s="9" t="str">
        <x:v>L3</x:v>
      </x:c>
      <x:c r="D228" s="9" t="n">
        <x:v>1</x:v>
      </x:c>
      <x:c r="E228" s="9" t="n">
        <x:v>1</x:v>
      </x:c>
      <x:c r="F228" s="9" t="n">
        <x:v>1</x:v>
      </x:c>
      <x:c r="G228" s="15" t="str">
        <x:v>pp.3–5 and 8–11 report complete multimaterial print settings, TPU/MWCNT construction, controlled tensile strain, relative resistance, gauge factor, direction, and range.</x:v>
      </x:c>
      <x:c r="H228" s="15" t="str">
        <x:v>pp. 5 and 8-9; custom tensile testing at 5/10 mm/s with 10-V voltage-divider resistance readout related controlled 10-100% strain to sensor response</x:v>
      </x:c>
    </x:row>
    <x:row r="229" ht="44" customHeight="1">
      <x:c r="A229" s="23" t="n">
        <x:v>29</x:v>
      </x:c>
      <x:c r="B229" s="23" t="str">
        <x:v>Christ et al. (2019)</x:v>
      </x:c>
      <x:c r="C229" s="23" t="str">
        <x:v>L4</x:v>
      </x:c>
      <x:c r="D229" s="23" t="n">
        <x:v>1</x:v>
      </x:c>
      <x:c r="E229" s="23" t="n">
        <x:v>1</x:v>
      </x:c>
      <x:c r="F229" s="23" t="n">
        <x:v>1</x:v>
      </x:c>
      <x:c r="G229" s="41" t="str">
        <x:v>pp.3–5 and 8–11 report complete multimaterial print settings, TPU/MWCNT construction, controlled tensile strain, relative resistance, gauge factor, direction, and range.</x:v>
      </x:c>
      <x:c r="H229" s="41" t="str">
        <x:v>pp. 8 and 11; relative resistance R/R0 was quantified over 10-100% strain and gauge factors ranged from 1.5 to 3.0</x:v>
      </x:c>
    </x:row>
    <x:row r="230" ht="44" customHeight="1">
      <x:c r="A230" s="9" t="n">
        <x:v>29</x:v>
      </x:c>
      <x:c r="B230" s="9" t="str">
        <x:v>Christ et al. (2019)</x:v>
      </x:c>
      <x:c r="C230" s="9" t="str">
        <x:v>L5</x:v>
      </x:c>
      <x:c r="D230" s="9" t="n">
        <x:v>1</x:v>
      </x:c>
      <x:c r="E230" s="9" t="n">
        <x:v>1</x:v>
      </x:c>
      <x:c r="F230" s="9" t="n">
        <x:v>1</x:v>
      </x:c>
      <x:c r="G230" s="15" t="str">
        <x:v>pp.7–11 report 20 cycles at 50% strain and quantify initial drift, Mullins behavior, and steady cyclic response.</x:v>
      </x:c>
      <x:c r="H230" s="15" t="str">
        <x:v>pp. 7 and 9-11; 20 loading-unloading cycles at 50% strain showed steady, consistent mechanical and resistance responses after about four cycles</x:v>
      </x:c>
    </x:row>
    <x:row r="231" ht="44" customHeight="1">
      <x:c r="A231" s="23" t="n">
        <x:v>29</x:v>
      </x:c>
      <x:c r="B231" s="23" t="str">
        <x:v>Christ et al. (2019)</x:v>
      </x:c>
      <x:c r="C231" s="23" t="str">
        <x:v>L6</x:v>
      </x:c>
      <x:c r="D231" s="23" t="n">
        <x:v>0</x:v>
      </x:c>
      <x:c r="E231" s="23" t="n">
        <x:v>0</x:v>
      </x:c>
      <x:c r="F231" s="23" t="n">
        <x:v>0</x:v>
      </x:c>
      <x:c r="G231" s="41" t="str">
        <x:v>no qualifying environmental/use-exposure stability test was located.</x:v>
      </x:c>
      <x:c r="H231" s="41" t="str">
        <x:v>Not located; the worn-glove finger-flexion test used controlled bend angles but was conducted under unspecified ambient conditions without an environmental or other declared use-condition exposure</x:v>
      </x:c>
    </x:row>
    <x:row r="232" ht="44" customHeight="1">
      <x:c r="A232" s="9" t="n">
        <x:v>29</x:v>
      </x:c>
      <x:c r="B232" s="9" t="str">
        <x:v>Christ et al. (2019)</x:v>
      </x:c>
      <x:c r="C232" s="9" t="str">
        <x:v>L7</x:v>
      </x:c>
      <x:c r="D232" s="9" t="n">
        <x:v>1</x:v>
      </x:c>
      <x:c r="E232" s="9" t="n">
        <x:v>1</x:v>
      </x:c>
      <x:c r="F232" s="9" t="n">
        <x:v>1</x:v>
      </x:c>
      <x:c r="G232" s="15" t="str">
        <x:v>pp.3–5 and 12–13 test the embedded conductive/insulating interfaces and repeatedly flex the final printed glove assembly.</x:v>
      </x:c>
      <x:c r="H232" s="15" t="str">
        <x:v>pp. 5 and 9-12; embedded TPU/MWCNT traces and heat-fused contacts retained cyclic response, and the assembled multimaterial glove produced finger-specific flexion signals</x:v>
      </x:c>
    </x:row>
    <x:row r="233" ht="44" customHeight="1">
      <x:c r="A233" s="33" t="n">
        <x:v>29</x:v>
      </x:c>
      <x:c r="B233" s="33" t="str">
        <x:v>Christ et al. (2019)</x:v>
      </x:c>
      <x:c r="C233" s="33" t="str">
        <x:v>L8</x:v>
      </x:c>
      <x:c r="D233" s="33" t="n">
        <x:v>0</x:v>
      </x:c>
      <x:c r="E233" s="33" t="n">
        <x:v>0</x:v>
      </x:c>
      <x:c r="F233" s="33" t="n">
        <x:v>0</x:v>
      </x:c>
      <x:c r="G233" s="42" t="str">
        <x:v>expected reproducibility is discussed, but three independently fabricated devices with between-unit variation are not reported.</x:v>
      </x:c>
      <x:c r="H233" s="42" t="str">
        <x:v>Not located; five sensor designs, multiple glove channels, and repeated cycles did not quantify variation among independently fabricated replicate devices</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39" hidden="0" customWidth="1"/>
    <x:col min="3" max="3" width="88" hidden="0" customWidth="1"/>
    <x:col min="4" max="4" width="52" hidden="0" customWidth="1"/>
  </x:cols>
  <x:sheetData>
    <x:row r="1" ht="32" customHeight="1">
      <x:c r="A1" s="5" t="str">
        <x:v>ID</x:v>
      </x:c>
      <x:c r="B1" s="5" t="str">
        <x:v>Evidence dimension</x:v>
      </x:c>
      <x:c r="C1" s="5" t="str">
        <x:v>Minimum evidence required for a decision of 1</x:v>
      </x:c>
      <x:c r="D1" s="5" t="str">
        <x:v>Reliability question addressed</x:v>
      </x:c>
    </x:row>
    <x:row r="2" ht="62" customHeight="1">
      <x:c r="A2" s="8" t="str">
        <x:v>L1</x:v>
      </x:c>
      <x:c r="B2" s="8" t="str">
        <x:v>Fabrication parameters</x:v>
      </x:c>
      <x:c r="C2" s="14" t="str">
        <x:v>Score 1 when the applicable material-extrusion conditions needed to reconstruct the tested device are reported. These include the printer or nozzle, temperatures, layer height, raster or toolpath, infill, speed, orientation, geometry, and post-processing, depending on the reported process.</x:v>
      </x:c>
      <x:c r="D2" s="14" t="str">
        <x:v>Can the fabrication conditions associated with the tested device be reconstructed?</x:v>
      </x:c>
    </x:row>
    <x:row r="3" ht="62" customHeight="1">
      <x:c r="A3" s="9" t="str">
        <x:v>L2</x:v>
      </x:c>
      <x:c r="B3" s="9" t="str">
        <x:v>Material composition</x:v>
      </x:c>
      <x:c r="C3" s="15" t="str">
        <x:v>Score 1 when the functional material, polymer or host, sensing or conductive constituent, substrate, electrodes or interconnects, and available formulation or commercial grade are identified sufficiently to interpret the device. Constituents not reported by the source are not inferred.</x:v>
      </x:c>
      <x:c r="D3" s="15" t="str">
        <x:v>Is the material and device stack explicitly identified?</x:v>
      </x:c>
    </x:row>
    <x:row r="4" ht="62" customHeight="1">
      <x:c r="A4" s="9" t="str">
        <x:v>L3</x:v>
      </x:c>
      <x:c r="B4" s="9" t="str">
        <x:v>Calibration/reference method</x:v>
      </x:c>
      <x:c r="C4" s="15" t="str">
        <x:v>Score 1 when the output is related to a controlled input or independently measured reference and the procedure and tested range are reported. An unreferenced functional or on-body trace does not qualify.</x:v>
      </x:c>
      <x:c r="D4" s="15" t="str">
        <x:v>Is the reported output related to a defined input or reference?</x:v>
      </x:c>
    </x:row>
    <x:row r="5" ht="62" customHeight="1">
      <x:c r="A5" s="9" t="str">
        <x:v>L4</x:v>
      </x:c>
      <x:c r="B5" s="9" t="str">
        <x:v>Quantitative response metric</x:v>
      </x:c>
      <x:c r="C5" s="15" t="str">
        <x:v>Score 1 when a modality-appropriate quantitative response metric is reported with its units or calculation and operating or tested range. Native modality-specific quantities are retained.</x:v>
      </x:c>
      <x:c r="D5" s="15" t="str">
        <x:v>Can the reported response be quantitatively interpreted within its tested range?</x:v>
      </x:c>
    </x:row>
    <x:row r="6" ht="62" customHeight="1">
      <x:c r="A6" s="9" t="str">
        <x:v>L5</x:v>
      </x:c>
      <x:c r="B6" s="9" t="str">
        <x:v>Cyclic and electromechanical stability</x:v>
      </x:c>
      <x:c r="C6" s="15" t="str">
        <x:v>Score 1 when repeated loading is reported with the applied range and number of cycles and at least one stability outcome—hysteresis, baseline drift, response retention, peak variation, wear, or failure. Calibration loops without a stability analysis do not qualify.</x:v>
      </x:c>
      <x:c r="D6" s="15" t="str">
        <x:v>Is response stability assessed under stated repeated-deformation conditions?</x:v>
      </x:c>
    </x:row>
    <x:row r="7" ht="62" customHeight="1">
      <x:c r="A7" s="9" t="str">
        <x:v>L6</x:v>
      </x:c>
      <x:c r="B7" s="9" t="str">
        <x:v>Environmental/use-condition stability</x:v>
      </x:c>
      <x:c r="C7" s="15" t="str">
        <x:v>Score 1 when the sensor is evaluated under at least one stated temperature, humidity, perspiration, water, washing, abrasion, pressure, or other declared use-related exposure and the response is reported. Operation on a person under unspecified room conditions does not qualify. Reversible cross-sensitivity and post-exposure retention are retained as different evidence subtypes.</x:v>
      </x:c>
      <x:c r="D7" s="15" t="str">
        <x:v>Is the response examined under a stated environmental or use exposure?</x:v>
      </x:c>
    </x:row>
    <x:row r="8" ht="62" customHeight="1">
      <x:c r="A8" s="9" t="str">
        <x:v>L7</x:v>
      </x:c>
      <x:c r="B8" s="9" t="str">
        <x:v>Integration/interface integrity</x:v>
      </x:c>
      <x:c r="C8" s="15" t="str">
        <x:v>For a discrete sensor–substrate, electrode, interconnect, bonded, embedded, or encapsulated interface, score 1 when adhesion, peel or shear resistance, strain transfer, delamination, resistance change, or retained function after interface-relevant loading is evaluated. For a monolithic device, repeated application-relevant testing of the final wearable assembly with retained function or integration failure qualifies. Assembly description or a single application image does not qualify.</x:v>
      </x:c>
      <x:c r="D8" s="15" t="str">
        <x:v>Is the critical interface or final assembly experimentally assessed?</x:v>
      </x:c>
    </x:row>
    <x:row r="9" ht="62" customHeight="1">
      <x:c r="A9" s="9" t="str">
        <x:v>L8</x:v>
      </x:c>
      <x:c r="B9" s="9" t="str">
        <x:v>Independent-device reproducibility</x:v>
      </x:c>
      <x:c r="C9" s="15" t="str">
        <x:v>Score 1 when at least three independently fabricated devices, specimens, or batches are compared and between-unit variation is quantified using individual results, dispersion, confidence intervals, coefficient of variation, or equivalent statistics. Repeated cycles, users, or sessions on one fabricated device do not qualify.</x:v>
      </x:c>
      <x:c r="D9" s="15" t="str">
        <x:v>Is variation quantified across independently fabricated units?</x:v>
      </x:c>
    </x:row>
    <x:row r="10" ht="62" customHeight="1">
      <x:c r="A10" s="9"/>
      <x:c r="B10" s="9"/>
      <x:c r="C10" s="15"/>
      <x:c r="D10" s="15"/>
    </x:row>
    <x:row r="11" ht="62" customHeight="1">
      <x:c r="A11" s="9" t="str">
        <x:v>Coding boundary</x:v>
      </x:c>
      <x:c r="B11" s="9" t="str">
        <x:v>A zero means qualifying evidence was not located in the supplied article or reviewed supplementary information.</x:v>
      </x:c>
      <x:c r="C11" s="15" t="str">
        <x:v>It is not evidence that the experiment was never performed.</x:v>
      </x:c>
      <x:c r="D11" s="15"/>
    </x:row>
    <x:row r="12" ht="62" customHeight="1">
      <x:c r="A12" s="9" t="str">
        <x:v>Unit of assessment</x:v>
      </x:c>
      <x:c r="B12" s="9" t="str">
        <x:v>One included article and the sensor configuration used in its principal wearable demonstration.</x:v>
      </x:c>
      <x:c r="C12" s="15" t="str">
        <x:v>Material or geometry variants within one article are not independent study units.</x:v>
      </x:c>
      <x:c r="D12" s="15"/>
    </x:row>
    <x:row r="13" ht="62" customHeight="1">
      <x:c r="A13" s="10" t="str">
        <x:v>Independence boundary</x:v>
      </x:c>
      <x:c r="B13" s="10" t="str">
        <x:v>Independent-device reproducibility means variation among separately fabricated devices, specimens, or batches.</x:v>
      </x:c>
      <x:c r="C13" s="16" t="str">
        <x:v>Repeated-measurement stability on one device is a different construct.</x:v>
      </x:c>
      <x:c r="D13" s="16"/>
    </x:row>
  </x:sheetData>
  <x:pageMargins left="0.7" right="0.7" top="0.75" bottom="0.75" header="0.3" footer="0.3"/>
</x:worksheet>
</file>